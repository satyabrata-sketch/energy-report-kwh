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.xml" ContentType="application/vnd.openxmlformats-officedocument.drawing+xml"/>
  <Override PartName="/xl/worksheets/sheet29.xml" ContentType="application/vnd.openxmlformats-officedocument.spreadsheetml.worksheet+xml"/>
  <Override PartName="/xl/drawings/drawing2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99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r-24" sheetId="2" state="visible" r:id="rId2"/>
    <sheet xmlns:r="http://schemas.openxmlformats.org/officeDocument/2006/relationships" name="Apr-24" sheetId="3" state="visible" r:id="rId3"/>
    <sheet xmlns:r="http://schemas.openxmlformats.org/officeDocument/2006/relationships" name="May-24" sheetId="4" state="visible" r:id="rId4"/>
    <sheet xmlns:r="http://schemas.openxmlformats.org/officeDocument/2006/relationships" name="June-24" sheetId="5" state="visible" r:id="rId5"/>
    <sheet xmlns:r="http://schemas.openxmlformats.org/officeDocument/2006/relationships" name="July 24" sheetId="6" state="visible" r:id="rId6"/>
    <sheet xmlns:r="http://schemas.openxmlformats.org/officeDocument/2006/relationships" name="August 24" sheetId="7" state="visible" r:id="rId7"/>
    <sheet xmlns:r="http://schemas.openxmlformats.org/officeDocument/2006/relationships" name="September 24" sheetId="8" state="visible" r:id="rId8"/>
    <sheet xmlns:r="http://schemas.openxmlformats.org/officeDocument/2006/relationships" name="Oct 24" sheetId="9" state="visible" r:id="rId9"/>
    <sheet xmlns:r="http://schemas.openxmlformats.org/officeDocument/2006/relationships" name="Nov 24" sheetId="10" state="visible" r:id="rId10"/>
    <sheet xmlns:r="http://schemas.openxmlformats.org/officeDocument/2006/relationships" name="DEC - 2024" sheetId="11" state="visible" r:id="rId11"/>
    <sheet xmlns:r="http://schemas.openxmlformats.org/officeDocument/2006/relationships" name="summary" sheetId="12" state="visible" r:id="rId12"/>
    <sheet xmlns:r="http://schemas.openxmlformats.org/officeDocument/2006/relationships" name="July-2026" sheetId="13" state="visible" r:id="rId13"/>
    <sheet xmlns:r="http://schemas.openxmlformats.org/officeDocument/2006/relationships" name="Aug-2026" sheetId="14" state="visible" r:id="rId14"/>
    <sheet xmlns:r="http://schemas.openxmlformats.org/officeDocument/2006/relationships" name="Jun-2026" sheetId="15" state="visible" r:id="rId15"/>
    <sheet xmlns:r="http://schemas.openxmlformats.org/officeDocument/2006/relationships" name="May-2026" sheetId="16" state="visible" r:id="rId16"/>
    <sheet xmlns:r="http://schemas.openxmlformats.org/officeDocument/2006/relationships" name="April-2026" sheetId="17" state="visible" r:id="rId17"/>
    <sheet xmlns:r="http://schemas.openxmlformats.org/officeDocument/2006/relationships" name="Mar-2026" sheetId="18" state="visible" r:id="rId18"/>
    <sheet xmlns:r="http://schemas.openxmlformats.org/officeDocument/2006/relationships" name="Feb-2026" sheetId="19" state="visible" r:id="rId19"/>
    <sheet xmlns:r="http://schemas.openxmlformats.org/officeDocument/2006/relationships" name="Jan-2026" sheetId="20" state="visible" r:id="rId20"/>
    <sheet xmlns:r="http://schemas.openxmlformats.org/officeDocument/2006/relationships" name="Dec-25" sheetId="21" state="visible" r:id="rId21"/>
    <sheet xmlns:r="http://schemas.openxmlformats.org/officeDocument/2006/relationships" name="Nov-25" sheetId="22" state="visible" r:id="rId22"/>
    <sheet xmlns:r="http://schemas.openxmlformats.org/officeDocument/2006/relationships" name="Oct-25" sheetId="23" state="visible" r:id="rId23"/>
    <sheet xmlns:r="http://schemas.openxmlformats.org/officeDocument/2006/relationships" name="Sep-2025" sheetId="24" state="visible" r:id="rId24"/>
    <sheet xmlns:r="http://schemas.openxmlformats.org/officeDocument/2006/relationships" name="Aug-25" sheetId="25" state="visible" r:id="rId25"/>
    <sheet xmlns:r="http://schemas.openxmlformats.org/officeDocument/2006/relationships" name="July-2025" sheetId="26" state="visible" r:id="rId26"/>
    <sheet xmlns:r="http://schemas.openxmlformats.org/officeDocument/2006/relationships" name="June - 2025" sheetId="27" state="visible" r:id="rId27"/>
    <sheet xmlns:r="http://schemas.openxmlformats.org/officeDocument/2006/relationships" name="May-2025" sheetId="28" state="visible" r:id="rId28"/>
    <sheet xmlns:r="http://schemas.openxmlformats.org/officeDocument/2006/relationships" name="April-2025" sheetId="29" state="visible" r:id="rId29"/>
    <sheet xmlns:r="http://schemas.openxmlformats.org/officeDocument/2006/relationships" name="March-25" sheetId="30" state="visible" r:id="rId30"/>
    <sheet xmlns:r="http://schemas.openxmlformats.org/officeDocument/2006/relationships" name="Feb-2025" sheetId="31" state="visible" r:id="rId31"/>
    <sheet xmlns:r="http://schemas.openxmlformats.org/officeDocument/2006/relationships" name="Jan-2025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0.0"/>
    <numFmt numFmtId="165" formatCode="dd/mm/yy;@"/>
    <numFmt numFmtId="166" formatCode="[$-409]mmm\-yy;@"/>
    <numFmt numFmtId="167" formatCode="\+0.0%;\-0.0%;0.0%"/>
    <numFmt numFmtId="168" formatCode="\+#,##0;\-#,##0;0"/>
    <numFmt numFmtId="169" formatCode="\₹#,##0.00"/>
    <numFmt numFmtId="170" formatCode="\+\₹#,##0.00;\-\₹#,##0.00;\₹0.00"/>
    <numFmt numFmtId="171" formatCode="\-0.0%;\+0.0%;0.0%"/>
    <numFmt numFmtId="172" formatCode="#,##0&quot; kWh&quot;"/>
    <numFmt numFmtId="173" formatCode="0.00&quot; kWh/m²/yr&quot;"/>
    <numFmt numFmtId="174" formatCode="yyyy-mm-dd h:mm:ss"/>
  </numFmts>
  <fonts count="66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2"/>
    </font>
    <font>
      <name val="Calibri"/>
      <family val="2"/>
      <sz val="11"/>
    </font>
    <font>
      <name val="Calibri"/>
      <family val="2"/>
      <b val="1"/>
      <color theme="1"/>
      <sz val="14"/>
    </font>
    <font>
      <name val="Calibri"/>
      <family val="2"/>
      <color rgb="FF000000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1"/>
    </font>
    <font>
      <name val="Calibri"/>
      <family val="2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0"/>
    </font>
    <font>
      <name val="Inconsolata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theme="1"/>
      <sz val="9"/>
      <scheme val="minor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FF0000"/>
      <sz val="16"/>
    </font>
    <font>
      <name val="Calibri"/>
      <family val="2"/>
      <b val="1"/>
      <color rgb="FFFF0000"/>
      <sz val="2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6"/>
    </font>
    <font>
      <name val="Inconsolata"/>
      <color theme="1"/>
      <sz val="10"/>
    </font>
    <font>
      <name val="Inconsolata"/>
      <b val="1"/>
      <color rgb="FF000000"/>
      <sz val="10"/>
    </font>
    <font>
      <name val="Calibri"/>
      <family val="2"/>
      <b val="1"/>
      <sz val="9"/>
    </font>
    <font>
      <name val="Inconsolata"/>
      <color rgb="FF000000"/>
      <sz val="9"/>
    </font>
    <font>
      <name val="Inconsolata"/>
      <b val="1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color theme="0"/>
      <sz val="9"/>
      <scheme val="minor"/>
    </font>
    <font>
      <name val="Futura Bk BT"/>
      <family val="2"/>
      <color rgb="FF000000"/>
      <sz val="10"/>
    </font>
    <font>
      <name val="Calibri"/>
      <family val="2"/>
      <b val="1"/>
      <sz val="8"/>
    </font>
    <font>
      <name val="Calibri"/>
      <family val="2"/>
      <color theme="1"/>
      <sz val="8"/>
      <scheme val="minor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b val="1"/>
      <color rgb="FF000000"/>
      <sz val="8"/>
    </font>
    <font>
      <name val="Inconsolata"/>
      <color rgb="FF000000"/>
      <sz val="8"/>
    </font>
    <font>
      <name val="Calibri"/>
      <family val="2"/>
      <b val="1"/>
      <color rgb="FFFF0000"/>
      <sz val="8"/>
    </font>
    <font>
      <name val="Calibri"/>
      <family val="2"/>
      <b val="1"/>
      <sz val="14"/>
    </font>
    <font>
      <name val="Inconsolata"/>
      <color rgb="FF000000"/>
      <sz val="11"/>
    </font>
    <font>
      <name val="Segoe UI"/>
      <sz val="10"/>
    </font>
    <font>
      <name val="Segoe UI"/>
      <b val="1"/>
      <sz val="10"/>
    </font>
    <font>
      <name val="Segoe UI"/>
      <i val="1"/>
      <sz val="9"/>
    </font>
    <font>
      <name val="Segoe UI"/>
      <b val="1"/>
      <color rgb="FFFFFFFF"/>
      <sz val="14"/>
    </font>
    <font>
      <name val="Segoe UI"/>
      <b val="1"/>
      <color rgb="FF595959"/>
      <sz val="9"/>
    </font>
    <font>
      <name val="Segoe UI"/>
      <b val="1"/>
      <color rgb="FF1F4E78"/>
      <sz val="15"/>
    </font>
    <font>
      <name val="Segoe UI"/>
      <i val="1"/>
      <color rgb="FF595959"/>
      <sz val="8"/>
    </font>
    <font>
      <name val="Segoe UI"/>
      <b val="1"/>
      <color rgb="FF1F4E78"/>
      <sz val="10"/>
    </font>
    <font>
      <name val="Segoe UI"/>
      <b val="1"/>
      <color rgb="FFFFFFFF"/>
      <sz val="10"/>
    </font>
    <font>
      <name val="Segoe UI"/>
      <b val="1"/>
      <color rgb="FF1F4E78"/>
      <sz val="9"/>
    </font>
  </fonts>
  <fills count="24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5B8B7"/>
        <bgColor rgb="FFE5B8B7"/>
      </patternFill>
    </fill>
    <fill>
      <patternFill patternType="solid">
        <fgColor rgb="FF4BACC6"/>
        <bgColor rgb="FF4BACC6"/>
      </patternFill>
    </fill>
    <fill>
      <patternFill patternType="solid">
        <fgColor rgb="FF3399FF"/>
        <bgColor rgb="FF3399FF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3399FF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9FAFC"/>
        <bgColor rgb="FFF9FAFC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E9EEF4"/>
        <bgColor rgb="FFE9EEF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3">
    <xf numFmtId="0" fontId="0" fillId="0" borderId="0" pivotButton="0" quotePrefix="0" xfId="0"/>
    <xf numFmtId="15" fontId="12" fillId="3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 wrapText="1"/>
    </xf>
    <xf numFmtId="0" fontId="14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8" fillId="4" borderId="1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1" fontId="14" fillId="0" borderId="7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2" fontId="14" fillId="0" borderId="1" applyAlignment="1" pivotButton="0" quotePrefix="0" xfId="0">
      <alignment horizontal="center" wrapText="1"/>
    </xf>
    <xf numFmtId="2" fontId="8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wrapText="1"/>
    </xf>
    <xf numFmtId="164" fontId="14" fillId="0" borderId="7" applyAlignment="1" pivotButton="0" quotePrefix="0" xfId="0">
      <alignment horizontal="center" wrapText="1"/>
    </xf>
    <xf numFmtId="2" fontId="8" fillId="0" borderId="0" pivotButton="0" quotePrefix="0" xfId="0"/>
    <xf numFmtId="0" fontId="12" fillId="0" borderId="0" applyAlignment="1" pivotButton="0" quotePrefix="0" xfId="0">
      <alignment wrapText="1"/>
    </xf>
    <xf numFmtId="0" fontId="15" fillId="0" borderId="0" applyAlignment="1" pivotButton="0" quotePrefix="0" xfId="0">
      <alignment horizontal="center" wrapText="1"/>
    </xf>
    <xf numFmtId="0" fontId="12" fillId="0" borderId="1" applyAlignment="1" pivotButton="0" quotePrefix="0" xfId="0">
      <alignment wrapText="1"/>
    </xf>
    <xf numFmtId="0" fontId="12" fillId="5" borderId="1" applyAlignment="1" pivotButton="0" quotePrefix="0" xfId="0">
      <alignment wrapText="1"/>
    </xf>
    <xf numFmtId="0" fontId="12" fillId="3" borderId="1" applyAlignment="1" pivotButton="0" quotePrefix="0" xfId="0">
      <alignment horizontal="center" wrapText="1"/>
    </xf>
    <xf numFmtId="20" fontId="12" fillId="3" borderId="1" applyAlignment="1" pivotButton="0" quotePrefix="0" xfId="0">
      <alignment horizontal="center" wrapText="1"/>
    </xf>
    <xf numFmtId="1" fontId="17" fillId="0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wrapText="1"/>
    </xf>
    <xf numFmtId="1" fontId="19" fillId="6" borderId="1" applyAlignment="1" pivotButton="0" quotePrefix="0" xfId="0">
      <alignment horizontal="center" vertical="center" wrapText="1"/>
    </xf>
    <xf numFmtId="1" fontId="18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wrapText="1"/>
    </xf>
    <xf numFmtId="1" fontId="12" fillId="0" borderId="1" applyAlignment="1" pivotButton="0" quotePrefix="0" xfId="0">
      <alignment horizontal="center" wrapText="1"/>
    </xf>
    <xf numFmtId="0" fontId="19" fillId="5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wrapText="1"/>
    </xf>
    <xf numFmtId="0" fontId="12" fillId="3" borderId="1" applyAlignment="1" pivotButton="0" quotePrefix="0" xfId="0">
      <alignment wrapText="1"/>
    </xf>
    <xf numFmtId="2" fontId="17" fillId="0" borderId="1" applyAlignment="1" pivotButton="0" quotePrefix="0" xfId="0">
      <alignment horizontal="center" wrapText="1"/>
    </xf>
    <xf numFmtId="1" fontId="14" fillId="0" borderId="1" applyAlignment="1" pivotButton="0" quotePrefix="0" xfId="0">
      <alignment horizontal="center" wrapText="1"/>
    </xf>
    <xf numFmtId="164" fontId="14" fillId="0" borderId="1" applyAlignment="1" pivotButton="0" quotePrefix="0" xfId="0">
      <alignment horizontal="center" wrapText="1"/>
    </xf>
    <xf numFmtId="0" fontId="8" fillId="0" borderId="6" applyAlignment="1" pivotButton="0" quotePrefix="0" xfId="0">
      <alignment horizontal="center" wrapText="1"/>
    </xf>
    <xf numFmtId="1" fontId="20" fillId="0" borderId="7" applyAlignment="1" pivotButton="0" quotePrefix="0" xfId="0">
      <alignment horizontal="center" wrapText="1"/>
    </xf>
    <xf numFmtId="164" fontId="20" fillId="0" borderId="7" applyAlignment="1" pivotButton="0" quotePrefix="0" xfId="0">
      <alignment horizontal="center" wrapText="1"/>
    </xf>
    <xf numFmtId="2" fontId="8" fillId="0" borderId="2" applyAlignment="1" pivotButton="0" quotePrefix="0" xfId="0">
      <alignment horizontal="center" vertical="center" wrapText="1"/>
    </xf>
    <xf numFmtId="2" fontId="8" fillId="0" borderId="4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0" fontId="0" fillId="0" borderId="14" pivotButton="0" quotePrefix="0" xfId="0"/>
    <xf numFmtId="2" fontId="8" fillId="0" borderId="7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wrapText="1"/>
    </xf>
    <xf numFmtId="165" fontId="12" fillId="3" borderId="1" applyAlignment="1" pivotButton="0" quotePrefix="0" xfId="0">
      <alignment horizontal="center" wrapText="1"/>
    </xf>
    <xf numFmtId="164" fontId="8" fillId="0" borderId="7" applyAlignment="1" pivotButton="0" quotePrefix="0" xfId="0">
      <alignment horizontal="center" wrapText="1"/>
    </xf>
    <xf numFmtId="1" fontId="8" fillId="0" borderId="7" applyAlignment="1" pivotButton="0" quotePrefix="0" xfId="0">
      <alignment horizontal="center" wrapText="1"/>
    </xf>
    <xf numFmtId="0" fontId="14" fillId="0" borderId="7" applyAlignment="1" pivotButton="0" quotePrefix="0" xfId="0">
      <alignment horizontal="center" wrapText="1"/>
    </xf>
    <xf numFmtId="2" fontId="14" fillId="0" borderId="7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8" fillId="0" borderId="14" applyAlignment="1" pivotButton="0" quotePrefix="0" xfId="0">
      <alignment horizontal="center" wrapText="1"/>
    </xf>
    <xf numFmtId="0" fontId="13" fillId="0" borderId="7" applyAlignment="1" pivotButton="0" quotePrefix="0" xfId="0">
      <alignment horizontal="center" wrapText="1"/>
    </xf>
    <xf numFmtId="0" fontId="8" fillId="2" borderId="14" applyAlignment="1" pivotButton="0" quotePrefix="0" xfId="0">
      <alignment wrapText="1"/>
    </xf>
    <xf numFmtId="165" fontId="12" fillId="3" borderId="14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20" fontId="8" fillId="3" borderId="14" applyAlignment="1" pivotButton="0" quotePrefix="0" xfId="0">
      <alignment horizontal="center" wrapText="1"/>
    </xf>
    <xf numFmtId="0" fontId="13" fillId="0" borderId="14" applyAlignment="1" pivotButton="0" quotePrefix="0" xfId="0">
      <alignment horizontal="center" wrapText="1"/>
    </xf>
    <xf numFmtId="0" fontId="14" fillId="0" borderId="14" applyAlignment="1" pivotButton="0" quotePrefix="0" xfId="0">
      <alignment horizontal="center" wrapText="1"/>
    </xf>
    <xf numFmtId="0" fontId="8" fillId="4" borderId="14" applyAlignment="1" pivotButton="0" quotePrefix="0" xfId="0">
      <alignment horizontal="center" wrapText="1"/>
    </xf>
    <xf numFmtId="1" fontId="14" fillId="0" borderId="14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8" fillId="0" borderId="4" applyAlignment="1" pivotButton="0" quotePrefix="0" xfId="0">
      <alignment horizontal="center" wrapText="1"/>
    </xf>
    <xf numFmtId="0" fontId="8" fillId="0" borderId="5" applyAlignment="1" pivotButton="0" quotePrefix="0" xfId="0">
      <alignment horizontal="center" wrapText="1"/>
    </xf>
    <xf numFmtId="0" fontId="11" fillId="0" borderId="7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19" fillId="6" borderId="2" applyAlignment="1" pivotButton="0" quotePrefix="0" xfId="0">
      <alignment vertical="center" wrapText="1"/>
    </xf>
    <xf numFmtId="1" fontId="0" fillId="0" borderId="0" pivotButton="0" quotePrefix="0" xfId="0"/>
    <xf numFmtId="0" fontId="10" fillId="8" borderId="4" pivotButton="0" quotePrefix="0" xfId="0"/>
    <xf numFmtId="1" fontId="18" fillId="9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wrapText="1"/>
    </xf>
    <xf numFmtId="0" fontId="13" fillId="0" borderId="4" applyAlignment="1" pivotButton="0" quotePrefix="0" xfId="0">
      <alignment horizontal="center" wrapText="1"/>
    </xf>
    <xf numFmtId="0" fontId="13" fillId="2" borderId="14" applyAlignment="1" pivotButton="0" quotePrefix="0" xfId="0">
      <alignment wrapText="1"/>
    </xf>
    <xf numFmtId="0" fontId="23" fillId="0" borderId="0" pivotButton="0" quotePrefix="0" xfId="0"/>
    <xf numFmtId="165" fontId="17" fillId="3" borderId="14" applyAlignment="1" pivotButton="0" quotePrefix="0" xfId="0">
      <alignment horizontal="center" wrapText="1"/>
    </xf>
    <xf numFmtId="0" fontId="13" fillId="3" borderId="14" applyAlignment="1" pivotButton="0" quotePrefix="0" xfId="0">
      <alignment horizontal="center" wrapText="1"/>
    </xf>
    <xf numFmtId="20" fontId="13" fillId="3" borderId="14" applyAlignment="1" pivotButton="0" quotePrefix="0" xfId="0">
      <alignment horizontal="center" wrapText="1"/>
    </xf>
    <xf numFmtId="0" fontId="21" fillId="0" borderId="14" applyAlignment="1" pivotButton="0" quotePrefix="0" xfId="0">
      <alignment horizontal="center" wrapText="1"/>
    </xf>
    <xf numFmtId="0" fontId="13" fillId="4" borderId="1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1" fontId="21" fillId="0" borderId="14" applyAlignment="1" pivotButton="0" quotePrefix="0" xfId="0">
      <alignment horizontal="center" wrapText="1"/>
    </xf>
    <xf numFmtId="1" fontId="23" fillId="0" borderId="0" pivotButton="0" quotePrefix="0" xfId="0"/>
    <xf numFmtId="0" fontId="21" fillId="0" borderId="7" applyAlignment="1" pivotButton="0" quotePrefix="0" xfId="0">
      <alignment horizontal="center" wrapText="1"/>
    </xf>
    <xf numFmtId="0" fontId="21" fillId="0" borderId="1" applyAlignment="1" pivotButton="0" quotePrefix="0" xfId="0">
      <alignment horizontal="center" wrapText="1"/>
    </xf>
    <xf numFmtId="0" fontId="13" fillId="0" borderId="5" applyAlignment="1" pivotButton="0" quotePrefix="0" xfId="0">
      <alignment horizontal="center" wrapText="1"/>
    </xf>
    <xf numFmtId="1" fontId="21" fillId="0" borderId="7" applyAlignment="1" pivotButton="0" quotePrefix="0" xfId="0">
      <alignment horizontal="center" wrapText="1"/>
    </xf>
    <xf numFmtId="2" fontId="21" fillId="0" borderId="7" applyAlignment="1" pivotButton="0" quotePrefix="0" xfId="0">
      <alignment horizontal="center" wrapText="1"/>
    </xf>
    <xf numFmtId="2" fontId="13" fillId="0" borderId="1" applyAlignment="1" pivotButton="0" quotePrefix="0" xfId="0">
      <alignment horizontal="center" vertical="center" wrapText="1"/>
    </xf>
    <xf numFmtId="2" fontId="13" fillId="0" borderId="1" applyAlignment="1" pivotButton="0" quotePrefix="0" xfId="0">
      <alignment horizontal="center" wrapText="1"/>
    </xf>
    <xf numFmtId="2" fontId="13" fillId="0" borderId="7" applyAlignment="1" pivotButton="0" quotePrefix="0" xfId="0">
      <alignment horizontal="center" wrapText="1"/>
    </xf>
    <xf numFmtId="2" fontId="13" fillId="0" borderId="2" applyAlignment="1" pivotButton="0" quotePrefix="0" xfId="0">
      <alignment horizontal="center" vertical="center" wrapText="1"/>
    </xf>
    <xf numFmtId="2" fontId="13" fillId="0" borderId="4" applyAlignment="1" pivotButton="0" quotePrefix="0" xfId="0">
      <alignment horizontal="center" vertical="center" wrapText="1"/>
    </xf>
    <xf numFmtId="0" fontId="23" fillId="0" borderId="0" applyAlignment="1" pivotButton="0" quotePrefix="0" xfId="0">
      <alignment wrapText="1"/>
    </xf>
    <xf numFmtId="2" fontId="13" fillId="0" borderId="0" pivotButton="0" quotePrefix="0" xfId="0"/>
    <xf numFmtId="0" fontId="17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  <xf numFmtId="0" fontId="17" fillId="0" borderId="1" applyAlignment="1" pivotButton="0" quotePrefix="0" xfId="0">
      <alignment wrapText="1"/>
    </xf>
    <xf numFmtId="0" fontId="17" fillId="5" borderId="1" applyAlignment="1" pivotButton="0" quotePrefix="0" xfId="0">
      <alignment wrapText="1"/>
    </xf>
    <xf numFmtId="165" fontId="17" fillId="3" borderId="1" applyAlignment="1" pivotButton="0" quotePrefix="0" xfId="0">
      <alignment horizontal="center" wrapText="1"/>
    </xf>
    <xf numFmtId="15" fontId="17" fillId="3" borderId="1" applyAlignment="1" pivotButton="0" quotePrefix="0" xfId="0">
      <alignment horizontal="center" wrapText="1"/>
    </xf>
    <xf numFmtId="0" fontId="17" fillId="3" borderId="1" applyAlignment="1" pivotButton="0" quotePrefix="0" xfId="0">
      <alignment horizontal="center" wrapText="1"/>
    </xf>
    <xf numFmtId="20" fontId="17" fillId="3" borderId="1" applyAlignment="1" pivotButton="0" quotePrefix="0" xfId="0">
      <alignment horizontal="center" wrapText="1"/>
    </xf>
    <xf numFmtId="0" fontId="17" fillId="6" borderId="1" applyAlignment="1" pivotButton="0" quotePrefix="0" xfId="0">
      <alignment wrapText="1"/>
    </xf>
    <xf numFmtId="0" fontId="22" fillId="8" borderId="4" pivotButton="0" quotePrefix="0" xfId="0"/>
    <xf numFmtId="0" fontId="17" fillId="0" borderId="1" applyAlignment="1" pivotButton="0" quotePrefix="0" xfId="0">
      <alignment horizontal="center" wrapText="1"/>
    </xf>
    <xf numFmtId="1" fontId="17" fillId="0" borderId="1" applyAlignment="1" pivotButton="0" quotePrefix="0" xfId="0">
      <alignment horizontal="center" wrapText="1"/>
    </xf>
    <xf numFmtId="0" fontId="17" fillId="3" borderId="1" applyAlignment="1" pivotButton="0" quotePrefix="0" xfId="0">
      <alignment wrapText="1"/>
    </xf>
    <xf numFmtId="0" fontId="21" fillId="0" borderId="4" applyAlignment="1" pivotButton="0" quotePrefix="0" xfId="0">
      <alignment horizontal="center" wrapText="1"/>
    </xf>
    <xf numFmtId="1" fontId="18" fillId="0" borderId="2" applyAlignment="1" pivotButton="0" quotePrefix="0" xfId="0">
      <alignment horizontal="center" vertical="center" wrapText="1"/>
    </xf>
    <xf numFmtId="2" fontId="21" fillId="0" borderId="0" pivotButton="0" quotePrefix="0" xfId="0"/>
    <xf numFmtId="0" fontId="19" fillId="0" borderId="0" applyAlignment="1" pivotButton="0" quotePrefix="0" xfId="0">
      <alignment horizontal="center" wrapText="1"/>
    </xf>
    <xf numFmtId="0" fontId="25" fillId="8" borderId="4" pivotButton="0" quotePrefix="0" xfId="0"/>
    <xf numFmtId="0" fontId="19" fillId="5" borderId="1" applyAlignment="1" pivotButton="0" quotePrefix="0" xfId="0">
      <alignment wrapText="1"/>
    </xf>
    <xf numFmtId="0" fontId="24" fillId="0" borderId="0" pivotButton="0" quotePrefix="0" xfId="0"/>
    <xf numFmtId="1" fontId="18" fillId="7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wrapText="1"/>
    </xf>
    <xf numFmtId="0" fontId="23" fillId="12" borderId="14" applyAlignment="1" pivotButton="0" quotePrefix="0" xfId="0">
      <alignment horizontal="center"/>
    </xf>
    <xf numFmtId="1" fontId="23" fillId="12" borderId="14" applyAlignment="1" pivotButton="0" quotePrefix="0" xfId="0">
      <alignment horizontal="center"/>
    </xf>
    <xf numFmtId="0" fontId="24" fillId="12" borderId="14" applyAlignment="1" pivotButton="0" quotePrefix="0" xfId="0">
      <alignment horizontal="center" vertical="center"/>
    </xf>
    <xf numFmtId="1" fontId="24" fillId="12" borderId="14" applyAlignment="1" pivotButton="0" quotePrefix="0" xfId="0">
      <alignment horizontal="center" vertical="center"/>
    </xf>
    <xf numFmtId="0" fontId="24" fillId="12" borderId="14" applyAlignment="1" pivotButton="0" quotePrefix="0" xfId="0">
      <alignment horizontal="center"/>
    </xf>
    <xf numFmtId="1" fontId="24" fillId="12" borderId="14" applyAlignment="1" pivotButton="0" quotePrefix="0" xfId="0">
      <alignment horizontal="center"/>
    </xf>
    <xf numFmtId="1" fontId="12" fillId="0" borderId="2" applyAlignment="1" pivotButton="0" quotePrefix="0" xfId="0">
      <alignment horizontal="center" wrapText="1"/>
    </xf>
    <xf numFmtId="0" fontId="12" fillId="5" borderId="2" applyAlignment="1" pivotButton="0" quotePrefix="0" xfId="0">
      <alignment wrapText="1"/>
    </xf>
    <xf numFmtId="1" fontId="7" fillId="12" borderId="14" applyAlignment="1" pivotButton="0" quotePrefix="0" xfId="0">
      <alignment horizontal="center" vertical="center"/>
    </xf>
    <xf numFmtId="1" fontId="0" fillId="12" borderId="14" applyAlignment="1" pivotButton="0" quotePrefix="0" xfId="0">
      <alignment horizontal="center" vertical="center"/>
    </xf>
    <xf numFmtId="0" fontId="7" fillId="12" borderId="14" applyAlignment="1" pivotButton="0" quotePrefix="0" xfId="0">
      <alignment horizontal="center" vertical="center"/>
    </xf>
    <xf numFmtId="0" fontId="0" fillId="12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wrapText="1"/>
    </xf>
    <xf numFmtId="0" fontId="14" fillId="0" borderId="12" applyAlignment="1" pivotButton="0" quotePrefix="0" xfId="0">
      <alignment horizontal="center" wrapText="1"/>
    </xf>
    <xf numFmtId="0" fontId="6" fillId="0" borderId="14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0" pivotButton="0" quotePrefix="0" xfId="0"/>
    <xf numFmtId="2" fontId="14" fillId="0" borderId="0" pivotButton="0" quotePrefix="0" xfId="0"/>
    <xf numFmtId="1" fontId="6" fillId="0" borderId="0" pivotButton="0" quotePrefix="0" xfId="0"/>
    <xf numFmtId="0" fontId="1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wrapText="1"/>
    </xf>
    <xf numFmtId="0" fontId="28" fillId="0" borderId="14" applyAlignment="1" pivotButton="0" quotePrefix="0" xfId="0">
      <alignment horizontal="center"/>
    </xf>
    <xf numFmtId="0" fontId="29" fillId="0" borderId="7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0" fontId="30" fillId="0" borderId="0" pivotButton="0" quotePrefix="0" xfId="0"/>
    <xf numFmtId="0" fontId="31" fillId="0" borderId="0" applyAlignment="1" pivotButton="0" quotePrefix="0" xfId="0">
      <alignment horizontal="center"/>
    </xf>
    <xf numFmtId="0" fontId="32" fillId="6" borderId="2" applyAlignment="1" pivotButton="0" quotePrefix="0" xfId="0">
      <alignment vertical="center"/>
    </xf>
    <xf numFmtId="0" fontId="32" fillId="5" borderId="1" applyAlignment="1" pivotButton="0" quotePrefix="0" xfId="0">
      <alignment horizontal="center"/>
    </xf>
    <xf numFmtId="1" fontId="18" fillId="0" borderId="5" applyAlignment="1" pivotButton="0" quotePrefix="0" xfId="0">
      <alignment horizontal="center" vertical="center" wrapText="1"/>
    </xf>
    <xf numFmtId="1" fontId="18" fillId="0" borderId="7" applyAlignment="1" pivotButton="0" quotePrefix="0" xfId="0">
      <alignment horizontal="center" vertical="center" wrapText="1"/>
    </xf>
    <xf numFmtId="1" fontId="18" fillId="0" borderId="14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wrapText="1"/>
    </xf>
    <xf numFmtId="1" fontId="20" fillId="0" borderId="6" applyAlignment="1" pivotButton="0" quotePrefix="0" xfId="0">
      <alignment horizontal="center" wrapText="1"/>
    </xf>
    <xf numFmtId="0" fontId="13" fillId="0" borderId="8" applyAlignment="1" pivotButton="0" quotePrefix="0" xfId="0">
      <alignment horizontal="center" wrapText="1"/>
    </xf>
    <xf numFmtId="0" fontId="14" fillId="0" borderId="4" applyAlignment="1" pivotButton="0" quotePrefix="0" xfId="0">
      <alignment horizontal="center" wrapText="1"/>
    </xf>
    <xf numFmtId="0" fontId="14" fillId="0" borderId="9" applyAlignment="1" pivotButton="0" quotePrefix="0" xfId="0">
      <alignment horizontal="center" wrapText="1"/>
    </xf>
    <xf numFmtId="0" fontId="14" fillId="0" borderId="13" applyAlignment="1" pivotButton="0" quotePrefix="0" xfId="0">
      <alignment horizontal="center" wrapText="1"/>
    </xf>
    <xf numFmtId="0" fontId="11" fillId="0" borderId="14" applyAlignment="1" pivotButton="0" quotePrefix="0" xfId="0">
      <alignment horizontal="center" wrapText="1"/>
    </xf>
    <xf numFmtId="0" fontId="19" fillId="6" borderId="4" applyAlignment="1" pivotButton="0" quotePrefix="0" xfId="0">
      <alignment vertical="center" wrapText="1"/>
    </xf>
    <xf numFmtId="49" fontId="34" fillId="2" borderId="17" applyAlignment="1" pivotButton="0" quotePrefix="0" xfId="0">
      <alignment horizontal="center" wrapText="1"/>
    </xf>
    <xf numFmtId="1" fontId="14" fillId="0" borderId="1" applyAlignment="1" pivotButton="0" quotePrefix="0" xfId="0">
      <alignment horizontal="center" vertical="center" wrapText="1"/>
    </xf>
    <xf numFmtId="1" fontId="8" fillId="0" borderId="7" applyAlignment="1" pivotButton="0" quotePrefix="0" xfId="0">
      <alignment horizontal="center" vertical="center" wrapText="1"/>
    </xf>
    <xf numFmtId="165" fontId="17" fillId="3" borderId="5" applyAlignment="1" pivotButton="0" quotePrefix="0" xfId="0">
      <alignment horizontal="center" wrapText="1"/>
    </xf>
    <xf numFmtId="15" fontId="17" fillId="3" borderId="6" applyAlignment="1" pivotButton="0" quotePrefix="0" xfId="0">
      <alignment horizontal="center" wrapText="1"/>
    </xf>
    <xf numFmtId="165" fontId="17" fillId="3" borderId="6" applyAlignment="1" pivotButton="0" quotePrefix="0" xfId="0">
      <alignment horizontal="center" wrapText="1"/>
    </xf>
    <xf numFmtId="20" fontId="17" fillId="3" borderId="7" applyAlignment="1" pivotButton="0" quotePrefix="0" xfId="0">
      <alignment horizontal="center" wrapText="1"/>
    </xf>
    <xf numFmtId="1" fontId="17" fillId="0" borderId="5" applyAlignment="1" pivotButton="0" quotePrefix="0" xfId="0">
      <alignment horizontal="center" vertical="center" wrapText="1"/>
    </xf>
    <xf numFmtId="1" fontId="17" fillId="0" borderId="0" applyAlignment="1" pivotButton="0" quotePrefix="0" xfId="0">
      <alignment horizontal="center" vertical="center" wrapText="1"/>
    </xf>
    <xf numFmtId="1" fontId="17" fillId="0" borderId="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wrapText="1"/>
    </xf>
    <xf numFmtId="0" fontId="8" fillId="14" borderId="7" applyAlignment="1" pivotButton="0" quotePrefix="0" xfId="0">
      <alignment horizontal="center" wrapText="1"/>
    </xf>
    <xf numFmtId="0" fontId="13" fillId="5" borderId="1" applyAlignment="1" pivotButton="0" quotePrefix="0" xfId="0">
      <alignment wrapText="1"/>
    </xf>
    <xf numFmtId="1" fontId="38" fillId="0" borderId="1" applyAlignment="1" pivotButton="0" quotePrefix="0" xfId="0">
      <alignment horizontal="center" vertical="center" wrapText="1"/>
    </xf>
    <xf numFmtId="1" fontId="38" fillId="7" borderId="1" applyAlignment="1" pivotButton="0" quotePrefix="0" xfId="0">
      <alignment horizontal="center" vertical="center" wrapText="1"/>
    </xf>
    <xf numFmtId="1" fontId="13" fillId="0" borderId="1" applyAlignment="1" pivotButton="0" quotePrefix="0" xfId="0">
      <alignment horizontal="center" wrapText="1"/>
    </xf>
    <xf numFmtId="0" fontId="21" fillId="3" borderId="1" applyAlignment="1" pivotButton="0" quotePrefix="0" xfId="0">
      <alignment horizontal="center" wrapText="1"/>
    </xf>
    <xf numFmtId="0" fontId="13" fillId="3" borderId="1" applyAlignment="1" pivotButton="0" quotePrefix="0" xfId="0">
      <alignment wrapText="1"/>
    </xf>
    <xf numFmtId="0" fontId="5" fillId="0" borderId="14" applyAlignment="1" pivotButton="0" quotePrefix="0" xfId="0">
      <alignment horizontal="center"/>
    </xf>
    <xf numFmtId="0" fontId="5" fillId="0" borderId="14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0" pivotButton="0" quotePrefix="0" xfId="0"/>
    <xf numFmtId="1" fontId="5" fillId="0" borderId="0" pivotButton="0" quotePrefix="0" xfId="0"/>
    <xf numFmtId="0" fontId="16" fillId="11" borderId="14" applyAlignment="1" pivotButton="0" quotePrefix="0" xfId="0">
      <alignment horizontal="center" vertical="center" wrapText="1"/>
    </xf>
    <xf numFmtId="166" fontId="36" fillId="13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3" fontId="0" fillId="0" borderId="14" applyAlignment="1" pivotButton="0" quotePrefix="0" xfId="0">
      <alignment horizontal="center"/>
    </xf>
    <xf numFmtId="3" fontId="0" fillId="0" borderId="14" applyAlignment="1" pivotButton="0" quotePrefix="0" xfId="0">
      <alignment horizontal="center" vertical="center"/>
    </xf>
    <xf numFmtId="0" fontId="36" fillId="13" borderId="18" applyAlignment="1" pivotButton="0" quotePrefix="0" xfId="0">
      <alignment horizontal="center"/>
    </xf>
    <xf numFmtId="0" fontId="35" fillId="0" borderId="18" applyAlignment="1" pivotButton="0" quotePrefix="0" xfId="0">
      <alignment horizontal="center"/>
    </xf>
    <xf numFmtId="0" fontId="36" fillId="13" borderId="14" applyAlignment="1" pivotButton="0" quotePrefix="0" xfId="0">
      <alignment horizontal="center"/>
    </xf>
    <xf numFmtId="0" fontId="26" fillId="11" borderId="14" applyAlignment="1" pivotButton="0" quotePrefix="0" xfId="0">
      <alignment horizontal="center" vertical="center" wrapText="1"/>
    </xf>
    <xf numFmtId="0" fontId="35" fillId="0" borderId="14" applyAlignment="1" pivotButton="0" quotePrefix="0" xfId="0">
      <alignment horizontal="center"/>
    </xf>
    <xf numFmtId="0" fontId="12" fillId="10" borderId="14" applyAlignment="1" pivotButton="0" quotePrefix="0" xfId="0">
      <alignment horizontal="center" vertical="center" wrapText="1"/>
    </xf>
    <xf numFmtId="1" fontId="0" fillId="0" borderId="14" applyAlignment="1" pivotButton="0" quotePrefix="0" xfId="0">
      <alignment horizontal="center" vertical="center"/>
    </xf>
    <xf numFmtId="165" fontId="8" fillId="3" borderId="14" applyAlignment="1" pivotButton="0" quotePrefix="0" xfId="0">
      <alignment horizontal="center" wrapText="1"/>
    </xf>
    <xf numFmtId="0" fontId="4" fillId="0" borderId="14" applyAlignment="1" pivotButton="0" quotePrefix="0" xfId="0">
      <alignment horizontal="center"/>
    </xf>
    <xf numFmtId="0" fontId="4" fillId="0" borderId="14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/>
    </xf>
    <xf numFmtId="20" fontId="8" fillId="3" borderId="2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8" fillId="14" borderId="13" applyAlignment="1" pivotButton="0" quotePrefix="0" xfId="0">
      <alignment horizontal="center" wrapText="1"/>
    </xf>
    <xf numFmtId="1" fontId="8" fillId="14" borderId="1" applyAlignment="1" pivotButton="0" quotePrefix="0" xfId="0">
      <alignment horizontal="center" vertical="center" wrapText="1"/>
    </xf>
    <xf numFmtId="1" fontId="24" fillId="14" borderId="14" applyAlignment="1" pivotButton="0" quotePrefix="0" xfId="0">
      <alignment horizontal="center" vertical="center"/>
    </xf>
    <xf numFmtId="1" fontId="24" fillId="14" borderId="14" applyAlignment="1" pivotButton="0" quotePrefix="0" xfId="0">
      <alignment horizontal="center"/>
    </xf>
    <xf numFmtId="0" fontId="8" fillId="0" borderId="8" applyAlignment="1" pivotButton="0" quotePrefix="0" xfId="0">
      <alignment horizontal="center" wrapText="1"/>
    </xf>
    <xf numFmtId="0" fontId="8" fillId="0" borderId="19" applyAlignment="1" pivotButton="0" quotePrefix="0" xfId="0">
      <alignment horizontal="center" wrapText="1"/>
    </xf>
    <xf numFmtId="1" fontId="8" fillId="0" borderId="2" applyAlignment="1" pivotButton="0" quotePrefix="0" xfId="0">
      <alignment horizontal="center" vertical="center" wrapText="1"/>
    </xf>
    <xf numFmtId="1" fontId="8" fillId="0" borderId="14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wrapText="1"/>
    </xf>
    <xf numFmtId="0" fontId="14" fillId="0" borderId="2" applyAlignment="1" pivotButton="0" quotePrefix="0" xfId="0">
      <alignment horizontal="center" wrapText="1"/>
    </xf>
    <xf numFmtId="0" fontId="14" fillId="0" borderId="8" applyAlignment="1" pivotButton="0" quotePrefix="0" xfId="0">
      <alignment horizontal="center" wrapText="1"/>
    </xf>
    <xf numFmtId="1" fontId="14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/>
    </xf>
    <xf numFmtId="0" fontId="29" fillId="0" borderId="12" applyAlignment="1" pivotButton="0" quotePrefix="0" xfId="0">
      <alignment horizontal="center"/>
    </xf>
    <xf numFmtId="0" fontId="8" fillId="0" borderId="9" applyAlignment="1" pivotButton="0" quotePrefix="0" xfId="0">
      <alignment horizontal="center" wrapText="1"/>
    </xf>
    <xf numFmtId="0" fontId="3" fillId="0" borderId="21" applyAlignment="1" pivotButton="0" quotePrefix="0" xfId="0">
      <alignment horizontal="center"/>
    </xf>
    <xf numFmtId="1" fontId="39" fillId="7" borderId="1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8" fillId="2" borderId="14" applyAlignment="1" pivotButton="0" quotePrefix="0" xfId="0">
      <alignment wrapText="1"/>
    </xf>
    <xf numFmtId="165" fontId="31" fillId="3" borderId="14" applyAlignment="1" pivotButton="0" quotePrefix="0" xfId="0">
      <alignment horizontal="center" wrapText="1"/>
    </xf>
    <xf numFmtId="15" fontId="31" fillId="3" borderId="1" applyAlignment="1" pivotButton="0" quotePrefix="0" xfId="0">
      <alignment horizontal="center" wrapText="1"/>
    </xf>
    <xf numFmtId="0" fontId="28" fillId="3" borderId="14" applyAlignment="1" pivotButton="0" quotePrefix="0" xfId="0">
      <alignment horizontal="center" wrapText="1"/>
    </xf>
    <xf numFmtId="20" fontId="28" fillId="3" borderId="14" applyAlignment="1" pivotButton="0" quotePrefix="0" xfId="0">
      <alignment horizontal="center" wrapText="1"/>
    </xf>
    <xf numFmtId="20" fontId="28" fillId="3" borderId="20" applyAlignment="1" pivotButton="0" quotePrefix="0" xfId="0">
      <alignment horizontal="center" wrapText="1"/>
    </xf>
    <xf numFmtId="0" fontId="28" fillId="0" borderId="14" applyAlignment="1" pivotButton="0" quotePrefix="0" xfId="0">
      <alignment horizontal="center" wrapText="1"/>
    </xf>
    <xf numFmtId="0" fontId="28" fillId="0" borderId="1" applyAlignment="1" pivotButton="0" quotePrefix="0" xfId="0">
      <alignment horizontal="center" wrapText="1"/>
    </xf>
    <xf numFmtId="0" fontId="29" fillId="0" borderId="16" applyAlignment="1" pivotButton="0" quotePrefix="0" xfId="0">
      <alignment horizontal="center" wrapText="1"/>
    </xf>
    <xf numFmtId="0" fontId="28" fillId="0" borderId="2" applyAlignment="1" pivotButton="0" quotePrefix="0" xfId="0">
      <alignment horizontal="center" wrapText="1"/>
    </xf>
    <xf numFmtId="0" fontId="30" fillId="0" borderId="1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wrapText="1"/>
    </xf>
    <xf numFmtId="0" fontId="28" fillId="0" borderId="15" applyAlignment="1" pivotButton="0" quotePrefix="0" xfId="0">
      <alignment horizontal="center" wrapText="1"/>
    </xf>
    <xf numFmtId="0" fontId="28" fillId="0" borderId="16" applyAlignment="1" pivotButton="0" quotePrefix="0" xfId="0">
      <alignment horizontal="center" wrapText="1"/>
    </xf>
    <xf numFmtId="1" fontId="29" fillId="0" borderId="14" applyAlignment="1" pivotButton="0" quotePrefix="0" xfId="0">
      <alignment horizontal="center" wrapText="1"/>
    </xf>
    <xf numFmtId="0" fontId="28" fillId="0" borderId="7" applyAlignment="1" pivotButton="0" quotePrefix="0" xfId="0">
      <alignment horizontal="center" wrapText="1"/>
    </xf>
    <xf numFmtId="0" fontId="29" fillId="0" borderId="12" applyAlignment="1" pivotButton="0" quotePrefix="0" xfId="0">
      <alignment horizontal="center" wrapText="1"/>
    </xf>
    <xf numFmtId="0" fontId="28" fillId="0" borderId="12" applyAlignment="1" pivotButton="0" quotePrefix="0" xfId="0">
      <alignment horizontal="center" wrapText="1"/>
    </xf>
    <xf numFmtId="0" fontId="29" fillId="0" borderId="2" applyAlignment="1" pivotButton="0" quotePrefix="0" xfId="0">
      <alignment horizontal="center" wrapText="1"/>
    </xf>
    <xf numFmtId="0" fontId="29" fillId="0" borderId="8" applyAlignment="1" pivotButton="0" quotePrefix="0" xfId="0">
      <alignment horizontal="center" wrapText="1"/>
    </xf>
    <xf numFmtId="0" fontId="28" fillId="0" borderId="8" applyAlignment="1" pivotButton="0" quotePrefix="0" xfId="0">
      <alignment horizontal="center" wrapText="1"/>
    </xf>
    <xf numFmtId="0" fontId="29" fillId="0" borderId="14" applyAlignment="1" pivotButton="0" quotePrefix="0" xfId="0">
      <alignment horizontal="center" wrapText="1"/>
    </xf>
    <xf numFmtId="0" fontId="28" fillId="0" borderId="6" applyAlignment="1" pivotButton="0" quotePrefix="0" xfId="0">
      <alignment horizontal="center" wrapText="1"/>
    </xf>
    <xf numFmtId="0" fontId="28" fillId="0" borderId="10" applyAlignment="1" pivotButton="0" quotePrefix="0" xfId="0">
      <alignment horizontal="center" wrapText="1"/>
    </xf>
    <xf numFmtId="0" fontId="28" fillId="0" borderId="9" applyAlignment="1" pivotButton="0" quotePrefix="0" xfId="0">
      <alignment horizontal="center" wrapText="1"/>
    </xf>
    <xf numFmtId="0" fontId="28" fillId="0" borderId="5" applyAlignment="1" pivotButton="0" quotePrefix="0" xfId="0">
      <alignment horizontal="center" wrapText="1"/>
    </xf>
    <xf numFmtId="0" fontId="30" fillId="0" borderId="21" applyAlignment="1" pivotButton="0" quotePrefix="0" xfId="0">
      <alignment horizontal="center"/>
    </xf>
    <xf numFmtId="0" fontId="28" fillId="0" borderId="14" applyAlignment="1" pivotButton="0" quotePrefix="0" xfId="0">
      <alignment horizontal="center" vertical="center" wrapText="1"/>
    </xf>
    <xf numFmtId="0" fontId="30" fillId="0" borderId="16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wrapText="1"/>
    </xf>
    <xf numFmtId="0" fontId="28" fillId="0" borderId="19" applyAlignment="1" pivotButton="0" quotePrefix="0" xfId="0">
      <alignment horizontal="center" wrapText="1"/>
    </xf>
    <xf numFmtId="0" fontId="28" fillId="4" borderId="1" applyAlignment="1" pivotButton="0" quotePrefix="0" xfId="0">
      <alignment horizontal="center" wrapText="1"/>
    </xf>
    <xf numFmtId="0" fontId="28" fillId="14" borderId="13" applyAlignment="1" pivotButton="0" quotePrefix="0" xfId="0">
      <alignment horizontal="center" wrapText="1"/>
    </xf>
    <xf numFmtId="1" fontId="29" fillId="0" borderId="2" applyAlignment="1" pivotButton="0" quotePrefix="0" xfId="0">
      <alignment horizontal="center" vertical="center" wrapText="1"/>
    </xf>
    <xf numFmtId="1" fontId="28" fillId="0" borderId="7" applyAlignment="1" pivotButton="0" quotePrefix="0" xfId="0">
      <alignment horizontal="center" wrapText="1"/>
    </xf>
    <xf numFmtId="1" fontId="28" fillId="0" borderId="1" applyAlignment="1" pivotButton="0" quotePrefix="0" xfId="0">
      <alignment horizontal="center" vertical="center" wrapText="1"/>
    </xf>
    <xf numFmtId="1" fontId="28" fillId="0" borderId="2" applyAlignment="1" pivotButton="0" quotePrefix="0" xfId="0">
      <alignment horizontal="center" vertical="center" wrapText="1"/>
    </xf>
    <xf numFmtId="1" fontId="28" fillId="14" borderId="1" applyAlignment="1" pivotButton="0" quotePrefix="0" xfId="0">
      <alignment horizontal="center" vertical="center" wrapText="1"/>
    </xf>
    <xf numFmtId="2" fontId="28" fillId="0" borderId="0" pivotButton="0" quotePrefix="0" xfId="0"/>
    <xf numFmtId="0" fontId="28" fillId="0" borderId="0" applyAlignment="1" pivotButton="0" quotePrefix="0" xfId="0">
      <alignment horizontal="center" wrapText="1"/>
    </xf>
    <xf numFmtId="1" fontId="30" fillId="0" borderId="0" pivotButton="0" quotePrefix="0" xfId="0"/>
    <xf numFmtId="0" fontId="31" fillId="0" borderId="0" applyAlignment="1" pivotButton="0" quotePrefix="0" xfId="0">
      <alignment wrapText="1"/>
    </xf>
    <xf numFmtId="0" fontId="31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center" wrapText="1"/>
    </xf>
    <xf numFmtId="0" fontId="31" fillId="0" borderId="1" applyAlignment="1" pivotButton="0" quotePrefix="0" xfId="0">
      <alignment wrapText="1"/>
    </xf>
    <xf numFmtId="0" fontId="31" fillId="5" borderId="1" applyAlignment="1" pivotButton="0" quotePrefix="0" xfId="0">
      <alignment wrapText="1"/>
    </xf>
    <xf numFmtId="165" fontId="31" fillId="3" borderId="1" applyAlignment="1" pivotButton="0" quotePrefix="0" xfId="0">
      <alignment horizontal="center" wrapText="1"/>
    </xf>
    <xf numFmtId="0" fontId="31" fillId="3" borderId="1" applyAlignment="1" pivotButton="0" quotePrefix="0" xfId="0">
      <alignment horizontal="center" wrapText="1"/>
    </xf>
    <xf numFmtId="20" fontId="31" fillId="3" borderId="1" applyAlignment="1" pivotButton="0" quotePrefix="0" xfId="0">
      <alignment horizontal="center" wrapText="1"/>
    </xf>
    <xf numFmtId="1" fontId="31" fillId="0" borderId="1" applyAlignment="1" pivotButton="0" quotePrefix="0" xfId="0">
      <alignment horizontal="center" vertical="center" wrapText="1"/>
    </xf>
    <xf numFmtId="1" fontId="41" fillId="0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wrapText="1"/>
    </xf>
    <xf numFmtId="1" fontId="32" fillId="6" borderId="1" applyAlignment="1" pivotButton="0" quotePrefix="0" xfId="0">
      <alignment horizontal="center" vertical="center" wrapText="1"/>
    </xf>
    <xf numFmtId="1" fontId="41" fillId="7" borderId="1" applyAlignment="1" pivotButton="0" quotePrefix="0" xfId="0">
      <alignment horizontal="center" vertical="center" wrapText="1"/>
    </xf>
    <xf numFmtId="0" fontId="40" fillId="8" borderId="4" pivotButton="0" quotePrefix="0" xfId="0"/>
    <xf numFmtId="0" fontId="31" fillId="0" borderId="1" applyAlignment="1" pivotButton="0" quotePrefix="0" xfId="0">
      <alignment horizontal="center" wrapText="1"/>
    </xf>
    <xf numFmtId="1" fontId="31" fillId="0" borderId="1" applyAlignment="1" pivotButton="0" quotePrefix="0" xfId="0">
      <alignment horizontal="center" wrapText="1"/>
    </xf>
    <xf numFmtId="0" fontId="32" fillId="5" borderId="1" applyAlignment="1" pivotButton="0" quotePrefix="0" xfId="0">
      <alignment horizontal="center" wrapText="1"/>
    </xf>
    <xf numFmtId="0" fontId="32" fillId="5" borderId="1" applyAlignment="1" pivotButton="0" quotePrefix="0" xfId="0">
      <alignment wrapText="1"/>
    </xf>
    <xf numFmtId="0" fontId="32" fillId="3" borderId="1" applyAlignment="1" pivotButton="0" quotePrefix="0" xfId="0">
      <alignment horizontal="center" wrapText="1"/>
    </xf>
    <xf numFmtId="0" fontId="31" fillId="3" borderId="1" applyAlignment="1" pivotButton="0" quotePrefix="0" xfId="0">
      <alignment wrapText="1"/>
    </xf>
    <xf numFmtId="1" fontId="42" fillId="7" borderId="1" applyAlignment="1" pivotButton="0" quotePrefix="0" xfId="0">
      <alignment horizontal="center" vertical="center" wrapText="1"/>
    </xf>
    <xf numFmtId="49" fontId="43" fillId="2" borderId="0" applyAlignment="1" pivotButton="0" quotePrefix="0" xfId="0">
      <alignment horizontal="center" wrapText="1"/>
    </xf>
    <xf numFmtId="0" fontId="30" fillId="0" borderId="14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 wrapText="1"/>
    </xf>
    <xf numFmtId="0" fontId="30" fillId="0" borderId="14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28" fillId="14" borderId="12" applyAlignment="1" pivotButton="0" quotePrefix="0" xfId="0">
      <alignment horizontal="center" wrapText="1"/>
    </xf>
    <xf numFmtId="0" fontId="44" fillId="0" borderId="0" pivotButton="0" quotePrefix="0" xfId="0"/>
    <xf numFmtId="0" fontId="28" fillId="14" borderId="2" applyAlignment="1" pivotButton="0" quotePrefix="0" xfId="0">
      <alignment horizontal="center" wrapText="1"/>
    </xf>
    <xf numFmtId="0" fontId="28" fillId="14" borderId="8" applyAlignment="1" pivotButton="0" quotePrefix="0" xfId="0">
      <alignment horizontal="center" wrapText="1"/>
    </xf>
    <xf numFmtId="0" fontId="28" fillId="14" borderId="19" applyAlignment="1" pivotButton="0" quotePrefix="0" xfId="0">
      <alignment horizontal="center" wrapText="1"/>
    </xf>
    <xf numFmtId="0" fontId="2" fillId="0" borderId="0" pivotButton="0" quotePrefix="0" xfId="0"/>
    <xf numFmtId="166" fontId="36" fillId="13" borderId="14" applyAlignment="1" pivotButton="0" quotePrefix="0" xfId="0">
      <alignment horizontal="center"/>
    </xf>
    <xf numFmtId="3" fontId="45" fillId="0" borderId="14" applyAlignment="1" pivotButton="0" quotePrefix="0" xfId="0">
      <alignment horizontal="center" vertical="top" wrapText="1"/>
    </xf>
    <xf numFmtId="49" fontId="46" fillId="2" borderId="17" applyAlignment="1" pivotButton="0" quotePrefix="0" xfId="0">
      <alignment wrapText="1"/>
    </xf>
    <xf numFmtId="0" fontId="47" fillId="0" borderId="0" pivotButton="0" quotePrefix="0" xfId="0"/>
    <xf numFmtId="165" fontId="50" fillId="3" borderId="14" applyAlignment="1" pivotButton="0" quotePrefix="0" xfId="0">
      <alignment horizontal="center" wrapText="1"/>
    </xf>
    <xf numFmtId="15" fontId="50" fillId="3" borderId="1" applyAlignment="1" pivotButton="0" quotePrefix="0" xfId="0">
      <alignment horizontal="center" wrapText="1"/>
    </xf>
    <xf numFmtId="0" fontId="48" fillId="3" borderId="14" applyAlignment="1" pivotButton="0" quotePrefix="0" xfId="0">
      <alignment horizontal="center" wrapText="1"/>
    </xf>
    <xf numFmtId="20" fontId="48" fillId="3" borderId="14" applyAlignment="1" pivotButton="0" quotePrefix="0" xfId="0">
      <alignment horizontal="center" wrapText="1"/>
    </xf>
    <xf numFmtId="0" fontId="48" fillId="0" borderId="14" applyAlignment="1" pivotButton="0" quotePrefix="0" xfId="0">
      <alignment horizontal="center" wrapText="1"/>
    </xf>
    <xf numFmtId="0" fontId="48" fillId="0" borderId="1" applyAlignment="1" pivotButton="0" quotePrefix="0" xfId="0">
      <alignment horizontal="center" wrapText="1"/>
    </xf>
    <xf numFmtId="0" fontId="48" fillId="0" borderId="14" applyAlignment="1" pivotButton="0" quotePrefix="0" xfId="0">
      <alignment horizontal="center"/>
    </xf>
    <xf numFmtId="0" fontId="49" fillId="0" borderId="16" applyAlignment="1" pivotButton="0" quotePrefix="0" xfId="0">
      <alignment horizontal="center" wrapText="1"/>
    </xf>
    <xf numFmtId="0" fontId="48" fillId="0" borderId="2" applyAlignment="1" pivotButton="0" quotePrefix="0" xfId="0">
      <alignment horizontal="center" wrapText="1"/>
    </xf>
    <xf numFmtId="0" fontId="47" fillId="0" borderId="14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wrapText="1"/>
    </xf>
    <xf numFmtId="0" fontId="48" fillId="0" borderId="15" applyAlignment="1" pivotButton="0" quotePrefix="0" xfId="0">
      <alignment horizontal="center" wrapText="1"/>
    </xf>
    <xf numFmtId="0" fontId="48" fillId="0" borderId="16" applyAlignment="1" pivotButton="0" quotePrefix="0" xfId="0">
      <alignment horizontal="center" wrapText="1"/>
    </xf>
    <xf numFmtId="1" fontId="49" fillId="0" borderId="14" applyAlignment="1" pivotButton="0" quotePrefix="0" xfId="0">
      <alignment horizontal="center" wrapText="1"/>
    </xf>
    <xf numFmtId="0" fontId="48" fillId="0" borderId="7" applyAlignment="1" pivotButton="0" quotePrefix="0" xfId="0">
      <alignment horizontal="center" wrapText="1"/>
    </xf>
    <xf numFmtId="0" fontId="49" fillId="0" borderId="7" applyAlignment="1" pivotButton="0" quotePrefix="0" xfId="0">
      <alignment horizontal="center"/>
    </xf>
    <xf numFmtId="0" fontId="49" fillId="0" borderId="12" applyAlignment="1" pivotButton="0" quotePrefix="0" xfId="0">
      <alignment horizontal="center" wrapText="1"/>
    </xf>
    <xf numFmtId="0" fontId="48" fillId="0" borderId="12" applyAlignment="1" pivotButton="0" quotePrefix="0" xfId="0">
      <alignment horizontal="center" wrapText="1"/>
    </xf>
    <xf numFmtId="0" fontId="48" fillId="0" borderId="1" applyAlignment="1" pivotButton="0" quotePrefix="0" xfId="0">
      <alignment horizontal="center"/>
    </xf>
    <xf numFmtId="0" fontId="49" fillId="0" borderId="2" applyAlignment="1" pivotButton="0" quotePrefix="0" xfId="0">
      <alignment horizontal="center" wrapText="1"/>
    </xf>
    <xf numFmtId="0" fontId="49" fillId="0" borderId="8" applyAlignment="1" pivotButton="0" quotePrefix="0" xfId="0">
      <alignment horizontal="center" wrapText="1"/>
    </xf>
    <xf numFmtId="0" fontId="48" fillId="0" borderId="2" applyAlignment="1" pivotButton="0" quotePrefix="0" xfId="0">
      <alignment horizontal="center"/>
    </xf>
    <xf numFmtId="0" fontId="49" fillId="0" borderId="14" applyAlignment="1" pivotButton="0" quotePrefix="0" xfId="0">
      <alignment horizontal="center" wrapText="1"/>
    </xf>
    <xf numFmtId="0" fontId="48" fillId="0" borderId="3" applyAlignment="1" pivotButton="0" quotePrefix="0" xfId="0">
      <alignment horizontal="center" wrapText="1"/>
    </xf>
    <xf numFmtId="0" fontId="49" fillId="0" borderId="12" applyAlignment="1" pivotButton="0" quotePrefix="0" xfId="0">
      <alignment horizontal="center"/>
    </xf>
    <xf numFmtId="0" fontId="48" fillId="0" borderId="22" applyAlignment="1" pivotButton="0" quotePrefix="0" xfId="0">
      <alignment horizontal="center" wrapText="1"/>
    </xf>
    <xf numFmtId="0" fontId="48" fillId="0" borderId="8" applyAlignment="1" pivotButton="0" quotePrefix="0" xfId="0">
      <alignment horizontal="center" wrapText="1"/>
    </xf>
    <xf numFmtId="0" fontId="48" fillId="0" borderId="6" applyAlignment="1" pivotButton="0" quotePrefix="0" xfId="0">
      <alignment horizontal="center" wrapText="1"/>
    </xf>
    <xf numFmtId="0" fontId="48" fillId="0" borderId="10" applyAlignment="1" pivotButton="0" quotePrefix="0" xfId="0">
      <alignment horizontal="center" wrapText="1"/>
    </xf>
    <xf numFmtId="0" fontId="48" fillId="0" borderId="9" applyAlignment="1" pivotButton="0" quotePrefix="0" xfId="0">
      <alignment horizontal="center" wrapText="1"/>
    </xf>
    <xf numFmtId="0" fontId="48" fillId="0" borderId="5" applyAlignment="1" pivotButton="0" quotePrefix="0" xfId="0">
      <alignment horizontal="center" wrapText="1"/>
    </xf>
    <xf numFmtId="0" fontId="47" fillId="0" borderId="21" applyAlignment="1" pivotButton="0" quotePrefix="0" xfId="0">
      <alignment horizontal="center"/>
    </xf>
    <xf numFmtId="0" fontId="48" fillId="0" borderId="14" applyAlignment="1" pivotButton="0" quotePrefix="0" xfId="0">
      <alignment horizontal="center" vertical="center" wrapText="1"/>
    </xf>
    <xf numFmtId="0" fontId="47" fillId="0" borderId="16" applyAlignment="1" pivotButton="0" quotePrefix="0" xfId="0">
      <alignment horizontal="center" vertical="center"/>
    </xf>
    <xf numFmtId="0" fontId="48" fillId="0" borderId="13" applyAlignment="1" pivotButton="0" quotePrefix="0" xfId="0">
      <alignment horizontal="center" wrapText="1"/>
    </xf>
    <xf numFmtId="0" fontId="48" fillId="4" borderId="1" applyAlignment="1" pivotButton="0" quotePrefix="0" xfId="0">
      <alignment horizontal="center" wrapText="1"/>
    </xf>
    <xf numFmtId="0" fontId="48" fillId="14" borderId="13" applyAlignment="1" pivotButton="0" quotePrefix="0" xfId="0">
      <alignment horizontal="center" wrapText="1"/>
    </xf>
    <xf numFmtId="0" fontId="49" fillId="0" borderId="1" applyAlignment="1" pivotButton="0" quotePrefix="0" xfId="0">
      <alignment horizontal="center"/>
    </xf>
    <xf numFmtId="1" fontId="49" fillId="0" borderId="2" applyAlignment="1" pivotButton="0" quotePrefix="0" xfId="0">
      <alignment horizontal="center" vertical="center" wrapText="1"/>
    </xf>
    <xf numFmtId="1" fontId="48" fillId="0" borderId="7" applyAlignment="1" pivotButton="0" quotePrefix="0" xfId="0">
      <alignment horizontal="center" wrapText="1"/>
    </xf>
    <xf numFmtId="1" fontId="48" fillId="0" borderId="1" applyAlignment="1" pivotButton="0" quotePrefix="0" xfId="0">
      <alignment horizontal="center" vertical="center" wrapText="1"/>
    </xf>
    <xf numFmtId="1" fontId="48" fillId="0" borderId="2" applyAlignment="1" pivotButton="0" quotePrefix="0" xfId="0">
      <alignment horizontal="center" vertical="center" wrapText="1"/>
    </xf>
    <xf numFmtId="1" fontId="48" fillId="14" borderId="1" applyAlignment="1" pivotButton="0" quotePrefix="0" xfId="0">
      <alignment horizontal="center" vertical="center" wrapText="1"/>
    </xf>
    <xf numFmtId="2" fontId="48" fillId="0" borderId="0" pivotButton="0" quotePrefix="0" xfId="0"/>
    <xf numFmtId="1" fontId="47" fillId="0" borderId="0" pivotButton="0" quotePrefix="0" xfId="0"/>
    <xf numFmtId="0" fontId="50" fillId="0" borderId="0" applyAlignment="1" pivotButton="0" quotePrefix="0" xfId="0">
      <alignment wrapText="1"/>
    </xf>
    <xf numFmtId="0" fontId="50" fillId="0" borderId="0" applyAlignment="1" pivotButton="0" quotePrefix="0" xfId="0">
      <alignment horizontal="center" wrapText="1"/>
    </xf>
    <xf numFmtId="0" fontId="50" fillId="0" borderId="0" applyAlignment="1" pivotButton="0" quotePrefix="0" xfId="0">
      <alignment horizontal="center"/>
    </xf>
    <xf numFmtId="0" fontId="51" fillId="0" borderId="0" applyAlignment="1" pivotButton="0" quotePrefix="0" xfId="0">
      <alignment horizontal="center" wrapText="1"/>
    </xf>
    <xf numFmtId="0" fontId="50" fillId="0" borderId="1" applyAlignment="1" pivotButton="0" quotePrefix="0" xfId="0">
      <alignment wrapText="1"/>
    </xf>
    <xf numFmtId="0" fontId="50" fillId="5" borderId="1" applyAlignment="1" pivotButton="0" quotePrefix="0" xfId="0">
      <alignment wrapText="1"/>
    </xf>
    <xf numFmtId="165" fontId="50" fillId="3" borderId="1" applyAlignment="1" pivotButton="0" quotePrefix="0" xfId="0">
      <alignment horizontal="center" wrapText="1"/>
    </xf>
    <xf numFmtId="0" fontId="50" fillId="3" borderId="1" applyAlignment="1" pivotButton="0" quotePrefix="0" xfId="0">
      <alignment horizontal="center" wrapText="1"/>
    </xf>
    <xf numFmtId="20" fontId="50" fillId="3" borderId="1" applyAlignment="1" pivotButton="0" quotePrefix="0" xfId="0">
      <alignment horizontal="center" wrapText="1"/>
    </xf>
    <xf numFmtId="1" fontId="50" fillId="0" borderId="1" applyAlignment="1" pivotButton="0" quotePrefix="0" xfId="0">
      <alignment horizontal="center" vertical="center" wrapText="1"/>
    </xf>
    <xf numFmtId="1" fontId="52" fillId="0" borderId="1" applyAlignment="1" pivotButton="0" quotePrefix="0" xfId="0">
      <alignment horizontal="center" vertical="center" wrapText="1"/>
    </xf>
    <xf numFmtId="0" fontId="50" fillId="6" borderId="1" applyAlignment="1" pivotButton="0" quotePrefix="0" xfId="0">
      <alignment wrapText="1"/>
    </xf>
    <xf numFmtId="1" fontId="51" fillId="6" borderId="1" applyAlignment="1" pivotButton="0" quotePrefix="0" xfId="0">
      <alignment horizontal="center" vertical="center" wrapText="1"/>
    </xf>
    <xf numFmtId="1" fontId="52" fillId="7" borderId="1" applyAlignment="1" pivotButton="0" quotePrefix="0" xfId="0">
      <alignment horizontal="center" vertical="center" wrapText="1"/>
    </xf>
    <xf numFmtId="0" fontId="51" fillId="6" borderId="2" applyAlignment="1" pivotButton="0" quotePrefix="0" xfId="0">
      <alignment vertical="center"/>
    </xf>
    <xf numFmtId="0" fontId="46" fillId="8" borderId="4" pivotButton="0" quotePrefix="0" xfId="0"/>
    <xf numFmtId="0" fontId="50" fillId="0" borderId="1" applyAlignment="1" pivotButton="0" quotePrefix="0" xfId="0">
      <alignment horizontal="center" wrapText="1"/>
    </xf>
    <xf numFmtId="1" fontId="50" fillId="0" borderId="1" applyAlignment="1" pivotButton="0" quotePrefix="0" xfId="0">
      <alignment horizontal="center" wrapText="1"/>
    </xf>
    <xf numFmtId="0" fontId="51" fillId="5" borderId="1" applyAlignment="1" pivotButton="0" quotePrefix="0" xfId="0">
      <alignment horizontal="center" wrapText="1"/>
    </xf>
    <xf numFmtId="0" fontId="51" fillId="5" borderId="1" applyAlignment="1" pivotButton="0" quotePrefix="0" xfId="0">
      <alignment horizontal="center"/>
    </xf>
    <xf numFmtId="0" fontId="51" fillId="5" borderId="1" applyAlignment="1" pivotButton="0" quotePrefix="0" xfId="0">
      <alignment wrapText="1"/>
    </xf>
    <xf numFmtId="0" fontId="51" fillId="3" borderId="1" applyAlignment="1" pivotButton="0" quotePrefix="0" xfId="0">
      <alignment horizontal="center" wrapText="1"/>
    </xf>
    <xf numFmtId="0" fontId="50" fillId="3" borderId="1" applyAlignment="1" pivotButton="0" quotePrefix="0" xfId="0">
      <alignment wrapText="1"/>
    </xf>
    <xf numFmtId="20" fontId="48" fillId="3" borderId="20" applyAlignment="1" pivotButton="0" quotePrefix="0" xfId="0">
      <alignment horizontal="center" wrapText="1"/>
    </xf>
    <xf numFmtId="0" fontId="47" fillId="0" borderId="14" applyAlignment="1" pivotButton="0" quotePrefix="0" xfId="0">
      <alignment horizontal="center"/>
    </xf>
    <xf numFmtId="0" fontId="47" fillId="0" borderId="0" applyAlignment="1" pivotButton="0" quotePrefix="0" xfId="0">
      <alignment horizontal="center"/>
    </xf>
    <xf numFmtId="0" fontId="48" fillId="0" borderId="1" applyAlignment="1" pivotButton="0" quotePrefix="0" xfId="0">
      <alignment horizontal="center" vertical="center" wrapText="1"/>
    </xf>
    <xf numFmtId="0" fontId="47" fillId="0" borderId="14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49" fontId="53" fillId="2" borderId="21" applyAlignment="1" pivotButton="0" quotePrefix="0" xfId="0">
      <alignment horizontal="center" wrapText="1"/>
    </xf>
    <xf numFmtId="0" fontId="48" fillId="0" borderId="19" applyAlignment="1" pivotButton="0" quotePrefix="0" xfId="0">
      <alignment horizontal="center" wrapText="1"/>
    </xf>
    <xf numFmtId="0" fontId="48" fillId="0" borderId="16" applyAlignment="1" pivotButton="0" quotePrefix="0" xfId="0">
      <alignment horizontal="center"/>
    </xf>
    <xf numFmtId="0" fontId="48" fillId="0" borderId="21" applyAlignment="1" pivotButton="0" quotePrefix="0" xfId="0">
      <alignment horizontal="center" wrapText="1"/>
    </xf>
    <xf numFmtId="1" fontId="48" fillId="0" borderId="7" applyAlignment="1" pivotButton="0" quotePrefix="0" xfId="0">
      <alignment horizontal="center" vertical="center" wrapText="1"/>
    </xf>
    <xf numFmtId="1" fontId="48" fillId="14" borderId="7" applyAlignment="1" pivotButton="0" quotePrefix="0" xfId="0">
      <alignment horizontal="center" vertical="center" wrapText="1"/>
    </xf>
    <xf numFmtId="1" fontId="48" fillId="0" borderId="12" applyAlignment="1" pivotButton="0" quotePrefix="0" xfId="0">
      <alignment horizontal="center" vertical="center" wrapText="1"/>
    </xf>
    <xf numFmtId="1" fontId="48" fillId="0" borderId="14" applyAlignment="1" pivotButton="0" quotePrefix="0" xfId="0">
      <alignment horizontal="center" wrapText="1"/>
    </xf>
    <xf numFmtId="1" fontId="48" fillId="0" borderId="14" applyAlignment="1" pivotButton="0" quotePrefix="0" xfId="0">
      <alignment horizontal="center" vertical="center" wrapText="1"/>
    </xf>
    <xf numFmtId="1" fontId="49" fillId="14" borderId="14" applyAlignment="1" pivotButton="0" quotePrefix="0" xfId="0">
      <alignment horizontal="center" wrapText="1"/>
    </xf>
    <xf numFmtId="0" fontId="48" fillId="15" borderId="16" applyAlignment="1" pivotButton="0" quotePrefix="0" xfId="0">
      <alignment horizontal="center" wrapText="1"/>
    </xf>
    <xf numFmtId="0" fontId="48" fillId="15" borderId="2" applyAlignment="1" pivotButton="0" quotePrefix="0" xfId="0">
      <alignment horizontal="center" wrapText="1"/>
    </xf>
    <xf numFmtId="0" fontId="48" fillId="15" borderId="12" applyAlignment="1" pivotButton="0" quotePrefix="0" xfId="0">
      <alignment horizontal="center" wrapText="1"/>
    </xf>
    <xf numFmtId="0" fontId="48" fillId="15" borderId="10" applyAlignment="1" pivotButton="0" quotePrefix="0" xfId="0">
      <alignment horizontal="center" wrapText="1"/>
    </xf>
    <xf numFmtId="1" fontId="48" fillId="15" borderId="2" applyAlignment="1" pivotButton="0" quotePrefix="0" xfId="0">
      <alignment horizontal="center" vertical="center" wrapText="1"/>
    </xf>
    <xf numFmtId="1" fontId="48" fillId="0" borderId="16" applyAlignment="1" pivotButton="0" quotePrefix="0" xfId="0">
      <alignment horizontal="center" wrapText="1"/>
    </xf>
    <xf numFmtId="1" fontId="48" fillId="0" borderId="16" applyAlignment="1" pivotButton="0" quotePrefix="0" xfId="0">
      <alignment horizontal="center" vertical="center" wrapText="1"/>
    </xf>
    <xf numFmtId="0" fontId="47" fillId="0" borderId="25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wrapText="1"/>
    </xf>
    <xf numFmtId="0" fontId="21" fillId="0" borderId="13" applyAlignment="1" pivotButton="0" quotePrefix="0" xfId="0">
      <alignment horizontal="center" wrapText="1"/>
    </xf>
    <xf numFmtId="0" fontId="24" fillId="0" borderId="25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wrapText="1"/>
    </xf>
    <xf numFmtId="0" fontId="35" fillId="0" borderId="14" applyAlignment="1" pivotButton="0" quotePrefix="0" xfId="0">
      <alignment horizontal="center" vertical="center"/>
    </xf>
    <xf numFmtId="1" fontId="50" fillId="0" borderId="4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wrapText="1"/>
    </xf>
    <xf numFmtId="0" fontId="1" fillId="0" borderId="0" pivotButton="0" quotePrefix="0" xfId="0"/>
    <xf numFmtId="0" fontId="8" fillId="0" borderId="16" applyAlignment="1" pivotButton="0" quotePrefix="0" xfId="0">
      <alignment horizontal="center"/>
    </xf>
    <xf numFmtId="0" fontId="8" fillId="0" borderId="21" applyAlignment="1" pivotButton="0" quotePrefix="0" xfId="0">
      <alignment horizontal="center" wrapText="1"/>
    </xf>
    <xf numFmtId="0" fontId="14" fillId="0" borderId="1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1" fontId="8" fillId="0" borderId="16" applyAlignment="1" pivotButton="0" quotePrefix="0" xfId="0">
      <alignment horizontal="center" wrapText="1"/>
    </xf>
    <xf numFmtId="0" fontId="1" fillId="0" borderId="1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wrapText="1"/>
    </xf>
    <xf numFmtId="0" fontId="1" fillId="0" borderId="21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1" fontId="14" fillId="14" borderId="14" applyAlignment="1" pivotButton="0" quotePrefix="0" xfId="0">
      <alignment horizontal="center" wrapText="1"/>
    </xf>
    <xf numFmtId="0" fontId="14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1" fontId="8" fillId="0" borderId="14" applyAlignment="1" pivotButton="0" quotePrefix="0" xfId="0">
      <alignment horizontal="center" wrapText="1"/>
    </xf>
    <xf numFmtId="0" fontId="35" fillId="0" borderId="25" applyAlignment="1" pivotButton="0" quotePrefix="0" xfId="0">
      <alignment horizontal="center" vertical="center"/>
    </xf>
    <xf numFmtId="1" fontId="8" fillId="14" borderId="7" applyAlignment="1" pivotButton="0" quotePrefix="0" xfId="0">
      <alignment horizontal="center" vertical="center" wrapText="1"/>
    </xf>
    <xf numFmtId="1" fontId="8" fillId="0" borderId="12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 wrapText="1"/>
    </xf>
    <xf numFmtId="1" fontId="55" fillId="0" borderId="1" applyAlignment="1" pivotButton="0" quotePrefix="0" xfId="0">
      <alignment horizontal="center" vertical="center" wrapText="1"/>
    </xf>
    <xf numFmtId="1" fontId="16" fillId="6" borderId="1" applyAlignment="1" pivotButton="0" quotePrefix="0" xfId="0">
      <alignment horizontal="center" vertical="center" wrapText="1"/>
    </xf>
    <xf numFmtId="1" fontId="55" fillId="7" borderId="1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/>
    </xf>
    <xf numFmtId="0" fontId="27" fillId="8" borderId="4" pivotButton="0" quotePrefix="0" xfId="0"/>
    <xf numFmtId="0" fontId="16" fillId="5" borderId="1" applyAlignment="1" pivotButton="0" quotePrefix="0" xfId="0">
      <alignment horizontal="center" wrapText="1"/>
    </xf>
    <xf numFmtId="0" fontId="16" fillId="5" borderId="1" applyAlignment="1" pivotButton="0" quotePrefix="0" xfId="0">
      <alignment horizontal="center"/>
    </xf>
    <xf numFmtId="0" fontId="16" fillId="5" borderId="1" applyAlignment="1" pivotButton="0" quotePrefix="0" xfId="0">
      <alignment wrapText="1"/>
    </xf>
    <xf numFmtId="0" fontId="16" fillId="3" borderId="1" applyAlignment="1" pivotButton="0" quotePrefix="0" xfId="0">
      <alignment horizontal="center" wrapText="1"/>
    </xf>
    <xf numFmtId="0" fontId="1" fillId="0" borderId="14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1" fillId="0" borderId="14" applyAlignment="1" pivotButton="0" quotePrefix="0" xfId="0">
      <alignment vertical="center"/>
    </xf>
    <xf numFmtId="1" fontId="48" fillId="0" borderId="26" applyAlignment="1" pivotButton="0" quotePrefix="0" xfId="0">
      <alignment horizontal="center" vertical="center" wrapText="1"/>
    </xf>
    <xf numFmtId="3" fontId="0" fillId="0" borderId="0" pivotButton="0" quotePrefix="0" xfId="0"/>
    <xf numFmtId="3" fontId="0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48" fillId="0" borderId="17" applyAlignment="1" pivotButton="0" quotePrefix="0" xfId="0">
      <alignment horizontal="center" wrapText="1"/>
    </xf>
    <xf numFmtId="1" fontId="49" fillId="0" borderId="16" applyAlignment="1" pivotButton="0" quotePrefix="0" xfId="0">
      <alignment horizontal="center" wrapText="1"/>
    </xf>
    <xf numFmtId="0" fontId="49" fillId="0" borderId="1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1" fontId="49" fillId="0" borderId="14" applyAlignment="1" pivotButton="0" quotePrefix="0" xfId="0">
      <alignment horizontal="center" vertical="center" wrapText="1"/>
    </xf>
    <xf numFmtId="165" fontId="50" fillId="3" borderId="5" applyAlignment="1" pivotButton="0" quotePrefix="0" xfId="0">
      <alignment horizontal="center" wrapText="1"/>
    </xf>
    <xf numFmtId="15" fontId="50" fillId="3" borderId="6" applyAlignment="1" pivotButton="0" quotePrefix="0" xfId="0">
      <alignment horizontal="center" wrapText="1"/>
    </xf>
    <xf numFmtId="0" fontId="50" fillId="3" borderId="6" applyAlignment="1" pivotButton="0" quotePrefix="0" xfId="0">
      <alignment horizontal="center" wrapText="1"/>
    </xf>
    <xf numFmtId="20" fontId="50" fillId="3" borderId="7" applyAlignment="1" pivotButton="0" quotePrefix="0" xfId="0">
      <alignment horizontal="center" wrapText="1"/>
    </xf>
    <xf numFmtId="0" fontId="64" fillId="19" borderId="0" applyAlignment="1" pivotButton="0" quotePrefix="0" xfId="0">
      <alignment horizontal="center" vertical="center"/>
    </xf>
    <xf numFmtId="0" fontId="56" fillId="20" borderId="29" applyAlignment="1" pivotButton="0" quotePrefix="0" xfId="0">
      <alignment horizontal="center"/>
    </xf>
    <xf numFmtId="0" fontId="56" fillId="21" borderId="29" applyAlignment="1" pivotButton="0" quotePrefix="0" xfId="0">
      <alignment horizontal="center"/>
    </xf>
    <xf numFmtId="0" fontId="57" fillId="22" borderId="29" applyAlignment="1" pivotButton="0" quotePrefix="0" xfId="0">
      <alignment horizontal="center"/>
    </xf>
    <xf numFmtId="0" fontId="65" fillId="20" borderId="29" pivotButton="0" quotePrefix="0" xfId="0"/>
    <xf numFmtId="0" fontId="0" fillId="20" borderId="29" pivotButton="0" quotePrefix="0" xfId="0"/>
    <xf numFmtId="0" fontId="65" fillId="21" borderId="29" pivotButton="0" quotePrefix="0" xfId="0"/>
    <xf numFmtId="0" fontId="0" fillId="21" borderId="29" pivotButton="0" quotePrefix="0" xfId="0"/>
    <xf numFmtId="0" fontId="56" fillId="20" borderId="28" applyAlignment="1" pivotButton="0" quotePrefix="0" xfId="0">
      <alignment horizontal="center"/>
    </xf>
    <xf numFmtId="0" fontId="56" fillId="21" borderId="28" applyAlignment="1" pivotButton="0" quotePrefix="0" xfId="0">
      <alignment horizontal="center"/>
    </xf>
    <xf numFmtId="0" fontId="57" fillId="22" borderId="28" applyAlignment="1" pivotButton="0" quotePrefix="0" xfId="0">
      <alignment horizontal="center"/>
    </xf>
    <xf numFmtId="0" fontId="64" fillId="19" borderId="14" applyAlignment="1" pivotButton="0" quotePrefix="0" xfId="0">
      <alignment horizontal="center" vertical="center"/>
    </xf>
    <xf numFmtId="0" fontId="56" fillId="20" borderId="14" applyAlignment="1" pivotButton="0" quotePrefix="0" xfId="0">
      <alignment horizontal="center"/>
    </xf>
    <xf numFmtId="0" fontId="56" fillId="21" borderId="14" applyAlignment="1" pivotButton="0" quotePrefix="0" xfId="0">
      <alignment horizontal="center"/>
    </xf>
    <xf numFmtId="0" fontId="57" fillId="23" borderId="14" applyAlignment="1" pivotButton="0" quotePrefix="0" xfId="0">
      <alignment horizontal="center"/>
    </xf>
    <xf numFmtId="3" fontId="56" fillId="20" borderId="14" applyAlignment="1" pivotButton="0" quotePrefix="0" xfId="0">
      <alignment horizontal="center"/>
    </xf>
    <xf numFmtId="2" fontId="56" fillId="20" borderId="14" applyAlignment="1" pivotButton="0" quotePrefix="0" xfId="0">
      <alignment horizontal="center"/>
    </xf>
    <xf numFmtId="167" fontId="56" fillId="20" borderId="14" applyAlignment="1" pivotButton="0" quotePrefix="0" xfId="0">
      <alignment horizontal="center"/>
    </xf>
    <xf numFmtId="3" fontId="56" fillId="21" borderId="14" applyAlignment="1" pivotButton="0" quotePrefix="0" xfId="0">
      <alignment horizontal="center"/>
    </xf>
    <xf numFmtId="2" fontId="56" fillId="21" borderId="14" applyAlignment="1" pivotButton="0" quotePrefix="0" xfId="0">
      <alignment horizontal="center"/>
    </xf>
    <xf numFmtId="167" fontId="56" fillId="21" borderId="14" applyAlignment="1" pivotButton="0" quotePrefix="0" xfId="0">
      <alignment horizontal="center"/>
    </xf>
    <xf numFmtId="3" fontId="57" fillId="23" borderId="14" applyAlignment="1" pivotButton="0" quotePrefix="0" xfId="0">
      <alignment horizontal="center"/>
    </xf>
    <xf numFmtId="2" fontId="57" fillId="23" borderId="14" applyAlignment="1" pivotButton="0" quotePrefix="0" xfId="0">
      <alignment horizontal="center"/>
    </xf>
    <xf numFmtId="167" fontId="57" fillId="23" borderId="14" applyAlignment="1" pivotButton="0" quotePrefix="0" xfId="0">
      <alignment horizontal="center"/>
    </xf>
    <xf numFmtId="0" fontId="57" fillId="21" borderId="14" applyAlignment="1" pivotButton="0" quotePrefix="0" xfId="0">
      <alignment horizontal="center"/>
    </xf>
    <xf numFmtId="3" fontId="0" fillId="21" borderId="14" applyAlignment="1" pivotButton="0" quotePrefix="0" xfId="0">
      <alignment horizontal="center"/>
    </xf>
    <xf numFmtId="168" fontId="0" fillId="21" borderId="14" applyAlignment="1" pivotButton="0" quotePrefix="0" xfId="0">
      <alignment horizontal="center"/>
    </xf>
    <xf numFmtId="167" fontId="0" fillId="21" borderId="14" applyAlignment="1" pivotButton="0" quotePrefix="0" xfId="0">
      <alignment horizontal="center"/>
    </xf>
    <xf numFmtId="169" fontId="0" fillId="21" borderId="14" applyAlignment="1" pivotButton="0" quotePrefix="0" xfId="0">
      <alignment horizontal="center"/>
    </xf>
    <xf numFmtId="170" fontId="0" fillId="21" borderId="14" applyAlignment="1" pivotButton="0" quotePrefix="0" xfId="0">
      <alignment horizontal="center"/>
    </xf>
    <xf numFmtId="0" fontId="58" fillId="21" borderId="14" applyAlignment="1" pivotButton="0" quotePrefix="0" xfId="0">
      <alignment horizontal="center"/>
    </xf>
    <xf numFmtId="0" fontId="57" fillId="20" borderId="14" applyAlignment="1" pivotButton="0" quotePrefix="0" xfId="0">
      <alignment horizontal="center"/>
    </xf>
    <xf numFmtId="3" fontId="0" fillId="20" borderId="14" applyAlignment="1" pivotButton="0" quotePrefix="0" xfId="0">
      <alignment horizontal="center"/>
    </xf>
    <xf numFmtId="168" fontId="0" fillId="20" borderId="14" applyAlignment="1" pivotButton="0" quotePrefix="0" xfId="0">
      <alignment horizontal="center"/>
    </xf>
    <xf numFmtId="167" fontId="0" fillId="20" borderId="14" applyAlignment="1" pivotButton="0" quotePrefix="0" xfId="0">
      <alignment horizontal="center"/>
    </xf>
    <xf numFmtId="169" fontId="0" fillId="20" borderId="14" applyAlignment="1" pivotButton="0" quotePrefix="0" xfId="0">
      <alignment horizontal="center"/>
    </xf>
    <xf numFmtId="170" fontId="0" fillId="20" borderId="14" applyAlignment="1" pivotButton="0" quotePrefix="0" xfId="0">
      <alignment horizontal="center"/>
    </xf>
    <xf numFmtId="0" fontId="58" fillId="20" borderId="14" applyAlignment="1" pivotButton="0" quotePrefix="0" xfId="0">
      <alignment horizontal="center"/>
    </xf>
    <xf numFmtId="168" fontId="57" fillId="23" borderId="14" applyAlignment="1" pivotButton="0" quotePrefix="0" xfId="0">
      <alignment horizontal="center"/>
    </xf>
    <xf numFmtId="169" fontId="57" fillId="23" borderId="14" applyAlignment="1" pivotButton="0" quotePrefix="0" xfId="0">
      <alignment horizontal="center"/>
    </xf>
    <xf numFmtId="170" fontId="57" fillId="23" borderId="14" applyAlignment="1" pivotButton="0" quotePrefix="0" xfId="0">
      <alignment horizontal="center"/>
    </xf>
    <xf numFmtId="0" fontId="59" fillId="16" borderId="0" applyAlignment="1" pivotButton="0" quotePrefix="0" xfId="0">
      <alignment horizontal="center" vertical="center"/>
    </xf>
    <xf numFmtId="0" fontId="0" fillId="0" borderId="0" pivotButton="0" quotePrefix="0" xfId="0"/>
    <xf numFmtId="0" fontId="63" fillId="18" borderId="0" pivotButton="0" quotePrefix="0" xfId="0"/>
    <xf numFmtId="0" fontId="62" fillId="17" borderId="29" applyAlignment="1" pivotButton="0" quotePrefix="0" xfId="0">
      <alignment horizontal="center" vertical="center"/>
    </xf>
    <xf numFmtId="0" fontId="0" fillId="0" borderId="31" pivotButton="0" quotePrefix="0" xfId="0"/>
    <xf numFmtId="0" fontId="58" fillId="20" borderId="29" pivotButton="0" quotePrefix="0" xfId="0"/>
    <xf numFmtId="0" fontId="0" fillId="0" borderId="30" pivotButton="0" quotePrefix="0" xfId="0"/>
    <xf numFmtId="171" fontId="61" fillId="17" borderId="29" applyAlignment="1" pivotButton="0" quotePrefix="0" xfId="0">
      <alignment horizontal="center" vertical="center"/>
    </xf>
    <xf numFmtId="0" fontId="60" fillId="17" borderId="29" applyAlignment="1" pivotButton="0" quotePrefix="0" xfId="0">
      <alignment horizontal="center" vertical="center"/>
    </xf>
    <xf numFmtId="0" fontId="58" fillId="21" borderId="29" pivotButton="0" quotePrefix="0" xfId="0"/>
    <xf numFmtId="172" fontId="61" fillId="17" borderId="29" applyAlignment="1" pivotButton="0" quotePrefix="0" xfId="0">
      <alignment horizontal="center" vertical="center"/>
    </xf>
    <xf numFmtId="173" fontId="61" fillId="17" borderId="29" applyAlignment="1" pivotButton="0" quotePrefix="0" xfId="0">
      <alignment horizontal="center" vertical="center"/>
    </xf>
    <xf numFmtId="169" fontId="61" fillId="17" borderId="29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wrapText="1"/>
    </xf>
    <xf numFmtId="0" fontId="0" fillId="0" borderId="4" pivotButton="0" quotePrefix="0" xfId="0"/>
    <xf numFmtId="0" fontId="19" fillId="6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49" fontId="11" fillId="2" borderId="14" applyAlignment="1" pivotButton="0" quotePrefix="0" xfId="0">
      <alignment horizontal="center" wrapText="1"/>
    </xf>
    <xf numFmtId="0" fontId="0" fillId="0" borderId="17" pivotButton="0" quotePrefix="0" xfId="0"/>
    <xf numFmtId="0" fontId="0" fillId="0" borderId="21" pivotButton="0" quotePrefix="0" xfId="0"/>
    <xf numFmtId="0" fontId="11" fillId="0" borderId="1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5" pivotButton="0" quotePrefix="0" xfId="0"/>
    <xf numFmtId="0" fontId="19" fillId="6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wrapText="1"/>
    </xf>
    <xf numFmtId="0" fontId="12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5" fontId="8" fillId="3" borderId="14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wrapText="1"/>
    </xf>
    <xf numFmtId="0" fontId="0" fillId="0" borderId="3" pivotButton="0" quotePrefix="0" xfId="0"/>
    <xf numFmtId="2" fontId="8" fillId="3" borderId="1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9" fillId="2" borderId="14" applyAlignment="1" pivotButton="0" quotePrefix="0" xfId="0">
      <alignment horizontal="center" wrapText="1"/>
    </xf>
    <xf numFmtId="0" fontId="15" fillId="0" borderId="1" applyAlignment="1" pivotButton="0" quotePrefix="0" xfId="0">
      <alignment horizontal="center" wrapText="1"/>
    </xf>
    <xf numFmtId="0" fontId="21" fillId="0" borderId="1" applyAlignment="1" pivotButton="0" quotePrefix="0" xfId="0">
      <alignment horizontal="center" wrapText="1"/>
    </xf>
    <xf numFmtId="0" fontId="13" fillId="3" borderId="14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wrapText="1"/>
    </xf>
    <xf numFmtId="0" fontId="17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wrapText="1"/>
    </xf>
    <xf numFmtId="49" fontId="21" fillId="2" borderId="14" applyAlignment="1" pivotButton="0" quotePrefix="0" xfId="0">
      <alignment horizontal="center" wrapText="1"/>
    </xf>
    <xf numFmtId="2" fontId="21" fillId="3" borderId="14" applyAlignment="1" pivotButton="0" quotePrefix="0" xfId="0">
      <alignment horizontal="center" vertical="center" wrapText="1"/>
    </xf>
    <xf numFmtId="15" fontId="13" fillId="3" borderId="14" applyAlignment="1" pivotButton="0" quotePrefix="0" xfId="0">
      <alignment horizontal="center" vertical="center" wrapText="1"/>
    </xf>
    <xf numFmtId="0" fontId="21" fillId="2" borderId="14" applyAlignment="1" pivotButton="0" quotePrefix="0" xfId="0">
      <alignment horizontal="center" wrapText="1"/>
    </xf>
    <xf numFmtId="0" fontId="17" fillId="0" borderId="1" applyAlignment="1" pivotButton="0" quotePrefix="0" xfId="0">
      <alignment horizontal="center" wrapText="1"/>
    </xf>
    <xf numFmtId="2" fontId="13" fillId="3" borderId="14" applyAlignment="1" pivotButton="0" quotePrefix="0" xfId="0">
      <alignment horizontal="center" vertical="center" wrapText="1"/>
    </xf>
    <xf numFmtId="0" fontId="48" fillId="0" borderId="1" applyAlignment="1" pivotButton="0" quotePrefix="0" xfId="0">
      <alignment horizontal="center" wrapText="1"/>
    </xf>
    <xf numFmtId="0" fontId="50" fillId="3" borderId="1" applyAlignment="1" pivotButton="0" quotePrefix="0" xfId="0">
      <alignment horizontal="center" vertical="center" wrapText="1"/>
    </xf>
    <xf numFmtId="2" fontId="49" fillId="3" borderId="14" applyAlignment="1" pivotButton="0" quotePrefix="0" xfId="0">
      <alignment horizontal="center" vertical="center" wrapText="1"/>
    </xf>
    <xf numFmtId="49" fontId="54" fillId="2" borderId="14" applyAlignment="1" pivotButton="0" quotePrefix="0" xfId="0">
      <alignment horizontal="center" wrapText="1"/>
    </xf>
    <xf numFmtId="0" fontId="50" fillId="0" borderId="1" applyAlignment="1" pivotButton="0" quotePrefix="0" xfId="0">
      <alignment horizontal="left" wrapText="1"/>
    </xf>
    <xf numFmtId="0" fontId="49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wrapText="1"/>
    </xf>
    <xf numFmtId="15" fontId="48" fillId="3" borderId="14" applyAlignment="1" pivotButton="0" quotePrefix="0" xfId="0">
      <alignment horizontal="center" vertical="center" wrapText="1"/>
    </xf>
    <xf numFmtId="0" fontId="51" fillId="6" borderId="1" applyAlignment="1" pivotButton="0" quotePrefix="0" xfId="0">
      <alignment horizontal="left" vertical="center" wrapText="1"/>
    </xf>
    <xf numFmtId="0" fontId="48" fillId="3" borderId="14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wrapText="1"/>
    </xf>
    <xf numFmtId="0" fontId="51" fillId="3" borderId="1" applyAlignment="1" pivotButton="0" quotePrefix="0" xfId="0">
      <alignment horizontal="center" vertical="center" wrapText="1"/>
    </xf>
    <xf numFmtId="0" fontId="51" fillId="6" borderId="1" applyAlignment="1" pivotButton="0" quotePrefix="0" xfId="0">
      <alignment vertical="center" wrapText="1"/>
    </xf>
    <xf numFmtId="0" fontId="48" fillId="3" borderId="14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wrapText="1"/>
    </xf>
    <xf numFmtId="49" fontId="37" fillId="2" borderId="23" applyAlignment="1" pivotButton="0" quotePrefix="0" xfId="0">
      <alignment horizontal="center" wrapText="1"/>
    </xf>
    <xf numFmtId="0" fontId="49" fillId="2" borderId="14" applyAlignment="1" pivotButton="0" quotePrefix="0" xfId="0">
      <alignment horizontal="center" wrapText="1"/>
    </xf>
    <xf numFmtId="0" fontId="48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51" fillId="5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2" fontId="14" fillId="3" borderId="14" applyAlignment="1" pivotButton="0" quotePrefix="0" xfId="0">
      <alignment horizontal="center" vertical="center" wrapText="1"/>
    </xf>
    <xf numFmtId="49" fontId="27" fillId="2" borderId="14" applyAlignment="1" pivotButton="0" quotePrefix="0" xfId="0">
      <alignment horizont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wrapText="1"/>
    </xf>
    <xf numFmtId="0" fontId="16" fillId="6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vertical="center" wrapText="1"/>
    </xf>
    <xf numFmtId="0" fontId="8" fillId="0" borderId="10" applyAlignment="1" pivotButton="0" quotePrefix="0" xfId="0">
      <alignment horizontal="center" wrapText="1"/>
    </xf>
    <xf numFmtId="0" fontId="1" fillId="0" borderId="0" pivotButton="0" quotePrefix="0" xfId="0"/>
    <xf numFmtId="0" fontId="12" fillId="0" borderId="1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vertical="center"/>
    </xf>
    <xf numFmtId="0" fontId="14" fillId="2" borderId="14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48" fillId="0" borderId="27" applyAlignment="1" pivotButton="0" quotePrefix="0" xfId="0">
      <alignment horizontal="center" wrapText="1"/>
    </xf>
    <xf numFmtId="0" fontId="0" fillId="0" borderId="24" pivotButton="0" quotePrefix="0" xfId="0"/>
    <xf numFmtId="49" fontId="46" fillId="2" borderId="16" applyAlignment="1" pivotButton="0" quotePrefix="0" xfId="0">
      <alignment horizontal="center" wrapText="1"/>
    </xf>
    <xf numFmtId="49" fontId="46" fillId="2" borderId="14" applyAlignment="1" pivotButton="0" quotePrefix="0" xfId="0">
      <alignment horizontal="center" wrapText="1"/>
    </xf>
    <xf numFmtId="0" fontId="28" fillId="3" borderId="14" applyAlignment="1" pivotButton="0" quotePrefix="0" xfId="0">
      <alignment horizontal="center" vertical="center"/>
    </xf>
    <xf numFmtId="49" fontId="37" fillId="2" borderId="16" applyAlignment="1" pivotButton="0" quotePrefix="0" xfId="0">
      <alignment horizontal="center" wrapText="1"/>
    </xf>
    <xf numFmtId="49" fontId="37" fillId="2" borderId="14" applyAlignment="1" pivotButton="0" quotePrefix="0" xfId="0">
      <alignment horizontal="center" wrapText="1"/>
    </xf>
    <xf numFmtId="0" fontId="28" fillId="0" borderId="1" applyAlignment="1" pivotButton="0" quotePrefix="0" xfId="0">
      <alignment horizontal="center" wrapText="1"/>
    </xf>
    <xf numFmtId="0" fontId="31" fillId="3" borderId="1" applyAlignment="1" pivotButton="0" quotePrefix="0" xfId="0">
      <alignment horizontal="center" vertical="center" wrapText="1"/>
    </xf>
    <xf numFmtId="2" fontId="29" fillId="3" borderId="14" applyAlignment="1" pivotButton="0" quotePrefix="0" xfId="0">
      <alignment horizontal="center" vertical="center" wrapText="1"/>
    </xf>
    <xf numFmtId="49" fontId="40" fillId="2" borderId="16" applyAlignment="1" pivotButton="0" quotePrefix="0" xfId="0">
      <alignment horizontal="center" wrapText="1"/>
    </xf>
    <xf numFmtId="0" fontId="31" fillId="0" borderId="1" applyAlignment="1" pivotButton="0" quotePrefix="0" xfId="0">
      <alignment horizontal="left" wrapText="1"/>
    </xf>
    <xf numFmtId="0" fontId="29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wrapText="1"/>
    </xf>
    <xf numFmtId="15" fontId="28" fillId="3" borderId="14" applyAlignment="1" pivotButton="0" quotePrefix="0" xfId="0">
      <alignment horizontal="center" vertical="center" wrapText="1"/>
    </xf>
    <xf numFmtId="0" fontId="32" fillId="6" borderId="1" applyAlignment="1" pivotButton="0" quotePrefix="0" xfId="0">
      <alignment horizontal="left" vertical="center" wrapText="1"/>
    </xf>
    <xf numFmtId="0" fontId="32" fillId="3" borderId="1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0" fontId="32" fillId="6" borderId="1" applyAlignment="1" pivotButton="0" quotePrefix="0" xfId="0">
      <alignment vertical="center" wrapText="1"/>
    </xf>
    <xf numFmtId="0" fontId="31" fillId="0" borderId="1" applyAlignment="1" pivotButton="0" quotePrefix="0" xfId="0">
      <alignment horizontal="center" wrapText="1"/>
    </xf>
    <xf numFmtId="0" fontId="29" fillId="2" borderId="14" applyAlignment="1" pivotButton="0" quotePrefix="0" xfId="0">
      <alignment horizontal="center" wrapText="1"/>
    </xf>
    <xf numFmtId="0" fontId="28" fillId="0" borderId="1" applyAlignment="1" pivotButton="0" quotePrefix="0" xfId="0">
      <alignment horizontal="center" vertical="center" wrapText="1"/>
    </xf>
    <xf numFmtId="49" fontId="40" fillId="2" borderId="14" applyAlignment="1" pivotButton="0" quotePrefix="0" xfId="0">
      <alignment horizontal="center" wrapText="1"/>
    </xf>
    <xf numFmtId="0" fontId="32" fillId="5" borderId="1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vertical="center" wrapText="1"/>
    </xf>
    <xf numFmtId="49" fontId="33" fillId="2" borderId="16" applyAlignment="1" pivotButton="0" quotePrefix="0" xfId="0">
      <alignment horizontal="center" wrapText="1"/>
    </xf>
    <xf numFmtId="49" fontId="14" fillId="2" borderId="14" applyAlignment="1" pivotButton="0" quotePrefix="0" xfId="0">
      <alignment horizontal="center" wrapText="1"/>
    </xf>
    <xf numFmtId="173" fontId="61" fillId="17" borderId="29" applyAlignment="1" pivotButton="0" quotePrefix="0" xfId="0">
      <alignment horizontal="center" vertical="center"/>
    </xf>
    <xf numFmtId="171" fontId="61" fillId="17" borderId="29" applyAlignment="1" pivotButton="0" quotePrefix="0" xfId="0">
      <alignment horizontal="center" vertical="center"/>
    </xf>
    <xf numFmtId="169" fontId="61" fillId="17" borderId="29" applyAlignment="1" pivotButton="0" quotePrefix="0" xfId="0">
      <alignment horizontal="center" vertical="center"/>
    </xf>
    <xf numFmtId="172" fontId="61" fillId="17" borderId="29" applyAlignment="1" pivotButton="0" quotePrefix="0" xfId="0">
      <alignment horizontal="center" vertical="center"/>
    </xf>
    <xf numFmtId="167" fontId="56" fillId="20" borderId="14" applyAlignment="1" pivotButton="0" quotePrefix="0" xfId="0">
      <alignment horizontal="center"/>
    </xf>
    <xf numFmtId="167" fontId="56" fillId="21" borderId="14" applyAlignment="1" pivotButton="0" quotePrefix="0" xfId="0">
      <alignment horizontal="center"/>
    </xf>
    <xf numFmtId="167" fontId="57" fillId="23" borderId="14" applyAlignment="1" pivotButton="0" quotePrefix="0" xfId="0">
      <alignment horizontal="center"/>
    </xf>
    <xf numFmtId="168" fontId="0" fillId="21" borderId="14" applyAlignment="1" pivotButton="0" quotePrefix="0" xfId="0">
      <alignment horizontal="center"/>
    </xf>
    <xf numFmtId="167" fontId="0" fillId="21" borderId="14" applyAlignment="1" pivotButton="0" quotePrefix="0" xfId="0">
      <alignment horizontal="center"/>
    </xf>
    <xf numFmtId="169" fontId="0" fillId="21" borderId="14" applyAlignment="1" pivotButton="0" quotePrefix="0" xfId="0">
      <alignment horizontal="center"/>
    </xf>
    <xf numFmtId="170" fontId="0" fillId="21" borderId="14" applyAlignment="1" pivotButton="0" quotePrefix="0" xfId="0">
      <alignment horizontal="center"/>
    </xf>
    <xf numFmtId="168" fontId="0" fillId="20" borderId="14" applyAlignment="1" pivotButton="0" quotePrefix="0" xfId="0">
      <alignment horizontal="center"/>
    </xf>
    <xf numFmtId="167" fontId="0" fillId="20" borderId="14" applyAlignment="1" pivotButton="0" quotePrefix="0" xfId="0">
      <alignment horizontal="center"/>
    </xf>
    <xf numFmtId="169" fontId="0" fillId="20" borderId="14" applyAlignment="1" pivotButton="0" quotePrefix="0" xfId="0">
      <alignment horizontal="center"/>
    </xf>
    <xf numFmtId="170" fontId="0" fillId="20" borderId="14" applyAlignment="1" pivotButton="0" quotePrefix="0" xfId="0">
      <alignment horizontal="center"/>
    </xf>
    <xf numFmtId="168" fontId="57" fillId="23" borderId="14" applyAlignment="1" pivotButton="0" quotePrefix="0" xfId="0">
      <alignment horizontal="center"/>
    </xf>
    <xf numFmtId="169" fontId="57" fillId="23" borderId="14" applyAlignment="1" pivotButton="0" quotePrefix="0" xfId="0">
      <alignment horizontal="center"/>
    </xf>
    <xf numFmtId="170" fontId="57" fillId="23" borderId="14" applyAlignment="1" pivotButton="0" quotePrefix="0" xfId="0">
      <alignment horizontal="center"/>
    </xf>
    <xf numFmtId="174" fontId="0" fillId="0" borderId="0" pivotButton="0" quotePrefix="0" xfId="0"/>
    <xf numFmtId="174" fontId="48" fillId="3" borderId="14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232071</colOff>
      <row>94</row>
      <rowOff>12773</rowOff>
    </from>
    <to>
      <col>2</col>
      <colOff>399292</colOff>
      <row>94</row>
      <rowOff>58492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flipH="1" flipV="1">
          <a:off x="1451271" y="18062648"/>
          <a:ext cx="167221" cy="457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154782</colOff>
      <row>80</row>
      <rowOff>158750</rowOff>
    </from>
    <to>
      <col>6</col>
      <colOff>339229</colOff>
      <row>88</row>
      <rowOff>146124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4782" y="15422563"/>
          <a:ext cx="5542260" cy="15113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topLeftCell="A18" workbookViewId="0">
      <selection activeCell="C24" sqref="C24"/>
    </sheetView>
  </sheetViews>
  <sheetFormatPr baseColWidth="8" defaultRowHeight="14.5"/>
  <cols>
    <col width="27" customWidth="1" style="488" min="1" max="1"/>
    <col width="21.08984375" bestFit="1" customWidth="1" style="488" min="2" max="2"/>
    <col width="15.6328125" bestFit="1" customWidth="1" style="488" min="3" max="3"/>
    <col width="28" bestFit="1" customWidth="1" style="488" min="4" max="4"/>
    <col width="25" customWidth="1" style="488" min="5" max="5"/>
    <col width="19" customWidth="1" style="488" min="6" max="7"/>
    <col width="29" customWidth="1" style="488" min="8" max="8"/>
    <col width="24" customWidth="1" style="488" min="9" max="9"/>
    <col width="54.26953125" bestFit="1" customWidth="1" style="488" min="10" max="10"/>
  </cols>
  <sheetData>
    <row r="1">
      <c r="A1" s="487" t="inlineStr">
        <is>
          <t>DT-3 ENERGY CONSUMPTION &amp; EPI PERFORMANCE DASHBOARD (JAN - JUL 2025 vs 2026)</t>
        </is>
      </c>
    </row>
    <row r="2"/>
    <row r="4">
      <c r="A4" s="495" t="inlineStr">
        <is>
          <t>2026 JAN-JUL AVG EPI</t>
        </is>
      </c>
      <c r="B4" s="491" t="n"/>
      <c r="C4" s="495" t="inlineStr">
        <is>
          <t>EPI VARIANCE (vs 2025)</t>
        </is>
      </c>
      <c r="D4" s="491" t="n"/>
      <c r="E4" s="495" t="inlineStr">
        <is>
          <t>NET YTD COST SAVINGS</t>
        </is>
      </c>
      <c r="F4" s="493" t="n"/>
      <c r="G4" s="491" t="n"/>
      <c r="H4" s="495" t="inlineStr">
        <is>
          <t>NET YTD ENERGY SAVED</t>
        </is>
      </c>
      <c r="I4" s="493" t="n"/>
      <c r="J4" s="491" t="n"/>
    </row>
    <row r="5" ht="22.5" customHeight="1" s="488">
      <c r="A5" s="603">
        <f>I17</f>
        <v/>
      </c>
      <c r="B5" s="491" t="n"/>
      <c r="C5" s="604">
        <f>J17</f>
        <v/>
      </c>
      <c r="D5" s="491" t="n"/>
      <c r="E5" s="605">
        <f>H25</f>
        <v/>
      </c>
      <c r="F5" s="493" t="n"/>
      <c r="G5" s="491" t="n"/>
      <c r="H5" s="606">
        <f>D25</f>
        <v/>
      </c>
      <c r="I5" s="493" t="n"/>
      <c r="J5" s="491" t="n"/>
    </row>
    <row r="6">
      <c r="A6" s="490" t="inlineStr">
        <is>
          <t>Status: Best-in-Class / Efficient</t>
        </is>
      </c>
      <c r="B6" s="491" t="n"/>
      <c r="C6" s="490" t="inlineStr">
        <is>
          <t>Improved YTD Performance</t>
        </is>
      </c>
      <c r="D6" s="491" t="n"/>
      <c r="E6" s="490" t="inlineStr">
        <is>
          <t>Jan–July 2026 vs 2025</t>
        </is>
      </c>
      <c r="F6" s="493" t="n"/>
      <c r="G6" s="491" t="n"/>
      <c r="H6" s="490" t="inlineStr">
        <is>
          <t>Facility Energy Reduction</t>
        </is>
      </c>
      <c r="I6" s="493" t="n"/>
      <c r="J6" s="491" t="n"/>
    </row>
    <row r="8" ht="16" customHeight="1" s="488">
      <c r="A8" s="489" t="inlineStr">
        <is>
          <t>1. EPI PERFORMANCE LEVEL BENCHMARK STANDARDS (kWh/m²/year)</t>
        </is>
      </c>
      <c r="E8" s="489" t="inlineStr">
        <is>
          <t>2. DT3 MONTHLY ENERGY CONSUMPTION &amp; EPI TREND (2025 vs 2026 INCL. JULY)</t>
        </is>
      </c>
    </row>
    <row r="9" ht="16" customHeight="1" s="488">
      <c r="A9" s="446" t="inlineStr">
        <is>
          <t>Performance Level</t>
        </is>
      </c>
      <c r="B9" s="446" t="inlineStr">
        <is>
          <t>EPI Range (kWh/m²/yr)</t>
        </is>
      </c>
      <c r="C9" s="446" t="inlineStr">
        <is>
          <t>Status Category</t>
        </is>
      </c>
      <c r="D9" s="446" t="inlineStr">
        <is>
          <t>Facility Benchmark Target</t>
        </is>
      </c>
      <c r="E9" s="457" t="inlineStr">
        <is>
          <t>Month</t>
        </is>
      </c>
      <c r="F9" s="457" t="inlineStr">
        <is>
          <t>2025 Cons (kWh)</t>
        </is>
      </c>
      <c r="G9" s="457" t="inlineStr">
        <is>
          <t>2026 Cons (kWh)</t>
        </is>
      </c>
      <c r="H9" s="457" t="inlineStr">
        <is>
          <t>2025 EPI (kWh/m²/yr)</t>
        </is>
      </c>
      <c r="I9" s="457" t="inlineStr">
        <is>
          <t>2026 EPI (kWh/m²/yr)</t>
        </is>
      </c>
      <c r="J9" s="457" t="inlineStr">
        <is>
          <t>Variance (EPI)</t>
        </is>
      </c>
    </row>
    <row r="10" ht="16" customHeight="1" s="488">
      <c r="A10" s="447" t="inlineStr">
        <is>
          <t>Average</t>
        </is>
      </c>
      <c r="B10" s="447" t="inlineStr">
        <is>
          <t>160 – 200</t>
        </is>
      </c>
      <c r="C10" s="447" t="inlineStr">
        <is>
          <t>Typical Office</t>
        </is>
      </c>
      <c r="D10" s="454" t="inlineStr">
        <is>
          <t>Standard Commercial Building</t>
        </is>
      </c>
      <c r="E10" s="458" t="inlineStr">
        <is>
          <t>Jan</t>
        </is>
      </c>
      <c r="F10" s="461">
        <f>summary!I6</f>
        <v/>
      </c>
      <c r="G10" s="461">
        <f>summary!U6</f>
        <v/>
      </c>
      <c r="H10" s="462">
        <f>F10*12/9124.2807</f>
        <v/>
      </c>
      <c r="I10" s="462">
        <f>G10*12/9124.2807</f>
        <v/>
      </c>
      <c r="J10" s="607">
        <f>(I10-H10)/H10</f>
        <v/>
      </c>
    </row>
    <row r="11" ht="16" customHeight="1" s="488">
      <c r="A11" s="448" t="inlineStr">
        <is>
          <t>Good</t>
        </is>
      </c>
      <c r="B11" s="448" t="inlineStr">
        <is>
          <t>120 – 150</t>
        </is>
      </c>
      <c r="C11" s="448" t="inlineStr">
        <is>
          <t>Efficient Office</t>
        </is>
      </c>
      <c r="D11" s="455" t="inlineStr">
        <is>
          <t>Energy Efficient Facility Target</t>
        </is>
      </c>
      <c r="E11" s="459" t="inlineStr">
        <is>
          <t>Feb</t>
        </is>
      </c>
      <c r="F11" s="464">
        <f>summary!J6</f>
        <v/>
      </c>
      <c r="G11" s="464">
        <f>summary!V6</f>
        <v/>
      </c>
      <c r="H11" s="465">
        <f>F11*12/9124.2807</f>
        <v/>
      </c>
      <c r="I11" s="465">
        <f>G11*12/9124.2807</f>
        <v/>
      </c>
      <c r="J11" s="608">
        <f>(I11-H11)/H11</f>
        <v/>
      </c>
    </row>
    <row r="12" ht="16" customHeight="1" s="488">
      <c r="A12" s="449" t="inlineStr">
        <is>
          <t>Excellent</t>
        </is>
      </c>
      <c r="B12" s="449" t="inlineStr">
        <is>
          <t>Below 120</t>
        </is>
      </c>
      <c r="C12" s="449" t="inlineStr">
        <is>
          <t>Best-in-Class</t>
        </is>
      </c>
      <c r="D12" s="456" t="inlineStr">
        <is>
          <t>DT3 Operational Target (&lt;120)</t>
        </is>
      </c>
      <c r="E12" s="458" t="inlineStr">
        <is>
          <t>Mar</t>
        </is>
      </c>
      <c r="F12" s="461">
        <f>summary!K6</f>
        <v/>
      </c>
      <c r="G12" s="461">
        <f>summary!W6</f>
        <v/>
      </c>
      <c r="H12" s="462">
        <f>F12*12/9124.2807</f>
        <v/>
      </c>
      <c r="I12" s="462">
        <f>G12*12/9124.2807</f>
        <v/>
      </c>
      <c r="J12" s="607">
        <f>(I12-H12)/H12</f>
        <v/>
      </c>
    </row>
    <row r="13" ht="16" customHeight="1" s="488">
      <c r="E13" s="459" t="inlineStr">
        <is>
          <t>Apr</t>
        </is>
      </c>
      <c r="F13" s="464">
        <f>summary!L6</f>
        <v/>
      </c>
      <c r="G13" s="464">
        <f>summary!X6</f>
        <v/>
      </c>
      <c r="H13" s="465">
        <f>F13*12/9124.2807</f>
        <v/>
      </c>
      <c r="I13" s="465">
        <f>G13*12/9124.2807</f>
        <v/>
      </c>
      <c r="J13" s="608">
        <f>(I13-H13)/H13</f>
        <v/>
      </c>
    </row>
    <row r="14" ht="16" customHeight="1" s="488">
      <c r="E14" s="458" t="inlineStr">
        <is>
          <t>May</t>
        </is>
      </c>
      <c r="F14" s="461">
        <f>summary!M6</f>
        <v/>
      </c>
      <c r="G14" s="461">
        <f>summary!Y6</f>
        <v/>
      </c>
      <c r="H14" s="462">
        <f>F14*12/9124.2807</f>
        <v/>
      </c>
      <c r="I14" s="462">
        <f>G14*12/9124.2807</f>
        <v/>
      </c>
      <c r="J14" s="607">
        <f>(I14-H14)/H14</f>
        <v/>
      </c>
    </row>
    <row r="15" ht="16" customHeight="1" s="488">
      <c r="E15" s="459" t="inlineStr">
        <is>
          <t>Jun</t>
        </is>
      </c>
      <c r="F15" s="464">
        <f>summary!N6</f>
        <v/>
      </c>
      <c r="G15" s="464">
        <f>summary!Z6</f>
        <v/>
      </c>
      <c r="H15" s="465">
        <f>F15*12/9124.2807</f>
        <v/>
      </c>
      <c r="I15" s="465">
        <f>G15*12/9124.2807</f>
        <v/>
      </c>
      <c r="J15" s="608">
        <f>(I15-H15)/H15</f>
        <v/>
      </c>
    </row>
    <row r="16" ht="16" customHeight="1" s="488">
      <c r="E16" s="458" t="inlineStr">
        <is>
          <t>Jul</t>
        </is>
      </c>
      <c r="F16" s="461">
        <f>summary!O6</f>
        <v/>
      </c>
      <c r="G16" s="461">
        <f>summary!AA6</f>
        <v/>
      </c>
      <c r="H16" s="462">
        <f>F16*12/9124.2807</f>
        <v/>
      </c>
      <c r="I16" s="462">
        <f>G16*12/9124.2807</f>
        <v/>
      </c>
      <c r="J16" s="607">
        <f>(I16-H16)/H16</f>
        <v/>
      </c>
    </row>
    <row r="17" ht="16" customHeight="1" s="488">
      <c r="E17" s="460" t="inlineStr">
        <is>
          <t>Jan-Jul AVERAGE</t>
        </is>
      </c>
      <c r="F17" s="467">
        <f>AVERAGE(F10:F16)</f>
        <v/>
      </c>
      <c r="G17" s="467">
        <f>AVERAGE(G10:G16)</f>
        <v/>
      </c>
      <c r="H17" s="468">
        <f>F17*12/9124.2807</f>
        <v/>
      </c>
      <c r="I17" s="468">
        <f>G17*12/9124.2807</f>
        <v/>
      </c>
      <c r="J17" s="609">
        <f>(I17-H17)/H17</f>
        <v/>
      </c>
    </row>
    <row r="19" ht="16" customHeight="1" s="488">
      <c r="A19" s="489" t="inlineStr">
        <is>
          <t>3. YoY SAVINGS &amp; COMPARATIVE PERFORMANCE ANALYSIS TABLE (JAN - JUL 2025 vs 2026)</t>
        </is>
      </c>
    </row>
    <row r="20" ht="16" customHeight="1" s="488">
      <c r="A20" s="457" t="inlineStr">
        <is>
          <t>Energy Component</t>
        </is>
      </c>
      <c r="B20" s="457" t="inlineStr">
        <is>
          <t>2025 Cons (kWh)</t>
        </is>
      </c>
      <c r="C20" s="457" t="inlineStr">
        <is>
          <t>2026 Cons (kWh)</t>
        </is>
      </c>
      <c r="D20" s="457" t="inlineStr">
        <is>
          <t>kWh Savings</t>
        </is>
      </c>
      <c r="E20" s="457" t="inlineStr">
        <is>
          <t>% Change (kWh)</t>
        </is>
      </c>
      <c r="F20" s="457" t="inlineStr">
        <is>
          <t>2025 Cost (₹)</t>
        </is>
      </c>
      <c r="G20" s="457" t="inlineStr">
        <is>
          <t>2026 Cost (₹)</t>
        </is>
      </c>
      <c r="H20" s="457" t="inlineStr">
        <is>
          <t>Net Cost Savings (₹)</t>
        </is>
      </c>
      <c r="I20" s="457" t="inlineStr">
        <is>
          <t>% Cost Savings</t>
        </is>
      </c>
      <c r="J20" s="457" t="inlineStr">
        <is>
          <t>Operational Analysis &amp; Savings Justification</t>
        </is>
      </c>
    </row>
    <row r="21" ht="16" customHeight="1" s="488">
      <c r="A21" s="470" t="inlineStr">
        <is>
          <t>EB Electricity (kWh)</t>
        </is>
      </c>
      <c r="B21" s="471">
        <f>SUM(summary!I2:'summary'!O2)</f>
        <v/>
      </c>
      <c r="C21" s="471">
        <f>SUM(summary!U2:'summary'!AA2)</f>
        <v/>
      </c>
      <c r="D21" s="610">
        <f>B21-C21</f>
        <v/>
      </c>
      <c r="E21" s="611">
        <f>(C21-B21)/B21</f>
        <v/>
      </c>
      <c r="F21" s="612">
        <f>B21*7.45</f>
        <v/>
      </c>
      <c r="G21" s="612">
        <f>C21*7.45</f>
        <v/>
      </c>
      <c r="H21" s="613">
        <f>F21-G21</f>
        <v/>
      </c>
      <c r="I21" s="611">
        <f>(G21-F21)/F21</f>
        <v/>
      </c>
      <c r="J21" s="476" t="inlineStr">
        <is>
          <t>23,622 kWh EB Savings (-6.2%) achieved YTD via efficiency</t>
        </is>
      </c>
    </row>
    <row r="22" ht="16" customHeight="1" s="488">
      <c r="A22" s="477" t="inlineStr">
        <is>
          <t>AHU HVAC Power (kWh)</t>
        </is>
      </c>
      <c r="B22" s="478">
        <f>SUM(summary!I3:'summary'!O3)</f>
        <v/>
      </c>
      <c r="C22" s="478">
        <f>SUM(summary!U3:'summary'!AA3)</f>
        <v/>
      </c>
      <c r="D22" s="614">
        <f>B22-C22</f>
        <v/>
      </c>
      <c r="E22" s="615">
        <f>(C22-B22)/B22</f>
        <v/>
      </c>
      <c r="F22" s="616">
        <f>B22*7.45</f>
        <v/>
      </c>
      <c r="G22" s="616">
        <f>C22*7.45</f>
        <v/>
      </c>
      <c r="H22" s="617">
        <f>F22-G22</f>
        <v/>
      </c>
      <c r="I22" s="615">
        <f>(G22-F22)/F22</f>
        <v/>
      </c>
      <c r="J22" s="483" t="inlineStr">
        <is>
          <t>Transitioned to 12*5.5 KAM model from May (saved ~4,035 kWh/mo)</t>
        </is>
      </c>
    </row>
    <row r="23" ht="16" customHeight="1" s="488">
      <c r="A23" s="470" t="inlineStr">
        <is>
          <t>DG Backup Power (kWh)</t>
        </is>
      </c>
      <c r="B23" s="471">
        <f>SUM(summary!I4:'summary'!O4)</f>
        <v/>
      </c>
      <c r="C23" s="471">
        <f>SUM(summary!U4:'summary'!AA4)</f>
        <v/>
      </c>
      <c r="D23" s="610">
        <f>B23-C23</f>
        <v/>
      </c>
      <c r="E23" s="611">
        <f>(C23-B23)/B23</f>
        <v/>
      </c>
      <c r="F23" s="612">
        <f>B23*33.85</f>
        <v/>
      </c>
      <c r="G23" s="612">
        <f>C23*33.85</f>
        <v/>
      </c>
      <c r="H23" s="613">
        <f>F23-G23</f>
        <v/>
      </c>
      <c r="I23" s="611">
        <f>(G23-F23)/F23</f>
        <v/>
      </c>
      <c r="J23" s="476" t="inlineStr">
        <is>
          <t>DG run hours reduced by 37.8% due to higher utility grid stability</t>
        </is>
      </c>
    </row>
    <row r="24" ht="16" customHeight="1" s="488">
      <c r="A24" s="477" t="inlineStr">
        <is>
          <t>BTU Cooling Load (kWh)</t>
        </is>
      </c>
      <c r="B24" s="478">
        <f>SUM(summary!I5:'summary'!O5)</f>
        <v/>
      </c>
      <c r="C24" s="478">
        <f>SUM(summary!U5:'summary'!AA5)</f>
        <v/>
      </c>
      <c r="D24" s="614">
        <f>B24-C24</f>
        <v/>
      </c>
      <c r="E24" s="615">
        <f>(C24-B24)/B24</f>
        <v/>
      </c>
      <c r="F24" s="616">
        <f>B24*10.75</f>
        <v/>
      </c>
      <c r="G24" s="616">
        <f>C24*10.75</f>
        <v/>
      </c>
      <c r="H24" s="617">
        <f>F24-G24</f>
        <v/>
      </c>
      <c r="I24" s="615">
        <f>(G24-F24)/F24</f>
        <v/>
      </c>
      <c r="J24" s="483" t="inlineStr">
        <is>
          <t>BTU cooling load energy reduced by 35,641 kWh (-18.3%) saving ₹3.83L</t>
        </is>
      </c>
    </row>
    <row r="25" ht="16" customHeight="1" s="488">
      <c r="A25" s="460" t="inlineStr">
        <is>
          <t>Total Facility (Jan-Jul)</t>
        </is>
      </c>
      <c r="B25" s="467">
        <f>SUM(B21:B24)</f>
        <v/>
      </c>
      <c r="C25" s="467">
        <f>SUM(C21:C24)</f>
        <v/>
      </c>
      <c r="D25" s="618">
        <f>B25-C25</f>
        <v/>
      </c>
      <c r="E25" s="609">
        <f>(C25-B25)/B25</f>
        <v/>
      </c>
      <c r="F25" s="619">
        <f>SUM(F21:F24)</f>
        <v/>
      </c>
      <c r="G25" s="619">
        <f>SUM(G21:G24)</f>
        <v/>
      </c>
      <c r="H25" s="620">
        <f>F25-G25</f>
        <v/>
      </c>
      <c r="I25" s="609">
        <f>(G25-F25)/F25</f>
        <v/>
      </c>
      <c r="J25" s="460" t="inlineStr">
        <is>
          <t>Total Jan–July facility energy cost reduced by ₹5.45L (-9.8%)</t>
        </is>
      </c>
    </row>
    <row r="27" ht="16" customHeight="1" s="488">
      <c r="A27" s="489" t="inlineStr">
        <is>
          <t>4. KEY OPERATIONAL INSIGHTS &amp; SAVINGS JUSTIFICATION (DT3)</t>
        </is>
      </c>
    </row>
    <row r="28" ht="15" customHeight="1" s="488">
      <c r="A28" s="450" t="inlineStr">
        <is>
          <t>• Operational Model Transition:</t>
        </is>
      </c>
      <c r="B28" s="451" t="n"/>
      <c r="C28" s="492" t="inlineStr">
        <is>
          <t>Prior to May, DT3 AHUs operated on a 24*7 running schedule. From May onwards, DT3 transitioned to a 12*5.5 KAM model (12 hrs/day, 5.5 days/week), discontinuing night operations and weekend shifts.</t>
        </is>
      </c>
      <c r="D28" s="493" t="n"/>
      <c r="E28" s="493" t="n"/>
      <c r="F28" s="493" t="n"/>
      <c r="G28" s="493" t="n"/>
      <c r="H28" s="493" t="n"/>
      <c r="I28" s="493" t="n"/>
      <c r="J28" s="491" t="n"/>
    </row>
    <row r="29" ht="15" customHeight="1" s="488">
      <c r="A29" s="452" t="inlineStr">
        <is>
          <t>• Hours &amp; Energy Saved:</t>
        </is>
      </c>
      <c r="B29" s="453" t="n"/>
      <c r="C29" s="496" t="inlineStr">
        <is>
          <t>Switching to the 12*5.5 KAM model saved ~12 hrs/day on weekdays and full weekends (~434 operating hrs/mo per AHU, totaling ~1,736 AHU hrs/mo saved). Monthly AHU consumption dropped from 10,301 kWh in April to 6,266 kWh in May (saved 4,035 kWh / -39.2%), 7,682 kWh in June, and 8,308 kWh in July.</t>
        </is>
      </c>
      <c r="D29" s="493" t="n"/>
      <c r="E29" s="493" t="n"/>
      <c r="F29" s="493" t="n"/>
      <c r="G29" s="493" t="n"/>
      <c r="H29" s="493" t="n"/>
      <c r="I29" s="493" t="n"/>
      <c r="J29" s="491" t="n"/>
    </row>
    <row r="30" ht="15" customHeight="1" s="488">
      <c r="A30" s="450" t="inlineStr">
        <is>
          <t>• EPI Trend Justification (vs 2025):</t>
        </is>
      </c>
      <c r="B30" s="451" t="n"/>
      <c r="C30" s="492" t="inlineStr">
        <is>
          <t>Annualized EPI dropped significantly YTD (May EPI: 100.42 vs 123.85 in 2025, -18.9%; June EPI: 108.28 vs 139.05 in 2025, -22.1%; July EPI: 147.21 vs 150.36 in 2025). Overall Jan–Jul average EPI improved from 119.36 to 110.39 kWh/m²/yr (-7.5%), maintaining Best-in-Class status (&lt;120 kWh/m²/yr).</t>
        </is>
      </c>
      <c r="D30" s="493" t="n"/>
      <c r="E30" s="493" t="n"/>
      <c r="F30" s="493" t="n"/>
      <c r="G30" s="493" t="n"/>
      <c r="H30" s="493" t="n"/>
      <c r="I30" s="493" t="n"/>
      <c r="J30" s="491" t="n"/>
    </row>
    <row r="31" ht="15" customHeight="1" s="488">
      <c r="A31" s="452" t="inlineStr">
        <is>
          <t>• YTD Cost Savings:</t>
        </is>
      </c>
      <c r="B31" s="453" t="n"/>
      <c r="C31" s="496" t="inlineStr">
        <is>
          <t>Total Jan–July energy cost fell from ₹55.51L in 2025 to ₹50.06L in 2026, delivering ₹5.45L (-9.8%) cost savings YTD.</t>
        </is>
      </c>
      <c r="D31" s="493" t="n"/>
      <c r="E31" s="493" t="n"/>
      <c r="F31" s="493" t="n"/>
      <c r="G31" s="493" t="n"/>
      <c r="H31" s="493" t="n"/>
      <c r="I31" s="493" t="n"/>
      <c r="J31" s="491" t="n"/>
    </row>
  </sheetData>
  <mergeCells count="21">
    <mergeCell ref="A1:J2"/>
    <mergeCell ref="C6:D6"/>
    <mergeCell ref="A8:D8"/>
    <mergeCell ref="C30:J30"/>
    <mergeCell ref="C5:D5"/>
    <mergeCell ref="A6:B6"/>
    <mergeCell ref="E6:G6"/>
    <mergeCell ref="A19:J19"/>
    <mergeCell ref="C4:D4"/>
    <mergeCell ref="C29:J29"/>
    <mergeCell ref="C31:J31"/>
    <mergeCell ref="H5:J5"/>
    <mergeCell ref="A5:B5"/>
    <mergeCell ref="A4:B4"/>
    <mergeCell ref="E5:G5"/>
    <mergeCell ref="A27:J27"/>
    <mergeCell ref="H4:J4"/>
    <mergeCell ref="E8:J8"/>
    <mergeCell ref="C28:J28"/>
    <mergeCell ref="E4:G4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N80"/>
  <sheetViews>
    <sheetView topLeftCell="N49" workbookViewId="0">
      <selection activeCell="A22" sqref="A22:AJ22"/>
    </sheetView>
  </sheetViews>
  <sheetFormatPr baseColWidth="8" defaultRowHeight="14.5"/>
  <cols>
    <col width="14" customWidth="1" style="488" min="1" max="1"/>
    <col width="27" customWidth="1" style="488" min="2" max="2"/>
    <col width="32" bestFit="1" customWidth="1" style="47" min="3" max="3"/>
    <col width="20" bestFit="1" customWidth="1" style="488" min="4" max="4"/>
    <col width="23" customWidth="1" style="488" min="5" max="15"/>
    <col width="23" bestFit="1" customWidth="1" style="488" min="16" max="17"/>
    <col width="23" customWidth="1" style="488" min="18" max="22"/>
    <col width="23" bestFit="1" customWidth="1" style="488" min="23" max="24"/>
    <col width="23" customWidth="1" style="488" min="25" max="25"/>
    <col width="23" bestFit="1" customWidth="1" style="488" min="26" max="27"/>
    <col width="23" customWidth="1" style="488" min="28" max="29"/>
    <col width="23" bestFit="1" customWidth="1" style="488" min="30" max="30"/>
    <col width="23" customWidth="1" style="488" min="31" max="31"/>
    <col width="23" bestFit="1" customWidth="1" style="488" min="32" max="32"/>
    <col width="23" customWidth="1" style="488" min="33" max="33"/>
    <col width="23" bestFit="1" customWidth="1" style="488" min="34" max="35"/>
    <col width="18" bestFit="1" customWidth="1" style="488" min="36" max="36"/>
    <col width="14" customWidth="1" style="488" min="37" max="37"/>
    <col width="18" customWidth="1" style="488" min="38" max="38"/>
    <col width="14" customWidth="1" style="488" min="39" max="40"/>
  </cols>
  <sheetData>
    <row r="2" ht="16.5" customHeight="1" s="488">
      <c r="A2" s="527" t="n"/>
      <c r="B2" s="505" t="n"/>
      <c r="C2" s="505" t="n"/>
      <c r="D2" s="506" t="n"/>
      <c r="E2" s="504" t="inlineStr">
        <is>
          <t>March - 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5" t="n"/>
      <c r="AI2" s="506" t="n"/>
      <c r="AJ2" s="50" t="n"/>
    </row>
    <row r="3">
      <c r="A3" s="508" t="inlineStr">
        <is>
          <t>Sr.No</t>
        </is>
      </c>
      <c r="B3" s="508" t="inlineStr">
        <is>
          <t>Location</t>
        </is>
      </c>
      <c r="C3" s="508" t="inlineStr">
        <is>
          <t>Meter</t>
        </is>
      </c>
      <c r="D3" s="521" t="inlineStr">
        <is>
          <t>Previous Reading</t>
        </is>
      </c>
      <c r="E3" s="51" t="n">
        <v>45352</v>
      </c>
      <c r="F3" s="51" t="n">
        <v>45353</v>
      </c>
      <c r="G3" s="51" t="n">
        <v>45354</v>
      </c>
      <c r="H3" s="51" t="n">
        <v>45355</v>
      </c>
      <c r="I3" s="51" t="n">
        <v>45356</v>
      </c>
      <c r="J3" s="51" t="n">
        <v>45357</v>
      </c>
      <c r="K3" s="51" t="n">
        <v>45358</v>
      </c>
      <c r="L3" s="51" t="n">
        <v>45359</v>
      </c>
      <c r="M3" s="51" t="n">
        <v>45360</v>
      </c>
      <c r="N3" s="51" t="n">
        <v>45361</v>
      </c>
      <c r="O3" s="51" t="n">
        <v>45362</v>
      </c>
      <c r="P3" s="51" t="n">
        <v>45363</v>
      </c>
      <c r="Q3" s="51" t="n">
        <v>45364</v>
      </c>
      <c r="R3" s="51" t="n">
        <v>45365</v>
      </c>
      <c r="S3" s="51" t="n">
        <v>45366</v>
      </c>
      <c r="T3" s="51" t="n">
        <v>45367</v>
      </c>
      <c r="U3" s="51" t="n">
        <v>45368</v>
      </c>
      <c r="V3" s="51" t="n">
        <v>45369</v>
      </c>
      <c r="W3" s="51" t="n">
        <v>45370</v>
      </c>
      <c r="X3" s="51" t="n">
        <v>45371</v>
      </c>
      <c r="Y3" s="51" t="n">
        <v>45372</v>
      </c>
      <c r="Z3" s="51" t="n">
        <v>45373</v>
      </c>
      <c r="AA3" s="51" t="n">
        <v>45374</v>
      </c>
      <c r="AB3" s="51" t="n">
        <v>45375</v>
      </c>
      <c r="AC3" s="51" t="n">
        <v>45376</v>
      </c>
      <c r="AD3" s="51" t="n">
        <v>45377</v>
      </c>
      <c r="AE3" s="51" t="n">
        <v>45378</v>
      </c>
      <c r="AF3" s="51" t="n">
        <v>45379</v>
      </c>
      <c r="AG3" s="51" t="n">
        <v>45380</v>
      </c>
      <c r="AH3" s="51" t="n">
        <v>45381</v>
      </c>
      <c r="AI3" s="51" t="n">
        <v>45382</v>
      </c>
      <c r="AJ3" s="518" t="inlineStr">
        <is>
          <t>Consumption</t>
        </is>
      </c>
    </row>
    <row r="4">
      <c r="A4" s="509" t="n"/>
      <c r="B4" s="509" t="n"/>
      <c r="C4" s="509" t="n"/>
      <c r="D4" s="509" t="n"/>
      <c r="E4" s="52" t="inlineStr">
        <is>
          <t>Fri</t>
        </is>
      </c>
      <c r="F4" s="52" t="inlineStr">
        <is>
          <t>Sat</t>
        </is>
      </c>
      <c r="G4" s="52" t="inlineStr">
        <is>
          <t>Sun</t>
        </is>
      </c>
      <c r="H4" s="52" t="inlineStr">
        <is>
          <t>Mon</t>
        </is>
      </c>
      <c r="I4" s="52" t="inlineStr">
        <is>
          <t>Tue</t>
        </is>
      </c>
      <c r="J4" s="52" t="inlineStr">
        <is>
          <t>Wed</t>
        </is>
      </c>
      <c r="K4" s="52" t="inlineStr">
        <is>
          <t>Thu</t>
        </is>
      </c>
      <c r="L4" s="52" t="inlineStr">
        <is>
          <t>Fri</t>
        </is>
      </c>
      <c r="M4" s="52" t="inlineStr">
        <is>
          <t>Sat</t>
        </is>
      </c>
      <c r="N4" s="52" t="inlineStr">
        <is>
          <t>Sun</t>
        </is>
      </c>
      <c r="O4" s="52" t="inlineStr">
        <is>
          <t>Mon</t>
        </is>
      </c>
      <c r="P4" s="52" t="inlineStr">
        <is>
          <t>Tue</t>
        </is>
      </c>
      <c r="Q4" s="52" t="inlineStr">
        <is>
          <t>Wed</t>
        </is>
      </c>
      <c r="R4" s="52" t="inlineStr">
        <is>
          <t>Thu</t>
        </is>
      </c>
      <c r="S4" s="52" t="inlineStr">
        <is>
          <t>Fri</t>
        </is>
      </c>
      <c r="T4" s="52" t="inlineStr">
        <is>
          <t>Sat</t>
        </is>
      </c>
      <c r="U4" s="52" t="inlineStr">
        <is>
          <t>Sun</t>
        </is>
      </c>
      <c r="V4" s="52" t="inlineStr">
        <is>
          <t>Mon</t>
        </is>
      </c>
      <c r="W4" s="52" t="inlineStr">
        <is>
          <t>Tue</t>
        </is>
      </c>
      <c r="X4" s="52" t="inlineStr">
        <is>
          <t>Wed</t>
        </is>
      </c>
      <c r="Y4" s="52" t="inlineStr">
        <is>
          <t>Thu</t>
        </is>
      </c>
      <c r="Z4" s="52" t="inlineStr">
        <is>
          <t>Fri</t>
        </is>
      </c>
      <c r="AA4" s="52" t="inlineStr">
        <is>
          <t>Sat</t>
        </is>
      </c>
      <c r="AB4" s="52" t="inlineStr">
        <is>
          <t>Sun</t>
        </is>
      </c>
      <c r="AC4" s="52" t="inlineStr">
        <is>
          <t>Mon</t>
        </is>
      </c>
      <c r="AD4" s="52" t="inlineStr">
        <is>
          <t>Tue</t>
        </is>
      </c>
      <c r="AE4" s="52" t="inlineStr">
        <is>
          <t>Wed</t>
        </is>
      </c>
      <c r="AF4" s="52" t="inlineStr">
        <is>
          <t>Thu</t>
        </is>
      </c>
      <c r="AG4" s="52" t="inlineStr">
        <is>
          <t>Fri</t>
        </is>
      </c>
      <c r="AH4" s="52" t="inlineStr">
        <is>
          <t>Sat</t>
        </is>
      </c>
      <c r="AI4" s="52" t="inlineStr">
        <is>
          <t>Sun</t>
        </is>
      </c>
      <c r="AJ4" s="509" t="n"/>
    </row>
    <row r="5">
      <c r="A5" s="509" t="n"/>
      <c r="B5" s="509" t="n"/>
      <c r="C5" s="509" t="n"/>
      <c r="D5" s="509" t="n"/>
      <c r="E5" s="52" t="inlineStr">
        <is>
          <t>Time</t>
        </is>
      </c>
      <c r="F5" s="52" t="inlineStr">
        <is>
          <t>Time</t>
        </is>
      </c>
      <c r="G5" s="52" t="inlineStr">
        <is>
          <t>Time</t>
        </is>
      </c>
      <c r="H5" s="52" t="inlineStr">
        <is>
          <t>Time</t>
        </is>
      </c>
      <c r="I5" s="52" t="inlineStr">
        <is>
          <t>Time</t>
        </is>
      </c>
      <c r="J5" s="52" t="inlineStr">
        <is>
          <t>Time</t>
        </is>
      </c>
      <c r="K5" s="52" t="inlineStr">
        <is>
          <t>Time</t>
        </is>
      </c>
      <c r="L5" s="52" t="inlineStr">
        <is>
          <t>Time</t>
        </is>
      </c>
      <c r="M5" s="52" t="inlineStr">
        <is>
          <t>Time</t>
        </is>
      </c>
      <c r="N5" s="52" t="inlineStr">
        <is>
          <t>Time</t>
        </is>
      </c>
      <c r="O5" s="52" t="inlineStr">
        <is>
          <t>Time</t>
        </is>
      </c>
      <c r="P5" s="52" t="inlineStr">
        <is>
          <t>Time</t>
        </is>
      </c>
      <c r="Q5" s="52" t="inlineStr">
        <is>
          <t>Time</t>
        </is>
      </c>
      <c r="R5" s="52" t="inlineStr">
        <is>
          <t>Time</t>
        </is>
      </c>
      <c r="S5" s="52" t="inlineStr">
        <is>
          <t>Time</t>
        </is>
      </c>
      <c r="T5" s="52" t="inlineStr">
        <is>
          <t>Time</t>
        </is>
      </c>
      <c r="U5" s="52" t="inlineStr">
        <is>
          <t>Time</t>
        </is>
      </c>
      <c r="V5" s="52" t="inlineStr">
        <is>
          <t>Time</t>
        </is>
      </c>
      <c r="W5" s="52" t="inlineStr">
        <is>
          <t>Time</t>
        </is>
      </c>
      <c r="X5" s="52" t="inlineStr">
        <is>
          <t>Time</t>
        </is>
      </c>
      <c r="Y5" s="52" t="inlineStr">
        <is>
          <t>Time</t>
        </is>
      </c>
      <c r="Z5" s="52" t="inlineStr">
        <is>
          <t>Time</t>
        </is>
      </c>
      <c r="AA5" s="52" t="inlineStr">
        <is>
          <t>Time</t>
        </is>
      </c>
      <c r="AB5" s="52" t="inlineStr">
        <is>
          <t>Time</t>
        </is>
      </c>
      <c r="AC5" s="52" t="inlineStr">
        <is>
          <t>Time</t>
        </is>
      </c>
      <c r="AD5" s="52" t="inlineStr">
        <is>
          <t>Time</t>
        </is>
      </c>
      <c r="AE5" s="52" t="inlineStr">
        <is>
          <t>Time</t>
        </is>
      </c>
      <c r="AF5" s="52" t="inlineStr">
        <is>
          <t>Time</t>
        </is>
      </c>
      <c r="AG5" s="52" t="inlineStr">
        <is>
          <t>Time</t>
        </is>
      </c>
      <c r="AH5" s="52" t="inlineStr">
        <is>
          <t>Time</t>
        </is>
      </c>
      <c r="AI5" s="52" t="inlineStr">
        <is>
          <t>Time</t>
        </is>
      </c>
      <c r="AJ5" s="509" t="n"/>
    </row>
    <row r="6">
      <c r="A6" s="510" t="n"/>
      <c r="B6" s="510" t="n"/>
      <c r="C6" s="510" t="n"/>
      <c r="D6" s="510" t="n"/>
      <c r="E6" s="53" t="n">
        <v>0.3333333333333333</v>
      </c>
      <c r="F6" s="53" t="n">
        <v>0.3333333333333333</v>
      </c>
      <c r="G6" s="53" t="n">
        <v>0.3333333333333333</v>
      </c>
      <c r="H6" s="53" t="n">
        <v>0.3333333333333333</v>
      </c>
      <c r="I6" s="53" t="n">
        <v>0.3333333333333333</v>
      </c>
      <c r="J6" s="53">
        <f>#REF!=AN73</f>
        <v/>
      </c>
      <c r="K6" s="53" t="n">
        <v>0.3333333333333333</v>
      </c>
      <c r="L6" s="53" t="n">
        <v>0.3333333333333333</v>
      </c>
      <c r="M6" s="53" t="n">
        <v>0.3333333333333333</v>
      </c>
      <c r="N6" s="53" t="n">
        <v>0.3333333333333333</v>
      </c>
      <c r="O6" s="53" t="n">
        <v>0.3333333333333333</v>
      </c>
      <c r="P6" s="53" t="n">
        <v>0.3333333333333333</v>
      </c>
      <c r="Q6" s="53" t="n">
        <v>0.3333333333333333</v>
      </c>
      <c r="R6" s="53" t="n">
        <v>0.3333333333333333</v>
      </c>
      <c r="S6" s="53" t="n">
        <v>0.3333333333333333</v>
      </c>
      <c r="T6" s="53" t="n">
        <v>0.3333333333333333</v>
      </c>
      <c r="U6" s="53" t="n">
        <v>0.3333333333333333</v>
      </c>
      <c r="V6" s="53" t="n">
        <v>0.3333333333333333</v>
      </c>
      <c r="W6" s="53" t="n">
        <v>0.3333333333333333</v>
      </c>
      <c r="X6" s="53" t="n">
        <v>0.3333333333333333</v>
      </c>
      <c r="Y6" s="53" t="n">
        <v>0.3333333333333333</v>
      </c>
      <c r="Z6" s="53" t="n">
        <v>0.3333333333333333</v>
      </c>
      <c r="AA6" s="53" t="n">
        <v>0.3333333333333333</v>
      </c>
      <c r="AB6" s="53" t="n">
        <v>0.3333333333333333</v>
      </c>
      <c r="AC6" s="53" t="n">
        <v>0.3333333333333333</v>
      </c>
      <c r="AD6" s="53" t="n">
        <v>0.3333333333333333</v>
      </c>
      <c r="AE6" s="53" t="n">
        <v>0.3333333333333333</v>
      </c>
      <c r="AF6" s="53" t="n">
        <v>0.3333333333333333</v>
      </c>
      <c r="AG6" s="53" t="n">
        <v>0.3333333333333333</v>
      </c>
      <c r="AH6" s="53" t="n">
        <v>0.3333333333333333</v>
      </c>
      <c r="AI6" s="53" t="n">
        <v>0.3333333333333333</v>
      </c>
      <c r="AJ6" s="510" t="n"/>
    </row>
    <row r="7" ht="14.25" customHeight="1" s="488">
      <c r="A7" s="500" t="n">
        <v>1</v>
      </c>
      <c r="B7" s="67" t="n"/>
      <c r="C7" s="54" t="inlineStr">
        <is>
          <t>SL No 540430038840 (EB Unit)</t>
        </is>
      </c>
      <c r="D7" s="154" t="n">
        <v>6604</v>
      </c>
      <c r="E7" s="561" t="n">
        <v>6890</v>
      </c>
      <c r="F7" s="561" t="n">
        <v>7077</v>
      </c>
      <c r="G7" s="5" t="n">
        <v>7264</v>
      </c>
      <c r="H7" s="5" t="n">
        <v>7501</v>
      </c>
      <c r="I7" s="561" t="n">
        <v>7740</v>
      </c>
      <c r="J7" s="561" t="n">
        <v>8016</v>
      </c>
      <c r="K7" s="561" t="n">
        <v>8260</v>
      </c>
      <c r="L7" s="561" t="n">
        <v>8503</v>
      </c>
      <c r="M7" s="6" t="n">
        <v>8721</v>
      </c>
      <c r="N7" s="561" t="n">
        <v>8938</v>
      </c>
      <c r="O7" s="561" t="n">
        <v>9166</v>
      </c>
      <c r="P7" s="561" t="n">
        <v>9432</v>
      </c>
      <c r="Q7" s="6" t="n">
        <v>9675</v>
      </c>
      <c r="R7" s="561" t="n">
        <v>9922</v>
      </c>
      <c r="S7" s="561" t="n">
        <v>10128</v>
      </c>
      <c r="T7" s="561" t="n">
        <v>10324</v>
      </c>
      <c r="U7" s="561" t="n">
        <v>10542</v>
      </c>
      <c r="V7" s="6" t="n">
        <v>10788</v>
      </c>
      <c r="W7" s="561" t="n">
        <v>11051</v>
      </c>
      <c r="X7" s="561" t="n">
        <v>11305</v>
      </c>
      <c r="Y7" s="561" t="n">
        <v>11563</v>
      </c>
      <c r="Z7" s="561" t="n">
        <v>11784</v>
      </c>
      <c r="AA7" s="561" t="n">
        <v>11987</v>
      </c>
      <c r="AB7" s="561" t="n">
        <v>12185</v>
      </c>
      <c r="AC7" s="561" t="n">
        <v>12392</v>
      </c>
      <c r="AD7" s="561" t="n">
        <v>12629</v>
      </c>
      <c r="AE7" s="561" t="n">
        <v>12859</v>
      </c>
      <c r="AF7" s="561" t="n">
        <v>13093</v>
      </c>
      <c r="AG7" s="561" t="n">
        <v>13317</v>
      </c>
      <c r="AH7" s="34" t="n">
        <v>13516</v>
      </c>
      <c r="AI7" s="34" t="n">
        <v>13613</v>
      </c>
      <c r="AJ7" s="7">
        <f>AI7-D7</f>
        <v/>
      </c>
    </row>
    <row r="8" ht="14.25" customHeight="1" s="488">
      <c r="A8" s="500" t="n"/>
      <c r="B8" s="67" t="n"/>
      <c r="C8" s="157" t="inlineStr">
        <is>
          <t>DG</t>
        </is>
      </c>
      <c r="D8" s="154" t="n">
        <v>165</v>
      </c>
      <c r="E8" s="561" t="n">
        <v>218</v>
      </c>
      <c r="F8" s="561" t="n">
        <v>220</v>
      </c>
      <c r="G8" s="561" t="n">
        <v>220</v>
      </c>
      <c r="H8" s="561" t="n">
        <v>220</v>
      </c>
      <c r="I8" s="561" t="n">
        <v>220</v>
      </c>
      <c r="J8" s="561" t="n">
        <v>220</v>
      </c>
      <c r="K8" s="561" t="n">
        <v>220</v>
      </c>
      <c r="L8" s="561" t="n">
        <v>220</v>
      </c>
      <c r="M8" s="561" t="n">
        <v>220</v>
      </c>
      <c r="N8" s="561" t="n">
        <v>220</v>
      </c>
      <c r="O8" s="561" t="n">
        <v>220</v>
      </c>
      <c r="P8" s="561" t="n">
        <v>220</v>
      </c>
      <c r="Q8" s="561" t="n">
        <v>220</v>
      </c>
      <c r="R8" s="561" t="n">
        <v>258</v>
      </c>
      <c r="S8" s="561" t="n">
        <v>271</v>
      </c>
      <c r="T8" s="561" t="n">
        <v>271</v>
      </c>
      <c r="U8" s="561" t="n">
        <v>271</v>
      </c>
      <c r="V8" s="561" t="n">
        <v>271</v>
      </c>
      <c r="W8" s="561" t="n">
        <v>271</v>
      </c>
      <c r="X8" s="561" t="n">
        <v>271</v>
      </c>
      <c r="Y8" s="561" t="n">
        <v>272</v>
      </c>
      <c r="Z8" s="561" t="n">
        <v>272</v>
      </c>
      <c r="AA8" s="561" t="n">
        <v>272</v>
      </c>
      <c r="AB8" s="561" t="n">
        <v>272</v>
      </c>
      <c r="AC8" s="561" t="n">
        <v>272</v>
      </c>
      <c r="AD8" s="561" t="n">
        <v>272</v>
      </c>
      <c r="AE8" s="561" t="n">
        <v>272</v>
      </c>
      <c r="AF8" s="561" t="n">
        <v>272</v>
      </c>
      <c r="AG8" s="561" t="n">
        <v>272</v>
      </c>
      <c r="AH8" s="34" t="n">
        <v>278</v>
      </c>
      <c r="AI8" s="34" t="n">
        <v>278</v>
      </c>
      <c r="AJ8" s="7">
        <f>AI8-D8</f>
        <v/>
      </c>
    </row>
    <row r="9" ht="14.25" customHeight="1" s="488">
      <c r="A9" s="500" t="n">
        <v>2</v>
      </c>
      <c r="B9" s="67" t="n"/>
      <c r="C9" s="54" t="inlineStr">
        <is>
          <t>SL No 540430038845 (EB Unit)</t>
        </is>
      </c>
      <c r="D9" s="154" t="n">
        <v>1956</v>
      </c>
      <c r="E9" s="561" t="n">
        <v>1956</v>
      </c>
      <c r="F9" s="561" t="n">
        <v>1956</v>
      </c>
      <c r="G9" s="561" t="n">
        <v>1956</v>
      </c>
      <c r="H9" s="561" t="n">
        <v>1956</v>
      </c>
      <c r="I9" s="561" t="n">
        <v>1956</v>
      </c>
      <c r="J9" s="561" t="n">
        <v>1956</v>
      </c>
      <c r="K9" s="561" t="n">
        <v>1956</v>
      </c>
      <c r="L9" s="561" t="n">
        <v>1956</v>
      </c>
      <c r="M9" s="561" t="n">
        <v>1956</v>
      </c>
      <c r="N9" s="561" t="n">
        <v>1956</v>
      </c>
      <c r="O9" s="561" t="n">
        <v>1956</v>
      </c>
      <c r="P9" s="561" t="n">
        <v>1956</v>
      </c>
      <c r="Q9" s="561" t="n">
        <v>1956</v>
      </c>
      <c r="R9" s="561" t="n">
        <v>1956</v>
      </c>
      <c r="S9" s="561" t="n">
        <v>1956</v>
      </c>
      <c r="T9" s="561" t="n">
        <v>1956</v>
      </c>
      <c r="U9" s="561" t="n">
        <v>1956</v>
      </c>
      <c r="V9" s="561" t="n">
        <v>1956</v>
      </c>
      <c r="W9" s="561" t="n">
        <v>1956</v>
      </c>
      <c r="X9" s="561" t="n">
        <v>1956</v>
      </c>
      <c r="Y9" s="561" t="n">
        <v>1956</v>
      </c>
      <c r="Z9" s="561" t="n">
        <v>1956</v>
      </c>
      <c r="AA9" s="561" t="n">
        <v>1956</v>
      </c>
      <c r="AB9" s="561" t="n">
        <v>1956</v>
      </c>
      <c r="AC9" s="561" t="n">
        <v>1956</v>
      </c>
      <c r="AD9" s="561" t="n">
        <v>1956</v>
      </c>
      <c r="AE9" s="561" t="n">
        <v>1956</v>
      </c>
      <c r="AF9" s="561" t="n">
        <v>1956</v>
      </c>
      <c r="AG9" s="561" t="n">
        <v>1956</v>
      </c>
      <c r="AH9" s="34" t="n">
        <v>1956</v>
      </c>
      <c r="AI9" s="34" t="n">
        <v>1956</v>
      </c>
      <c r="AJ9" s="7">
        <f>AI9-D9</f>
        <v/>
      </c>
    </row>
    <row r="10" ht="14.25" customHeight="1" s="488">
      <c r="A10" s="500" t="n"/>
      <c r="B10" s="67" t="n"/>
      <c r="C10" s="157" t="inlineStr">
        <is>
          <t>DG</t>
        </is>
      </c>
      <c r="D10" s="154" t="n">
        <v>28</v>
      </c>
      <c r="E10" s="561" t="n">
        <v>28</v>
      </c>
      <c r="F10" s="561" t="n">
        <v>28</v>
      </c>
      <c r="G10" s="561" t="n">
        <v>28</v>
      </c>
      <c r="H10" s="561" t="n">
        <v>28</v>
      </c>
      <c r="I10" s="561" t="n">
        <v>28</v>
      </c>
      <c r="J10" s="561" t="n">
        <v>28</v>
      </c>
      <c r="K10" s="561" t="n">
        <v>28</v>
      </c>
      <c r="L10" s="561" t="n">
        <v>28</v>
      </c>
      <c r="M10" s="561" t="n">
        <v>28</v>
      </c>
      <c r="N10" s="561" t="n">
        <v>28</v>
      </c>
      <c r="O10" s="561" t="n">
        <v>28</v>
      </c>
      <c r="P10" s="561" t="n">
        <v>28</v>
      </c>
      <c r="Q10" s="561" t="n">
        <v>28</v>
      </c>
      <c r="R10" s="561" t="n">
        <v>28</v>
      </c>
      <c r="S10" s="561" t="n">
        <v>28</v>
      </c>
      <c r="T10" s="561" t="n">
        <v>28</v>
      </c>
      <c r="U10" s="561" t="n">
        <v>28</v>
      </c>
      <c r="V10" s="561" t="n">
        <v>28</v>
      </c>
      <c r="W10" s="561" t="n">
        <v>28</v>
      </c>
      <c r="X10" s="561" t="n">
        <v>28</v>
      </c>
      <c r="Y10" s="561" t="n">
        <v>28</v>
      </c>
      <c r="Z10" s="561" t="n">
        <v>28</v>
      </c>
      <c r="AA10" s="561" t="n">
        <v>28</v>
      </c>
      <c r="AB10" s="561" t="n">
        <v>28</v>
      </c>
      <c r="AC10" s="561" t="n">
        <v>28</v>
      </c>
      <c r="AD10" s="561" t="n">
        <v>28</v>
      </c>
      <c r="AE10" s="561" t="n">
        <v>28</v>
      </c>
      <c r="AF10" s="561" t="n">
        <v>28</v>
      </c>
      <c r="AG10" s="561" t="n">
        <v>28</v>
      </c>
      <c r="AH10" s="561" t="n">
        <v>28</v>
      </c>
      <c r="AI10" s="561" t="n">
        <v>28</v>
      </c>
      <c r="AJ10" s="7">
        <f>AI10-D10</f>
        <v/>
      </c>
    </row>
    <row r="11" ht="14.25" customHeight="1" s="488">
      <c r="A11" s="500" t="n">
        <v>3</v>
      </c>
      <c r="B11" s="67" t="n"/>
      <c r="C11" s="54" t="inlineStr">
        <is>
          <t>SL No 540430038844 (EB Unit)</t>
        </is>
      </c>
      <c r="D11" s="154" t="n">
        <v>16819</v>
      </c>
      <c r="E11" s="561" t="n">
        <v>17196</v>
      </c>
      <c r="F11" s="561" t="n">
        <v>17459</v>
      </c>
      <c r="G11" s="561" t="n">
        <v>17701</v>
      </c>
      <c r="H11" s="561" t="n">
        <v>18037</v>
      </c>
      <c r="I11" s="561" t="n">
        <v>18363</v>
      </c>
      <c r="J11" s="561" t="n">
        <v>18729</v>
      </c>
      <c r="K11" s="561" t="n">
        <v>19110</v>
      </c>
      <c r="L11" s="561" t="n">
        <v>19460</v>
      </c>
      <c r="M11" s="561" t="n">
        <v>19746</v>
      </c>
      <c r="N11" s="561" t="n">
        <v>20030</v>
      </c>
      <c r="O11" s="561" t="n">
        <v>20356</v>
      </c>
      <c r="P11" s="561" t="n">
        <v>20729</v>
      </c>
      <c r="Q11" s="561" t="n">
        <v>21071</v>
      </c>
      <c r="R11" s="561" t="n">
        <v>21423</v>
      </c>
      <c r="S11" s="561" t="n">
        <v>21703</v>
      </c>
      <c r="T11" s="561" t="n">
        <v>21962</v>
      </c>
      <c r="U11" s="561" t="n">
        <v>22246</v>
      </c>
      <c r="V11" s="561" t="n">
        <v>22598</v>
      </c>
      <c r="W11" s="561" t="n">
        <v>22978</v>
      </c>
      <c r="X11" s="561" t="n">
        <v>23334</v>
      </c>
      <c r="Y11" s="561" t="n">
        <v>23707</v>
      </c>
      <c r="Z11" s="561" t="n">
        <v>24010</v>
      </c>
      <c r="AA11" s="561" t="n">
        <v>24269</v>
      </c>
      <c r="AB11" s="561" t="n">
        <v>24524</v>
      </c>
      <c r="AC11" s="561" t="n">
        <v>24795</v>
      </c>
      <c r="AD11" s="561" t="n">
        <v>25118</v>
      </c>
      <c r="AE11" s="8" t="n">
        <v>25438</v>
      </c>
      <c r="AF11" s="8" t="n">
        <v>25765</v>
      </c>
      <c r="AG11" s="8" t="n">
        <v>26060</v>
      </c>
      <c r="AH11" s="34" t="n">
        <v>26319</v>
      </c>
      <c r="AI11" s="34" t="n">
        <v>26440</v>
      </c>
      <c r="AJ11" s="7">
        <f>AI11-D11</f>
        <v/>
      </c>
    </row>
    <row r="12" ht="14.25" customHeight="1" s="488">
      <c r="A12" s="500" t="n"/>
      <c r="B12" s="67" t="n"/>
      <c r="C12" s="157" t="inlineStr">
        <is>
          <t>DG</t>
        </is>
      </c>
      <c r="D12" s="154" t="n">
        <v>352</v>
      </c>
      <c r="E12" s="561" t="n">
        <v>430</v>
      </c>
      <c r="F12" s="561" t="n">
        <v>433</v>
      </c>
      <c r="G12" s="561" t="n">
        <v>433</v>
      </c>
      <c r="H12" s="561" t="n">
        <v>433</v>
      </c>
      <c r="I12" s="561" t="n">
        <v>433</v>
      </c>
      <c r="J12" s="561" t="n">
        <v>433</v>
      </c>
      <c r="K12" s="561" t="n">
        <v>433</v>
      </c>
      <c r="L12" s="561" t="n">
        <v>433</v>
      </c>
      <c r="M12" s="561" t="n">
        <v>433</v>
      </c>
      <c r="N12" s="561" t="n">
        <v>433</v>
      </c>
      <c r="O12" s="561" t="n">
        <v>433</v>
      </c>
      <c r="P12" s="561" t="n">
        <v>433</v>
      </c>
      <c r="Q12" s="561" t="n">
        <v>433</v>
      </c>
      <c r="R12" s="561" t="n">
        <v>491</v>
      </c>
      <c r="S12" s="561" t="n">
        <v>508</v>
      </c>
      <c r="T12" s="561" t="n">
        <v>508</v>
      </c>
      <c r="U12" s="561" t="n">
        <v>508</v>
      </c>
      <c r="V12" s="561" t="n">
        <v>508</v>
      </c>
      <c r="W12" s="561" t="n">
        <v>508</v>
      </c>
      <c r="X12" s="561" t="n">
        <v>508</v>
      </c>
      <c r="Y12" s="561" t="n">
        <v>508</v>
      </c>
      <c r="Z12" s="561" t="n">
        <v>508</v>
      </c>
      <c r="AA12" s="561" t="n">
        <v>508</v>
      </c>
      <c r="AB12" s="561" t="n">
        <v>508</v>
      </c>
      <c r="AC12" s="561" t="n">
        <v>508</v>
      </c>
      <c r="AD12" s="561" t="n">
        <v>508</v>
      </c>
      <c r="AE12" s="561" t="n">
        <v>508</v>
      </c>
      <c r="AF12" s="561" t="n">
        <v>508</v>
      </c>
      <c r="AG12" s="561" t="n">
        <v>508</v>
      </c>
      <c r="AH12" s="34" t="n">
        <v>517</v>
      </c>
      <c r="AI12" s="34" t="n">
        <v>517</v>
      </c>
      <c r="AJ12" s="7">
        <f>AI12-D12</f>
        <v/>
      </c>
    </row>
    <row r="13" ht="14.25" customHeight="1" s="488">
      <c r="A13" s="500" t="n">
        <v>4</v>
      </c>
      <c r="B13" s="67" t="n"/>
      <c r="C13" s="54" t="inlineStr">
        <is>
          <t>SL No 540430038821 (EB Unit)</t>
        </is>
      </c>
      <c r="D13" s="154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34" t="n">
        <v>0</v>
      </c>
      <c r="AI13" s="34" t="n">
        <v>0</v>
      </c>
      <c r="AJ13" s="7">
        <f>AI13-D13</f>
        <v/>
      </c>
    </row>
    <row r="14" ht="14.25" customHeight="1" s="488">
      <c r="A14" s="500" t="n"/>
      <c r="B14" s="67" t="n"/>
      <c r="C14" s="157" t="inlineStr">
        <is>
          <t>DG</t>
        </is>
      </c>
      <c r="D14" s="154" t="n">
        <v>0</v>
      </c>
      <c r="E14" s="154" t="n">
        <v>0</v>
      </c>
      <c r="F14" s="154" t="n">
        <v>0</v>
      </c>
      <c r="G14" s="154" t="n">
        <v>0</v>
      </c>
      <c r="H14" s="154" t="n">
        <v>0</v>
      </c>
      <c r="I14" s="154" t="n">
        <v>0</v>
      </c>
      <c r="J14" s="154" t="n">
        <v>0</v>
      </c>
      <c r="K14" s="154" t="n">
        <v>0</v>
      </c>
      <c r="L14" s="154" t="n">
        <v>0</v>
      </c>
      <c r="M14" s="154" t="n">
        <v>0</v>
      </c>
      <c r="N14" s="154" t="n">
        <v>0</v>
      </c>
      <c r="O14" s="154" t="n">
        <v>0</v>
      </c>
      <c r="P14" s="154" t="n">
        <v>0</v>
      </c>
      <c r="Q14" s="154" t="n">
        <v>0</v>
      </c>
      <c r="R14" s="154" t="n">
        <v>0</v>
      </c>
      <c r="S14" s="154" t="n">
        <v>0</v>
      </c>
      <c r="T14" s="154" t="n">
        <v>0</v>
      </c>
      <c r="U14" s="154" t="n">
        <v>0</v>
      </c>
      <c r="V14" s="154" t="n">
        <v>0</v>
      </c>
      <c r="W14" s="154" t="n">
        <v>0</v>
      </c>
      <c r="X14" s="154" t="n">
        <v>0</v>
      </c>
      <c r="Y14" s="154" t="n">
        <v>0</v>
      </c>
      <c r="Z14" s="154" t="n">
        <v>0</v>
      </c>
      <c r="AA14" s="154" t="n">
        <v>0</v>
      </c>
      <c r="AB14" s="154" t="n">
        <v>0</v>
      </c>
      <c r="AC14" s="154" t="n">
        <v>0</v>
      </c>
      <c r="AD14" s="154" t="n">
        <v>0</v>
      </c>
      <c r="AE14" s="154" t="n">
        <v>0</v>
      </c>
      <c r="AF14" s="154" t="n">
        <v>0</v>
      </c>
      <c r="AG14" s="154" t="n">
        <v>0</v>
      </c>
      <c r="AH14" s="154" t="n">
        <v>0</v>
      </c>
      <c r="AI14" s="154" t="n">
        <v>0</v>
      </c>
      <c r="AJ14" s="7">
        <f>AI14-D14</f>
        <v/>
      </c>
    </row>
    <row r="15" ht="14.25" customHeight="1" s="488">
      <c r="A15" s="500" t="n">
        <v>5</v>
      </c>
      <c r="B15" s="67" t="n"/>
      <c r="C15" s="54" t="inlineStr">
        <is>
          <t>SL No 540430038849 (EB Unit)</t>
        </is>
      </c>
      <c r="D15" s="154" t="n">
        <v>2670</v>
      </c>
      <c r="E15" s="561" t="n">
        <v>2868</v>
      </c>
      <c r="F15" s="561" t="n">
        <v>2973</v>
      </c>
      <c r="G15" s="5" t="n">
        <v>3077</v>
      </c>
      <c r="H15" s="5" t="n">
        <v>3235</v>
      </c>
      <c r="I15" s="561" t="n">
        <v>3404</v>
      </c>
      <c r="J15" s="561" t="n">
        <v>3602</v>
      </c>
      <c r="K15" s="561" t="n">
        <v>3782</v>
      </c>
      <c r="L15" s="561" t="n">
        <v>3944</v>
      </c>
      <c r="M15" s="561" t="n">
        <v>4053</v>
      </c>
      <c r="N15" s="561" t="n">
        <v>4163</v>
      </c>
      <c r="O15" s="561" t="n">
        <v>4319</v>
      </c>
      <c r="P15" s="561" t="n">
        <v>4493</v>
      </c>
      <c r="Q15" s="561" t="n">
        <v>4656</v>
      </c>
      <c r="R15" s="561" t="n">
        <v>4826</v>
      </c>
      <c r="S15" s="561" t="n">
        <v>4956</v>
      </c>
      <c r="T15" s="561" t="n">
        <v>5048</v>
      </c>
      <c r="U15" s="561" t="n">
        <v>5170</v>
      </c>
      <c r="V15" s="561" t="n">
        <v>5340</v>
      </c>
      <c r="W15" s="561" t="n">
        <v>5518</v>
      </c>
      <c r="X15" s="561" t="n">
        <v>5697</v>
      </c>
      <c r="Y15" s="33" t="n">
        <v>5870</v>
      </c>
      <c r="Z15" s="561" t="n">
        <v>6024</v>
      </c>
      <c r="AA15" s="561" t="n">
        <v>6138</v>
      </c>
      <c r="AB15" s="561" t="n">
        <v>6241</v>
      </c>
      <c r="AC15" s="561" t="n">
        <v>6359</v>
      </c>
      <c r="AD15" s="561" t="n">
        <v>6496</v>
      </c>
      <c r="AE15" s="8" t="n">
        <v>6649</v>
      </c>
      <c r="AF15" s="8" t="n">
        <v>6811</v>
      </c>
      <c r="AG15" s="8" t="n">
        <v>6975</v>
      </c>
      <c r="AH15" s="34" t="n">
        <v>7097</v>
      </c>
      <c r="AI15" s="34" t="n">
        <v>7150</v>
      </c>
      <c r="AJ15" s="7">
        <f>AI15-D15</f>
        <v/>
      </c>
    </row>
    <row r="16" ht="14.25" customHeight="1" s="488">
      <c r="A16" s="500" t="n"/>
      <c r="B16" s="67" t="n"/>
      <c r="C16" s="157" t="inlineStr">
        <is>
          <t>DG</t>
        </is>
      </c>
      <c r="D16" s="154" t="n">
        <v>76</v>
      </c>
      <c r="E16" s="561" t="n">
        <v>120</v>
      </c>
      <c r="F16" s="561" t="n">
        <v>121</v>
      </c>
      <c r="G16" s="561" t="n">
        <v>121</v>
      </c>
      <c r="H16" s="561" t="n">
        <v>121</v>
      </c>
      <c r="I16" s="561" t="n">
        <v>121</v>
      </c>
      <c r="J16" s="561" t="n">
        <v>121</v>
      </c>
      <c r="K16" s="561" t="n">
        <v>121</v>
      </c>
      <c r="L16" s="561" t="n">
        <v>121</v>
      </c>
      <c r="M16" s="561" t="n">
        <v>121</v>
      </c>
      <c r="N16" s="561" t="n">
        <v>121</v>
      </c>
      <c r="O16" s="561" t="n">
        <v>121</v>
      </c>
      <c r="P16" s="561" t="n">
        <v>121</v>
      </c>
      <c r="Q16" s="561" t="n">
        <v>121</v>
      </c>
      <c r="R16" s="561" t="n">
        <v>149</v>
      </c>
      <c r="S16" s="561" t="n">
        <v>154</v>
      </c>
      <c r="T16" s="561" t="n">
        <v>154</v>
      </c>
      <c r="U16" s="561" t="n">
        <v>154</v>
      </c>
      <c r="V16" s="561" t="n">
        <v>154</v>
      </c>
      <c r="W16" s="561" t="n">
        <v>154</v>
      </c>
      <c r="X16" s="561" t="n">
        <v>154</v>
      </c>
      <c r="Y16" s="561" t="n">
        <v>155</v>
      </c>
      <c r="Z16" s="561" t="n">
        <v>155</v>
      </c>
      <c r="AA16" s="561" t="n">
        <v>155</v>
      </c>
      <c r="AB16" s="561" t="n">
        <v>155</v>
      </c>
      <c r="AC16" s="561" t="n">
        <v>155</v>
      </c>
      <c r="AD16" s="561" t="n">
        <v>155</v>
      </c>
      <c r="AE16" s="561" t="n">
        <v>155</v>
      </c>
      <c r="AF16" s="561" t="n">
        <v>155</v>
      </c>
      <c r="AG16" s="561" t="n">
        <v>155</v>
      </c>
      <c r="AH16" s="34" t="n">
        <v>159</v>
      </c>
      <c r="AI16" s="34" t="n">
        <v>159</v>
      </c>
      <c r="AJ16" s="7">
        <f>AI16-D16</f>
        <v/>
      </c>
    </row>
    <row r="17" ht="14.25" customHeight="1" s="488">
      <c r="A17" s="500" t="n">
        <v>6</v>
      </c>
      <c r="B17" s="67" t="n"/>
      <c r="C17" s="54" t="inlineStr">
        <is>
          <t>SL No 540430038696 (EB Unit)</t>
        </is>
      </c>
      <c r="D17" s="154" t="n">
        <v>7208</v>
      </c>
      <c r="E17" s="561" t="n">
        <v>7489</v>
      </c>
      <c r="F17" s="561" t="n">
        <v>7616</v>
      </c>
      <c r="G17" s="561" t="n">
        <v>7747</v>
      </c>
      <c r="H17" s="561" t="n">
        <v>7999</v>
      </c>
      <c r="I17" s="561" t="n">
        <v>8168</v>
      </c>
      <c r="J17" s="561" t="n">
        <v>8384</v>
      </c>
      <c r="K17" s="561" t="n">
        <v>8618</v>
      </c>
      <c r="L17" s="561" t="n">
        <v>8862</v>
      </c>
      <c r="M17" s="561" t="n">
        <v>9031</v>
      </c>
      <c r="N17" s="561" t="n">
        <v>9157</v>
      </c>
      <c r="O17" s="561" t="n">
        <v>9390</v>
      </c>
      <c r="P17" s="561" t="n">
        <v>9632</v>
      </c>
      <c r="Q17" s="561" t="n">
        <v>9846</v>
      </c>
      <c r="R17" s="561" t="n">
        <v>10087</v>
      </c>
      <c r="S17" s="561" t="n">
        <v>10280</v>
      </c>
      <c r="T17" s="561" t="n">
        <v>10419</v>
      </c>
      <c r="U17" s="561" t="n">
        <v>10545</v>
      </c>
      <c r="V17" s="561" t="n">
        <v>10792</v>
      </c>
      <c r="W17" s="561" t="n">
        <v>11047</v>
      </c>
      <c r="X17" s="561" t="n">
        <v>11291</v>
      </c>
      <c r="Y17" s="561" t="n">
        <v>11527</v>
      </c>
      <c r="Z17" s="561" t="n">
        <v>11717</v>
      </c>
      <c r="AA17" s="561" t="n">
        <v>11844</v>
      </c>
      <c r="AB17" s="561" t="n">
        <v>11930</v>
      </c>
      <c r="AC17" s="561" t="n">
        <v>12027</v>
      </c>
      <c r="AD17" s="561" t="n">
        <v>12230</v>
      </c>
      <c r="AE17" s="561" t="n">
        <v>12449</v>
      </c>
      <c r="AF17" s="8" t="n">
        <v>12650</v>
      </c>
      <c r="AG17" s="561" t="n">
        <v>12826</v>
      </c>
      <c r="AH17" s="34" t="n">
        <v>12947</v>
      </c>
      <c r="AI17" s="34" t="n">
        <v>13012</v>
      </c>
      <c r="AJ17" s="7">
        <f>AI17-D17</f>
        <v/>
      </c>
    </row>
    <row r="18" ht="14.25" customHeight="1" s="488">
      <c r="A18" s="500" t="n"/>
      <c r="B18" s="67" t="n"/>
      <c r="C18" s="157" t="inlineStr">
        <is>
          <t>DG</t>
        </is>
      </c>
      <c r="D18" s="154" t="n">
        <v>171</v>
      </c>
      <c r="E18" s="561" t="n">
        <v>231</v>
      </c>
      <c r="F18" s="561" t="n">
        <v>232</v>
      </c>
      <c r="G18" s="561" t="n">
        <v>232</v>
      </c>
      <c r="H18" s="561" t="n">
        <v>232</v>
      </c>
      <c r="I18" s="561" t="n">
        <v>232</v>
      </c>
      <c r="J18" s="561" t="n">
        <v>232</v>
      </c>
      <c r="K18" s="561" t="n">
        <v>232</v>
      </c>
      <c r="L18" s="561" t="n">
        <v>232</v>
      </c>
      <c r="M18" s="561" t="n">
        <v>232</v>
      </c>
      <c r="N18" s="561" t="n">
        <v>232</v>
      </c>
      <c r="O18" s="561" t="n">
        <v>232</v>
      </c>
      <c r="P18" s="561" t="n">
        <v>232</v>
      </c>
      <c r="Q18" s="561" t="n">
        <v>232</v>
      </c>
      <c r="R18" s="561" t="n">
        <v>284</v>
      </c>
      <c r="S18" s="561" t="n">
        <v>299</v>
      </c>
      <c r="T18" s="561" t="n">
        <v>299</v>
      </c>
      <c r="U18" s="561" t="n">
        <v>299</v>
      </c>
      <c r="V18" s="561" t="n">
        <v>299</v>
      </c>
      <c r="W18" s="561" t="n">
        <v>299</v>
      </c>
      <c r="X18" s="561" t="n">
        <v>299</v>
      </c>
      <c r="Y18" s="561" t="n">
        <v>300</v>
      </c>
      <c r="Z18" s="561" t="n">
        <v>300</v>
      </c>
      <c r="AA18" s="561" t="n">
        <v>300</v>
      </c>
      <c r="AB18" s="561" t="n">
        <v>300</v>
      </c>
      <c r="AC18" s="561" t="n">
        <v>300</v>
      </c>
      <c r="AD18" s="561" t="n">
        <v>300</v>
      </c>
      <c r="AE18" s="561" t="n">
        <v>300</v>
      </c>
      <c r="AF18" s="561" t="n">
        <v>300</v>
      </c>
      <c r="AG18" s="561" t="n">
        <v>300</v>
      </c>
      <c r="AH18" s="561" t="n">
        <v>300</v>
      </c>
      <c r="AI18" s="561" t="n">
        <v>300</v>
      </c>
      <c r="AJ18" s="7">
        <f>AI18-D18</f>
        <v/>
      </c>
    </row>
    <row r="19" ht="14.25" customHeight="1" s="488">
      <c r="A19" s="500" t="n">
        <v>7</v>
      </c>
      <c r="B19" s="67" t="n"/>
      <c r="C19" s="54" t="inlineStr">
        <is>
          <t>SL No 540430038843 (EB Unit)</t>
        </is>
      </c>
      <c r="D19" s="154" t="n">
        <v>29055</v>
      </c>
      <c r="E19" s="561" t="n">
        <v>30140</v>
      </c>
      <c r="F19" s="5" t="n">
        <v>30900</v>
      </c>
      <c r="G19" s="5" t="n">
        <v>31689</v>
      </c>
      <c r="H19" s="561" t="n">
        <v>32526</v>
      </c>
      <c r="I19" s="561" t="n">
        <v>33424</v>
      </c>
      <c r="J19" s="561" t="n">
        <v>34380</v>
      </c>
      <c r="K19" s="561" t="n">
        <v>35165</v>
      </c>
      <c r="L19" s="561" t="n">
        <v>35988</v>
      </c>
      <c r="M19" s="561" t="n">
        <v>36654</v>
      </c>
      <c r="N19" s="561" t="n">
        <v>37387</v>
      </c>
      <c r="O19" s="561" t="n">
        <v>38168</v>
      </c>
      <c r="P19" s="561" t="n">
        <v>39015</v>
      </c>
      <c r="Q19" s="561" t="n">
        <v>39822</v>
      </c>
      <c r="R19" s="5" t="n">
        <v>40654</v>
      </c>
      <c r="S19" s="561" t="n">
        <v>41394</v>
      </c>
      <c r="T19" s="561" t="n">
        <v>42060</v>
      </c>
      <c r="U19" s="561" t="n">
        <v>42788</v>
      </c>
      <c r="V19" s="561" t="n">
        <v>43574</v>
      </c>
      <c r="W19" s="5" t="n">
        <v>44408</v>
      </c>
      <c r="X19" s="561" t="n">
        <v>45244</v>
      </c>
      <c r="Y19" s="561" t="n">
        <v>46076</v>
      </c>
      <c r="Z19" s="561" t="n">
        <v>46872</v>
      </c>
      <c r="AA19" s="561" t="n">
        <v>47586</v>
      </c>
      <c r="AB19" s="33" t="n">
        <v>48246</v>
      </c>
      <c r="AC19" s="561" t="n">
        <v>48812</v>
      </c>
      <c r="AD19" s="561" t="n">
        <v>49605</v>
      </c>
      <c r="AE19" s="8" t="n">
        <v>50402</v>
      </c>
      <c r="AF19" s="8" t="n">
        <v>51220</v>
      </c>
      <c r="AG19" s="8" t="n">
        <v>52028</v>
      </c>
      <c r="AH19" s="34" t="n">
        <v>52719</v>
      </c>
      <c r="AI19" s="34" t="n">
        <v>53008</v>
      </c>
      <c r="AJ19" s="7">
        <f>AI19-D19</f>
        <v/>
      </c>
    </row>
    <row r="20" ht="14.25" customHeight="1" s="488">
      <c r="A20" s="500" t="n"/>
      <c r="B20" s="67" t="n"/>
      <c r="C20" s="157" t="inlineStr">
        <is>
          <t>DG</t>
        </is>
      </c>
      <c r="D20" s="154" t="n">
        <v>733</v>
      </c>
      <c r="E20" s="561" t="n">
        <v>899</v>
      </c>
      <c r="F20" s="5" t="n">
        <v>904</v>
      </c>
      <c r="G20" s="5" t="n">
        <v>904</v>
      </c>
      <c r="H20" s="5" t="n">
        <v>904</v>
      </c>
      <c r="I20" s="5" t="n">
        <v>904</v>
      </c>
      <c r="J20" s="5" t="n">
        <v>904</v>
      </c>
      <c r="K20" s="5" t="n">
        <v>904</v>
      </c>
      <c r="L20" s="5" t="n">
        <v>904</v>
      </c>
      <c r="M20" s="5" t="n">
        <v>904</v>
      </c>
      <c r="N20" s="5" t="n">
        <v>904</v>
      </c>
      <c r="O20" s="5" t="n">
        <v>904</v>
      </c>
      <c r="P20" s="5" t="n">
        <v>904</v>
      </c>
      <c r="Q20" s="5" t="n">
        <v>904</v>
      </c>
      <c r="R20" s="5" t="n">
        <v>1018</v>
      </c>
      <c r="S20" s="561" t="n">
        <v>1069</v>
      </c>
      <c r="T20" s="561" t="n">
        <v>1069</v>
      </c>
      <c r="U20" s="561" t="n">
        <v>1069</v>
      </c>
      <c r="V20" s="561" t="n">
        <v>1069</v>
      </c>
      <c r="W20" s="561" t="n">
        <v>1069</v>
      </c>
      <c r="X20" s="561" t="n">
        <v>1069</v>
      </c>
      <c r="Y20" s="561" t="n">
        <v>1071</v>
      </c>
      <c r="Z20" s="561" t="n">
        <v>1071</v>
      </c>
      <c r="AA20" s="561" t="n">
        <v>1071</v>
      </c>
      <c r="AB20" s="561" t="n">
        <v>1071</v>
      </c>
      <c r="AC20" s="561" t="n">
        <v>1071</v>
      </c>
      <c r="AD20" s="561" t="n">
        <v>1071</v>
      </c>
      <c r="AE20" s="561" t="n">
        <v>1071</v>
      </c>
      <c r="AF20" s="561" t="n">
        <v>1071</v>
      </c>
      <c r="AG20" s="561" t="n">
        <v>1071</v>
      </c>
      <c r="AH20" s="34" t="n">
        <v>1088</v>
      </c>
      <c r="AI20" s="34" t="n">
        <v>1088</v>
      </c>
      <c r="AJ20" s="7">
        <f>AI20-D20</f>
        <v/>
      </c>
    </row>
    <row r="21" ht="14.25" customHeight="1" s="488">
      <c r="A21" s="81" t="n">
        <v>8</v>
      </c>
      <c r="B21" s="153" t="n"/>
      <c r="C21" s="54" t="inlineStr">
        <is>
          <t>SL No 540430038848 (EB Unit)</t>
        </is>
      </c>
      <c r="D21" s="155" t="n">
        <v>12402</v>
      </c>
      <c r="E21" s="60" t="n">
        <v>12517</v>
      </c>
      <c r="F21" s="60" t="n">
        <v>12635</v>
      </c>
      <c r="G21" s="151" t="n">
        <v>12703</v>
      </c>
      <c r="H21" s="151" t="n">
        <v>12814</v>
      </c>
      <c r="I21" s="60" t="n">
        <v>12913</v>
      </c>
      <c r="J21" s="60" t="n">
        <v>13033</v>
      </c>
      <c r="K21" s="60" t="n">
        <v>13109</v>
      </c>
      <c r="L21" s="60" t="n">
        <v>13209</v>
      </c>
      <c r="M21" s="60" t="n">
        <v>13286</v>
      </c>
      <c r="N21" s="60" t="n">
        <v>13390</v>
      </c>
      <c r="O21" s="60" t="n">
        <v>13444</v>
      </c>
      <c r="P21" s="60" t="n">
        <v>13578</v>
      </c>
      <c r="Q21" s="60" t="n">
        <v>13604</v>
      </c>
      <c r="R21" s="60" t="n">
        <v>13679</v>
      </c>
      <c r="S21" s="60" t="n">
        <v>13743</v>
      </c>
      <c r="T21" s="60" t="n">
        <v>13819</v>
      </c>
      <c r="U21" s="60" t="n">
        <v>13866</v>
      </c>
      <c r="V21" s="60" t="n">
        <v>13957</v>
      </c>
      <c r="W21" s="60" t="n">
        <v>14045</v>
      </c>
      <c r="X21" s="60" t="n">
        <v>14134</v>
      </c>
      <c r="Y21" s="60" t="n">
        <v>14245</v>
      </c>
      <c r="Z21" s="60" t="n">
        <v>14376</v>
      </c>
      <c r="AA21" s="60" t="n">
        <v>14488</v>
      </c>
      <c r="AB21" s="60" t="n">
        <v>14603</v>
      </c>
      <c r="AC21" s="60" t="n">
        <v>14696</v>
      </c>
      <c r="AD21" s="60" t="n">
        <v>14849</v>
      </c>
      <c r="AE21" s="33" t="n">
        <v>14966</v>
      </c>
      <c r="AF21" s="33" t="n">
        <v>15108</v>
      </c>
      <c r="AG21" s="33" t="n">
        <v>15239</v>
      </c>
      <c r="AH21" s="152" t="n">
        <v>15398</v>
      </c>
      <c r="AI21" s="152" t="n">
        <v>15438</v>
      </c>
      <c r="AJ21" s="7">
        <f>AI21-D21</f>
        <v/>
      </c>
    </row>
    <row r="22" ht="20.15" customHeight="1" s="488">
      <c r="A22" s="500" t="n"/>
      <c r="B22" s="67" t="n"/>
      <c r="C22" s="157" t="inlineStr">
        <is>
          <t>DG</t>
        </is>
      </c>
      <c r="D22" s="156" t="n">
        <v>199</v>
      </c>
      <c r="E22" s="561" t="n">
        <v>223</v>
      </c>
      <c r="F22" s="561" t="n">
        <v>225</v>
      </c>
      <c r="G22" s="561" t="n">
        <v>225</v>
      </c>
      <c r="H22" s="561" t="n">
        <v>225</v>
      </c>
      <c r="I22" s="561" t="n">
        <v>225</v>
      </c>
      <c r="J22" s="561" t="n">
        <v>225</v>
      </c>
      <c r="K22" s="561" t="n">
        <v>225</v>
      </c>
      <c r="L22" s="561" t="n">
        <v>225</v>
      </c>
      <c r="M22" s="561" t="n">
        <v>225</v>
      </c>
      <c r="N22" s="561" t="n">
        <v>225</v>
      </c>
      <c r="O22" s="561" t="n">
        <v>225</v>
      </c>
      <c r="P22" s="561" t="n">
        <v>225</v>
      </c>
      <c r="Q22" s="561" t="n">
        <v>225</v>
      </c>
      <c r="R22" s="5" t="n">
        <v>239</v>
      </c>
      <c r="S22" s="561" t="n">
        <v>244</v>
      </c>
      <c r="T22" s="561" t="n">
        <v>244</v>
      </c>
      <c r="U22" s="561" t="n">
        <v>244</v>
      </c>
      <c r="V22" s="561" t="n">
        <v>244</v>
      </c>
      <c r="W22" s="561" t="n">
        <v>244</v>
      </c>
      <c r="X22" s="561" t="n">
        <v>244</v>
      </c>
      <c r="Y22" s="561" t="n">
        <v>244</v>
      </c>
      <c r="Z22" s="561" t="n">
        <v>244</v>
      </c>
      <c r="AA22" s="561" t="n">
        <v>244</v>
      </c>
      <c r="AB22" s="561" t="n">
        <v>244</v>
      </c>
      <c r="AC22" s="561" t="n">
        <v>244</v>
      </c>
      <c r="AD22" s="561" t="n">
        <v>244</v>
      </c>
      <c r="AE22" s="561" t="n">
        <v>244</v>
      </c>
      <c r="AF22" s="561" t="n">
        <v>244</v>
      </c>
      <c r="AG22" s="561" t="n">
        <v>244</v>
      </c>
      <c r="AH22" s="8" t="n">
        <v>248</v>
      </c>
      <c r="AI22" s="8" t="n">
        <v>248</v>
      </c>
      <c r="AJ22" s="7">
        <f>AI22-D22</f>
        <v/>
      </c>
    </row>
    <row r="23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20" t="n"/>
      <c r="AJ23" s="501" t="n"/>
    </row>
    <row r="24" ht="14.25" customHeight="1" s="488">
      <c r="A24" s="500" t="n">
        <v>1</v>
      </c>
      <c r="B24" s="500" t="n"/>
      <c r="C24" s="500" t="inlineStr">
        <is>
          <t>AHU1</t>
        </is>
      </c>
      <c r="D24" s="565" t="n">
        <v>2568</v>
      </c>
      <c r="E24" s="561" t="n">
        <v>2760</v>
      </c>
      <c r="F24" s="561" t="n">
        <v>2851</v>
      </c>
      <c r="G24" s="561" t="n">
        <v>2952</v>
      </c>
      <c r="H24" s="561" t="n">
        <v>3098</v>
      </c>
      <c r="I24" s="561" t="n">
        <v>3248</v>
      </c>
      <c r="J24" s="561" t="n">
        <v>3398</v>
      </c>
      <c r="K24" s="561" t="n">
        <v>3546</v>
      </c>
      <c r="L24" s="561" t="n">
        <v>3682</v>
      </c>
      <c r="M24" s="561" t="n">
        <v>3771</v>
      </c>
      <c r="N24" s="561" t="n">
        <v>3807</v>
      </c>
      <c r="O24" s="561" t="n">
        <v>3953</v>
      </c>
      <c r="P24" s="561" t="n">
        <v>4051</v>
      </c>
      <c r="Q24" s="561" t="n">
        <v>4130</v>
      </c>
      <c r="R24" s="561" t="n">
        <v>4212</v>
      </c>
      <c r="S24" s="561" t="n">
        <v>4274</v>
      </c>
      <c r="T24" s="561" t="n">
        <v>4333</v>
      </c>
      <c r="U24" s="561" t="n">
        <v>4333</v>
      </c>
      <c r="V24" s="561" t="n">
        <v>4423</v>
      </c>
      <c r="W24" s="561" t="n">
        <v>4540</v>
      </c>
      <c r="X24" s="561" t="n">
        <v>4648</v>
      </c>
      <c r="Y24" s="561" t="n">
        <v>4727</v>
      </c>
      <c r="Z24" s="561" t="n">
        <v>4809</v>
      </c>
      <c r="AA24" s="561" t="n">
        <v>4847</v>
      </c>
      <c r="AB24" s="561" t="n">
        <v>4847</v>
      </c>
      <c r="AC24" s="561" t="n">
        <v>4867</v>
      </c>
      <c r="AD24" s="561" t="n">
        <v>4960</v>
      </c>
      <c r="AE24" s="561" t="n">
        <v>5065</v>
      </c>
      <c r="AF24" s="561" t="n">
        <v>5165</v>
      </c>
      <c r="AG24" s="561" t="n">
        <v>5237</v>
      </c>
      <c r="AH24" s="34" t="n">
        <v>5270</v>
      </c>
      <c r="AI24" s="34" t="n">
        <v>5270</v>
      </c>
      <c r="AJ24" s="7">
        <f>AI24-D24</f>
        <v/>
      </c>
    </row>
    <row r="25" ht="14.25" customHeight="1" s="488">
      <c r="A25" s="500" t="n"/>
      <c r="B25" s="500" t="n"/>
      <c r="C25" s="507" t="inlineStr">
        <is>
          <t>DG</t>
        </is>
      </c>
      <c r="D25" s="565" t="n">
        <v>132</v>
      </c>
      <c r="E25" s="561" t="n">
        <v>149</v>
      </c>
      <c r="F25" s="561" t="n">
        <v>151</v>
      </c>
      <c r="G25" s="561" t="n">
        <v>151</v>
      </c>
      <c r="H25" s="561" t="n">
        <v>151</v>
      </c>
      <c r="I25" s="561" t="n">
        <v>151</v>
      </c>
      <c r="J25" s="561" t="n">
        <v>151</v>
      </c>
      <c r="K25" s="561" t="n">
        <v>151</v>
      </c>
      <c r="L25" s="561" t="n">
        <v>151</v>
      </c>
      <c r="M25" s="561" t="n">
        <v>151</v>
      </c>
      <c r="N25" s="561" t="n">
        <v>151</v>
      </c>
      <c r="O25" s="561" t="n">
        <v>151</v>
      </c>
      <c r="P25" s="561" t="n">
        <v>151</v>
      </c>
      <c r="Q25" s="561" t="n">
        <v>151</v>
      </c>
      <c r="R25" s="561" t="n">
        <v>151</v>
      </c>
      <c r="S25" s="561" t="n">
        <v>169</v>
      </c>
      <c r="T25" s="561" t="n">
        <v>172</v>
      </c>
      <c r="U25" s="561" t="n">
        <v>172</v>
      </c>
      <c r="V25" s="561" t="n">
        <v>172</v>
      </c>
      <c r="W25" s="561" t="n">
        <v>172</v>
      </c>
      <c r="X25" s="561" t="n">
        <v>172</v>
      </c>
      <c r="Y25" s="561" t="n">
        <v>172</v>
      </c>
      <c r="Z25" s="561" t="n">
        <v>172</v>
      </c>
      <c r="AA25" s="561" t="n">
        <v>172</v>
      </c>
      <c r="AB25" s="561" t="n">
        <v>172</v>
      </c>
      <c r="AC25" s="561" t="n">
        <v>172</v>
      </c>
      <c r="AD25" s="8" t="n">
        <v>172</v>
      </c>
      <c r="AE25" s="8" t="n">
        <v>172</v>
      </c>
      <c r="AF25" s="8" t="n">
        <v>172</v>
      </c>
      <c r="AG25" s="34" t="n">
        <v>172</v>
      </c>
      <c r="AH25" s="34" t="n">
        <v>173</v>
      </c>
      <c r="AI25" s="34" t="n">
        <v>173</v>
      </c>
      <c r="AJ25" s="7">
        <f>AI25-D25</f>
        <v/>
      </c>
    </row>
    <row r="26" ht="14.25" customHeight="1" s="488">
      <c r="A26" s="500" t="n"/>
      <c r="B26" s="500" t="n"/>
      <c r="C26" s="500" t="inlineStr">
        <is>
          <t>AHU2</t>
        </is>
      </c>
      <c r="D26" s="565" t="n">
        <v>2698</v>
      </c>
      <c r="E26" s="561" t="n">
        <v>2834</v>
      </c>
      <c r="F26" s="561" t="n">
        <v>2899</v>
      </c>
      <c r="G26" s="5" t="n">
        <v>2974</v>
      </c>
      <c r="H26" s="5" t="n">
        <v>3076</v>
      </c>
      <c r="I26" s="561" t="n">
        <v>3183</v>
      </c>
      <c r="J26" s="561" t="n">
        <v>3289</v>
      </c>
      <c r="K26" s="561" t="n">
        <v>3401</v>
      </c>
      <c r="L26" s="561" t="n">
        <v>3508</v>
      </c>
      <c r="M26" s="561" t="n">
        <v>3571</v>
      </c>
      <c r="N26" s="561" t="n">
        <v>3597</v>
      </c>
      <c r="O26" s="561" t="n">
        <v>3702</v>
      </c>
      <c r="P26" s="561" t="n">
        <v>3787</v>
      </c>
      <c r="Q26" s="561" t="n">
        <v>3872</v>
      </c>
      <c r="R26" s="561" t="n">
        <v>3956</v>
      </c>
      <c r="S26" s="561" t="n">
        <v>4019</v>
      </c>
      <c r="T26" s="561" t="n">
        <v>4079</v>
      </c>
      <c r="U26" s="561" t="n">
        <v>4079</v>
      </c>
      <c r="V26" s="561" t="n">
        <v>4185</v>
      </c>
      <c r="W26" s="561" t="n">
        <v>4264</v>
      </c>
      <c r="X26" s="561" t="n">
        <v>4351</v>
      </c>
      <c r="Y26" s="561" t="n">
        <v>4430</v>
      </c>
      <c r="Z26" s="561" t="n">
        <v>4507</v>
      </c>
      <c r="AA26" s="561" t="n">
        <v>4548</v>
      </c>
      <c r="AB26" s="561" t="n">
        <v>4548</v>
      </c>
      <c r="AC26" s="561" t="n">
        <v>4567</v>
      </c>
      <c r="AD26" s="561" t="n">
        <v>4700</v>
      </c>
      <c r="AE26" s="8" t="n">
        <v>4781</v>
      </c>
      <c r="AF26" s="8" t="n">
        <v>4861</v>
      </c>
      <c r="AG26" s="8" t="n">
        <v>4972</v>
      </c>
      <c r="AH26" s="34" t="n">
        <v>4964</v>
      </c>
      <c r="AI26" s="34" t="n">
        <v>4964</v>
      </c>
      <c r="AJ26" s="7">
        <f>AI26-D26</f>
        <v/>
      </c>
    </row>
    <row r="27" ht="14.25" customHeight="1" s="488">
      <c r="A27" s="500" t="n"/>
      <c r="B27" s="500" t="n"/>
      <c r="C27" s="507" t="inlineStr">
        <is>
          <t>DG</t>
        </is>
      </c>
      <c r="D27" s="565" t="n">
        <v>146</v>
      </c>
      <c r="E27" s="561" t="n">
        <v>155</v>
      </c>
      <c r="F27" s="561" t="n">
        <v>157</v>
      </c>
      <c r="G27" s="5" t="n">
        <v>157</v>
      </c>
      <c r="H27" s="5" t="n">
        <v>157</v>
      </c>
      <c r="I27" s="561" t="n">
        <v>157</v>
      </c>
      <c r="J27" s="561" t="n">
        <v>157</v>
      </c>
      <c r="K27" s="561" t="n">
        <v>157</v>
      </c>
      <c r="L27" s="561" t="n">
        <v>157</v>
      </c>
      <c r="M27" s="561" t="n">
        <v>157</v>
      </c>
      <c r="N27" s="561" t="n">
        <v>157</v>
      </c>
      <c r="O27" s="561" t="n">
        <v>157</v>
      </c>
      <c r="P27" s="561" t="n">
        <v>157</v>
      </c>
      <c r="Q27" s="561" t="n">
        <v>157</v>
      </c>
      <c r="R27" s="561" t="n">
        <v>157</v>
      </c>
      <c r="S27" s="561" t="n">
        <v>175</v>
      </c>
      <c r="T27" s="561" t="n">
        <v>178</v>
      </c>
      <c r="U27" s="561" t="n">
        <v>178</v>
      </c>
      <c r="V27" s="561" t="n">
        <v>178</v>
      </c>
      <c r="W27" s="561" t="n">
        <v>178</v>
      </c>
      <c r="X27" s="561" t="n">
        <v>178</v>
      </c>
      <c r="Y27" s="561" t="n">
        <v>178</v>
      </c>
      <c r="Z27" s="561" t="n">
        <v>178</v>
      </c>
      <c r="AA27" s="561" t="n">
        <v>178</v>
      </c>
      <c r="AB27" s="561" t="n">
        <v>178</v>
      </c>
      <c r="AC27" s="561" t="n">
        <v>178</v>
      </c>
      <c r="AD27" s="561" t="n">
        <v>178</v>
      </c>
      <c r="AE27" s="8" t="n">
        <v>178</v>
      </c>
      <c r="AF27" s="8" t="n">
        <v>178</v>
      </c>
      <c r="AG27" s="8" t="n">
        <v>178</v>
      </c>
      <c r="AH27" s="34" t="n">
        <v>178</v>
      </c>
      <c r="AI27" s="34" t="n">
        <v>178</v>
      </c>
      <c r="AJ27" s="7">
        <f>AI27-D27</f>
        <v/>
      </c>
    </row>
    <row r="28" ht="14.25" customHeight="1" s="488">
      <c r="A28" s="500" t="n">
        <v>3</v>
      </c>
      <c r="B28" s="500" t="n"/>
      <c r="C28" s="500" t="inlineStr">
        <is>
          <t>AHU3</t>
        </is>
      </c>
      <c r="D28" s="565" t="n">
        <v>1243</v>
      </c>
      <c r="E28" s="561" t="n">
        <v>1356</v>
      </c>
      <c r="F28" s="561" t="n">
        <v>1406</v>
      </c>
      <c r="G28" s="561" t="n">
        <v>1463</v>
      </c>
      <c r="H28" s="561" t="n">
        <v>1542</v>
      </c>
      <c r="I28" s="561" t="n">
        <v>1624</v>
      </c>
      <c r="J28" s="561" t="n">
        <v>1704</v>
      </c>
      <c r="K28" s="561" t="n">
        <v>1791</v>
      </c>
      <c r="L28" s="561" t="n">
        <v>1868</v>
      </c>
      <c r="M28" s="561" t="n">
        <v>1929</v>
      </c>
      <c r="N28" s="561" t="n">
        <v>1947</v>
      </c>
      <c r="O28" s="561" t="n">
        <v>2031</v>
      </c>
      <c r="P28" s="561" t="n">
        <v>2096</v>
      </c>
      <c r="Q28" s="561" t="n">
        <v>2156</v>
      </c>
      <c r="R28" s="561" t="n">
        <v>2229</v>
      </c>
      <c r="S28" s="561" t="n">
        <v>2279</v>
      </c>
      <c r="T28" s="561" t="n">
        <v>2291</v>
      </c>
      <c r="U28" s="561" t="n">
        <v>2291</v>
      </c>
      <c r="V28" s="561" t="n">
        <v>2332</v>
      </c>
      <c r="W28" s="561" t="n">
        <v>2382</v>
      </c>
      <c r="X28" s="561" t="n">
        <v>2449</v>
      </c>
      <c r="Y28" s="561" t="n">
        <v>2524</v>
      </c>
      <c r="Z28" s="561" t="n">
        <v>2568</v>
      </c>
      <c r="AA28" s="561" t="n">
        <v>2594</v>
      </c>
      <c r="AB28" s="561" t="n">
        <v>2594</v>
      </c>
      <c r="AC28" s="561" t="n">
        <v>2603</v>
      </c>
      <c r="AD28" s="561" t="n">
        <v>2653</v>
      </c>
      <c r="AE28" s="561" t="n">
        <v>2688</v>
      </c>
      <c r="AF28" s="561" t="n">
        <v>2759</v>
      </c>
      <c r="AG28" s="561" t="n">
        <v>2813</v>
      </c>
      <c r="AH28" s="34" t="n">
        <v>2862</v>
      </c>
      <c r="AI28" s="34" t="n">
        <v>2862</v>
      </c>
      <c r="AJ28" s="7">
        <f>AI28-D28</f>
        <v/>
      </c>
    </row>
    <row r="29" ht="14.25" customHeight="1" s="488">
      <c r="A29" s="500" t="n"/>
      <c r="B29" s="500" t="n"/>
      <c r="C29" s="507" t="inlineStr">
        <is>
          <t>DG</t>
        </is>
      </c>
      <c r="D29" s="565" t="n">
        <v>110</v>
      </c>
      <c r="E29" s="561" t="n">
        <v>116</v>
      </c>
      <c r="F29" s="561" t="n">
        <v>117</v>
      </c>
      <c r="G29" s="561" t="n">
        <v>117</v>
      </c>
      <c r="H29" s="561" t="n">
        <v>117</v>
      </c>
      <c r="I29" s="561" t="n">
        <v>117</v>
      </c>
      <c r="J29" s="561" t="n">
        <v>117</v>
      </c>
      <c r="K29" s="561" t="n">
        <v>117</v>
      </c>
      <c r="L29" s="561" t="n">
        <v>117</v>
      </c>
      <c r="M29" s="561" t="n">
        <v>117</v>
      </c>
      <c r="N29" s="561" t="n">
        <v>117</v>
      </c>
      <c r="O29" s="561" t="n">
        <v>117</v>
      </c>
      <c r="P29" s="561" t="n">
        <v>117</v>
      </c>
      <c r="Q29" s="561" t="n">
        <v>117</v>
      </c>
      <c r="R29" s="561" t="n">
        <v>117</v>
      </c>
      <c r="S29" s="561" t="n">
        <v>129</v>
      </c>
      <c r="T29" s="561" t="n">
        <v>129</v>
      </c>
      <c r="U29" s="561" t="n">
        <v>129</v>
      </c>
      <c r="V29" s="561" t="n">
        <v>129</v>
      </c>
      <c r="W29" s="561" t="n">
        <v>129</v>
      </c>
      <c r="X29" s="561" t="n">
        <v>129</v>
      </c>
      <c r="Y29" s="561" t="n">
        <v>129</v>
      </c>
      <c r="Z29" s="561" t="n">
        <v>129</v>
      </c>
      <c r="AA29" s="561" t="n">
        <v>129</v>
      </c>
      <c r="AB29" s="561" t="n">
        <v>129</v>
      </c>
      <c r="AC29" s="561" t="n">
        <v>129</v>
      </c>
      <c r="AD29" s="561" t="n">
        <v>129</v>
      </c>
      <c r="AE29" s="561" t="n">
        <v>129</v>
      </c>
      <c r="AF29" s="561" t="n">
        <v>129</v>
      </c>
      <c r="AG29" s="34" t="n">
        <v>129</v>
      </c>
      <c r="AH29" s="34" t="n">
        <v>129</v>
      </c>
      <c r="AI29" s="561" t="n">
        <v>129</v>
      </c>
      <c r="AJ29" s="7">
        <f>AI29-D29</f>
        <v/>
      </c>
    </row>
    <row r="30" ht="14.25" customHeight="1" s="488">
      <c r="A30" s="500" t="n">
        <v>4</v>
      </c>
      <c r="B30" s="500" t="n"/>
      <c r="C30" s="500" t="inlineStr">
        <is>
          <t>AHU4</t>
        </is>
      </c>
      <c r="D30" s="565" t="n">
        <v>1283</v>
      </c>
      <c r="E30" s="561" t="n">
        <v>1379</v>
      </c>
      <c r="F30" s="561" t="n">
        <v>1447</v>
      </c>
      <c r="G30" s="561" t="n">
        <v>1526</v>
      </c>
      <c r="H30" s="561" t="n">
        <v>1641</v>
      </c>
      <c r="I30" s="561" t="n">
        <v>1763</v>
      </c>
      <c r="J30" s="561" t="n">
        <v>1886</v>
      </c>
      <c r="K30" s="561" t="n">
        <v>2004</v>
      </c>
      <c r="L30" s="561" t="n">
        <v>2125</v>
      </c>
      <c r="M30" s="561" t="n">
        <v>2195</v>
      </c>
      <c r="N30" s="561" t="n">
        <v>2225</v>
      </c>
      <c r="O30" s="561" t="n">
        <v>2345</v>
      </c>
      <c r="P30" s="561" t="n">
        <v>2436</v>
      </c>
      <c r="Q30" s="561" t="n">
        <v>2506</v>
      </c>
      <c r="R30" s="561" t="n">
        <v>2549</v>
      </c>
      <c r="S30" s="561" t="n">
        <v>2615</v>
      </c>
      <c r="T30" s="561" t="n">
        <v>2666</v>
      </c>
      <c r="U30" s="561" t="n">
        <v>2666</v>
      </c>
      <c r="V30" s="561" t="n">
        <v>2760</v>
      </c>
      <c r="W30" s="561" t="n">
        <v>2900</v>
      </c>
      <c r="X30" s="561" t="n">
        <v>2975</v>
      </c>
      <c r="Y30" s="561" t="n">
        <v>3047</v>
      </c>
      <c r="Z30" s="561" t="n">
        <v>3114</v>
      </c>
      <c r="AA30" s="561" t="n">
        <v>3148</v>
      </c>
      <c r="AB30" s="561" t="n">
        <v>3148</v>
      </c>
      <c r="AC30" s="561" t="n">
        <v>3166</v>
      </c>
      <c r="AD30" s="561" t="n">
        <v>3249</v>
      </c>
      <c r="AE30" s="561" t="n">
        <v>3346</v>
      </c>
      <c r="AF30" s="561" t="n">
        <v>3441</v>
      </c>
      <c r="AG30" s="561" t="n">
        <v>3541</v>
      </c>
      <c r="AH30" s="34" t="n">
        <v>3541</v>
      </c>
      <c r="AI30" s="34" t="n">
        <v>3542</v>
      </c>
      <c r="AJ30" s="7">
        <f>AI30-D30</f>
        <v/>
      </c>
    </row>
    <row r="31" ht="18.5" customHeight="1" s="488">
      <c r="A31" s="500" t="n"/>
      <c r="B31" s="500" t="n"/>
      <c r="C31" s="507" t="inlineStr">
        <is>
          <t>DG</t>
        </is>
      </c>
      <c r="D31" s="45" t="n">
        <v>89</v>
      </c>
      <c r="E31" s="561" t="n">
        <v>98</v>
      </c>
      <c r="F31" s="561" t="n">
        <v>98</v>
      </c>
      <c r="G31" s="561" t="n">
        <v>98</v>
      </c>
      <c r="H31" s="561" t="n">
        <v>98</v>
      </c>
      <c r="I31" s="561" t="n">
        <v>98</v>
      </c>
      <c r="J31" s="561" t="n">
        <v>98</v>
      </c>
      <c r="K31" s="561" t="n">
        <v>98</v>
      </c>
      <c r="L31" s="561" t="n">
        <v>98</v>
      </c>
      <c r="M31" s="561" t="n">
        <v>98</v>
      </c>
      <c r="N31" s="561" t="n">
        <v>98</v>
      </c>
      <c r="O31" s="561" t="n">
        <v>98</v>
      </c>
      <c r="P31" s="561" t="n">
        <v>98</v>
      </c>
      <c r="Q31" s="561" t="n">
        <v>98</v>
      </c>
      <c r="R31" s="561" t="n">
        <v>117</v>
      </c>
      <c r="S31" s="561" t="n">
        <v>117</v>
      </c>
      <c r="T31" s="561" t="n">
        <v>117</v>
      </c>
      <c r="U31" s="561" t="n">
        <v>117</v>
      </c>
      <c r="V31" s="561" t="n">
        <v>117</v>
      </c>
      <c r="W31" s="561" t="n">
        <v>117</v>
      </c>
      <c r="X31" s="561" t="n">
        <v>117</v>
      </c>
      <c r="Y31" s="561" t="n">
        <v>117</v>
      </c>
      <c r="Z31" s="561" t="n">
        <v>117</v>
      </c>
      <c r="AA31" s="561" t="n">
        <v>117</v>
      </c>
      <c r="AB31" s="561" t="n">
        <v>117</v>
      </c>
      <c r="AC31" s="561" t="n">
        <v>117</v>
      </c>
      <c r="AD31" s="561" t="n">
        <v>117</v>
      </c>
      <c r="AE31" s="561" t="n">
        <v>117</v>
      </c>
      <c r="AF31" s="561" t="n">
        <v>117</v>
      </c>
      <c r="AG31" s="561" t="n">
        <v>117</v>
      </c>
      <c r="AH31" s="561" t="n">
        <v>117</v>
      </c>
      <c r="AI31" s="561" t="n">
        <v>117</v>
      </c>
      <c r="AJ31" s="7">
        <f>AI31-D31</f>
        <v/>
      </c>
    </row>
    <row r="32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20" t="n"/>
      <c r="AJ32" s="501" t="n"/>
    </row>
    <row r="33" ht="13.5" customHeight="1" s="488">
      <c r="A33" s="500" t="n">
        <v>1</v>
      </c>
      <c r="B33" s="500" t="n"/>
      <c r="C33" s="500" t="inlineStr">
        <is>
          <t>AHU1 - BTU</t>
        </is>
      </c>
      <c r="D33" s="9" t="n">
        <v>5741.69</v>
      </c>
      <c r="E33" s="10" t="n">
        <v>6562.41</v>
      </c>
      <c r="F33" s="10" t="n">
        <v>6890.24</v>
      </c>
      <c r="G33" s="10" t="n">
        <v>7282.68</v>
      </c>
      <c r="H33" s="10" t="n">
        <v>7893.82</v>
      </c>
      <c r="I33" s="10" t="n">
        <v>8306.92</v>
      </c>
      <c r="J33" s="10" t="n">
        <v>8908.75</v>
      </c>
      <c r="K33" s="10" t="n">
        <v>9501.280000000001</v>
      </c>
      <c r="L33" s="10" t="n">
        <v>10331.83</v>
      </c>
      <c r="M33" s="10" t="n">
        <v>10745.79</v>
      </c>
      <c r="N33" s="10" t="n">
        <v>10745.79</v>
      </c>
      <c r="O33" s="10" t="n">
        <v>11168.93</v>
      </c>
      <c r="P33" s="10" t="n">
        <v>11708.3</v>
      </c>
      <c r="Q33" s="10" t="n">
        <v>12136.9</v>
      </c>
      <c r="R33" s="11" t="n">
        <v>12869.71</v>
      </c>
      <c r="S33" s="11" t="n">
        <v>13327.98</v>
      </c>
      <c r="T33" s="11" t="n">
        <v>13568.36</v>
      </c>
      <c r="U33" s="11" t="n">
        <v>13568.36</v>
      </c>
      <c r="V33" s="11" t="n">
        <v>14217.95</v>
      </c>
      <c r="W33" s="11" t="n">
        <v>14758.62</v>
      </c>
      <c r="X33" s="11" t="n">
        <v>15349.21</v>
      </c>
      <c r="Y33" s="11" t="n">
        <v>15938.04</v>
      </c>
      <c r="Z33" s="11" t="n">
        <v>16487.56</v>
      </c>
      <c r="AA33" s="11" t="n">
        <v>16808.03</v>
      </c>
      <c r="AB33" s="11" t="n">
        <v>16808.03</v>
      </c>
      <c r="AC33" s="11" t="n">
        <v>16954.4</v>
      </c>
      <c r="AD33" s="11" t="n">
        <v>17718.62</v>
      </c>
      <c r="AE33" s="11" t="n">
        <v>18500.95</v>
      </c>
      <c r="AF33" s="11" t="n">
        <v>19332.58</v>
      </c>
      <c r="AG33" s="11" t="n">
        <v>19974.08</v>
      </c>
      <c r="AH33" s="35" t="n">
        <v>20397.69</v>
      </c>
      <c r="AI33" s="35" t="n">
        <v>20397.69</v>
      </c>
      <c r="AJ33" s="7">
        <f>AI33-D33</f>
        <v/>
      </c>
    </row>
    <row r="34" ht="13.5" customHeight="1" s="488">
      <c r="A34" s="500" t="n">
        <v>2</v>
      </c>
      <c r="B34" s="500" t="n"/>
      <c r="C34" s="500" t="inlineStr">
        <is>
          <t>AHU2 - BTU</t>
        </is>
      </c>
      <c r="D34" s="9" t="n">
        <v>6755.88</v>
      </c>
      <c r="E34" s="10" t="n">
        <v>7661.86</v>
      </c>
      <c r="F34" s="10" t="n">
        <v>7970.73</v>
      </c>
      <c r="G34" s="10" t="n">
        <v>8408.610000000001</v>
      </c>
      <c r="H34" s="10" t="n">
        <v>9031.459999999999</v>
      </c>
      <c r="I34" s="10" t="n">
        <v>9433.950000000001</v>
      </c>
      <c r="J34" s="10" t="n">
        <v>10030.26</v>
      </c>
      <c r="K34" s="10" t="n">
        <v>10656.22</v>
      </c>
      <c r="L34" s="10" t="n">
        <v>11185.27</v>
      </c>
      <c r="M34" s="10" t="n">
        <v>11390.86</v>
      </c>
      <c r="N34" s="10" t="n">
        <v>11390.86</v>
      </c>
      <c r="O34" s="10" t="n">
        <v>12035.86</v>
      </c>
      <c r="P34" s="10" t="n">
        <v>12685.61</v>
      </c>
      <c r="Q34" s="10" t="n">
        <v>13185.76</v>
      </c>
      <c r="R34" s="11" t="n">
        <v>13843.29</v>
      </c>
      <c r="S34" s="11" t="n">
        <v>14301.4</v>
      </c>
      <c r="T34" s="11" t="n">
        <v>14565.24</v>
      </c>
      <c r="U34" s="11" t="n">
        <v>14565.24</v>
      </c>
      <c r="V34" s="11" t="n">
        <v>15266.35</v>
      </c>
      <c r="W34" s="11" t="n">
        <v>15829.21</v>
      </c>
      <c r="X34" s="11" t="n">
        <v>16319.61</v>
      </c>
      <c r="Y34" s="11" t="n">
        <v>16865.69</v>
      </c>
      <c r="Z34" s="11" t="n">
        <v>17424.86</v>
      </c>
      <c r="AA34" s="11" t="n">
        <v>17763.58</v>
      </c>
      <c r="AB34" s="11" t="n">
        <v>17763.58</v>
      </c>
      <c r="AC34" s="11" t="n">
        <v>17961</v>
      </c>
      <c r="AD34" s="11" t="n">
        <v>18768.58</v>
      </c>
      <c r="AE34" s="11" t="n">
        <v>19529.06</v>
      </c>
      <c r="AF34" s="11" t="n">
        <v>20169.14</v>
      </c>
      <c r="AG34" s="11" t="n">
        <v>20744.31</v>
      </c>
      <c r="AH34" s="35" t="n">
        <v>21181.85</v>
      </c>
      <c r="AI34" s="35" t="n">
        <v>21181.85</v>
      </c>
      <c r="AJ34" s="7">
        <f>AI34-D34</f>
        <v/>
      </c>
    </row>
    <row r="35" ht="13.5" customHeight="1" s="488">
      <c r="A35" s="500" t="n">
        <v>3</v>
      </c>
      <c r="B35" s="500" t="n"/>
      <c r="C35" s="500" t="inlineStr">
        <is>
          <t>AHU3 - BTU</t>
        </is>
      </c>
      <c r="D35" s="9" t="n">
        <v>4835</v>
      </c>
      <c r="E35" s="10" t="n">
        <v>5667.86</v>
      </c>
      <c r="F35" s="10" t="n">
        <v>5917.95</v>
      </c>
      <c r="G35" s="10" t="n">
        <v>6264.13</v>
      </c>
      <c r="H35" s="10" t="n">
        <v>6574.83</v>
      </c>
      <c r="I35" s="10" t="n">
        <v>6724.38</v>
      </c>
      <c r="J35" s="10" t="n">
        <v>6951.63</v>
      </c>
      <c r="K35" s="10" t="n">
        <v>7380.45</v>
      </c>
      <c r="L35" s="10" t="n">
        <v>7862.22</v>
      </c>
      <c r="M35" s="10" t="n">
        <v>7978.5</v>
      </c>
      <c r="N35" s="10" t="n">
        <v>7978.9</v>
      </c>
      <c r="O35" s="10" t="n">
        <v>8330.4</v>
      </c>
      <c r="P35" s="10" t="n">
        <v>8737.58</v>
      </c>
      <c r="Q35" s="10" t="n">
        <v>9120.950000000001</v>
      </c>
      <c r="R35" s="11" t="n">
        <v>9614.02</v>
      </c>
      <c r="S35" s="11" t="n">
        <v>9927.43</v>
      </c>
      <c r="T35" s="11" t="n">
        <v>10088.81</v>
      </c>
      <c r="U35" s="11" t="n">
        <v>10088.81</v>
      </c>
      <c r="V35" s="11" t="n">
        <v>10492.87</v>
      </c>
      <c r="W35" s="11" t="n">
        <v>10968.6</v>
      </c>
      <c r="X35" s="11" t="n">
        <v>11428.92</v>
      </c>
      <c r="Y35" s="11" t="n">
        <v>11964.02</v>
      </c>
      <c r="Z35" s="11" t="n">
        <v>12414.02</v>
      </c>
      <c r="AA35" s="11" t="n">
        <v>12678.79</v>
      </c>
      <c r="AB35" s="11" t="n">
        <v>12678.79</v>
      </c>
      <c r="AC35" s="11" t="n">
        <v>12842.42</v>
      </c>
      <c r="AD35" s="11" t="n">
        <v>13440.25</v>
      </c>
      <c r="AE35" s="11" t="n">
        <v>14006.83</v>
      </c>
      <c r="AF35" s="11" t="n">
        <v>14679.97</v>
      </c>
      <c r="AG35" s="11" t="n">
        <v>15144.65</v>
      </c>
      <c r="AH35" s="35" t="n">
        <v>15520.6</v>
      </c>
      <c r="AI35" s="35" t="n">
        <v>15520.6</v>
      </c>
      <c r="AJ35" s="7">
        <f>AI35-D35</f>
        <v/>
      </c>
    </row>
    <row r="36" ht="13.5" customHeight="1" s="488">
      <c r="A36" s="500" t="n">
        <v>4</v>
      </c>
      <c r="B36" s="500" t="n"/>
      <c r="C36" s="500" t="inlineStr">
        <is>
          <t>AHU4 - BTU</t>
        </is>
      </c>
      <c r="D36" s="9" t="n">
        <v>7375.29</v>
      </c>
      <c r="E36" s="10" t="n">
        <v>8046.26</v>
      </c>
      <c r="F36" s="10" t="n">
        <v>8406.299999999999</v>
      </c>
      <c r="G36" s="10" t="n">
        <v>8918.24</v>
      </c>
      <c r="H36" s="10" t="n">
        <v>9381.07</v>
      </c>
      <c r="I36" s="10" t="n">
        <v>9718.969999999999</v>
      </c>
      <c r="J36" s="10" t="n">
        <v>10254.25</v>
      </c>
      <c r="K36" s="10" t="n">
        <v>10874.39</v>
      </c>
      <c r="L36" s="10" t="n">
        <v>11696.27</v>
      </c>
      <c r="M36" s="10" t="n">
        <v>12671</v>
      </c>
      <c r="N36" s="10" t="n">
        <v>12671</v>
      </c>
      <c r="O36" s="10" t="n">
        <v>12735.79</v>
      </c>
      <c r="P36" s="10" t="n">
        <v>13446.2</v>
      </c>
      <c r="Q36" s="10" t="n">
        <v>13979.11</v>
      </c>
      <c r="R36" s="11" t="n">
        <v>14862.99</v>
      </c>
      <c r="S36" s="11" t="n">
        <v>15297.68</v>
      </c>
      <c r="T36" s="11" t="n">
        <v>15611.68</v>
      </c>
      <c r="U36" s="11" t="n">
        <v>15611.68</v>
      </c>
      <c r="V36" s="11" t="n">
        <v>16410.86</v>
      </c>
      <c r="W36" s="11" t="n">
        <v>17079.15</v>
      </c>
      <c r="X36" s="11" t="n">
        <v>17746.73</v>
      </c>
      <c r="Y36" s="11" t="n">
        <v>18455.13</v>
      </c>
      <c r="Z36" s="11" t="n">
        <v>19011.66</v>
      </c>
      <c r="AA36" s="11" t="n">
        <v>19435.86</v>
      </c>
      <c r="AB36" s="11" t="n">
        <v>19435.86</v>
      </c>
      <c r="AC36" s="11" t="n">
        <v>19788.02</v>
      </c>
      <c r="AD36" s="11" t="n">
        <v>20748.15</v>
      </c>
      <c r="AE36" s="11" t="n">
        <v>21703.67</v>
      </c>
      <c r="AF36" s="11" t="n">
        <v>22555.75</v>
      </c>
      <c r="AG36" s="11" t="n">
        <v>23394.23</v>
      </c>
      <c r="AH36" s="35" t="n">
        <v>24009.78</v>
      </c>
      <c r="AI36" s="35" t="n">
        <v>24009.78</v>
      </c>
      <c r="AJ36" s="7">
        <f>AI36-D36</f>
        <v/>
      </c>
    </row>
    <row r="37">
      <c r="D37" s="13" t="n"/>
      <c r="E37" s="13" t="n"/>
      <c r="AD37" s="6" t="n"/>
    </row>
    <row r="38" ht="18.5" customHeight="1" s="488">
      <c r="A38" s="14" t="n"/>
      <c r="B38" s="15" t="n"/>
      <c r="C38" s="15" t="n"/>
      <c r="D38" s="15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</row>
    <row r="39" ht="15.5" customHeight="1" s="488">
      <c r="A39" s="16" t="n"/>
      <c r="B39" s="528" t="inlineStr">
        <is>
          <t xml:space="preserve"> Daily Energy Report</t>
        </is>
      </c>
      <c r="C39" s="520" t="n"/>
      <c r="D39" s="501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</row>
    <row r="40">
      <c r="A40" s="17" t="n"/>
      <c r="B40" s="519" t="inlineStr">
        <is>
          <t>Electricity Consumption</t>
        </is>
      </c>
      <c r="C40" s="520" t="n"/>
      <c r="D40" s="501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</row>
    <row r="41">
      <c r="A41" s="515" t="inlineStr">
        <is>
          <t>Sr.No</t>
        </is>
      </c>
      <c r="B41" s="515" t="inlineStr">
        <is>
          <t>Location</t>
        </is>
      </c>
      <c r="C41" s="515" t="inlineStr">
        <is>
          <t>Meter</t>
        </is>
      </c>
      <c r="D41" s="522" t="n"/>
      <c r="E41" s="42">
        <f>E3</f>
        <v/>
      </c>
      <c r="F41" s="42">
        <f>F3</f>
        <v/>
      </c>
      <c r="G41" s="42">
        <f>G3</f>
        <v/>
      </c>
      <c r="H41" s="42">
        <f>H3</f>
        <v/>
      </c>
      <c r="I41" s="42">
        <f>I3</f>
        <v/>
      </c>
      <c r="J41" s="42">
        <f>J3</f>
        <v/>
      </c>
      <c r="K41" s="42">
        <f>K3</f>
        <v/>
      </c>
      <c r="L41" s="42">
        <f>L3</f>
        <v/>
      </c>
      <c r="M41" s="42">
        <f>M3</f>
        <v/>
      </c>
      <c r="N41" s="42">
        <f>N3</f>
        <v/>
      </c>
      <c r="O41" s="42">
        <f>O3</f>
        <v/>
      </c>
      <c r="P41" s="42">
        <f>P3</f>
        <v/>
      </c>
      <c r="Q41" s="42">
        <f>Q3</f>
        <v/>
      </c>
      <c r="R41" s="42">
        <f>R3</f>
        <v/>
      </c>
      <c r="S41" s="42">
        <f>S3</f>
        <v/>
      </c>
      <c r="T41" s="42">
        <f>T3</f>
        <v/>
      </c>
      <c r="U41" s="42">
        <f>U3</f>
        <v/>
      </c>
      <c r="V41" s="42">
        <f>V3</f>
        <v/>
      </c>
      <c r="W41" s="42">
        <f>W3</f>
        <v/>
      </c>
      <c r="X41" s="42">
        <f>X3</f>
        <v/>
      </c>
      <c r="Y41" s="42">
        <f>Y3</f>
        <v/>
      </c>
      <c r="Z41" s="42">
        <f>Z3</f>
        <v/>
      </c>
      <c r="AA41" s="42">
        <f>AA3</f>
        <v/>
      </c>
      <c r="AB41" s="42">
        <f>AB3</f>
        <v/>
      </c>
      <c r="AC41" s="42">
        <f>AC3</f>
        <v/>
      </c>
      <c r="AD41" s="42">
        <f>AD3</f>
        <v/>
      </c>
      <c r="AE41" s="42">
        <f>AE3</f>
        <v/>
      </c>
      <c r="AF41" s="42">
        <f>AF3</f>
        <v/>
      </c>
      <c r="AG41" s="42">
        <f>AG3</f>
        <v/>
      </c>
      <c r="AH41" s="42">
        <f>AH3</f>
        <v/>
      </c>
      <c r="AI41" s="42">
        <f>AI3</f>
        <v/>
      </c>
      <c r="AJ41" s="515" t="inlineStr">
        <is>
          <t>Consumption</t>
        </is>
      </c>
    </row>
    <row r="42">
      <c r="A42" s="516" t="n"/>
      <c r="B42" s="516" t="n"/>
      <c r="C42" s="523" t="n"/>
      <c r="D42" s="524" t="n"/>
      <c r="E42" s="1">
        <f>E4</f>
        <v/>
      </c>
      <c r="F42" s="1">
        <f>F4</f>
        <v/>
      </c>
      <c r="G42" s="1">
        <f>G4</f>
        <v/>
      </c>
      <c r="H42" s="1">
        <f>H4</f>
        <v/>
      </c>
      <c r="I42" s="1">
        <f>I4</f>
        <v/>
      </c>
      <c r="J42" s="1">
        <f>J4</f>
        <v/>
      </c>
      <c r="K42" s="1">
        <f>K4</f>
        <v/>
      </c>
      <c r="L42" s="1">
        <f>L4</f>
        <v/>
      </c>
      <c r="M42" s="1">
        <f>M4</f>
        <v/>
      </c>
      <c r="N42" s="1">
        <f>N4</f>
        <v/>
      </c>
      <c r="O42" s="1">
        <f>O4</f>
        <v/>
      </c>
      <c r="P42" s="1">
        <f>P4</f>
        <v/>
      </c>
      <c r="Q42" s="1">
        <f>Q4</f>
        <v/>
      </c>
      <c r="R42" s="1">
        <f>R4</f>
        <v/>
      </c>
      <c r="S42" s="1">
        <f>S4</f>
        <v/>
      </c>
      <c r="T42" s="1">
        <f>T4</f>
        <v/>
      </c>
      <c r="U42" s="1">
        <f>U4</f>
        <v/>
      </c>
      <c r="V42" s="1">
        <f>V4</f>
        <v/>
      </c>
      <c r="W42" s="1">
        <f>W4</f>
        <v/>
      </c>
      <c r="X42" s="1">
        <f>X4</f>
        <v/>
      </c>
      <c r="Y42" s="1">
        <f>Y4</f>
        <v/>
      </c>
      <c r="Z42" s="1">
        <f>Z4</f>
        <v/>
      </c>
      <c r="AA42" s="1">
        <f>AA4</f>
        <v/>
      </c>
      <c r="AB42" s="1">
        <f>AB4</f>
        <v/>
      </c>
      <c r="AC42" s="1">
        <f>AC4</f>
        <v/>
      </c>
      <c r="AD42" s="1">
        <f>AD4</f>
        <v/>
      </c>
      <c r="AE42" s="1">
        <f>AE4</f>
        <v/>
      </c>
      <c r="AF42" s="1">
        <f>AF4</f>
        <v/>
      </c>
      <c r="AG42" s="1">
        <f>AG4</f>
        <v/>
      </c>
      <c r="AH42" s="1">
        <f>AH4</f>
        <v/>
      </c>
      <c r="AI42" s="1">
        <f>AI4</f>
        <v/>
      </c>
      <c r="AJ42" s="516" t="n"/>
    </row>
    <row r="43">
      <c r="A43" s="516" t="n"/>
      <c r="B43" s="516" t="n"/>
      <c r="C43" s="523" t="n"/>
      <c r="D43" s="524" t="n"/>
      <c r="E43" s="18" t="inlineStr">
        <is>
          <t>Time</t>
        </is>
      </c>
      <c r="F43" s="18" t="inlineStr">
        <is>
          <t>Time</t>
        </is>
      </c>
      <c r="G43" s="18" t="inlineStr">
        <is>
          <t>Time</t>
        </is>
      </c>
      <c r="H43" s="18" t="inlineStr">
        <is>
          <t>Time</t>
        </is>
      </c>
      <c r="I43" s="18" t="inlineStr">
        <is>
          <t>Time</t>
        </is>
      </c>
      <c r="J43" s="18" t="inlineStr">
        <is>
          <t>Time</t>
        </is>
      </c>
      <c r="K43" s="18" t="inlineStr">
        <is>
          <t>Time</t>
        </is>
      </c>
      <c r="L43" s="18" t="inlineStr">
        <is>
          <t>Time</t>
        </is>
      </c>
      <c r="M43" s="18" t="inlineStr">
        <is>
          <t>Time</t>
        </is>
      </c>
      <c r="N43" s="18" t="inlineStr">
        <is>
          <t>Time</t>
        </is>
      </c>
      <c r="O43" s="18" t="inlineStr">
        <is>
          <t>Time</t>
        </is>
      </c>
      <c r="P43" s="18" t="inlineStr">
        <is>
          <t>Time</t>
        </is>
      </c>
      <c r="Q43" s="18" t="inlineStr">
        <is>
          <t>Time</t>
        </is>
      </c>
      <c r="R43" s="18" t="inlineStr">
        <is>
          <t>Time</t>
        </is>
      </c>
      <c r="S43" s="18" t="inlineStr">
        <is>
          <t>Time</t>
        </is>
      </c>
      <c r="T43" s="18" t="inlineStr">
        <is>
          <t>Time</t>
        </is>
      </c>
      <c r="U43" s="18" t="inlineStr">
        <is>
          <t>Time</t>
        </is>
      </c>
      <c r="V43" s="18" t="inlineStr">
        <is>
          <t>Time</t>
        </is>
      </c>
      <c r="W43" s="18" t="inlineStr">
        <is>
          <t>Time</t>
        </is>
      </c>
      <c r="X43" s="18" t="inlineStr">
        <is>
          <t>Time</t>
        </is>
      </c>
      <c r="Y43" s="18" t="inlineStr">
        <is>
          <t>Time</t>
        </is>
      </c>
      <c r="Z43" s="18" t="inlineStr">
        <is>
          <t>Time</t>
        </is>
      </c>
      <c r="AA43" s="18" t="inlineStr">
        <is>
          <t>Time</t>
        </is>
      </c>
      <c r="AB43" s="18" t="inlineStr">
        <is>
          <t>Time</t>
        </is>
      </c>
      <c r="AC43" s="18" t="inlineStr">
        <is>
          <t>Time</t>
        </is>
      </c>
      <c r="AD43" s="18" t="inlineStr">
        <is>
          <t>Time</t>
        </is>
      </c>
      <c r="AE43" s="18" t="inlineStr">
        <is>
          <t>Time</t>
        </is>
      </c>
      <c r="AF43" s="18" t="inlineStr">
        <is>
          <t>Time</t>
        </is>
      </c>
      <c r="AG43" s="18" t="inlineStr">
        <is>
          <t>Time</t>
        </is>
      </c>
      <c r="AH43" s="18" t="inlineStr">
        <is>
          <t>Time</t>
        </is>
      </c>
      <c r="AI43" s="18" t="inlineStr">
        <is>
          <t>Time</t>
        </is>
      </c>
      <c r="AJ43" s="516" t="n"/>
    </row>
    <row r="44">
      <c r="A44" s="517" t="n"/>
      <c r="B44" s="517" t="n"/>
      <c r="C44" s="525" t="n"/>
      <c r="D44" s="526" t="n"/>
      <c r="E44" s="19" t="n">
        <v>0.3333333333333333</v>
      </c>
      <c r="F44" s="19" t="n">
        <v>0.3333333333333333</v>
      </c>
      <c r="G44" s="19" t="n">
        <v>0.3333333333333333</v>
      </c>
      <c r="H44" s="19" t="n">
        <v>0.3333333333333333</v>
      </c>
      <c r="I44" s="19" t="n">
        <v>0.3333333333333333</v>
      </c>
      <c r="J44" s="19" t="n">
        <v>0.3333333333333333</v>
      </c>
      <c r="K44" s="19" t="n">
        <v>0.3333333333333333</v>
      </c>
      <c r="L44" s="19" t="n">
        <v>0.3333333333333333</v>
      </c>
      <c r="M44" s="19" t="n">
        <v>0.3333333333333333</v>
      </c>
      <c r="N44" s="19" t="n">
        <v>0.3333333333333333</v>
      </c>
      <c r="O44" s="19" t="n">
        <v>0.3333333333333333</v>
      </c>
      <c r="P44" s="19" t="n">
        <v>0.3333333333333333</v>
      </c>
      <c r="Q44" s="19" t="n">
        <v>0.3333333333333333</v>
      </c>
      <c r="R44" s="19" t="n">
        <v>0.3333333333333333</v>
      </c>
      <c r="S44" s="19" t="n">
        <v>0.3333333333333333</v>
      </c>
      <c r="T44" s="19" t="n">
        <v>0.3333333333333333</v>
      </c>
      <c r="U44" s="19" t="n">
        <v>0.3333333333333333</v>
      </c>
      <c r="V44" s="19" t="n">
        <v>0.3333333333333333</v>
      </c>
      <c r="W44" s="19" t="n">
        <v>0.3333333333333333</v>
      </c>
      <c r="X44" s="19" t="n">
        <v>0.3333333333333333</v>
      </c>
      <c r="Y44" s="19" t="n">
        <v>0.3333333333333333</v>
      </c>
      <c r="Z44" s="19" t="n">
        <v>0.3333333333333333</v>
      </c>
      <c r="AA44" s="19" t="n">
        <v>0.3333333333333333</v>
      </c>
      <c r="AB44" s="19" t="n">
        <v>0.3333333333333333</v>
      </c>
      <c r="AC44" s="19" t="n">
        <v>0.3333333333333333</v>
      </c>
      <c r="AD44" s="19" t="n">
        <v>0.3333333333333333</v>
      </c>
      <c r="AE44" s="19" t="n">
        <v>0.3333333333333333</v>
      </c>
      <c r="AF44" s="19" t="n">
        <v>0.3333333333333333</v>
      </c>
      <c r="AG44" s="19" t="n">
        <v>0.3333333333333333</v>
      </c>
      <c r="AH44" s="19" t="n">
        <v>0.3333333333333333</v>
      </c>
      <c r="AI44" s="19" t="n">
        <v>0.3333333333333333</v>
      </c>
      <c r="AJ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8.5" customHeight="1" s="488">
      <c r="A46" s="500" t="n"/>
      <c r="B46" s="500" t="n"/>
      <c r="C46" s="507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8.5" customHeight="1" s="488">
      <c r="A48" s="500" t="n"/>
      <c r="B48" s="500" t="n"/>
      <c r="C48" s="507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8.5" customHeight="1" s="488">
      <c r="A50" s="500" t="n"/>
      <c r="B50" s="500" t="n"/>
      <c r="C50" s="507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8.5" customHeight="1" s="488">
      <c r="A52" s="500" t="n"/>
      <c r="B52" s="500" t="n"/>
      <c r="C52" s="507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8.5" customHeight="1" s="488">
      <c r="A54" s="500" t="n"/>
      <c r="B54" s="500" t="n"/>
      <c r="C54" s="507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21">
        <f>SUM(E54:AI54)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21">
        <f>SUM(E55:AI55)</f>
        <v/>
      </c>
    </row>
    <row r="56" ht="18.5" customHeight="1" s="488">
      <c r="A56" s="500" t="n"/>
      <c r="B56" s="500" t="n"/>
      <c r="C56" s="507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21">
        <f>SUM(E56:AI56)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21">
        <f>SUM(E57:AI57)</f>
        <v/>
      </c>
    </row>
    <row r="58" ht="18.5" customHeight="1" s="488">
      <c r="A58" s="500" t="n"/>
      <c r="B58" s="500" t="n"/>
      <c r="C58" s="507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8.5" customHeight="1" s="488">
      <c r="A60" s="500" t="n"/>
      <c r="B60" s="500" t="n"/>
      <c r="C60" s="507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20">
        <f>AI22-AH22</f>
        <v/>
      </c>
      <c r="AJ60" s="21">
        <f>SUM(E60:AI60)</f>
        <v/>
      </c>
    </row>
    <row r="61" ht="15" customHeight="1" s="488">
      <c r="A61" s="22" t="n"/>
      <c r="B61" s="22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23">
        <f>SUM(AI59,AI57,AI55,AI53,AI51,AI49,AI47,AI45)</f>
        <v/>
      </c>
      <c r="AJ61" s="111">
        <f>SUM(E61:AI61)</f>
        <v/>
      </c>
      <c r="AK61" s="121" t="inlineStr">
        <is>
          <t>EB</t>
        </is>
      </c>
      <c r="AL61" s="122">
        <f>AJ61</f>
        <v/>
      </c>
    </row>
    <row r="62" ht="15" customHeight="1" s="488">
      <c r="A62" s="22" t="n"/>
      <c r="B62" s="22" t="n"/>
      <c r="C62" s="502" t="inlineStr">
        <is>
          <t>Total Power- DG</t>
        </is>
      </c>
      <c r="D62" s="501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23">
        <f>SUM(AI46,AI48,AI50,AI52,AI54,AI56,AI58,AI60)</f>
        <v/>
      </c>
      <c r="AJ62" s="111">
        <f>SUM(E62:AI62)</f>
        <v/>
      </c>
      <c r="AK62" s="123" t="inlineStr">
        <is>
          <t>AHU</t>
        </is>
      </c>
      <c r="AL62" s="122">
        <f>AJ74</f>
        <v/>
      </c>
    </row>
    <row r="63">
      <c r="A63" s="571" t="n"/>
      <c r="B63" s="571" t="n"/>
      <c r="C63" s="514" t="inlineStr">
        <is>
          <t>Total Power Cumulative</t>
        </is>
      </c>
      <c r="D63" s="501" t="n"/>
      <c r="E63" s="26">
        <f>E61</f>
        <v/>
      </c>
      <c r="F63" s="26">
        <f>E63+F61</f>
        <v/>
      </c>
      <c r="G63" s="26">
        <f>F63+G61</f>
        <v/>
      </c>
      <c r="H63" s="26">
        <f>G63+H61</f>
        <v/>
      </c>
      <c r="I63" s="26">
        <f>H63+I61</f>
        <v/>
      </c>
      <c r="J63" s="26">
        <f>I63+J61</f>
        <v/>
      </c>
      <c r="K63" s="26">
        <f>J63+K61</f>
        <v/>
      </c>
      <c r="L63" s="26">
        <f>K63+L61</f>
        <v/>
      </c>
      <c r="M63" s="26">
        <f>L63+M61</f>
        <v/>
      </c>
      <c r="N63" s="26">
        <f>M63+N61</f>
        <v/>
      </c>
      <c r="O63" s="26">
        <f>N63+O61</f>
        <v/>
      </c>
      <c r="P63" s="26">
        <f>O63+P61</f>
        <v/>
      </c>
      <c r="Q63" s="26">
        <f>P63+Q61</f>
        <v/>
      </c>
      <c r="R63" s="26">
        <f>Q63+R61</f>
        <v/>
      </c>
      <c r="S63" s="26">
        <f>R63+S61</f>
        <v/>
      </c>
      <c r="T63" s="26">
        <f>S63+T61</f>
        <v/>
      </c>
      <c r="U63" s="26">
        <f>T63+U61</f>
        <v/>
      </c>
      <c r="V63" s="26">
        <f>U63+V61</f>
        <v/>
      </c>
      <c r="W63" s="26">
        <f>V63+W61</f>
        <v/>
      </c>
      <c r="X63" s="26">
        <f>W63+X61</f>
        <v/>
      </c>
      <c r="Y63" s="26">
        <f>X63+Y61</f>
        <v/>
      </c>
      <c r="Z63" s="26">
        <f>Y63+Z61</f>
        <v/>
      </c>
      <c r="AA63" s="26">
        <f>Z63+AA61</f>
        <v/>
      </c>
      <c r="AB63" s="26">
        <f>AA63+AB61</f>
        <v/>
      </c>
      <c r="AC63" s="26">
        <f>AB63+AC61</f>
        <v/>
      </c>
      <c r="AD63" s="26">
        <f>AC63+AD61</f>
        <v/>
      </c>
      <c r="AE63" s="26">
        <f>AD63+AE61</f>
        <v/>
      </c>
      <c r="AF63" s="26">
        <f>AE63+AF61</f>
        <v/>
      </c>
      <c r="AG63" s="26">
        <f>AF63+AG61</f>
        <v/>
      </c>
      <c r="AH63" s="26">
        <f>AG63+AH61</f>
        <v/>
      </c>
      <c r="AI63" s="26">
        <f>AH63+AI61</f>
        <v/>
      </c>
      <c r="AJ63" s="119">
        <f>AG63+AJ61</f>
        <v/>
      </c>
      <c r="AK63" s="123" t="inlineStr">
        <is>
          <t>BTU</t>
        </is>
      </c>
      <c r="AL63" s="124">
        <f>AJ80*40%</f>
        <v/>
      </c>
    </row>
    <row r="64">
      <c r="A64" s="17" t="n"/>
      <c r="B64" s="534" t="n"/>
      <c r="C64" s="534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20" t="n"/>
      <c r="AK64" s="123" t="inlineStr">
        <is>
          <t>DG</t>
        </is>
      </c>
      <c r="AL64" s="122">
        <f>AJ62+AJ75</f>
        <v/>
      </c>
    </row>
    <row r="65" ht="1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  <c r="AN65" s="66" t="n"/>
    </row>
    <row r="66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AI24-AH24</f>
        <v/>
      </c>
      <c r="AJ66" s="30">
        <f>SUM(E66:AI66)</f>
        <v/>
      </c>
    </row>
    <row r="67" ht="18.5" customHeight="1" s="488">
      <c r="A67" s="500" t="n"/>
      <c r="B67" s="500" t="n"/>
      <c r="C67" s="512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AI25-AH25</f>
        <v/>
      </c>
      <c r="AJ67" s="30">
        <f>SUM(E67:AI67)</f>
        <v/>
      </c>
    </row>
    <row r="6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AI26-AH26</f>
        <v/>
      </c>
      <c r="AJ68" s="30">
        <f>SUM(E68:AI68)</f>
        <v/>
      </c>
    </row>
    <row r="69" ht="18.5" customHeight="1" s="488">
      <c r="A69" s="500" t="n"/>
      <c r="B69" s="500" t="n"/>
      <c r="C69" s="512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AI27-AH27</f>
        <v/>
      </c>
      <c r="AJ69" s="30">
        <f>SUM(E69:AI69)</f>
        <v/>
      </c>
    </row>
    <row r="70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AI28-AH28</f>
        <v/>
      </c>
      <c r="AJ70" s="30">
        <f>SUM(E70:AI70)</f>
        <v/>
      </c>
    </row>
    <row r="71" ht="18.5" customHeight="1" s="488">
      <c r="A71" s="500" t="n"/>
      <c r="B71" s="500" t="n"/>
      <c r="C71" s="512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AI29-AH29</f>
        <v/>
      </c>
      <c r="AJ71" s="30">
        <f>SUM(E71:AI71)</f>
        <v/>
      </c>
    </row>
    <row r="72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AI30-AH30</f>
        <v/>
      </c>
      <c r="AJ72" s="30">
        <f>SUM(E72:AI72)</f>
        <v/>
      </c>
    </row>
    <row r="73" ht="18.5" customHeight="1" s="488">
      <c r="A73" s="500" t="n"/>
      <c r="B73" s="500" t="n"/>
      <c r="C73" s="512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AI31-AH31</f>
        <v/>
      </c>
      <c r="AJ73" s="30">
        <f>SUM(E73:AI73)</f>
        <v/>
      </c>
    </row>
    <row r="74" ht="25.5" customHeight="1" s="488">
      <c r="A74" s="22" t="n"/>
      <c r="B74" s="22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  <c r="AK74" s="64" t="n"/>
      <c r="AL74" s="64" t="n"/>
    </row>
    <row r="75" ht="25.5" customHeight="1" s="488">
      <c r="A75" s="22" t="n"/>
      <c r="B75" s="22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3">
        <f>SUM(AI67,AI69,AI71,AI73)</f>
        <v/>
      </c>
      <c r="AJ75" s="24">
        <f>SUM(E75:AI75)</f>
        <v/>
      </c>
      <c r="AK75" s="64" t="n"/>
      <c r="AL75" s="64" t="n"/>
    </row>
    <row r="76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AI33-AH33</f>
        <v/>
      </c>
      <c r="AJ76" s="30">
        <f>SUM(E76:AI76)</f>
        <v/>
      </c>
    </row>
    <row r="77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AI34-AH34</f>
        <v/>
      </c>
      <c r="AJ77" s="30">
        <f>SUM(E77:AI77)</f>
        <v/>
      </c>
    </row>
    <row r="7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AI35-AH35</f>
        <v/>
      </c>
      <c r="AJ78" s="30">
        <f>SUM(E78:AI78)</f>
        <v/>
      </c>
    </row>
    <row r="79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AI36-AH36</f>
        <v/>
      </c>
      <c r="AJ79" s="30">
        <f>SUM(E79:AI79)</f>
        <v/>
      </c>
    </row>
    <row r="80" ht="15" customHeight="1" s="488">
      <c r="A80" s="22" t="n"/>
      <c r="B80" s="22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3">
        <f>SUM(AI76:AI79)</f>
        <v/>
      </c>
      <c r="AJ80" s="24">
        <f>SUM(AJ76:AJ79)</f>
        <v/>
      </c>
      <c r="AK80" s="64" t="n"/>
    </row>
  </sheetData>
  <mergeCells count="50">
    <mergeCell ref="C77:D77"/>
    <mergeCell ref="C62:D62"/>
    <mergeCell ref="C68:D68"/>
    <mergeCell ref="E2:AI2"/>
    <mergeCell ref="C58:D58"/>
    <mergeCell ref="B3:B6"/>
    <mergeCell ref="C45:D45"/>
    <mergeCell ref="C74:D74"/>
    <mergeCell ref="C79:D79"/>
    <mergeCell ref="C73:D73"/>
    <mergeCell ref="C47:D47"/>
    <mergeCell ref="C54:D54"/>
    <mergeCell ref="C65:D65"/>
    <mergeCell ref="C63:D63"/>
    <mergeCell ref="B40:D40"/>
    <mergeCell ref="A41:A44"/>
    <mergeCell ref="A3:A6"/>
    <mergeCell ref="C75:D75"/>
    <mergeCell ref="AJ3:AJ6"/>
    <mergeCell ref="C50:D50"/>
    <mergeCell ref="C55:D55"/>
    <mergeCell ref="C53:D53"/>
    <mergeCell ref="C80:D80"/>
    <mergeCell ref="C56:D56"/>
    <mergeCell ref="C59:D59"/>
    <mergeCell ref="A23:AJ23"/>
    <mergeCell ref="A32:AJ32"/>
    <mergeCell ref="C46:D46"/>
    <mergeCell ref="C60:D60"/>
    <mergeCell ref="C51:D51"/>
    <mergeCell ref="C76:D76"/>
    <mergeCell ref="C71:D71"/>
    <mergeCell ref="D3:D6"/>
    <mergeCell ref="C61:D61"/>
    <mergeCell ref="C52:D52"/>
    <mergeCell ref="C70:D70"/>
    <mergeCell ref="C48:D48"/>
    <mergeCell ref="B41:B44"/>
    <mergeCell ref="C72:D72"/>
    <mergeCell ref="C67:D67"/>
    <mergeCell ref="C57:D57"/>
    <mergeCell ref="C3:C6"/>
    <mergeCell ref="C66:D66"/>
    <mergeCell ref="C41:D44"/>
    <mergeCell ref="A2:D2"/>
    <mergeCell ref="AJ41:AJ44"/>
    <mergeCell ref="B39:D39"/>
    <mergeCell ref="C78:D78"/>
    <mergeCell ref="C69:D69"/>
    <mergeCell ref="C49:D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K80"/>
  <sheetViews>
    <sheetView workbookViewId="0">
      <selection activeCell="A22" sqref="A22:AJ22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89" min="3" max="3"/>
    <col width="20" bestFit="1" customWidth="1" style="110" min="4" max="4"/>
    <col width="23" bestFit="1" customWidth="1" style="70" min="5" max="5"/>
    <col width="23" customWidth="1" style="488" min="6" max="32"/>
    <col width="23" bestFit="1" customWidth="1" style="70" min="33" max="34"/>
    <col width="18" bestFit="1" customWidth="1" style="70" min="35" max="35"/>
    <col width="14" customWidth="1" style="70" min="36" max="36"/>
    <col width="18" customWidth="1" style="70" min="37" max="38"/>
    <col width="18" customWidth="1" style="70" min="39" max="16384"/>
  </cols>
  <sheetData>
    <row r="2" ht="16.5" customHeight="1" s="488">
      <c r="A2" s="538" t="n"/>
      <c r="B2" s="505" t="n"/>
      <c r="C2" s="505" t="n"/>
      <c r="D2" s="506" t="n"/>
      <c r="E2" s="535" t="inlineStr">
        <is>
          <t>April - 2024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6" t="n"/>
      <c r="AI2" s="69" t="n"/>
    </row>
    <row r="3" ht="13" customHeight="1" s="488">
      <c r="A3" s="530" t="inlineStr">
        <is>
          <t>Sr.No</t>
        </is>
      </c>
      <c r="B3" s="530" t="inlineStr">
        <is>
          <t>Location</t>
        </is>
      </c>
      <c r="C3" s="530" t="inlineStr">
        <is>
          <t>Meter</t>
        </is>
      </c>
      <c r="D3" s="536" t="inlineStr">
        <is>
          <t>Previous Reading</t>
        </is>
      </c>
      <c r="E3" s="71" t="n">
        <v>45383</v>
      </c>
      <c r="F3" s="71" t="n">
        <v>45384</v>
      </c>
      <c r="G3" s="71" t="n">
        <v>45385</v>
      </c>
      <c r="H3" s="71" t="n">
        <v>45386</v>
      </c>
      <c r="I3" s="71" t="n">
        <v>45387</v>
      </c>
      <c r="J3" s="71" t="n">
        <v>45388</v>
      </c>
      <c r="K3" s="71" t="n">
        <v>45389</v>
      </c>
      <c r="L3" s="71" t="n">
        <v>45390</v>
      </c>
      <c r="M3" s="71" t="n">
        <v>45391</v>
      </c>
      <c r="N3" s="71" t="n">
        <v>45392</v>
      </c>
      <c r="O3" s="71" t="n">
        <v>45393</v>
      </c>
      <c r="P3" s="71" t="n">
        <v>45394</v>
      </c>
      <c r="Q3" s="71" t="n">
        <v>45395</v>
      </c>
      <c r="R3" s="71" t="n">
        <v>45396</v>
      </c>
      <c r="S3" s="71" t="n">
        <v>45397</v>
      </c>
      <c r="T3" s="71" t="n">
        <v>45398</v>
      </c>
      <c r="U3" s="71" t="n">
        <v>45399</v>
      </c>
      <c r="V3" s="71" t="n">
        <v>45400</v>
      </c>
      <c r="W3" s="71" t="n">
        <v>45401</v>
      </c>
      <c r="X3" s="71" t="n">
        <v>45402</v>
      </c>
      <c r="Y3" s="71" t="n">
        <v>45403</v>
      </c>
      <c r="Z3" s="71" t="n">
        <v>45404</v>
      </c>
      <c r="AA3" s="71" t="n">
        <v>45405</v>
      </c>
      <c r="AB3" s="71" t="n">
        <v>45406</v>
      </c>
      <c r="AC3" s="71" t="n">
        <v>45407</v>
      </c>
      <c r="AD3" s="71" t="n">
        <v>45408</v>
      </c>
      <c r="AE3" s="71" t="n">
        <v>45409</v>
      </c>
      <c r="AF3" s="71" t="n">
        <v>45410</v>
      </c>
      <c r="AG3" s="71" t="n">
        <v>45411</v>
      </c>
      <c r="AH3" s="71" t="n">
        <v>45412</v>
      </c>
      <c r="AI3" s="537" t="inlineStr">
        <is>
          <t>Consumption</t>
        </is>
      </c>
    </row>
    <row r="4" ht="13" customHeight="1" s="488">
      <c r="A4" s="509" t="n"/>
      <c r="B4" s="509" t="n"/>
      <c r="C4" s="509" t="n"/>
      <c r="D4" s="509" t="n"/>
      <c r="E4" s="72" t="inlineStr">
        <is>
          <t>Mon</t>
        </is>
      </c>
      <c r="F4" s="72" t="inlineStr">
        <is>
          <t>Tue</t>
        </is>
      </c>
      <c r="G4" s="72" t="inlineStr">
        <is>
          <t>Wed</t>
        </is>
      </c>
      <c r="H4" s="72" t="inlineStr">
        <is>
          <t>Thu</t>
        </is>
      </c>
      <c r="I4" s="72" t="inlineStr">
        <is>
          <t>Fri</t>
        </is>
      </c>
      <c r="J4" s="72" t="inlineStr">
        <is>
          <t>Sat</t>
        </is>
      </c>
      <c r="K4" s="72" t="inlineStr">
        <is>
          <t>Sun</t>
        </is>
      </c>
      <c r="L4" s="72" t="inlineStr">
        <is>
          <t>Mon</t>
        </is>
      </c>
      <c r="M4" s="72" t="inlineStr">
        <is>
          <t>Tue</t>
        </is>
      </c>
      <c r="N4" s="72" t="inlineStr">
        <is>
          <t>Wed</t>
        </is>
      </c>
      <c r="O4" s="72" t="inlineStr">
        <is>
          <t>Thu</t>
        </is>
      </c>
      <c r="P4" s="72" t="inlineStr">
        <is>
          <t>Fri</t>
        </is>
      </c>
      <c r="Q4" s="72" t="inlineStr">
        <is>
          <t>Sat</t>
        </is>
      </c>
      <c r="R4" s="72" t="inlineStr">
        <is>
          <t>Sun</t>
        </is>
      </c>
      <c r="S4" s="72" t="inlineStr">
        <is>
          <t>Mon</t>
        </is>
      </c>
      <c r="T4" s="72" t="inlineStr">
        <is>
          <t>Tue</t>
        </is>
      </c>
      <c r="U4" s="72" t="inlineStr">
        <is>
          <t>Wed</t>
        </is>
      </c>
      <c r="V4" s="72" t="inlineStr">
        <is>
          <t>Thu</t>
        </is>
      </c>
      <c r="W4" s="72" t="inlineStr">
        <is>
          <t>Fri</t>
        </is>
      </c>
      <c r="X4" s="72" t="inlineStr">
        <is>
          <t>Sat</t>
        </is>
      </c>
      <c r="Y4" s="72" t="inlineStr">
        <is>
          <t>Sun</t>
        </is>
      </c>
      <c r="Z4" s="72" t="inlineStr">
        <is>
          <t>Mon</t>
        </is>
      </c>
      <c r="AA4" s="72" t="inlineStr">
        <is>
          <t>Tue</t>
        </is>
      </c>
      <c r="AB4" s="72" t="inlineStr">
        <is>
          <t>Wed</t>
        </is>
      </c>
      <c r="AC4" s="72" t="inlineStr">
        <is>
          <t>Thu</t>
        </is>
      </c>
      <c r="AD4" s="72" t="inlineStr">
        <is>
          <t>Fri</t>
        </is>
      </c>
      <c r="AE4" s="72" t="inlineStr">
        <is>
          <t>Sat</t>
        </is>
      </c>
      <c r="AF4" s="72" t="inlineStr">
        <is>
          <t>Sun</t>
        </is>
      </c>
      <c r="AG4" s="72" t="inlineStr">
        <is>
          <t>Mon</t>
        </is>
      </c>
      <c r="AH4" s="72" t="inlineStr">
        <is>
          <t>Tue</t>
        </is>
      </c>
      <c r="AI4" s="509" t="n"/>
    </row>
    <row r="5" ht="13" customHeight="1" s="488">
      <c r="A5" s="509" t="n"/>
      <c r="B5" s="509" t="n"/>
      <c r="C5" s="509" t="n"/>
      <c r="D5" s="509" t="n"/>
      <c r="E5" s="72" t="inlineStr">
        <is>
          <t>Time</t>
        </is>
      </c>
      <c r="F5" s="72" t="inlineStr">
        <is>
          <t>Time</t>
        </is>
      </c>
      <c r="G5" s="72" t="inlineStr">
        <is>
          <t>Time</t>
        </is>
      </c>
      <c r="H5" s="72" t="inlineStr">
        <is>
          <t>Time</t>
        </is>
      </c>
      <c r="I5" s="72" t="inlineStr">
        <is>
          <t>Time</t>
        </is>
      </c>
      <c r="J5" s="72" t="inlineStr">
        <is>
          <t>Time</t>
        </is>
      </c>
      <c r="K5" s="72" t="inlineStr">
        <is>
          <t>Time</t>
        </is>
      </c>
      <c r="L5" s="72" t="inlineStr">
        <is>
          <t>Time</t>
        </is>
      </c>
      <c r="M5" s="72" t="inlineStr">
        <is>
          <t>Time</t>
        </is>
      </c>
      <c r="N5" s="72" t="inlineStr">
        <is>
          <t>Time</t>
        </is>
      </c>
      <c r="O5" s="72" t="inlineStr">
        <is>
          <t>Time</t>
        </is>
      </c>
      <c r="P5" s="72" t="inlineStr">
        <is>
          <t>Time</t>
        </is>
      </c>
      <c r="Q5" s="72" t="inlineStr">
        <is>
          <t>Time</t>
        </is>
      </c>
      <c r="R5" s="72" t="inlineStr">
        <is>
          <t>Time</t>
        </is>
      </c>
      <c r="S5" s="72" t="inlineStr">
        <is>
          <t>Time</t>
        </is>
      </c>
      <c r="T5" s="72" t="inlineStr">
        <is>
          <t>Time</t>
        </is>
      </c>
      <c r="U5" s="72" t="inlineStr">
        <is>
          <t>Time</t>
        </is>
      </c>
      <c r="V5" s="72" t="inlineStr">
        <is>
          <t>Time</t>
        </is>
      </c>
      <c r="W5" s="72" t="inlineStr">
        <is>
          <t>Time</t>
        </is>
      </c>
      <c r="X5" s="72" t="inlineStr">
        <is>
          <t>Time</t>
        </is>
      </c>
      <c r="Y5" s="72" t="inlineStr">
        <is>
          <t>Time</t>
        </is>
      </c>
      <c r="Z5" s="72" t="inlineStr">
        <is>
          <t>Time</t>
        </is>
      </c>
      <c r="AA5" s="72" t="inlineStr">
        <is>
          <t>Time</t>
        </is>
      </c>
      <c r="AB5" s="72" t="inlineStr">
        <is>
          <t>Time</t>
        </is>
      </c>
      <c r="AC5" s="72" t="inlineStr">
        <is>
          <t>Time</t>
        </is>
      </c>
      <c r="AD5" s="72" t="inlineStr">
        <is>
          <t>Time</t>
        </is>
      </c>
      <c r="AE5" s="72" t="inlineStr">
        <is>
          <t>Time</t>
        </is>
      </c>
      <c r="AF5" s="72" t="inlineStr">
        <is>
          <t>Time</t>
        </is>
      </c>
      <c r="AG5" s="72" t="inlineStr">
        <is>
          <t>Time</t>
        </is>
      </c>
      <c r="AH5" s="72" t="inlineStr">
        <is>
          <t>Time</t>
        </is>
      </c>
      <c r="AI5" s="509" t="n"/>
    </row>
    <row r="6" ht="13" customHeight="1" s="488">
      <c r="A6" s="510" t="n"/>
      <c r="B6" s="510" t="n"/>
      <c r="C6" s="510" t="n"/>
      <c r="D6" s="510" t="n"/>
      <c r="E6" s="73" t="n">
        <v>0.3333333333333333</v>
      </c>
      <c r="F6" s="73" t="n">
        <v>0.3333333333333333</v>
      </c>
      <c r="G6" s="73" t="n">
        <v>0.3333333333333333</v>
      </c>
      <c r="H6" s="73" t="n">
        <v>0.3333333333333333</v>
      </c>
      <c r="I6" s="73" t="n">
        <v>0.3333333333333333</v>
      </c>
      <c r="J6" s="73" t="n">
        <v>0.3333333333333333</v>
      </c>
      <c r="K6" s="73" t="n">
        <v>0.3333333333333333</v>
      </c>
      <c r="L6" s="73" t="n">
        <v>0.3333333333333333</v>
      </c>
      <c r="M6" s="73" t="n">
        <v>0.3333333333333333</v>
      </c>
      <c r="N6" s="73" t="n">
        <v>0.3333333333333333</v>
      </c>
      <c r="O6" s="73" t="n">
        <v>0.3333333333333333</v>
      </c>
      <c r="P6" s="73" t="n">
        <v>0.3333333333333333</v>
      </c>
      <c r="Q6" s="73" t="n">
        <v>0.3333333333333333</v>
      </c>
      <c r="R6" s="73" t="n">
        <v>0.3333333333333333</v>
      </c>
      <c r="S6" s="73" t="n">
        <v>0.3333333333333333</v>
      </c>
      <c r="T6" s="73" t="n">
        <v>0.3333333333333333</v>
      </c>
      <c r="U6" s="73" t="n">
        <v>0.3333333333333333</v>
      </c>
      <c r="V6" s="73" t="n">
        <v>0.3333333333333333</v>
      </c>
      <c r="W6" s="73" t="n">
        <v>0.3333333333333333</v>
      </c>
      <c r="X6" s="73" t="n">
        <v>0.3333333333333333</v>
      </c>
      <c r="Y6" s="73" t="n">
        <v>0.3333333333333333</v>
      </c>
      <c r="Z6" s="73" t="n">
        <v>0.3333333333333333</v>
      </c>
      <c r="AA6" s="73" t="n">
        <v>0.3333333333333333</v>
      </c>
      <c r="AB6" s="73" t="n">
        <v>0.3333333333333333</v>
      </c>
      <c r="AC6" s="73" t="n">
        <v>0.3333333333333333</v>
      </c>
      <c r="AD6" s="73" t="n">
        <v>0.3333333333333333</v>
      </c>
      <c r="AE6" s="73" t="n">
        <v>0.3333333333333333</v>
      </c>
      <c r="AF6" s="73" t="n">
        <v>0.3333333333333333</v>
      </c>
      <c r="AG6" s="73" t="n">
        <v>0.3333333333333333</v>
      </c>
      <c r="AH6" s="73" t="n">
        <v>0.3333333333333333</v>
      </c>
      <c r="AI6" s="510" t="n"/>
    </row>
    <row r="7" ht="14.25" customHeight="1" s="488">
      <c r="A7" s="500" t="n">
        <v>1</v>
      </c>
      <c r="B7" s="500" t="n"/>
      <c r="C7" s="500" t="inlineStr">
        <is>
          <t>SL No 540430038840 (EB Unit)</t>
        </is>
      </c>
      <c r="D7" s="31">
        <f>'Mar-24'!AI7</f>
        <v/>
      </c>
      <c r="E7" s="561" t="n">
        <v>13954</v>
      </c>
      <c r="F7" s="561" t="n">
        <v>14192</v>
      </c>
      <c r="G7" s="5" t="n">
        <v>14447</v>
      </c>
      <c r="H7" s="5" t="n">
        <v>14695</v>
      </c>
      <c r="I7" s="561" t="n">
        <v>14934</v>
      </c>
      <c r="J7" s="561" t="n">
        <v>15140</v>
      </c>
      <c r="K7" s="561" t="n">
        <v>15340</v>
      </c>
      <c r="L7" s="561" t="n">
        <v>15616</v>
      </c>
      <c r="M7" s="6" t="n">
        <v>15857</v>
      </c>
      <c r="N7" s="561" t="n">
        <v>16102</v>
      </c>
      <c r="O7" s="561" t="n">
        <v>16352</v>
      </c>
      <c r="P7" s="561" t="n">
        <v>16577</v>
      </c>
      <c r="Q7" s="6" t="n">
        <v>16833</v>
      </c>
      <c r="R7" s="561" t="n">
        <v>17031</v>
      </c>
      <c r="S7" s="561" t="n">
        <v>17277</v>
      </c>
      <c r="T7" s="561" t="n">
        <v>17515</v>
      </c>
      <c r="U7" s="561" t="n">
        <v>17761</v>
      </c>
      <c r="V7" s="6" t="n">
        <v>18010</v>
      </c>
      <c r="W7" s="561" t="n">
        <v>18263</v>
      </c>
      <c r="X7" s="561" t="n">
        <v>18443</v>
      </c>
      <c r="Y7" s="561" t="n">
        <v>18647</v>
      </c>
      <c r="Z7" s="561" t="n">
        <v>18895</v>
      </c>
      <c r="AA7" s="561" t="n">
        <v>19148</v>
      </c>
      <c r="AB7" s="561" t="n">
        <v>19397</v>
      </c>
      <c r="AC7" s="561" t="n">
        <v>19626</v>
      </c>
      <c r="AD7" s="561" t="n">
        <v>19862</v>
      </c>
      <c r="AE7" s="561" t="n">
        <v>20081</v>
      </c>
      <c r="AF7" s="561" t="n">
        <v>20271</v>
      </c>
      <c r="AG7" s="561" t="n">
        <v>20513</v>
      </c>
      <c r="AH7" s="44" t="n">
        <v>20652</v>
      </c>
      <c r="AI7" s="7">
        <f>AH7-D7</f>
        <v/>
      </c>
    </row>
    <row r="8" ht="14.25" customHeight="1" s="488">
      <c r="A8" s="500" t="n"/>
      <c r="B8" s="500" t="n"/>
      <c r="C8" s="79" t="inlineStr">
        <is>
          <t>DG</t>
        </is>
      </c>
      <c r="D8" s="31">
        <f>'Mar-24'!AI8</f>
        <v/>
      </c>
      <c r="E8" s="561" t="n">
        <v>278</v>
      </c>
      <c r="F8" s="561" t="n">
        <v>278</v>
      </c>
      <c r="G8" s="5" t="n">
        <v>284</v>
      </c>
      <c r="H8" s="5" t="n">
        <v>284</v>
      </c>
      <c r="I8" s="5" t="n">
        <v>284</v>
      </c>
      <c r="J8" s="5" t="n">
        <v>284</v>
      </c>
      <c r="K8" s="5" t="n">
        <v>284</v>
      </c>
      <c r="L8" s="5" t="n">
        <v>284</v>
      </c>
      <c r="M8" s="6" t="n">
        <v>286</v>
      </c>
      <c r="N8" s="561" t="n">
        <v>296</v>
      </c>
      <c r="O8" s="561" t="n">
        <v>296</v>
      </c>
      <c r="P8" s="561" t="n">
        <v>296</v>
      </c>
      <c r="Q8" s="561" t="n">
        <v>296</v>
      </c>
      <c r="R8" s="561" t="n">
        <v>301</v>
      </c>
      <c r="S8" s="561" t="n">
        <v>304</v>
      </c>
      <c r="T8" s="561" t="n">
        <v>304</v>
      </c>
      <c r="U8" s="561" t="n">
        <v>304</v>
      </c>
      <c r="V8" s="561" t="n">
        <v>304</v>
      </c>
      <c r="W8" s="561" t="n">
        <v>304</v>
      </c>
      <c r="X8" s="561" t="n">
        <v>304</v>
      </c>
      <c r="Y8" s="561" t="n">
        <v>304</v>
      </c>
      <c r="Z8" s="561" t="n">
        <v>304</v>
      </c>
      <c r="AA8" s="561" t="n">
        <v>306</v>
      </c>
      <c r="AB8" s="561" t="n">
        <v>306</v>
      </c>
      <c r="AC8" s="561" t="n">
        <v>308</v>
      </c>
      <c r="AD8" s="561" t="n">
        <v>319</v>
      </c>
      <c r="AE8" s="561" t="n">
        <v>323</v>
      </c>
      <c r="AF8" s="561" t="n">
        <v>323</v>
      </c>
      <c r="AG8" s="561" t="n">
        <v>323</v>
      </c>
      <c r="AH8" s="44" t="n">
        <v>328</v>
      </c>
      <c r="AI8" s="7">
        <f>AH8-D8</f>
        <v/>
      </c>
    </row>
    <row r="9" ht="14.25" customHeight="1" s="488">
      <c r="A9" s="500" t="n">
        <v>2</v>
      </c>
      <c r="B9" s="500" t="n"/>
      <c r="C9" s="500" t="inlineStr">
        <is>
          <t>SL No 540430038845 (EB Unit)</t>
        </is>
      </c>
      <c r="D9" s="31">
        <f>'Mar-24'!AI9</f>
        <v/>
      </c>
      <c r="E9" s="561" t="n">
        <v>1956</v>
      </c>
      <c r="F9" s="561" t="n">
        <v>1956</v>
      </c>
      <c r="G9" s="561" t="n">
        <v>1956</v>
      </c>
      <c r="H9" s="561" t="n">
        <v>1956</v>
      </c>
      <c r="I9" s="561" t="n">
        <v>1956</v>
      </c>
      <c r="J9" s="561" t="n">
        <v>1956</v>
      </c>
      <c r="K9" s="561" t="n">
        <v>1956</v>
      </c>
      <c r="L9" s="561" t="n">
        <v>1956</v>
      </c>
      <c r="M9" s="561" t="n">
        <v>1956</v>
      </c>
      <c r="N9" s="561" t="n">
        <v>1956</v>
      </c>
      <c r="O9" s="561" t="n">
        <v>1956</v>
      </c>
      <c r="P9" s="561" t="n">
        <v>1956</v>
      </c>
      <c r="Q9" s="561" t="n">
        <v>1956</v>
      </c>
      <c r="R9" s="561" t="n">
        <v>1956</v>
      </c>
      <c r="S9" s="561" t="n">
        <v>1956</v>
      </c>
      <c r="T9" s="561" t="n">
        <v>1956</v>
      </c>
      <c r="U9" s="561" t="n">
        <v>1956</v>
      </c>
      <c r="V9" s="561" t="n">
        <v>1956</v>
      </c>
      <c r="W9" s="561" t="n">
        <v>1956</v>
      </c>
      <c r="X9" s="561" t="n">
        <v>1956</v>
      </c>
      <c r="Y9" s="561" t="n">
        <v>1956</v>
      </c>
      <c r="Z9" s="561" t="n">
        <v>1956</v>
      </c>
      <c r="AA9" s="561" t="n">
        <v>1956</v>
      </c>
      <c r="AB9" s="561" t="n">
        <v>1956</v>
      </c>
      <c r="AC9" s="561" t="n">
        <v>1956</v>
      </c>
      <c r="AD9" s="561" t="n">
        <v>1956</v>
      </c>
      <c r="AE9" s="561" t="n">
        <v>1956</v>
      </c>
      <c r="AF9" s="561" t="n">
        <v>1956</v>
      </c>
      <c r="AG9" s="561" t="n">
        <v>1956</v>
      </c>
      <c r="AH9" s="561" t="n">
        <v>1956</v>
      </c>
      <c r="AI9" s="7">
        <f>AH9-D9</f>
        <v/>
      </c>
    </row>
    <row r="10" ht="14.25" customHeight="1" s="488">
      <c r="A10" s="500" t="n"/>
      <c r="B10" s="500" t="n"/>
      <c r="C10" s="79" t="inlineStr">
        <is>
          <t>DG</t>
        </is>
      </c>
      <c r="D10" s="31">
        <f>'Mar-24'!AI10</f>
        <v/>
      </c>
      <c r="E10" s="561" t="n">
        <v>28</v>
      </c>
      <c r="F10" s="561" t="n">
        <v>28</v>
      </c>
      <c r="G10" s="561" t="n">
        <v>28</v>
      </c>
      <c r="H10" s="561" t="n">
        <v>28</v>
      </c>
      <c r="I10" s="561" t="n">
        <v>28</v>
      </c>
      <c r="J10" s="561" t="n">
        <v>28</v>
      </c>
      <c r="K10" s="561" t="n">
        <v>28</v>
      </c>
      <c r="L10" s="561" t="n">
        <v>28</v>
      </c>
      <c r="M10" s="561" t="n">
        <v>28</v>
      </c>
      <c r="N10" s="561" t="n">
        <v>28</v>
      </c>
      <c r="O10" s="561" t="n">
        <v>28</v>
      </c>
      <c r="P10" s="561" t="n">
        <v>28</v>
      </c>
      <c r="Q10" s="561" t="n">
        <v>28</v>
      </c>
      <c r="R10" s="561" t="n">
        <v>28</v>
      </c>
      <c r="S10" s="561" t="n">
        <v>28</v>
      </c>
      <c r="T10" s="561" t="n">
        <v>28</v>
      </c>
      <c r="U10" s="561" t="n">
        <v>28</v>
      </c>
      <c r="V10" s="561" t="n">
        <v>28</v>
      </c>
      <c r="W10" s="561" t="n">
        <v>28</v>
      </c>
      <c r="X10" s="561" t="n">
        <v>28</v>
      </c>
      <c r="Y10" s="561" t="n">
        <v>28</v>
      </c>
      <c r="Z10" s="561" t="n">
        <v>28</v>
      </c>
      <c r="AA10" s="561" t="n">
        <v>28</v>
      </c>
      <c r="AB10" s="561" t="n">
        <v>28</v>
      </c>
      <c r="AC10" s="561" t="n">
        <v>28</v>
      </c>
      <c r="AD10" s="561" t="n">
        <v>28</v>
      </c>
      <c r="AE10" s="561" t="n">
        <v>28</v>
      </c>
      <c r="AF10" s="561" t="n">
        <v>28</v>
      </c>
      <c r="AG10" s="561" t="n">
        <v>28</v>
      </c>
      <c r="AH10" s="561" t="n">
        <v>28</v>
      </c>
      <c r="AI10" s="7">
        <f>AH10-D10</f>
        <v/>
      </c>
    </row>
    <row r="11" ht="14.25" customHeight="1" s="488">
      <c r="A11" s="500" t="n">
        <v>3</v>
      </c>
      <c r="B11" s="500" t="n"/>
      <c r="C11" s="500" t="inlineStr">
        <is>
          <t>SL No 540430038844 (EB Unit)</t>
        </is>
      </c>
      <c r="D11" s="31">
        <f>'Mar-24'!AI11</f>
        <v/>
      </c>
      <c r="E11" s="561" t="n">
        <v>26903</v>
      </c>
      <c r="F11" s="561" t="n">
        <v>27234</v>
      </c>
      <c r="G11" s="561" t="n">
        <v>27600</v>
      </c>
      <c r="H11" s="561" t="n">
        <v>27954</v>
      </c>
      <c r="I11" s="561" t="n">
        <v>28285</v>
      </c>
      <c r="J11" s="561" t="n">
        <v>28564</v>
      </c>
      <c r="K11" s="561" t="n">
        <v>28848</v>
      </c>
      <c r="L11" s="561" t="n">
        <v>29211</v>
      </c>
      <c r="M11" s="561" t="n">
        <v>29553</v>
      </c>
      <c r="N11" s="561" t="n">
        <v>29896</v>
      </c>
      <c r="O11" s="561" t="n">
        <v>30245</v>
      </c>
      <c r="P11" s="561" t="n">
        <v>30561</v>
      </c>
      <c r="Q11" s="561" t="n">
        <v>30813</v>
      </c>
      <c r="R11" s="561" t="n">
        <v>31065</v>
      </c>
      <c r="S11" s="561" t="n">
        <v>31409</v>
      </c>
      <c r="T11" s="561" t="n">
        <v>31746</v>
      </c>
      <c r="U11" s="561" t="n">
        <v>32095</v>
      </c>
      <c r="V11" s="561" t="n">
        <v>32436</v>
      </c>
      <c r="W11" s="561" t="n">
        <v>32782</v>
      </c>
      <c r="X11" s="561" t="n">
        <v>33017</v>
      </c>
      <c r="Y11" s="561" t="n">
        <v>33274</v>
      </c>
      <c r="Z11" s="561" t="n">
        <v>33623</v>
      </c>
      <c r="AA11" s="561" t="n">
        <v>33981</v>
      </c>
      <c r="AB11" s="561" t="n">
        <v>34335</v>
      </c>
      <c r="AC11" s="561" t="n">
        <v>34646</v>
      </c>
      <c r="AD11" s="561" t="n">
        <v>34977</v>
      </c>
      <c r="AE11" s="8" t="n">
        <v>35264</v>
      </c>
      <c r="AF11" s="8" t="n">
        <v>35509</v>
      </c>
      <c r="AG11" s="8" t="n">
        <v>35851</v>
      </c>
      <c r="AH11" s="44" t="n">
        <v>36049</v>
      </c>
      <c r="AI11" s="7">
        <f>AH11-D11</f>
        <v/>
      </c>
    </row>
    <row r="12" ht="14.25" customHeight="1" s="488">
      <c r="A12" s="500" t="n"/>
      <c r="B12" s="500" t="n"/>
      <c r="C12" s="79" t="inlineStr">
        <is>
          <t>DG</t>
        </is>
      </c>
      <c r="D12" s="31">
        <f>'Mar-24'!AI12</f>
        <v/>
      </c>
      <c r="E12" s="561" t="n">
        <v>517</v>
      </c>
      <c r="F12" s="561" t="n">
        <v>517</v>
      </c>
      <c r="G12" s="561" t="n">
        <v>526</v>
      </c>
      <c r="H12" s="561" t="n">
        <v>526</v>
      </c>
      <c r="I12" s="561" t="n">
        <v>526</v>
      </c>
      <c r="J12" s="561" t="n">
        <v>526</v>
      </c>
      <c r="K12" s="561" t="n">
        <v>526</v>
      </c>
      <c r="L12" s="561" t="n">
        <v>526</v>
      </c>
      <c r="M12" s="561" t="n">
        <v>528</v>
      </c>
      <c r="N12" s="561" t="n">
        <v>544</v>
      </c>
      <c r="O12" s="561" t="n">
        <v>544</v>
      </c>
      <c r="P12" s="561" t="n">
        <v>544</v>
      </c>
      <c r="Q12" s="561" t="n">
        <v>544</v>
      </c>
      <c r="R12" s="561" t="n">
        <v>550</v>
      </c>
      <c r="S12" s="561" t="n">
        <v>555</v>
      </c>
      <c r="T12" s="561" t="n">
        <v>555</v>
      </c>
      <c r="U12" s="561" t="n">
        <v>555</v>
      </c>
      <c r="V12" s="561" t="n">
        <v>555</v>
      </c>
      <c r="W12" s="561" t="n">
        <v>555</v>
      </c>
      <c r="X12" s="561" t="n">
        <v>555</v>
      </c>
      <c r="Y12" s="561" t="n">
        <v>555</v>
      </c>
      <c r="Z12" s="561" t="n">
        <v>555</v>
      </c>
      <c r="AA12" s="561" t="n">
        <v>557</v>
      </c>
      <c r="AB12" s="561" t="n">
        <v>557</v>
      </c>
      <c r="AC12" s="561" t="n">
        <v>560</v>
      </c>
      <c r="AD12" s="561" t="n">
        <v>576</v>
      </c>
      <c r="AE12" s="8" t="n">
        <v>581</v>
      </c>
      <c r="AF12" s="8" t="n">
        <v>581</v>
      </c>
      <c r="AG12" s="8" t="n">
        <v>581</v>
      </c>
      <c r="AH12" s="44" t="n">
        <v>588</v>
      </c>
      <c r="AI12" s="7">
        <f>AH12-D12</f>
        <v/>
      </c>
    </row>
    <row r="13" ht="14.25" customHeight="1" s="488">
      <c r="A13" s="500" t="n">
        <v>4</v>
      </c>
      <c r="B13" s="500" t="n"/>
      <c r="C13" s="500" t="inlineStr">
        <is>
          <t>SL No 540430038821 (EB Unit)</t>
        </is>
      </c>
      <c r="D13" s="31">
        <f>'Mar-24'!AI13</f>
        <v/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7">
        <f>AH13-D13</f>
        <v/>
      </c>
    </row>
    <row r="14" ht="14.25" customHeight="1" s="488">
      <c r="A14" s="500" t="n"/>
      <c r="B14" s="500" t="n"/>
      <c r="C14" s="79" t="inlineStr">
        <is>
          <t>DG</t>
        </is>
      </c>
      <c r="D14" s="31">
        <f>'Mar-24'!AI14</f>
        <v/>
      </c>
      <c r="E14" s="561" t="n">
        <v>0</v>
      </c>
      <c r="F14" s="561" t="n">
        <v>0</v>
      </c>
      <c r="G14" s="561" t="n">
        <v>0</v>
      </c>
      <c r="H14" s="561" t="n">
        <v>0</v>
      </c>
      <c r="I14" s="561" t="n">
        <v>0</v>
      </c>
      <c r="J14" s="561" t="n">
        <v>0</v>
      </c>
      <c r="K14" s="561" t="n">
        <v>0</v>
      </c>
      <c r="L14" s="561" t="n">
        <v>0</v>
      </c>
      <c r="M14" s="561" t="n">
        <v>0</v>
      </c>
      <c r="N14" s="561" t="n">
        <v>0</v>
      </c>
      <c r="O14" s="561" t="n">
        <v>0</v>
      </c>
      <c r="P14" s="561" t="n">
        <v>0</v>
      </c>
      <c r="Q14" s="561" t="n">
        <v>0</v>
      </c>
      <c r="R14" s="561" t="n">
        <v>0</v>
      </c>
      <c r="S14" s="561" t="n">
        <v>0</v>
      </c>
      <c r="T14" s="561" t="n">
        <v>0</v>
      </c>
      <c r="U14" s="561" t="n">
        <v>0</v>
      </c>
      <c r="V14" s="561" t="n">
        <v>0</v>
      </c>
      <c r="W14" s="561" t="n">
        <v>0</v>
      </c>
      <c r="X14" s="561" t="n">
        <v>0</v>
      </c>
      <c r="Y14" s="561" t="n">
        <v>0</v>
      </c>
      <c r="Z14" s="561" t="n">
        <v>0</v>
      </c>
      <c r="AA14" s="561" t="n">
        <v>0</v>
      </c>
      <c r="AB14" s="561" t="n">
        <v>0</v>
      </c>
      <c r="AC14" s="561" t="n">
        <v>0</v>
      </c>
      <c r="AD14" s="561" t="n">
        <v>0</v>
      </c>
      <c r="AE14" s="561" t="n">
        <v>0</v>
      </c>
      <c r="AF14" s="561" t="n">
        <v>0</v>
      </c>
      <c r="AG14" s="561" t="n">
        <v>0</v>
      </c>
      <c r="AH14" s="561" t="n">
        <v>0</v>
      </c>
      <c r="AI14" s="7">
        <f>AH14-D14</f>
        <v/>
      </c>
    </row>
    <row r="15" ht="14.25" customHeight="1" s="488">
      <c r="A15" s="500" t="n">
        <v>5</v>
      </c>
      <c r="B15" s="500" t="n"/>
      <c r="C15" s="500" t="inlineStr">
        <is>
          <t>SL No 540430038849 (EB Unit)</t>
        </is>
      </c>
      <c r="D15" s="31">
        <f>'Mar-24'!AI15</f>
        <v/>
      </c>
      <c r="E15" s="561" t="n">
        <v>7390</v>
      </c>
      <c r="F15" s="561" t="n">
        <v>7565</v>
      </c>
      <c r="G15" s="5" t="n">
        <v>7733</v>
      </c>
      <c r="H15" s="5" t="n">
        <v>7902</v>
      </c>
      <c r="I15" s="561" t="n">
        <v>8061</v>
      </c>
      <c r="J15" s="561" t="n">
        <v>8178</v>
      </c>
      <c r="K15" s="561" t="n">
        <v>8290</v>
      </c>
      <c r="L15" s="561" t="n">
        <v>8458</v>
      </c>
      <c r="M15" s="561" t="n">
        <v>8615</v>
      </c>
      <c r="N15" s="561" t="n">
        <v>8778</v>
      </c>
      <c r="O15" s="561" t="n">
        <v>8941</v>
      </c>
      <c r="P15" s="561" t="n">
        <v>9098</v>
      </c>
      <c r="Q15" s="561" t="n">
        <v>9203</v>
      </c>
      <c r="R15" s="561" t="n">
        <v>9314</v>
      </c>
      <c r="S15" s="561" t="n">
        <v>9484</v>
      </c>
      <c r="T15" s="561" t="n">
        <v>9651</v>
      </c>
      <c r="U15" s="561" t="n">
        <v>9822</v>
      </c>
      <c r="V15" s="561" t="n">
        <v>9981</v>
      </c>
      <c r="W15" s="561" t="n">
        <v>10131</v>
      </c>
      <c r="X15" s="561" t="n">
        <v>10221</v>
      </c>
      <c r="Y15" s="33" t="n">
        <v>10330</v>
      </c>
      <c r="Z15" s="561" t="n">
        <v>10496</v>
      </c>
      <c r="AA15" s="561" t="n">
        <v>10645</v>
      </c>
      <c r="AB15" s="561" t="n">
        <v>10818</v>
      </c>
      <c r="AC15" s="561" t="n">
        <v>10970</v>
      </c>
      <c r="AD15" s="561" t="n">
        <v>11120</v>
      </c>
      <c r="AE15" s="8" t="n">
        <v>11234</v>
      </c>
      <c r="AF15" s="8" t="n">
        <v>11348</v>
      </c>
      <c r="AG15" s="8" t="n">
        <v>11505</v>
      </c>
      <c r="AH15" s="44" t="n">
        <v>11588</v>
      </c>
      <c r="AI15" s="7">
        <f>AH15-D15</f>
        <v/>
      </c>
    </row>
    <row r="16" ht="14.25" customHeight="1" s="488">
      <c r="A16" s="500" t="n"/>
      <c r="B16" s="500" t="n"/>
      <c r="C16" s="79" t="inlineStr">
        <is>
          <t>DG</t>
        </is>
      </c>
      <c r="D16" s="31">
        <f>'Mar-24'!AI16</f>
        <v/>
      </c>
      <c r="E16" s="561" t="n">
        <v>159</v>
      </c>
      <c r="F16" s="561" t="n">
        <v>159</v>
      </c>
      <c r="G16" s="5" t="n">
        <v>163</v>
      </c>
      <c r="H16" s="5" t="n">
        <v>163</v>
      </c>
      <c r="I16" s="5" t="n">
        <v>163</v>
      </c>
      <c r="J16" s="5" t="n">
        <v>163</v>
      </c>
      <c r="K16" s="5" t="n">
        <v>163</v>
      </c>
      <c r="L16" s="5" t="n">
        <v>163</v>
      </c>
      <c r="M16" s="561" t="n">
        <v>164</v>
      </c>
      <c r="N16" s="561" t="n">
        <v>174</v>
      </c>
      <c r="O16" s="561" t="n">
        <v>174</v>
      </c>
      <c r="P16" s="561" t="n">
        <v>174</v>
      </c>
      <c r="Q16" s="561" t="n">
        <v>174</v>
      </c>
      <c r="R16" s="561" t="n">
        <v>177</v>
      </c>
      <c r="S16" s="561" t="n">
        <v>180</v>
      </c>
      <c r="T16" s="561" t="n">
        <v>180</v>
      </c>
      <c r="U16" s="561" t="n">
        <v>180</v>
      </c>
      <c r="V16" s="561" t="n">
        <v>180</v>
      </c>
      <c r="W16" s="561" t="n">
        <v>180</v>
      </c>
      <c r="X16" s="561" t="n">
        <v>180</v>
      </c>
      <c r="Y16" s="561" t="n">
        <v>180</v>
      </c>
      <c r="Z16" s="561" t="n">
        <v>180</v>
      </c>
      <c r="AA16" s="561" t="n">
        <v>181</v>
      </c>
      <c r="AB16" s="561" t="n">
        <v>181</v>
      </c>
      <c r="AC16" s="561" t="n">
        <v>183</v>
      </c>
      <c r="AD16" s="561" t="n">
        <v>191</v>
      </c>
      <c r="AE16" s="8" t="n">
        <v>193</v>
      </c>
      <c r="AF16" s="8" t="n">
        <v>193</v>
      </c>
      <c r="AG16" s="8" t="n">
        <v>193</v>
      </c>
      <c r="AH16" s="44" t="n">
        <v>196</v>
      </c>
      <c r="AI16" s="7">
        <f>AH16-D16</f>
        <v/>
      </c>
    </row>
    <row r="17" ht="14.25" customHeight="1" s="488">
      <c r="A17" s="500" t="n">
        <v>6</v>
      </c>
      <c r="B17" s="500" t="n"/>
      <c r="C17" s="500" t="inlineStr">
        <is>
          <t>SL No 540430038696 (EB Unit)</t>
        </is>
      </c>
      <c r="D17" s="31">
        <f>'Mar-24'!AI17</f>
        <v/>
      </c>
      <c r="E17" s="561" t="n">
        <v>13245</v>
      </c>
      <c r="F17" s="561" t="n">
        <v>13458</v>
      </c>
      <c r="G17" s="561" t="n">
        <v>13668</v>
      </c>
      <c r="H17" s="561" t="n">
        <v>13921</v>
      </c>
      <c r="I17" s="561" t="n">
        <v>14166</v>
      </c>
      <c r="J17" s="561" t="n">
        <v>14326</v>
      </c>
      <c r="K17" s="561" t="n">
        <v>14459</v>
      </c>
      <c r="L17" s="561" t="n">
        <v>14714</v>
      </c>
      <c r="M17" s="561" t="n">
        <v>14957</v>
      </c>
      <c r="N17" s="561" t="n">
        <v>15185</v>
      </c>
      <c r="O17" s="561" t="n">
        <v>15437</v>
      </c>
      <c r="P17" s="561" t="n">
        <v>15699</v>
      </c>
      <c r="Q17" s="561" t="n">
        <v>15835</v>
      </c>
      <c r="R17" s="561" t="n">
        <v>15970</v>
      </c>
      <c r="S17" s="561" t="n">
        <v>16209</v>
      </c>
      <c r="T17" s="561" t="n">
        <v>16435</v>
      </c>
      <c r="U17" s="561" t="n">
        <v>16658</v>
      </c>
      <c r="V17" s="561" t="n">
        <v>16892</v>
      </c>
      <c r="W17" s="561" t="n">
        <v>17148</v>
      </c>
      <c r="X17" s="561" t="n">
        <v>17274</v>
      </c>
      <c r="Y17" s="561" t="n">
        <v>17415</v>
      </c>
      <c r="Z17" s="561" t="n">
        <v>17674</v>
      </c>
      <c r="AA17" s="561" t="n">
        <v>17939</v>
      </c>
      <c r="AB17" s="561" t="n">
        <v>18217</v>
      </c>
      <c r="AC17" s="561" t="n">
        <v>18491</v>
      </c>
      <c r="AD17" s="561" t="n">
        <v>18754</v>
      </c>
      <c r="AE17" s="561" t="n">
        <v>18932</v>
      </c>
      <c r="AF17" s="8" t="n">
        <v>19098</v>
      </c>
      <c r="AG17" s="561" t="n">
        <v>19384</v>
      </c>
      <c r="AH17" s="44" t="n">
        <v>19531</v>
      </c>
      <c r="AI17" s="7">
        <f>AH17-D17</f>
        <v/>
      </c>
    </row>
    <row r="18" ht="14.25" customHeight="1" s="488">
      <c r="A18" s="500" t="n"/>
      <c r="B18" s="500" t="n"/>
      <c r="C18" s="79" t="inlineStr">
        <is>
          <t>DG</t>
        </is>
      </c>
      <c r="D18" s="31">
        <f>'Mar-24'!AI18</f>
        <v/>
      </c>
      <c r="E18" s="561" t="n">
        <v>300</v>
      </c>
      <c r="F18" s="561" t="n">
        <v>300</v>
      </c>
      <c r="G18" s="561" t="n">
        <v>305</v>
      </c>
      <c r="H18" s="561" t="n">
        <v>305</v>
      </c>
      <c r="I18" s="561" t="n">
        <v>305</v>
      </c>
      <c r="J18" s="561" t="n">
        <v>305</v>
      </c>
      <c r="K18" s="561" t="n">
        <v>305</v>
      </c>
      <c r="L18" s="561" t="n">
        <v>305</v>
      </c>
      <c r="M18" s="561" t="n">
        <v>305</v>
      </c>
      <c r="N18" s="561" t="n">
        <v>321</v>
      </c>
      <c r="O18" s="561" t="n">
        <v>321</v>
      </c>
      <c r="P18" s="561" t="n">
        <v>321</v>
      </c>
      <c r="Q18" s="561" t="n">
        <v>321</v>
      </c>
      <c r="R18" s="561" t="n">
        <v>326</v>
      </c>
      <c r="S18" s="561" t="n">
        <v>329</v>
      </c>
      <c r="T18" s="561" t="n">
        <v>329</v>
      </c>
      <c r="U18" s="561" t="n">
        <v>329</v>
      </c>
      <c r="V18" s="561" t="n">
        <v>329</v>
      </c>
      <c r="W18" s="561" t="n">
        <v>329</v>
      </c>
      <c r="X18" s="561" t="n">
        <v>329</v>
      </c>
      <c r="Y18" s="561" t="n">
        <v>329</v>
      </c>
      <c r="Z18" s="561" t="n">
        <v>329</v>
      </c>
      <c r="AA18" s="561" t="n">
        <v>331</v>
      </c>
      <c r="AB18" s="33" t="n">
        <v>331</v>
      </c>
      <c r="AC18" s="561" t="n">
        <v>332</v>
      </c>
      <c r="AD18" s="561" t="n">
        <v>345</v>
      </c>
      <c r="AE18" s="8" t="n">
        <v>347</v>
      </c>
      <c r="AF18" s="8" t="n">
        <v>347</v>
      </c>
      <c r="AG18" s="8" t="n">
        <v>347</v>
      </c>
      <c r="AH18" s="44" t="n">
        <v>353</v>
      </c>
      <c r="AI18" s="7">
        <f>AH18-D18</f>
        <v/>
      </c>
    </row>
    <row r="19" ht="14.25" customHeight="1" s="488">
      <c r="A19" s="500" t="n">
        <v>7</v>
      </c>
      <c r="B19" s="500" t="n"/>
      <c r="C19" s="500" t="inlineStr">
        <is>
          <t>SL No 540430038843 (EB Unit)</t>
        </is>
      </c>
      <c r="D19" s="31">
        <f>'Mar-24'!AI19</f>
        <v/>
      </c>
      <c r="E19" s="561" t="n">
        <v>54181</v>
      </c>
      <c r="F19" s="561" t="n">
        <v>54950</v>
      </c>
      <c r="G19" s="5" t="n">
        <v>55754</v>
      </c>
      <c r="H19" s="5" t="n">
        <v>56487</v>
      </c>
      <c r="I19" s="561" t="n">
        <v>57283</v>
      </c>
      <c r="J19" s="561" t="n">
        <v>57971</v>
      </c>
      <c r="K19" s="561" t="n">
        <v>58639</v>
      </c>
      <c r="L19" s="561" t="n">
        <v>59399</v>
      </c>
      <c r="M19" s="561" t="n">
        <v>60160</v>
      </c>
      <c r="N19" s="561" t="n">
        <v>60923</v>
      </c>
      <c r="O19" s="561" t="n">
        <v>61715</v>
      </c>
      <c r="P19" s="561" t="n">
        <v>62483</v>
      </c>
      <c r="Q19" s="561" t="n">
        <v>63168</v>
      </c>
      <c r="R19" s="5" t="n">
        <v>63819</v>
      </c>
      <c r="S19" s="561" t="n">
        <v>64541</v>
      </c>
      <c r="T19" s="561" t="n">
        <v>65298</v>
      </c>
      <c r="U19" s="561" t="n">
        <v>66081</v>
      </c>
      <c r="V19" s="561" t="n">
        <v>66869</v>
      </c>
      <c r="W19" s="5" t="n">
        <v>67698</v>
      </c>
      <c r="X19" s="561" t="n">
        <v>68306</v>
      </c>
      <c r="Y19" s="561" t="n">
        <v>68961</v>
      </c>
      <c r="Z19" s="561" t="n">
        <v>69739</v>
      </c>
      <c r="AA19" s="561" t="n">
        <v>70532</v>
      </c>
      <c r="AB19" s="33" t="n">
        <v>71312</v>
      </c>
      <c r="AC19" s="561" t="n">
        <v>72055</v>
      </c>
      <c r="AD19" s="561" t="n">
        <v>72822</v>
      </c>
      <c r="AE19" s="8" t="n">
        <v>73539</v>
      </c>
      <c r="AF19" s="8" t="n">
        <v>74244</v>
      </c>
      <c r="AG19" s="8" t="n">
        <v>74950</v>
      </c>
      <c r="AH19" s="44" t="n">
        <v>75336</v>
      </c>
      <c r="AI19" s="7">
        <f>AH19-D19</f>
        <v/>
      </c>
    </row>
    <row r="20" ht="14.25" customHeight="1" s="488">
      <c r="A20" s="500" t="n"/>
      <c r="B20" s="500" t="n"/>
      <c r="C20" s="79" t="inlineStr">
        <is>
          <t>DG</t>
        </is>
      </c>
      <c r="D20" s="31">
        <f>'Mar-24'!AI20</f>
        <v/>
      </c>
      <c r="E20" s="31" t="n">
        <v>1088</v>
      </c>
      <c r="F20" s="31" t="n">
        <v>1088</v>
      </c>
      <c r="G20" s="5" t="n">
        <v>1101</v>
      </c>
      <c r="H20" s="5" t="n">
        <v>1101</v>
      </c>
      <c r="I20" s="5" t="n">
        <v>1101</v>
      </c>
      <c r="J20" s="5" t="n">
        <v>1101</v>
      </c>
      <c r="K20" s="5" t="n">
        <v>1101</v>
      </c>
      <c r="L20" s="5" t="n">
        <v>1101</v>
      </c>
      <c r="M20" s="561" t="n">
        <v>1104</v>
      </c>
      <c r="N20" s="561" t="n">
        <v>1134</v>
      </c>
      <c r="O20" s="561" t="n">
        <v>1134</v>
      </c>
      <c r="P20" s="561" t="n">
        <v>1134</v>
      </c>
      <c r="Q20" s="561" t="n">
        <v>1134</v>
      </c>
      <c r="R20" s="5" t="n">
        <v>1152</v>
      </c>
      <c r="S20" s="561" t="n">
        <v>1159</v>
      </c>
      <c r="T20" s="561" t="n">
        <v>1159</v>
      </c>
      <c r="U20" s="561" t="n">
        <v>1159</v>
      </c>
      <c r="V20" s="561" t="n">
        <v>1159</v>
      </c>
      <c r="W20" s="561" t="n">
        <v>1159</v>
      </c>
      <c r="X20" s="561" t="n">
        <v>1159</v>
      </c>
      <c r="Y20" s="561" t="n">
        <v>1159</v>
      </c>
      <c r="Z20" s="561" t="n">
        <v>1159</v>
      </c>
      <c r="AA20" s="561" t="n">
        <v>1166</v>
      </c>
      <c r="AB20" s="33" t="n">
        <v>1166</v>
      </c>
      <c r="AC20" s="561" t="n">
        <v>1170</v>
      </c>
      <c r="AD20" s="561" t="n">
        <v>1203</v>
      </c>
      <c r="AE20" s="8" t="n">
        <v>1212</v>
      </c>
      <c r="AF20" s="8" t="n">
        <v>1212</v>
      </c>
      <c r="AG20" s="8" t="n">
        <v>1212</v>
      </c>
      <c r="AH20" s="44" t="n">
        <v>1226</v>
      </c>
      <c r="AI20" s="7">
        <f>AH20-D20</f>
        <v/>
      </c>
    </row>
    <row r="21" ht="14.25" customHeight="1" s="488">
      <c r="A21" s="500" t="n">
        <v>8</v>
      </c>
      <c r="B21" s="500" t="n"/>
      <c r="C21" s="500" t="inlineStr">
        <is>
          <t>SL No 540430038848 (EB Unit)</t>
        </is>
      </c>
      <c r="D21" s="31">
        <f>'Mar-24'!AI21</f>
        <v/>
      </c>
      <c r="E21" s="561" t="n">
        <v>15690</v>
      </c>
      <c r="F21" s="561" t="n">
        <v>15807</v>
      </c>
      <c r="G21" s="5" t="n">
        <v>15919</v>
      </c>
      <c r="H21" s="5" t="n">
        <v>15996</v>
      </c>
      <c r="I21" s="561" t="n">
        <v>16074</v>
      </c>
      <c r="J21" s="561" t="n">
        <v>16153</v>
      </c>
      <c r="K21" s="561" t="n">
        <v>16225</v>
      </c>
      <c r="L21" s="561" t="n">
        <v>16309</v>
      </c>
      <c r="M21" s="561" t="n">
        <v>16399</v>
      </c>
      <c r="N21" s="561" t="n">
        <v>16485</v>
      </c>
      <c r="O21" s="561" t="n">
        <v>16570</v>
      </c>
      <c r="P21" s="561" t="n">
        <v>16653</v>
      </c>
      <c r="Q21" s="561" t="n">
        <v>16722</v>
      </c>
      <c r="R21" s="561" t="n">
        <v>16789</v>
      </c>
      <c r="S21" s="561" t="n">
        <v>16899</v>
      </c>
      <c r="T21" s="561" t="n">
        <v>17020</v>
      </c>
      <c r="U21" s="561" t="n">
        <v>17152</v>
      </c>
      <c r="V21" s="561" t="n">
        <v>17244</v>
      </c>
      <c r="W21" s="561" t="n">
        <v>17333</v>
      </c>
      <c r="X21" s="561" t="n">
        <v>17390</v>
      </c>
      <c r="Y21" s="561" t="n">
        <v>17459</v>
      </c>
      <c r="Z21" s="561" t="n">
        <v>17536</v>
      </c>
      <c r="AA21" s="561" t="n">
        <v>17595</v>
      </c>
      <c r="AB21" s="561" t="n">
        <v>17658</v>
      </c>
      <c r="AC21" s="561" t="n">
        <v>17719</v>
      </c>
      <c r="AD21" s="561" t="n">
        <v>17782</v>
      </c>
      <c r="AE21" s="8" t="n">
        <v>17836</v>
      </c>
      <c r="AF21" s="8" t="n">
        <v>17874</v>
      </c>
      <c r="AG21" s="8" t="n">
        <v>17935</v>
      </c>
      <c r="AH21" s="44" t="n">
        <v>17963</v>
      </c>
      <c r="AI21" s="7">
        <f>AH21-D21</f>
        <v/>
      </c>
    </row>
    <row r="22" ht="20.15" customHeight="1" s="488">
      <c r="A22" s="500" t="n"/>
      <c r="B22" s="500" t="n"/>
      <c r="C22" s="79" t="inlineStr">
        <is>
          <t>DG</t>
        </is>
      </c>
      <c r="D22" s="31">
        <f>'Mar-24'!AI22</f>
        <v/>
      </c>
      <c r="E22" s="500" t="n">
        <v>248</v>
      </c>
      <c r="F22" s="500" t="n">
        <v>248</v>
      </c>
      <c r="G22" s="500" t="n">
        <v>250</v>
      </c>
      <c r="H22" s="500" t="n">
        <v>250</v>
      </c>
      <c r="I22" s="500" t="n">
        <v>250</v>
      </c>
      <c r="J22" s="500" t="n">
        <v>250</v>
      </c>
      <c r="K22" s="500" t="n">
        <v>250</v>
      </c>
      <c r="L22" s="500" t="n">
        <v>250</v>
      </c>
      <c r="M22" s="500" t="n">
        <v>251</v>
      </c>
      <c r="N22" s="500" t="n">
        <v>255</v>
      </c>
      <c r="O22" s="500" t="n">
        <v>255</v>
      </c>
      <c r="P22" s="500" t="n">
        <v>255</v>
      </c>
      <c r="Q22" s="500" t="n">
        <v>255</v>
      </c>
      <c r="R22" s="500" t="n">
        <v>257</v>
      </c>
      <c r="S22" s="500" t="n">
        <v>259</v>
      </c>
      <c r="T22" s="500" t="n">
        <v>259</v>
      </c>
      <c r="U22" s="500" t="n">
        <v>259</v>
      </c>
      <c r="V22" s="500" t="n">
        <v>259</v>
      </c>
      <c r="W22" s="500" t="n">
        <v>259</v>
      </c>
      <c r="X22" s="500" t="n">
        <v>259</v>
      </c>
      <c r="Y22" s="500" t="n">
        <v>259</v>
      </c>
      <c r="Z22" s="500" t="n">
        <v>259</v>
      </c>
      <c r="AA22" s="500" t="n">
        <v>260</v>
      </c>
      <c r="AB22" s="500" t="n">
        <v>260</v>
      </c>
      <c r="AC22" s="500" t="n">
        <v>261</v>
      </c>
      <c r="AD22" s="500" t="n">
        <v>265</v>
      </c>
      <c r="AE22" s="500" t="n">
        <v>268</v>
      </c>
      <c r="AF22" s="500" t="n">
        <v>268</v>
      </c>
      <c r="AG22" s="500" t="n">
        <v>268</v>
      </c>
      <c r="AH22" s="500" t="n">
        <v>269</v>
      </c>
      <c r="AI22" s="7">
        <f>AH22-D22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01" t="n"/>
    </row>
    <row r="24" ht="14.25" customHeight="1" s="488">
      <c r="A24" s="500" t="n">
        <v>1</v>
      </c>
      <c r="B24" s="500" t="n"/>
      <c r="C24" s="500" t="inlineStr">
        <is>
          <t>AHU1</t>
        </is>
      </c>
      <c r="D24" s="31">
        <f>'Mar-24'!AI24</f>
        <v/>
      </c>
      <c r="E24" s="561" t="n">
        <v>5326</v>
      </c>
      <c r="F24" s="561" t="n">
        <v>5383</v>
      </c>
      <c r="G24" s="561" t="n">
        <v>5441</v>
      </c>
      <c r="H24" s="561" t="n">
        <v>5502</v>
      </c>
      <c r="I24" s="561" t="n">
        <v>5558</v>
      </c>
      <c r="J24" s="561" t="n">
        <v>5596</v>
      </c>
      <c r="K24" s="561" t="n">
        <v>5596</v>
      </c>
      <c r="L24" s="561" t="n">
        <v>5660</v>
      </c>
      <c r="M24" s="561" t="n">
        <v>5719</v>
      </c>
      <c r="N24" s="561" t="n">
        <v>5814</v>
      </c>
      <c r="O24" s="561" t="n">
        <v>5921</v>
      </c>
      <c r="P24" s="561" t="n">
        <v>6026</v>
      </c>
      <c r="Q24" s="561" t="n">
        <v>6086</v>
      </c>
      <c r="R24" s="561" t="n">
        <v>6086</v>
      </c>
      <c r="S24" s="561" t="n">
        <v>6197</v>
      </c>
      <c r="T24" s="561" t="n">
        <v>6304</v>
      </c>
      <c r="U24" s="561" t="n">
        <v>6413</v>
      </c>
      <c r="V24" s="561" t="n">
        <v>6519</v>
      </c>
      <c r="W24" s="561" t="n">
        <v>6620</v>
      </c>
      <c r="X24" s="561" t="n">
        <v>6680</v>
      </c>
      <c r="Y24" s="561" t="n">
        <v>6680</v>
      </c>
      <c r="Z24" s="561" t="n">
        <v>6800</v>
      </c>
      <c r="AA24" s="561" t="n">
        <v>6913</v>
      </c>
      <c r="AB24" s="561" t="n">
        <v>7010</v>
      </c>
      <c r="AC24" s="561" t="n">
        <v>7078</v>
      </c>
      <c r="AD24" s="561" t="n">
        <v>7142</v>
      </c>
      <c r="AE24" s="561" t="n">
        <v>7161</v>
      </c>
      <c r="AF24" s="561" t="n">
        <v>7162</v>
      </c>
      <c r="AG24" s="561" t="n">
        <v>7229</v>
      </c>
      <c r="AH24" s="44" t="n">
        <v>7266</v>
      </c>
      <c r="AI24" s="7">
        <f>AH24-D24</f>
        <v/>
      </c>
    </row>
    <row r="25" ht="14.25" customHeight="1" s="488">
      <c r="A25" s="500" t="n"/>
      <c r="B25" s="500" t="n"/>
      <c r="C25" s="79" t="inlineStr">
        <is>
          <t>DG</t>
        </is>
      </c>
      <c r="D25" s="31">
        <f>'Mar-24'!AH25</f>
        <v/>
      </c>
      <c r="E25" s="561" t="n">
        <v>173</v>
      </c>
      <c r="F25" s="561" t="n">
        <v>173</v>
      </c>
      <c r="G25" s="561" t="n">
        <v>174</v>
      </c>
      <c r="H25" s="561" t="n">
        <v>174</v>
      </c>
      <c r="I25" s="561" t="n">
        <v>174</v>
      </c>
      <c r="J25" s="561" t="n">
        <v>174</v>
      </c>
      <c r="K25" s="561" t="n">
        <v>174</v>
      </c>
      <c r="L25" s="561" t="n">
        <v>174</v>
      </c>
      <c r="M25" s="561" t="n">
        <v>175</v>
      </c>
      <c r="N25" s="561" t="n">
        <v>178</v>
      </c>
      <c r="O25" s="561" t="n">
        <v>178</v>
      </c>
      <c r="P25" s="561" t="n">
        <v>178</v>
      </c>
      <c r="Q25" s="561" t="n">
        <v>178</v>
      </c>
      <c r="R25" s="561" t="n">
        <v>178</v>
      </c>
      <c r="S25" s="561" t="n">
        <v>179</v>
      </c>
      <c r="T25" s="561" t="n">
        <v>179</v>
      </c>
      <c r="U25" s="561" t="n">
        <v>179</v>
      </c>
      <c r="V25" s="561" t="n">
        <v>179</v>
      </c>
      <c r="W25" s="561" t="n">
        <v>179</v>
      </c>
      <c r="X25" s="561" t="n">
        <v>179</v>
      </c>
      <c r="Y25" s="561" t="n">
        <v>179</v>
      </c>
      <c r="Z25" s="561" t="n">
        <v>179</v>
      </c>
      <c r="AA25" s="561" t="n">
        <v>181</v>
      </c>
      <c r="AB25" s="561" t="n">
        <v>181</v>
      </c>
      <c r="AC25" s="561" t="n">
        <v>181</v>
      </c>
      <c r="AD25" s="561" t="n">
        <v>182</v>
      </c>
      <c r="AE25" s="561" t="n">
        <v>182</v>
      </c>
      <c r="AF25" s="561" t="n">
        <v>182</v>
      </c>
      <c r="AG25" s="561" t="n">
        <v>182</v>
      </c>
      <c r="AH25" s="8" t="n">
        <v>184</v>
      </c>
      <c r="AI25" s="7">
        <f>AH25-D25</f>
        <v/>
      </c>
    </row>
    <row r="26" ht="14.25" customHeight="1" s="488">
      <c r="A26" s="500" t="n">
        <v>2</v>
      </c>
      <c r="B26" s="500" t="n"/>
      <c r="C26" s="500" t="inlineStr">
        <is>
          <t>AHU2</t>
        </is>
      </c>
      <c r="D26" s="31">
        <f>'Mar-24'!AI26</f>
        <v/>
      </c>
      <c r="E26" s="561" t="n">
        <v>5045</v>
      </c>
      <c r="F26" s="561" t="n">
        <v>5128</v>
      </c>
      <c r="G26" s="5" t="n">
        <v>5216</v>
      </c>
      <c r="H26" s="5" t="n">
        <v>5303</v>
      </c>
      <c r="I26" s="561" t="n">
        <v>5366</v>
      </c>
      <c r="J26" s="561" t="n">
        <v>5407</v>
      </c>
      <c r="K26" s="561" t="n">
        <v>5407</v>
      </c>
      <c r="L26" s="561" t="n">
        <v>5482</v>
      </c>
      <c r="M26" s="561" t="n">
        <v>5585</v>
      </c>
      <c r="N26" s="561" t="n">
        <v>5634</v>
      </c>
      <c r="O26" s="561" t="n">
        <v>5684</v>
      </c>
      <c r="P26" s="561" t="n">
        <v>5739</v>
      </c>
      <c r="Q26" s="561" t="n">
        <v>5769</v>
      </c>
      <c r="R26" s="561" t="n">
        <v>5769</v>
      </c>
      <c r="S26" s="561" t="n">
        <v>5853</v>
      </c>
      <c r="T26" s="561" t="n">
        <v>5927</v>
      </c>
      <c r="U26" s="561" t="n">
        <v>6001</v>
      </c>
      <c r="V26" s="561" t="n">
        <v>6073</v>
      </c>
      <c r="W26" s="561" t="n">
        <v>6134</v>
      </c>
      <c r="X26" s="561" t="n">
        <v>6161</v>
      </c>
      <c r="Y26" s="561" t="n">
        <v>6161</v>
      </c>
      <c r="Z26" s="561" t="n">
        <v>6215</v>
      </c>
      <c r="AA26" s="561" t="n">
        <v>6266</v>
      </c>
      <c r="AB26" s="561" t="n">
        <v>6328</v>
      </c>
      <c r="AC26" s="561" t="n">
        <v>6395</v>
      </c>
      <c r="AD26" s="561" t="n">
        <v>6453</v>
      </c>
      <c r="AE26" s="8" t="n">
        <v>6480</v>
      </c>
      <c r="AF26" s="8" t="n">
        <v>6480</v>
      </c>
      <c r="AG26" s="8" t="n">
        <v>6548</v>
      </c>
      <c r="AH26" s="44" t="n">
        <v>6581</v>
      </c>
      <c r="AI26" s="7">
        <f>AH26-D26</f>
        <v/>
      </c>
    </row>
    <row r="27" ht="14.25" customHeight="1" s="488">
      <c r="A27" s="500" t="n"/>
      <c r="B27" s="500" t="n"/>
      <c r="C27" s="79" t="inlineStr">
        <is>
          <t>DG</t>
        </is>
      </c>
      <c r="D27" s="31">
        <f>'Mar-24'!AI27</f>
        <v/>
      </c>
      <c r="E27" s="561" t="n">
        <v>178</v>
      </c>
      <c r="F27" s="561" t="n">
        <v>117</v>
      </c>
      <c r="G27" s="5" t="n">
        <v>180</v>
      </c>
      <c r="H27" s="5" t="n">
        <v>180</v>
      </c>
      <c r="I27" s="5" t="n">
        <v>180</v>
      </c>
      <c r="J27" s="5" t="n">
        <v>180</v>
      </c>
      <c r="K27" s="5" t="n">
        <v>180</v>
      </c>
      <c r="L27" s="5" t="n">
        <v>180</v>
      </c>
      <c r="M27" s="5" t="n">
        <v>180</v>
      </c>
      <c r="N27" s="561" t="n">
        <v>188</v>
      </c>
      <c r="O27" s="561" t="n">
        <v>188</v>
      </c>
      <c r="P27" s="561" t="n">
        <v>188</v>
      </c>
      <c r="Q27" s="561" t="n">
        <v>188</v>
      </c>
      <c r="R27" s="561" t="n">
        <v>188</v>
      </c>
      <c r="S27" s="561" t="n">
        <v>189</v>
      </c>
      <c r="T27" s="561" t="n">
        <v>189</v>
      </c>
      <c r="U27" s="561" t="n">
        <v>189</v>
      </c>
      <c r="V27" s="561" t="n">
        <v>189</v>
      </c>
      <c r="W27" s="561" t="n">
        <v>189</v>
      </c>
      <c r="X27" s="561" t="n">
        <v>189</v>
      </c>
      <c r="Y27" s="561" t="n">
        <v>189</v>
      </c>
      <c r="Z27" s="561" t="n">
        <v>189</v>
      </c>
      <c r="AA27" s="561" t="n">
        <v>190</v>
      </c>
      <c r="AB27" s="561" t="n">
        <v>190</v>
      </c>
      <c r="AC27" s="561" t="n">
        <v>190</v>
      </c>
      <c r="AD27" s="561" t="n">
        <v>192</v>
      </c>
      <c r="AE27" s="561" t="n">
        <v>192</v>
      </c>
      <c r="AF27" s="561" t="n">
        <v>192</v>
      </c>
      <c r="AG27" s="561" t="n">
        <v>192</v>
      </c>
      <c r="AH27" s="44" t="n">
        <v>194</v>
      </c>
      <c r="AI27" s="7">
        <f>AH27-D27</f>
        <v/>
      </c>
    </row>
    <row r="28" ht="14.25" customHeight="1" s="488">
      <c r="A28" s="500" t="n">
        <v>3</v>
      </c>
      <c r="B28" s="500" t="n"/>
      <c r="C28" s="500" t="inlineStr">
        <is>
          <t>AHU3</t>
        </is>
      </c>
      <c r="D28" s="31">
        <f>'Mar-24'!AI28</f>
        <v/>
      </c>
      <c r="E28" s="561" t="n">
        <v>2937</v>
      </c>
      <c r="F28" s="561" t="n">
        <v>3007</v>
      </c>
      <c r="G28" s="561" t="n">
        <v>3081</v>
      </c>
      <c r="H28" s="561" t="n">
        <v>3157</v>
      </c>
      <c r="I28" s="561" t="n">
        <v>3223</v>
      </c>
      <c r="J28" s="561" t="n">
        <v>3277</v>
      </c>
      <c r="K28" s="561" t="n">
        <v>3277</v>
      </c>
      <c r="L28" s="561" t="n">
        <v>3323</v>
      </c>
      <c r="M28" s="561" t="n">
        <v>3418</v>
      </c>
      <c r="N28" s="561" t="n">
        <v>3505</v>
      </c>
      <c r="O28" s="561" t="n">
        <v>3568</v>
      </c>
      <c r="P28" s="561" t="n">
        <v>3633</v>
      </c>
      <c r="Q28" s="561" t="n">
        <v>3691</v>
      </c>
      <c r="R28" s="561" t="n">
        <v>3691</v>
      </c>
      <c r="S28" s="561" t="n">
        <v>3773</v>
      </c>
      <c r="T28" s="561" t="n">
        <v>3882</v>
      </c>
      <c r="U28" s="561" t="n">
        <v>3923</v>
      </c>
      <c r="V28" s="561" t="n">
        <v>4000</v>
      </c>
      <c r="W28" s="561" t="n">
        <v>4073</v>
      </c>
      <c r="X28" s="561" t="n">
        <v>4114</v>
      </c>
      <c r="Y28" s="561" t="n">
        <v>4114</v>
      </c>
      <c r="Z28" s="561" t="n">
        <v>4203</v>
      </c>
      <c r="AA28" s="561" t="n">
        <v>4280</v>
      </c>
      <c r="AB28" s="561" t="n">
        <v>4359</v>
      </c>
      <c r="AC28" s="561" t="n">
        <v>4425</v>
      </c>
      <c r="AD28" s="561" t="n">
        <v>4485</v>
      </c>
      <c r="AE28" s="561" t="n">
        <v>4505</v>
      </c>
      <c r="AF28" s="561" t="n">
        <v>4505</v>
      </c>
      <c r="AG28" s="561" t="n">
        <v>4567</v>
      </c>
      <c r="AH28" s="44" t="n">
        <v>4607</v>
      </c>
      <c r="AI28" s="7">
        <f>AH28-D28</f>
        <v/>
      </c>
    </row>
    <row r="29" ht="14.25" customHeight="1" s="488">
      <c r="A29" s="500" t="n"/>
      <c r="B29" s="500" t="n"/>
      <c r="C29" s="79" t="inlineStr">
        <is>
          <t>DG</t>
        </is>
      </c>
      <c r="D29" s="31">
        <f>'Mar-24'!AI29</f>
        <v/>
      </c>
      <c r="E29" s="561" t="n">
        <v>129</v>
      </c>
      <c r="F29" s="561" t="n">
        <v>129</v>
      </c>
      <c r="G29" s="561" t="n">
        <v>131</v>
      </c>
      <c r="H29" s="561" t="n">
        <v>131</v>
      </c>
      <c r="I29" s="561" t="n">
        <v>131</v>
      </c>
      <c r="J29" s="561" t="n">
        <v>131</v>
      </c>
      <c r="K29" s="561" t="n">
        <v>131</v>
      </c>
      <c r="L29" s="561" t="n">
        <v>131</v>
      </c>
      <c r="M29" s="561" t="n">
        <v>131</v>
      </c>
      <c r="N29" s="561" t="n">
        <v>135</v>
      </c>
      <c r="O29" s="561" t="n">
        <v>135</v>
      </c>
      <c r="P29" s="561" t="n">
        <v>135</v>
      </c>
      <c r="Q29" s="561" t="n">
        <v>135</v>
      </c>
      <c r="R29" s="561" t="n">
        <v>135</v>
      </c>
      <c r="S29" s="561" t="n">
        <v>136</v>
      </c>
      <c r="T29" s="561" t="n">
        <v>136</v>
      </c>
      <c r="U29" s="561" t="n">
        <v>136</v>
      </c>
      <c r="V29" s="561" t="n">
        <v>136</v>
      </c>
      <c r="W29" s="561" t="n">
        <v>136</v>
      </c>
      <c r="X29" s="561" t="n">
        <v>136</v>
      </c>
      <c r="Y29" s="561" t="n">
        <v>136</v>
      </c>
      <c r="Z29" s="561" t="n">
        <v>136</v>
      </c>
      <c r="AA29" s="561" t="n">
        <v>137</v>
      </c>
      <c r="AB29" s="561" t="n">
        <v>137</v>
      </c>
      <c r="AC29" s="561" t="n">
        <v>137</v>
      </c>
      <c r="AD29" s="561" t="n">
        <v>139</v>
      </c>
      <c r="AE29" s="561" t="n">
        <v>139</v>
      </c>
      <c r="AF29" s="561" t="n">
        <v>139</v>
      </c>
      <c r="AG29" s="561" t="n">
        <v>139</v>
      </c>
      <c r="AH29" s="44" t="n">
        <v>140</v>
      </c>
      <c r="AI29" s="7">
        <f>AH29-D29</f>
        <v/>
      </c>
    </row>
    <row r="30" ht="14.25" customHeight="1" s="488">
      <c r="A30" s="500" t="n">
        <v>4</v>
      </c>
      <c r="B30" s="500" t="n"/>
      <c r="C30" s="500" t="inlineStr">
        <is>
          <t>AHU4</t>
        </is>
      </c>
      <c r="D30" s="31">
        <f>'Mar-24'!AI30</f>
        <v/>
      </c>
      <c r="E30" s="561" t="n">
        <v>3629</v>
      </c>
      <c r="F30" s="561" t="n">
        <v>3722</v>
      </c>
      <c r="G30" s="561" t="n">
        <v>3802</v>
      </c>
      <c r="H30" s="561" t="n">
        <v>3880</v>
      </c>
      <c r="I30" s="561" t="n">
        <v>3942</v>
      </c>
      <c r="J30" s="561" t="n">
        <v>3976</v>
      </c>
      <c r="K30" s="561" t="n">
        <v>3976</v>
      </c>
      <c r="L30" s="561" t="n">
        <v>4026</v>
      </c>
      <c r="M30" s="561" t="n">
        <v>4070</v>
      </c>
      <c r="N30" s="561" t="n">
        <v>4101</v>
      </c>
      <c r="O30" s="561" t="n">
        <v>4131</v>
      </c>
      <c r="P30" s="561" t="n">
        <v>4177</v>
      </c>
      <c r="Q30" s="561" t="n">
        <v>4195</v>
      </c>
      <c r="R30" s="561" t="n">
        <v>4195</v>
      </c>
      <c r="S30" s="561" t="n">
        <v>4246</v>
      </c>
      <c r="T30" s="561" t="n">
        <v>4278</v>
      </c>
      <c r="U30" s="561" t="n">
        <v>4311</v>
      </c>
      <c r="V30" s="561" t="n">
        <v>4344</v>
      </c>
      <c r="W30" s="561" t="n">
        <v>4385</v>
      </c>
      <c r="X30" s="561" t="n">
        <v>4422</v>
      </c>
      <c r="Y30" s="561" t="n">
        <v>4422</v>
      </c>
      <c r="Z30" s="561" t="n">
        <v>4503</v>
      </c>
      <c r="AA30" s="561" t="n">
        <v>4581</v>
      </c>
      <c r="AB30" s="561" t="n">
        <v>4660</v>
      </c>
      <c r="AC30" s="561" t="n">
        <v>4725</v>
      </c>
      <c r="AD30" s="561" t="n">
        <v>4786</v>
      </c>
      <c r="AE30" s="561" t="n">
        <v>4806</v>
      </c>
      <c r="AF30" s="561" t="n">
        <v>4806</v>
      </c>
      <c r="AG30" s="561" t="n">
        <v>4889</v>
      </c>
      <c r="AH30" s="44" t="n">
        <v>4928</v>
      </c>
      <c r="AI30" s="7">
        <f>AH30-D30</f>
        <v/>
      </c>
    </row>
    <row r="31" ht="14.5" customHeight="1" s="488">
      <c r="A31" s="500" t="n"/>
      <c r="B31" s="500" t="n"/>
      <c r="C31" s="529" t="inlineStr">
        <is>
          <t>DG</t>
        </is>
      </c>
      <c r="D31" s="31">
        <f>'Mar-24'!AI31</f>
        <v/>
      </c>
      <c r="E31" s="500" t="n">
        <v>117</v>
      </c>
      <c r="F31" s="500" t="n">
        <v>117</v>
      </c>
      <c r="G31" s="500" t="n">
        <v>119</v>
      </c>
      <c r="H31" s="500" t="n">
        <v>119</v>
      </c>
      <c r="I31" s="500" t="n">
        <v>119</v>
      </c>
      <c r="J31" s="500" t="n">
        <v>119</v>
      </c>
      <c r="K31" s="500" t="n">
        <v>119</v>
      </c>
      <c r="L31" s="500" t="n">
        <v>119</v>
      </c>
      <c r="M31" s="500" t="n">
        <v>119</v>
      </c>
      <c r="N31" s="500" t="n">
        <v>121</v>
      </c>
      <c r="O31" s="500" t="n">
        <v>121</v>
      </c>
      <c r="P31" s="500" t="n">
        <v>121</v>
      </c>
      <c r="Q31" s="500" t="n">
        <v>121</v>
      </c>
      <c r="R31" s="500" t="n">
        <v>121</v>
      </c>
      <c r="S31" s="500" t="n">
        <v>122</v>
      </c>
      <c r="T31" s="500" t="n">
        <v>122</v>
      </c>
      <c r="U31" s="500" t="n">
        <v>122</v>
      </c>
      <c r="V31" s="500" t="n">
        <v>122</v>
      </c>
      <c r="W31" s="500" t="n">
        <v>122</v>
      </c>
      <c r="X31" s="500" t="n">
        <v>122</v>
      </c>
      <c r="Y31" s="500" t="n">
        <v>122</v>
      </c>
      <c r="Z31" s="500" t="n">
        <v>122</v>
      </c>
      <c r="AA31" s="500" t="n">
        <v>123</v>
      </c>
      <c r="AB31" s="500" t="n">
        <v>123</v>
      </c>
      <c r="AC31" s="500" t="n">
        <v>123</v>
      </c>
      <c r="AD31" s="500" t="n">
        <v>125</v>
      </c>
      <c r="AE31" s="500" t="n">
        <v>125</v>
      </c>
      <c r="AF31" s="500" t="n">
        <v>125</v>
      </c>
      <c r="AG31" s="500" t="n">
        <v>125</v>
      </c>
      <c r="AH31" s="500" t="n">
        <v>127</v>
      </c>
      <c r="AI31" s="7">
        <f>AH31-D31</f>
        <v/>
      </c>
    </row>
    <row r="32" ht="14.5" customHeight="1" s="488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01" t="n"/>
    </row>
    <row r="33" ht="13.5" customHeight="1" s="488">
      <c r="A33" s="500" t="n">
        <v>1</v>
      </c>
      <c r="B33" s="500" t="n"/>
      <c r="C33" s="500" t="inlineStr">
        <is>
          <t>AHU1 - BTU</t>
        </is>
      </c>
      <c r="D33" s="32">
        <f>'Mar-24'!AI33</f>
        <v/>
      </c>
      <c r="E33" s="10" t="n">
        <v>21409.6</v>
      </c>
      <c r="F33" s="38" t="n">
        <v>22161.77</v>
      </c>
      <c r="G33" s="10" t="n">
        <v>22850.5</v>
      </c>
      <c r="H33" s="10" t="n">
        <v>23503.28</v>
      </c>
      <c r="I33" s="10" t="n">
        <v>24067.02</v>
      </c>
      <c r="J33" s="10" t="n">
        <v>24424.25</v>
      </c>
      <c r="K33" s="10" t="n">
        <v>24424.25</v>
      </c>
      <c r="L33" s="10" t="n">
        <v>25188.51</v>
      </c>
      <c r="M33" s="10" t="n">
        <v>25950.06</v>
      </c>
      <c r="N33" s="10" t="n">
        <v>26827.08</v>
      </c>
      <c r="O33" s="10" t="n">
        <v>27672.48</v>
      </c>
      <c r="P33" s="10" t="n">
        <v>28403.37</v>
      </c>
      <c r="Q33" s="10" t="n">
        <v>28668.95</v>
      </c>
      <c r="R33" s="11" t="n">
        <v>28668.95</v>
      </c>
      <c r="S33" s="11" t="n">
        <v>29756.55</v>
      </c>
      <c r="T33" s="11" t="n">
        <v>30722.75</v>
      </c>
      <c r="U33" s="11" t="n">
        <v>31506.4</v>
      </c>
      <c r="V33" s="11" t="n">
        <v>32311.93</v>
      </c>
      <c r="W33" s="11" t="n">
        <v>32993.25</v>
      </c>
      <c r="X33" s="11" t="n">
        <v>33324.88</v>
      </c>
      <c r="Y33" s="11" t="n">
        <v>33324.88</v>
      </c>
      <c r="Z33" s="11" t="n">
        <v>34423.33</v>
      </c>
      <c r="AA33" s="11" t="n">
        <v>35423.46</v>
      </c>
      <c r="AB33" s="11" t="n">
        <v>36245.63</v>
      </c>
      <c r="AC33" s="11" t="n">
        <v>37031.83</v>
      </c>
      <c r="AD33" s="11" t="n">
        <v>37699.55</v>
      </c>
      <c r="AE33" s="11" t="n">
        <v>38117.54</v>
      </c>
      <c r="AF33" s="11" t="n">
        <v>38117.54</v>
      </c>
      <c r="AG33" s="11" t="n">
        <v>39198.41</v>
      </c>
      <c r="AH33" s="12" t="n">
        <v>39808.33</v>
      </c>
      <c r="AI33" s="7">
        <f>AH33-D33</f>
        <v/>
      </c>
    </row>
    <row r="34" ht="13.5" customHeight="1" s="488">
      <c r="A34" s="500" t="n">
        <v>2</v>
      </c>
      <c r="B34" s="500" t="n"/>
      <c r="C34" s="500" t="inlineStr">
        <is>
          <t>AHU2 - BTU</t>
        </is>
      </c>
      <c r="D34" s="32">
        <f>'Mar-24'!AI34</f>
        <v/>
      </c>
      <c r="E34" s="36" t="n">
        <v>21945.98</v>
      </c>
      <c r="F34" s="39" t="n">
        <v>22720.54</v>
      </c>
      <c r="G34" s="37" t="n">
        <v>23411.95</v>
      </c>
      <c r="H34" s="10" t="n">
        <v>24120.47</v>
      </c>
      <c r="I34" s="10" t="n">
        <v>24773.43</v>
      </c>
      <c r="J34" s="10" t="n">
        <v>25081.65</v>
      </c>
      <c r="K34" s="10" t="n">
        <v>25081.65</v>
      </c>
      <c r="L34" s="10" t="n">
        <v>26091.01</v>
      </c>
      <c r="M34" s="10" t="n">
        <v>26746.39</v>
      </c>
      <c r="N34" s="10" t="n">
        <v>27447.98</v>
      </c>
      <c r="O34" s="10" t="n">
        <v>28122.32</v>
      </c>
      <c r="P34" s="10" t="n">
        <v>28720.23</v>
      </c>
      <c r="Q34" s="10" t="n">
        <v>29040.22</v>
      </c>
      <c r="R34" s="11" t="n">
        <v>29040.22</v>
      </c>
      <c r="S34" s="11" t="n">
        <v>29905.93</v>
      </c>
      <c r="T34" s="11" t="n">
        <v>30619.39</v>
      </c>
      <c r="U34" s="11" t="n">
        <v>31315.45</v>
      </c>
      <c r="V34" s="11" t="n">
        <v>32035.07</v>
      </c>
      <c r="W34" s="11" t="n">
        <v>32730.58</v>
      </c>
      <c r="X34" s="11" t="n">
        <v>33108.49</v>
      </c>
      <c r="Y34" s="11" t="n">
        <v>33108.49</v>
      </c>
      <c r="Z34" s="11" t="n">
        <v>34097.47</v>
      </c>
      <c r="AA34" s="11" t="n">
        <v>34888.69</v>
      </c>
      <c r="AB34" s="11" t="n">
        <v>35580.02</v>
      </c>
      <c r="AC34" s="11" t="n">
        <v>36264.12</v>
      </c>
      <c r="AD34" s="11" t="n">
        <v>36972.64</v>
      </c>
      <c r="AE34" s="11" t="n">
        <v>37406.7</v>
      </c>
      <c r="AF34" s="11" t="n">
        <v>37406.7</v>
      </c>
      <c r="AG34" s="11" t="n">
        <v>38410.78</v>
      </c>
      <c r="AH34" s="12" t="n">
        <v>39039.43</v>
      </c>
      <c r="AI34" s="7">
        <f>AH34-D34</f>
        <v/>
      </c>
    </row>
    <row r="35" ht="13.5" customHeight="1" s="488">
      <c r="A35" s="500" t="n">
        <v>3</v>
      </c>
      <c r="B35" s="500" t="n"/>
      <c r="C35" s="500" t="inlineStr">
        <is>
          <t>AHU3 - BTU</t>
        </is>
      </c>
      <c r="D35" s="32">
        <f>'Mar-24'!AI35</f>
        <v/>
      </c>
      <c r="E35" s="10" t="n">
        <v>16330.66</v>
      </c>
      <c r="F35" t="n">
        <v>16953.07</v>
      </c>
      <c r="G35" s="10" t="n">
        <v>17517.78</v>
      </c>
      <c r="H35" s="10" t="n">
        <v>18145.78</v>
      </c>
      <c r="I35" s="10" t="n">
        <v>18720.58</v>
      </c>
      <c r="J35" s="10" t="n">
        <v>19061.88</v>
      </c>
      <c r="K35" s="10" t="n">
        <v>19061.88</v>
      </c>
      <c r="L35" s="10" t="n">
        <v>19705</v>
      </c>
      <c r="M35" s="10" t="n">
        <v>20386.96</v>
      </c>
      <c r="N35" s="10" t="n">
        <v>21064.88</v>
      </c>
      <c r="O35" s="10" t="n">
        <v>21798.73</v>
      </c>
      <c r="P35" s="10" t="n">
        <v>22392.31</v>
      </c>
      <c r="Q35" s="10" t="n">
        <v>22683.07</v>
      </c>
      <c r="R35" s="10" t="n">
        <v>22683.07</v>
      </c>
      <c r="S35" s="11" t="n">
        <v>23805.99</v>
      </c>
      <c r="T35" s="11" t="n">
        <v>24672.94</v>
      </c>
      <c r="U35" s="11" t="n">
        <v>25738.12</v>
      </c>
      <c r="V35" s="11" t="n">
        <v>26399.51</v>
      </c>
      <c r="W35" s="11" t="n">
        <v>27163.83</v>
      </c>
      <c r="X35" s="11" t="n">
        <v>27621.63</v>
      </c>
      <c r="Y35" s="11" t="n">
        <v>27621.63</v>
      </c>
      <c r="Z35" s="11" t="n">
        <v>28699.69</v>
      </c>
      <c r="AA35" s="11" t="n">
        <v>29733.84</v>
      </c>
      <c r="AB35" s="11" t="n">
        <v>30553.78</v>
      </c>
      <c r="AC35" s="11" t="n">
        <v>31401.06</v>
      </c>
      <c r="AD35" s="11" t="n">
        <v>32233.52</v>
      </c>
      <c r="AE35" s="11" t="n">
        <v>32758.82</v>
      </c>
      <c r="AF35" s="11" t="n">
        <v>32758.82</v>
      </c>
      <c r="AG35" s="11" t="n">
        <v>33732.59</v>
      </c>
      <c r="AH35" s="12" t="n">
        <v>34466.31</v>
      </c>
      <c r="AI35" s="7">
        <f>AH35-D35</f>
        <v/>
      </c>
    </row>
    <row r="36" ht="13.5" customHeight="1" s="488">
      <c r="A36" s="500" t="n">
        <v>4</v>
      </c>
      <c r="B36" s="500" t="n"/>
      <c r="C36" s="500" t="inlineStr">
        <is>
          <t>AHU4 - BTU</t>
        </is>
      </c>
      <c r="D36" s="32">
        <f>'Mar-24'!AI36</f>
        <v/>
      </c>
      <c r="E36" s="10" t="n">
        <v>25419.59</v>
      </c>
      <c r="F36" s="10" t="n">
        <v>26370.92</v>
      </c>
      <c r="G36" s="10" t="n">
        <v>27234.14</v>
      </c>
      <c r="H36" s="10" t="n">
        <v>28024.3</v>
      </c>
      <c r="I36" s="10" t="n">
        <v>28788.29</v>
      </c>
      <c r="J36" s="10" t="n">
        <v>29255.67</v>
      </c>
      <c r="K36" s="10" t="n">
        <v>29255.67</v>
      </c>
      <c r="L36" s="10" t="n">
        <v>30254.33</v>
      </c>
      <c r="M36" s="10" t="n">
        <v>31229.2</v>
      </c>
      <c r="N36" s="10" t="n">
        <v>32263.49</v>
      </c>
      <c r="O36" s="10" t="n">
        <v>33125.05</v>
      </c>
      <c r="P36" s="10" t="n">
        <v>33971.68</v>
      </c>
      <c r="Q36" s="10" t="n">
        <v>34364.35</v>
      </c>
      <c r="R36" s="11" t="n">
        <v>34364.35</v>
      </c>
      <c r="S36" s="11" t="n">
        <v>35632.68</v>
      </c>
      <c r="T36" s="11" t="n">
        <v>36573.12</v>
      </c>
      <c r="U36" s="11" t="n">
        <v>37463.45</v>
      </c>
      <c r="V36" s="11" t="n">
        <v>38302.71</v>
      </c>
      <c r="W36" s="11" t="n">
        <v>39055.22</v>
      </c>
      <c r="X36" s="11" t="n">
        <v>39535.63</v>
      </c>
      <c r="Y36" s="11" t="n">
        <v>39535.63</v>
      </c>
      <c r="Z36" s="11" t="n">
        <v>41006.37</v>
      </c>
      <c r="AA36" s="11" t="n">
        <v>42325.41</v>
      </c>
      <c r="AB36" s="11" t="n">
        <v>43455.98</v>
      </c>
      <c r="AC36" s="11" t="n">
        <v>44476.59</v>
      </c>
      <c r="AD36" s="11" t="n">
        <v>45418.41</v>
      </c>
      <c r="AE36" s="11" t="n">
        <v>46087.97</v>
      </c>
      <c r="AF36" s="11" t="n">
        <v>46087.97</v>
      </c>
      <c r="AG36" s="11" t="n">
        <v>47630.79</v>
      </c>
      <c r="AH36" s="12" t="n">
        <v>48593.12</v>
      </c>
      <c r="AI36" s="7">
        <f>AH36-D36</f>
        <v/>
      </c>
    </row>
    <row r="37">
      <c r="D37" s="106" t="n"/>
      <c r="E37" s="90" t="n"/>
      <c r="AD37" s="76" t="n"/>
    </row>
    <row r="38" ht="13" customHeight="1" s="488">
      <c r="A38" s="91" t="n"/>
      <c r="B38" s="92" t="n"/>
      <c r="C38" s="92" t="n"/>
      <c r="D38" s="107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  <c r="AB38" s="91" t="n"/>
      <c r="AC38" s="91" t="n"/>
      <c r="AD38" s="91" t="n"/>
      <c r="AE38" s="91" t="n"/>
      <c r="AF38" s="91" t="n"/>
      <c r="AG38" s="91" t="n"/>
      <c r="AH38" s="91" t="n"/>
      <c r="AI38" s="91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95">
        <f>AG3</f>
        <v/>
      </c>
      <c r="AH41" s="95">
        <f>AH3</f>
        <v/>
      </c>
      <c r="AI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96">
        <f>AG4</f>
        <v/>
      </c>
      <c r="AH42" s="96">
        <f>AH4</f>
        <v/>
      </c>
      <c r="AI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97" t="inlineStr">
        <is>
          <t>Time</t>
        </is>
      </c>
      <c r="AH43" s="97" t="inlineStr">
        <is>
          <t>Time</t>
        </is>
      </c>
      <c r="AI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98" t="n">
        <v>0.3333333333333333</v>
      </c>
      <c r="AH44" s="98" t="n">
        <v>0.3333333333333333</v>
      </c>
      <c r="AI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1">
        <f>SUM(E45:AH45)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1">
        <f>SUM(E46:AH46)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1">
        <f>SUM(E47:AH47)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1">
        <f>SUM(E48:AH48)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1">
        <f>SUM(E49:AH49)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1">
        <f>SUM(E50:AH50)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1">
        <f>SUM(E51:AH51)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1">
        <f>SUM(E52:AH52)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1">
        <f>SUM(E53:AH53)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105">
        <f>SUM(E54:AH54)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105">
        <f>SUM(E55:AH55)</f>
        <v/>
      </c>
      <c r="AJ55" s="115" t="inlineStr">
        <is>
          <t>EB</t>
        </is>
      </c>
      <c r="AK55" s="116">
        <f>AI61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105">
        <f>SUM(E56:AH56)</f>
        <v/>
      </c>
      <c r="AJ56" s="115" t="inlineStr">
        <is>
          <t>AHU</t>
        </is>
      </c>
      <c r="AK56" s="116">
        <f>AI74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1">
        <f>SUM(E57:AH57)</f>
        <v/>
      </c>
      <c r="AJ57" s="116" t="inlineStr">
        <is>
          <t>BTU</t>
        </is>
      </c>
      <c r="AK57" s="115">
        <f>AI80/2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1">
        <f>SUM(E58:AH58)</f>
        <v/>
      </c>
      <c r="AJ58" s="115" t="inlineStr">
        <is>
          <t>DG</t>
        </is>
      </c>
      <c r="AK58" s="116">
        <f>AI62+AI75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105">
        <f>SUM(E59:AH59)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105">
        <f>SUM(E60:AH60)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111">
        <f>SUM(E61:AH61)</f>
        <v/>
      </c>
    </row>
    <row r="62" ht="15" customHeight="1" s="488">
      <c r="A62" s="99" t="n"/>
      <c r="B62" s="99" t="n"/>
      <c r="C62" s="63" t="inlineStr">
        <is>
          <t>Total Power- DG</t>
        </is>
      </c>
      <c r="D62" s="158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111">
        <f>SUM(E62:AH62)</f>
        <v/>
      </c>
      <c r="AK62" s="78" t="n"/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E63+F61</f>
        <v/>
      </c>
      <c r="G63" s="102">
        <f>F63+G61</f>
        <v/>
      </c>
      <c r="H63" s="102">
        <f>G63+H61</f>
        <v/>
      </c>
      <c r="I63" s="102">
        <f>H63+I61</f>
        <v/>
      </c>
      <c r="J63" s="102">
        <f>I63+J61</f>
        <v/>
      </c>
      <c r="K63" s="102">
        <f>J63+K61</f>
        <v/>
      </c>
      <c r="L63" s="102">
        <f>K63+L61</f>
        <v/>
      </c>
      <c r="M63" s="102">
        <f>L63+M61</f>
        <v/>
      </c>
      <c r="N63" s="102">
        <f>M63+N61</f>
        <v/>
      </c>
      <c r="O63" s="102">
        <f>N63+O61</f>
        <v/>
      </c>
      <c r="P63" s="102">
        <f>O63+P61</f>
        <v/>
      </c>
      <c r="Q63" s="102">
        <f>P63+Q61</f>
        <v/>
      </c>
      <c r="R63" s="102">
        <f>Q63+R61</f>
        <v/>
      </c>
      <c r="S63" s="102">
        <f>R63+S61</f>
        <v/>
      </c>
      <c r="T63" s="102">
        <f>S63+T61</f>
        <v/>
      </c>
      <c r="U63" s="102">
        <f>T63+U61</f>
        <v/>
      </c>
      <c r="V63" s="102">
        <f>U63+V61</f>
        <v/>
      </c>
      <c r="W63" s="102">
        <f>V63+W61</f>
        <v/>
      </c>
      <c r="X63" s="102">
        <f>W63+X61</f>
        <v/>
      </c>
      <c r="Y63" s="102">
        <f>X63+Y61</f>
        <v/>
      </c>
      <c r="Z63" s="102">
        <f>Y63+Z61</f>
        <v/>
      </c>
      <c r="AA63" s="102">
        <f>Z63+AA61</f>
        <v/>
      </c>
      <c r="AB63" s="102">
        <f>AA63+AB61</f>
        <v/>
      </c>
      <c r="AC63" s="102">
        <f>AB63+AC61</f>
        <v/>
      </c>
      <c r="AD63" s="102">
        <f>AC63+AD61</f>
        <v/>
      </c>
      <c r="AE63" s="102">
        <f>AD63+AE61</f>
        <v/>
      </c>
      <c r="AF63" s="102">
        <f>AE63+AF61</f>
        <v/>
      </c>
      <c r="AG63" s="102">
        <f>AF63+AG61</f>
        <v/>
      </c>
      <c r="AH63" s="102">
        <f>AG63+AH61</f>
        <v/>
      </c>
      <c r="AI63" s="102">
        <f>AG63+AI61</f>
        <v/>
      </c>
    </row>
    <row r="64" ht="13" customHeight="1" s="488">
      <c r="A64" s="94" t="n"/>
      <c r="B64" s="534" t="n"/>
      <c r="C64" s="534" t="n"/>
      <c r="D64" s="109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</row>
    <row r="65" ht="14.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SUM(E66:AH66)</f>
        <v/>
      </c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SUM(E67:AH67)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SUM(E68:AH68)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SUM(E69:AH69)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SUM(E70:AH70)</f>
        <v/>
      </c>
      <c r="AJ70" s="78" t="n"/>
      <c r="AK70" s="78" t="n"/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SUM(E71:AH71)</f>
        <v/>
      </c>
      <c r="AJ71" s="78" t="n"/>
      <c r="AK71" s="78" t="n"/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SUM(E72:AH72)</f>
        <v/>
      </c>
      <c r="AK72" s="78" t="n"/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SUM(E73:AH73)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4">
        <f>SUM(E74:AH74)</f>
        <v/>
      </c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4">
        <f>SUM(E75:AH75)</f>
        <v/>
      </c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SUM(E76:AH76)</f>
        <v/>
      </c>
      <c r="AJ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SUM(E77:AH77)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SUM(E78:AH78)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SUM(E79:AH79)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4">
        <f>SUM(AI76:AI79)</f>
        <v/>
      </c>
    </row>
  </sheetData>
  <mergeCells count="49">
    <mergeCell ref="C77:D77"/>
    <mergeCell ref="C68:D68"/>
    <mergeCell ref="C58:D58"/>
    <mergeCell ref="B3:B6"/>
    <mergeCell ref="C45:D45"/>
    <mergeCell ref="C74:D74"/>
    <mergeCell ref="B39:D39"/>
    <mergeCell ref="C79:D79"/>
    <mergeCell ref="C73:D73"/>
    <mergeCell ref="C47:D47"/>
    <mergeCell ref="C54:D54"/>
    <mergeCell ref="C63:D63"/>
    <mergeCell ref="C65:D65"/>
    <mergeCell ref="B40:D40"/>
    <mergeCell ref="A41:A44"/>
    <mergeCell ref="A3:A6"/>
    <mergeCell ref="C75:D75"/>
    <mergeCell ref="C50:D50"/>
    <mergeCell ref="C55:D55"/>
    <mergeCell ref="C80:D80"/>
    <mergeCell ref="E2:AH2"/>
    <mergeCell ref="C56:D56"/>
    <mergeCell ref="C59:D59"/>
    <mergeCell ref="C46:D46"/>
    <mergeCell ref="C60:D60"/>
    <mergeCell ref="C51:D51"/>
    <mergeCell ref="C76:D76"/>
    <mergeCell ref="C71:D71"/>
    <mergeCell ref="D3:D6"/>
    <mergeCell ref="C61:D61"/>
    <mergeCell ref="AI3:AI6"/>
    <mergeCell ref="AI41:AI44"/>
    <mergeCell ref="C70:D70"/>
    <mergeCell ref="C52:D52"/>
    <mergeCell ref="C48:D48"/>
    <mergeCell ref="A32:AI32"/>
    <mergeCell ref="C67:D67"/>
    <mergeCell ref="C72:D72"/>
    <mergeCell ref="C57:D57"/>
    <mergeCell ref="A23:AI23"/>
    <mergeCell ref="C3:C6"/>
    <mergeCell ref="C66:D66"/>
    <mergeCell ref="C41:D44"/>
    <mergeCell ref="A2:D2"/>
    <mergeCell ref="C53:D53"/>
    <mergeCell ref="B41:B44"/>
    <mergeCell ref="C78:D78"/>
    <mergeCell ref="C69:D69"/>
    <mergeCell ref="C49:D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N80"/>
  <sheetViews>
    <sheetView topLeftCell="AC55" workbookViewId="0">
      <selection activeCell="A22" sqref="A22:AJ22"/>
    </sheetView>
  </sheetViews>
  <sheetFormatPr baseColWidth="8" defaultRowHeight="14.5"/>
  <cols>
    <col width="14" customWidth="1" style="488" min="1" max="1"/>
    <col width="27" customWidth="1" style="488" min="2" max="2"/>
    <col width="32" bestFit="1" customWidth="1" style="47" min="3" max="3"/>
    <col width="20" bestFit="1" customWidth="1" style="488" min="4" max="4"/>
    <col width="23" customWidth="1" style="488" min="5" max="15"/>
    <col width="23" bestFit="1" customWidth="1" style="488" min="16" max="17"/>
    <col width="23" customWidth="1" style="488" min="18" max="22"/>
    <col width="23" bestFit="1" customWidth="1" style="488" min="23" max="24"/>
    <col width="23" customWidth="1" style="488" min="25" max="25"/>
    <col width="23" bestFit="1" customWidth="1" style="488" min="26" max="27"/>
    <col width="23" customWidth="1" style="488" min="28" max="29"/>
    <col width="23" bestFit="1" customWidth="1" style="488" min="30" max="30"/>
    <col width="23" customWidth="1" style="488" min="31" max="31"/>
    <col width="23" bestFit="1" customWidth="1" style="488" min="32" max="32"/>
    <col width="23" customWidth="1" style="488" min="33" max="33"/>
    <col width="23" bestFit="1" customWidth="1" style="488" min="34" max="35"/>
    <col width="18" bestFit="1" customWidth="1" style="488" min="36" max="36"/>
    <col width="14" customWidth="1" style="488" min="37" max="37"/>
    <col width="18" customWidth="1" style="488" min="38" max="38"/>
    <col width="14" customWidth="1" style="488" min="39" max="40"/>
  </cols>
  <sheetData>
    <row r="2" ht="16.5" customHeight="1" s="488">
      <c r="A2" s="527" t="n"/>
      <c r="B2" s="505" t="n"/>
      <c r="C2" s="505" t="n"/>
      <c r="D2" s="506" t="n"/>
      <c r="E2" s="504" t="inlineStr">
        <is>
          <t>May - 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5" t="n"/>
      <c r="AI2" s="506" t="n"/>
      <c r="AJ2" s="50" t="n"/>
    </row>
    <row r="3">
      <c r="A3" s="508" t="inlineStr">
        <is>
          <t>Sr.No</t>
        </is>
      </c>
      <c r="B3" s="508" t="inlineStr">
        <is>
          <t>Location</t>
        </is>
      </c>
      <c r="C3" s="508" t="inlineStr">
        <is>
          <t>Meter</t>
        </is>
      </c>
      <c r="D3" s="521" t="inlineStr">
        <is>
          <t>Previous Reading</t>
        </is>
      </c>
      <c r="E3" s="51" t="n">
        <v>45413</v>
      </c>
      <c r="F3" s="51" t="n">
        <v>45414</v>
      </c>
      <c r="G3" s="51" t="n">
        <v>45415</v>
      </c>
      <c r="H3" s="51" t="n">
        <v>45416</v>
      </c>
      <c r="I3" s="51" t="n">
        <v>45417</v>
      </c>
      <c r="J3" s="51" t="n">
        <v>45418</v>
      </c>
      <c r="K3" s="51" t="n">
        <v>45419</v>
      </c>
      <c r="L3" s="51" t="n">
        <v>45420</v>
      </c>
      <c r="M3" s="51" t="n">
        <v>45421</v>
      </c>
      <c r="N3" s="51" t="n">
        <v>45422</v>
      </c>
      <c r="O3" s="51" t="n">
        <v>45423</v>
      </c>
      <c r="P3" s="51" t="n">
        <v>45424</v>
      </c>
      <c r="Q3" s="51" t="n">
        <v>45425</v>
      </c>
      <c r="R3" s="51" t="n">
        <v>45426</v>
      </c>
      <c r="S3" s="51" t="n">
        <v>45427</v>
      </c>
      <c r="T3" s="51" t="n">
        <v>45428</v>
      </c>
      <c r="U3" s="51" t="n">
        <v>45429</v>
      </c>
      <c r="V3" s="51" t="n">
        <v>45430</v>
      </c>
      <c r="W3" s="51" t="n">
        <v>45431</v>
      </c>
      <c r="X3" s="51" t="n">
        <v>45432</v>
      </c>
      <c r="Y3" s="51" t="n">
        <v>45433</v>
      </c>
      <c r="Z3" s="51" t="n">
        <v>45434</v>
      </c>
      <c r="AA3" s="51" t="n">
        <v>45435</v>
      </c>
      <c r="AB3" s="51" t="n">
        <v>45436</v>
      </c>
      <c r="AC3" s="51" t="n">
        <v>45437</v>
      </c>
      <c r="AD3" s="51" t="n">
        <v>45438</v>
      </c>
      <c r="AE3" s="51" t="n">
        <v>45439</v>
      </c>
      <c r="AF3" s="51" t="n">
        <v>45440</v>
      </c>
      <c r="AG3" s="51" t="n">
        <v>45441</v>
      </c>
      <c r="AH3" s="51" t="n">
        <v>45442</v>
      </c>
      <c r="AI3" s="51" t="n">
        <v>45443</v>
      </c>
      <c r="AJ3" s="518" t="inlineStr">
        <is>
          <t>Consumption</t>
        </is>
      </c>
    </row>
    <row r="4">
      <c r="A4" s="509" t="n"/>
      <c r="B4" s="509" t="n"/>
      <c r="C4" s="509" t="n"/>
      <c r="D4" s="509" t="n"/>
      <c r="E4" s="52" t="inlineStr">
        <is>
          <t>Thu</t>
        </is>
      </c>
      <c r="F4" s="52" t="inlineStr">
        <is>
          <t>Fri</t>
        </is>
      </c>
      <c r="G4" s="52" t="inlineStr">
        <is>
          <t>Sat</t>
        </is>
      </c>
      <c r="H4" s="52" t="inlineStr">
        <is>
          <t>Sun</t>
        </is>
      </c>
      <c r="I4" s="52" t="inlineStr">
        <is>
          <t>Mon</t>
        </is>
      </c>
      <c r="J4" s="52" t="inlineStr">
        <is>
          <t>Tue</t>
        </is>
      </c>
      <c r="K4" s="52" t="inlineStr">
        <is>
          <t>Wed</t>
        </is>
      </c>
      <c r="L4" s="52" t="inlineStr">
        <is>
          <t>Thu</t>
        </is>
      </c>
      <c r="M4" s="52" t="inlineStr">
        <is>
          <t>Fri</t>
        </is>
      </c>
      <c r="N4" s="52" t="inlineStr">
        <is>
          <t>Sat</t>
        </is>
      </c>
      <c r="O4" s="52" t="inlineStr">
        <is>
          <t>Sun</t>
        </is>
      </c>
      <c r="P4" s="52" t="inlineStr">
        <is>
          <t>Mon</t>
        </is>
      </c>
      <c r="Q4" s="52" t="inlineStr">
        <is>
          <t>Tue</t>
        </is>
      </c>
      <c r="R4" s="52" t="inlineStr">
        <is>
          <t>Wed</t>
        </is>
      </c>
      <c r="S4" s="52" t="inlineStr">
        <is>
          <t>Thu</t>
        </is>
      </c>
      <c r="T4" s="52" t="inlineStr">
        <is>
          <t>Fri</t>
        </is>
      </c>
      <c r="U4" s="52" t="inlineStr">
        <is>
          <t>Sat</t>
        </is>
      </c>
      <c r="V4" s="52" t="inlineStr">
        <is>
          <t>Sun</t>
        </is>
      </c>
      <c r="W4" s="52" t="inlineStr">
        <is>
          <t>Mon</t>
        </is>
      </c>
      <c r="X4" s="52" t="inlineStr">
        <is>
          <t>Tue</t>
        </is>
      </c>
      <c r="Y4" s="52" t="inlineStr">
        <is>
          <t>Wed</t>
        </is>
      </c>
      <c r="Z4" s="52" t="inlineStr">
        <is>
          <t>Thu</t>
        </is>
      </c>
      <c r="AA4" s="52" t="inlineStr">
        <is>
          <t>Fri</t>
        </is>
      </c>
      <c r="AB4" s="52" t="inlineStr">
        <is>
          <t>Sat</t>
        </is>
      </c>
      <c r="AC4" s="52" t="inlineStr">
        <is>
          <t>Sun</t>
        </is>
      </c>
      <c r="AD4" s="52" t="inlineStr">
        <is>
          <t>Mon</t>
        </is>
      </c>
      <c r="AE4" s="52" t="inlineStr">
        <is>
          <t>Tue</t>
        </is>
      </c>
      <c r="AF4" s="52" t="inlineStr">
        <is>
          <t>Wed</t>
        </is>
      </c>
      <c r="AG4" s="52" t="inlineStr">
        <is>
          <t>Thu</t>
        </is>
      </c>
      <c r="AH4" s="52" t="inlineStr">
        <is>
          <t>Fri</t>
        </is>
      </c>
      <c r="AI4" s="52" t="inlineStr">
        <is>
          <t>Sat</t>
        </is>
      </c>
      <c r="AJ4" s="509" t="n"/>
    </row>
    <row r="5">
      <c r="A5" s="509" t="n"/>
      <c r="B5" s="509" t="n"/>
      <c r="C5" s="509" t="n"/>
      <c r="D5" s="509" t="n"/>
      <c r="E5" s="52" t="inlineStr">
        <is>
          <t>Time</t>
        </is>
      </c>
      <c r="F5" s="52" t="inlineStr">
        <is>
          <t>Time</t>
        </is>
      </c>
      <c r="G5" s="52" t="inlineStr">
        <is>
          <t>Time</t>
        </is>
      </c>
      <c r="H5" s="52" t="inlineStr">
        <is>
          <t>Time</t>
        </is>
      </c>
      <c r="I5" s="52" t="inlineStr">
        <is>
          <t>Time</t>
        </is>
      </c>
      <c r="J5" s="52" t="inlineStr">
        <is>
          <t>Time</t>
        </is>
      </c>
      <c r="K5" s="52" t="inlineStr">
        <is>
          <t>Time</t>
        </is>
      </c>
      <c r="L5" s="52" t="inlineStr">
        <is>
          <t>Time</t>
        </is>
      </c>
      <c r="M5" s="52" t="inlineStr">
        <is>
          <t>Time</t>
        </is>
      </c>
      <c r="N5" s="52" t="inlineStr">
        <is>
          <t>Time</t>
        </is>
      </c>
      <c r="O5" s="52" t="inlineStr">
        <is>
          <t>Time</t>
        </is>
      </c>
      <c r="P5" s="52" t="inlineStr">
        <is>
          <t>Time</t>
        </is>
      </c>
      <c r="Q5" s="52" t="inlineStr">
        <is>
          <t>Time</t>
        </is>
      </c>
      <c r="R5" s="52" t="inlineStr">
        <is>
          <t>Time</t>
        </is>
      </c>
      <c r="S5" s="52" t="inlineStr">
        <is>
          <t>Time</t>
        </is>
      </c>
      <c r="T5" s="52" t="inlineStr">
        <is>
          <t>Time</t>
        </is>
      </c>
      <c r="U5" s="52" t="inlineStr">
        <is>
          <t>Time</t>
        </is>
      </c>
      <c r="V5" s="52" t="inlineStr">
        <is>
          <t>Time</t>
        </is>
      </c>
      <c r="W5" s="52" t="inlineStr">
        <is>
          <t>Time</t>
        </is>
      </c>
      <c r="X5" s="52" t="inlineStr">
        <is>
          <t>Time</t>
        </is>
      </c>
      <c r="Y5" s="52" t="inlineStr">
        <is>
          <t>Time</t>
        </is>
      </c>
      <c r="Z5" s="52" t="inlineStr">
        <is>
          <t>Time</t>
        </is>
      </c>
      <c r="AA5" s="52" t="inlineStr">
        <is>
          <t>Time</t>
        </is>
      </c>
      <c r="AB5" s="52" t="inlineStr">
        <is>
          <t>Time</t>
        </is>
      </c>
      <c r="AC5" s="52" t="inlineStr">
        <is>
          <t>Time</t>
        </is>
      </c>
      <c r="AD5" s="52" t="inlineStr">
        <is>
          <t>Time</t>
        </is>
      </c>
      <c r="AE5" s="52" t="inlineStr">
        <is>
          <t>Time</t>
        </is>
      </c>
      <c r="AF5" s="52" t="inlineStr">
        <is>
          <t>Time</t>
        </is>
      </c>
      <c r="AG5" s="52" t="inlineStr">
        <is>
          <t>Time</t>
        </is>
      </c>
      <c r="AH5" s="52" t="inlineStr">
        <is>
          <t>Time</t>
        </is>
      </c>
      <c r="AI5" s="52" t="inlineStr">
        <is>
          <t>Time</t>
        </is>
      </c>
      <c r="AJ5" s="509" t="n"/>
    </row>
    <row r="6">
      <c r="A6" s="510" t="n"/>
      <c r="B6" s="510" t="n"/>
      <c r="C6" s="510" t="n"/>
      <c r="D6" s="510" t="n"/>
      <c r="E6" s="53" t="n">
        <v>0.3333333333333333</v>
      </c>
      <c r="F6" s="53" t="n">
        <v>0.3333333333333333</v>
      </c>
      <c r="G6" s="53" t="n">
        <v>0.3333333333333333</v>
      </c>
      <c r="H6" s="53" t="n">
        <v>0.3333333333333333</v>
      </c>
      <c r="I6" s="53" t="n">
        <v>0.3333333333333333</v>
      </c>
      <c r="J6" s="53">
        <f>#REF!=AN73</f>
        <v/>
      </c>
      <c r="K6" s="53" t="n">
        <v>0.3333333333333333</v>
      </c>
      <c r="L6" s="53" t="n">
        <v>0.3333333333333333</v>
      </c>
      <c r="M6" s="53" t="n">
        <v>0.3333333333333333</v>
      </c>
      <c r="N6" s="53" t="n">
        <v>0.3333333333333333</v>
      </c>
      <c r="O6" s="53" t="n">
        <v>0.3333333333333333</v>
      </c>
      <c r="P6" s="53" t="n">
        <v>0.3333333333333333</v>
      </c>
      <c r="Q6" s="53" t="n">
        <v>0.3333333333333333</v>
      </c>
      <c r="R6" s="53" t="n">
        <v>0.3333333333333333</v>
      </c>
      <c r="S6" s="53" t="n">
        <v>0.3333333333333333</v>
      </c>
      <c r="T6" s="53" t="n">
        <v>0.3333333333333333</v>
      </c>
      <c r="U6" s="53" t="n">
        <v>0.3333333333333333</v>
      </c>
      <c r="V6" s="53" t="n">
        <v>0.3333333333333333</v>
      </c>
      <c r="W6" s="53" t="n">
        <v>0.3333333333333333</v>
      </c>
      <c r="X6" s="53" t="n">
        <v>0.3333333333333333</v>
      </c>
      <c r="Y6" s="53" t="n">
        <v>0.3333333333333333</v>
      </c>
      <c r="Z6" s="53" t="n">
        <v>0.3333333333333333</v>
      </c>
      <c r="AA6" s="53" t="n">
        <v>0.3333333333333333</v>
      </c>
      <c r="AB6" s="53" t="n">
        <v>0.3333333333333333</v>
      </c>
      <c r="AC6" s="53" t="n">
        <v>0.3333333333333333</v>
      </c>
      <c r="AD6" s="53" t="n">
        <v>0.3333333333333333</v>
      </c>
      <c r="AE6" s="53" t="n">
        <v>0.3333333333333333</v>
      </c>
      <c r="AF6" s="53" t="n">
        <v>0.3333333333333333</v>
      </c>
      <c r="AG6" s="53" t="n">
        <v>0.3333333333333333</v>
      </c>
      <c r="AH6" s="53" t="n">
        <v>0.3333333333333333</v>
      </c>
      <c r="AI6" s="53" t="n">
        <v>0.3333333333333333</v>
      </c>
      <c r="AJ6" s="510" t="n"/>
    </row>
    <row r="7" ht="20.15" customHeight="1" s="488">
      <c r="A7" s="500" t="n">
        <v>1</v>
      </c>
      <c r="B7" s="500" t="inlineStr">
        <is>
          <t>3F</t>
        </is>
      </c>
      <c r="C7" s="500" t="inlineStr">
        <is>
          <t>SL No 540430038840 (EB Unit)</t>
        </is>
      </c>
      <c r="D7" s="7" t="n">
        <v>20652</v>
      </c>
      <c r="E7" s="561" t="n">
        <v>21014</v>
      </c>
      <c r="F7" s="561" t="n">
        <v>21267</v>
      </c>
      <c r="G7" s="5" t="n">
        <v>21509</v>
      </c>
      <c r="H7" s="5" t="n">
        <v>21714</v>
      </c>
      <c r="I7" s="561" t="n">
        <v>21934</v>
      </c>
      <c r="J7" s="561" t="n">
        <v>22136</v>
      </c>
      <c r="K7" s="561" t="n">
        <v>22375</v>
      </c>
      <c r="L7" s="561" t="n">
        <v>22572</v>
      </c>
      <c r="M7" s="6" t="n">
        <v>22809</v>
      </c>
      <c r="N7" s="561" t="n">
        <v>23008</v>
      </c>
      <c r="O7" s="561" t="n">
        <v>23204</v>
      </c>
      <c r="P7" s="561" t="n">
        <v>23430</v>
      </c>
      <c r="Q7" s="6" t="n">
        <v>23596</v>
      </c>
      <c r="R7" s="561" t="n">
        <v>23844</v>
      </c>
      <c r="S7" s="561" t="n">
        <v>24100</v>
      </c>
      <c r="T7" s="561" t="n">
        <v>24354</v>
      </c>
      <c r="U7" s="561" t="n">
        <v>24495</v>
      </c>
      <c r="V7" s="6" t="n">
        <v>24682</v>
      </c>
      <c r="W7" s="561" t="n">
        <v>24968</v>
      </c>
      <c r="X7" s="561" t="n">
        <v>25142</v>
      </c>
      <c r="Y7" s="561" t="n">
        <v>25402</v>
      </c>
      <c r="Z7" s="561" t="n">
        <v>25630</v>
      </c>
      <c r="AA7" s="561" t="n">
        <v>25817</v>
      </c>
      <c r="AB7" s="561" t="n">
        <v>26049</v>
      </c>
      <c r="AC7" s="561" t="n">
        <v>26251</v>
      </c>
      <c r="AD7" s="561" t="n">
        <v>26443</v>
      </c>
      <c r="AE7" s="561" t="n">
        <v>26672</v>
      </c>
      <c r="AF7" s="561" t="n">
        <v>26889</v>
      </c>
      <c r="AG7" s="561" t="n">
        <v>27095</v>
      </c>
      <c r="AH7" s="8" t="n">
        <v>27328</v>
      </c>
      <c r="AI7" s="44" t="n">
        <v>27418</v>
      </c>
      <c r="AJ7" s="7">
        <f>AI7-D7</f>
        <v/>
      </c>
    </row>
    <row r="8" ht="20.15" customHeight="1" s="488">
      <c r="A8" s="500" t="n"/>
      <c r="B8" s="500" t="n"/>
      <c r="C8" s="61" t="inlineStr">
        <is>
          <t>DG</t>
        </is>
      </c>
      <c r="D8" s="7" t="n">
        <v>328</v>
      </c>
      <c r="E8" s="561" t="n">
        <v>328</v>
      </c>
      <c r="F8" s="561" t="n">
        <v>328</v>
      </c>
      <c r="G8" s="561" t="n">
        <v>328</v>
      </c>
      <c r="H8" s="561" t="n">
        <v>328</v>
      </c>
      <c r="I8" s="561" t="n">
        <v>328</v>
      </c>
      <c r="J8" s="561" t="n">
        <v>369</v>
      </c>
      <c r="K8" s="561" t="n">
        <v>382</v>
      </c>
      <c r="L8" s="561" t="n">
        <v>455</v>
      </c>
      <c r="M8" s="6" t="n">
        <v>455</v>
      </c>
      <c r="N8" s="561" t="n">
        <v>505</v>
      </c>
      <c r="O8" s="561" t="n">
        <v>518</v>
      </c>
      <c r="P8" s="561" t="n">
        <v>518</v>
      </c>
      <c r="Q8" s="6" t="n">
        <v>599</v>
      </c>
      <c r="R8" s="561" t="n">
        <v>613</v>
      </c>
      <c r="S8" s="561" t="n">
        <v>613</v>
      </c>
      <c r="T8" s="561" t="n">
        <v>613</v>
      </c>
      <c r="U8" s="561" t="n">
        <v>700</v>
      </c>
      <c r="V8" s="6" t="n">
        <v>700</v>
      </c>
      <c r="W8" s="561" t="n">
        <v>727</v>
      </c>
      <c r="X8" s="561" t="n">
        <v>798</v>
      </c>
      <c r="Y8" s="561" t="n">
        <v>798</v>
      </c>
      <c r="Z8" s="561" t="n">
        <v>798</v>
      </c>
      <c r="AA8" s="561" t="n">
        <v>864</v>
      </c>
      <c r="AB8" s="561" t="n">
        <v>880</v>
      </c>
      <c r="AC8" s="561" t="n">
        <v>882</v>
      </c>
      <c r="AD8" s="561" t="n">
        <v>889</v>
      </c>
      <c r="AE8" s="561" t="n">
        <v>915</v>
      </c>
      <c r="AF8" s="561" t="n">
        <v>955</v>
      </c>
      <c r="AG8" s="561" t="n">
        <v>999</v>
      </c>
      <c r="AH8" s="8" t="n">
        <v>1025</v>
      </c>
      <c r="AI8" s="44" t="n">
        <v>1040</v>
      </c>
      <c r="AJ8" s="7">
        <f>AI8-D8</f>
        <v/>
      </c>
    </row>
    <row r="9" ht="20.15" customHeight="1" s="488">
      <c r="A9" s="500" t="n">
        <v>2</v>
      </c>
      <c r="B9" s="500" t="inlineStr">
        <is>
          <t>3F</t>
        </is>
      </c>
      <c r="C9" s="500" t="inlineStr">
        <is>
          <t>SL No 540430038845 (EB Unit)</t>
        </is>
      </c>
      <c r="D9" s="565" t="n">
        <v>1956</v>
      </c>
      <c r="E9" s="561" t="n">
        <v>1956</v>
      </c>
      <c r="F9" s="561" t="n">
        <v>1956</v>
      </c>
      <c r="G9" s="561" t="n">
        <v>1956</v>
      </c>
      <c r="H9" s="561" t="n">
        <v>1956</v>
      </c>
      <c r="I9" s="561" t="n">
        <v>1956</v>
      </c>
      <c r="J9" s="561" t="n">
        <v>1956</v>
      </c>
      <c r="K9" s="561" t="n">
        <v>1956</v>
      </c>
      <c r="L9" s="561" t="n">
        <v>1956</v>
      </c>
      <c r="M9" s="561" t="n">
        <v>1956</v>
      </c>
      <c r="N9" s="561" t="n">
        <v>1956</v>
      </c>
      <c r="O9" s="561" t="n">
        <v>1956</v>
      </c>
      <c r="P9" s="561" t="n">
        <v>1956</v>
      </c>
      <c r="Q9" s="561" t="n">
        <v>1956</v>
      </c>
      <c r="R9" s="561" t="n">
        <v>1956</v>
      </c>
      <c r="S9" s="561" t="n">
        <v>1956</v>
      </c>
      <c r="T9" s="561" t="n">
        <v>1956</v>
      </c>
      <c r="U9" s="561" t="n">
        <v>1956</v>
      </c>
      <c r="V9" s="561" t="n">
        <v>1956</v>
      </c>
      <c r="W9" s="561" t="n">
        <v>1956</v>
      </c>
      <c r="X9" s="561" t="n">
        <v>1956</v>
      </c>
      <c r="Y9" s="561" t="n">
        <v>1956</v>
      </c>
      <c r="Z9" s="561" t="n">
        <v>1956</v>
      </c>
      <c r="AA9" s="561" t="n">
        <v>1956</v>
      </c>
      <c r="AB9" s="561" t="n">
        <v>1956</v>
      </c>
      <c r="AC9" s="561" t="n">
        <v>1956</v>
      </c>
      <c r="AD9" s="561" t="n">
        <v>1956</v>
      </c>
      <c r="AE9" s="561" t="n">
        <v>1956</v>
      </c>
      <c r="AF9" s="561" t="n">
        <v>1956</v>
      </c>
      <c r="AG9" s="561" t="n">
        <v>1956</v>
      </c>
      <c r="AH9" s="561" t="n">
        <v>1956</v>
      </c>
      <c r="AI9" s="561" t="n">
        <v>1956</v>
      </c>
      <c r="AJ9" s="7">
        <f>AI9-D9</f>
        <v/>
      </c>
    </row>
    <row r="10" ht="20.15" customHeight="1" s="488">
      <c r="A10" s="500" t="n"/>
      <c r="B10" s="500" t="n"/>
      <c r="C10" s="61" t="inlineStr">
        <is>
          <t>DG</t>
        </is>
      </c>
      <c r="D10" s="45" t="n">
        <v>28</v>
      </c>
      <c r="E10" s="561" t="n">
        <v>28</v>
      </c>
      <c r="F10" s="561" t="n">
        <v>28</v>
      </c>
      <c r="G10" s="561" t="n">
        <v>28</v>
      </c>
      <c r="H10" s="561" t="n">
        <v>28</v>
      </c>
      <c r="I10" s="561" t="n">
        <v>28</v>
      </c>
      <c r="J10" s="561" t="n">
        <v>28</v>
      </c>
      <c r="K10" s="561" t="n">
        <v>28</v>
      </c>
      <c r="L10" s="561" t="n">
        <v>28</v>
      </c>
      <c r="M10" s="561" t="n">
        <v>28</v>
      </c>
      <c r="N10" s="561" t="n">
        <v>28</v>
      </c>
      <c r="O10" s="561" t="n">
        <v>28</v>
      </c>
      <c r="P10" s="561" t="n">
        <v>28</v>
      </c>
      <c r="Q10" s="561" t="n">
        <v>28</v>
      </c>
      <c r="R10" s="561" t="n">
        <v>28</v>
      </c>
      <c r="S10" s="561" t="n">
        <v>28</v>
      </c>
      <c r="T10" s="561" t="n">
        <v>28</v>
      </c>
      <c r="U10" s="561" t="n">
        <v>28</v>
      </c>
      <c r="V10" s="561" t="n">
        <v>28</v>
      </c>
      <c r="W10" s="561" t="n">
        <v>28</v>
      </c>
      <c r="X10" s="561" t="n">
        <v>28</v>
      </c>
      <c r="Y10" s="561" t="n">
        <v>28</v>
      </c>
      <c r="Z10" s="561" t="n">
        <v>28</v>
      </c>
      <c r="AA10" s="561" t="n">
        <v>28</v>
      </c>
      <c r="AB10" s="561" t="n">
        <v>28</v>
      </c>
      <c r="AC10" s="561" t="n">
        <v>28</v>
      </c>
      <c r="AD10" s="561" t="n">
        <v>28</v>
      </c>
      <c r="AE10" s="561" t="n">
        <v>28</v>
      </c>
      <c r="AF10" s="561" t="n">
        <v>28</v>
      </c>
      <c r="AG10" s="561" t="n">
        <v>28</v>
      </c>
      <c r="AH10" s="561" t="n">
        <v>28</v>
      </c>
      <c r="AI10" s="561" t="n">
        <v>28</v>
      </c>
      <c r="AJ10" s="7">
        <f>AI10-D10</f>
        <v/>
      </c>
    </row>
    <row r="11" ht="20.15" customHeight="1" s="488">
      <c r="A11" s="500" t="n">
        <v>3</v>
      </c>
      <c r="B11" s="500" t="inlineStr">
        <is>
          <t>3F</t>
        </is>
      </c>
      <c r="C11" s="500" t="inlineStr">
        <is>
          <t>SL No 540430038844 (EB Unit)</t>
        </is>
      </c>
      <c r="D11" s="7" t="n">
        <v>36049</v>
      </c>
      <c r="E11" s="561" t="n">
        <v>36569</v>
      </c>
      <c r="F11" s="561" t="n">
        <v>36928</v>
      </c>
      <c r="G11" s="561" t="n">
        <v>37268</v>
      </c>
      <c r="H11" s="561" t="n">
        <v>37536</v>
      </c>
      <c r="I11" s="561" t="n">
        <v>37819</v>
      </c>
      <c r="J11" s="561" t="n">
        <v>38104</v>
      </c>
      <c r="K11" s="561" t="n">
        <v>38443</v>
      </c>
      <c r="L11" s="561" t="n">
        <v>38717</v>
      </c>
      <c r="M11" s="561" t="n">
        <v>39054</v>
      </c>
      <c r="N11" s="561" t="n">
        <v>39326</v>
      </c>
      <c r="O11" s="561" t="n">
        <v>39382</v>
      </c>
      <c r="P11" s="561" t="n">
        <v>39877</v>
      </c>
      <c r="Q11" s="561" t="n">
        <v>40110</v>
      </c>
      <c r="R11" s="561" t="n">
        <v>40457</v>
      </c>
      <c r="S11" s="561" t="n">
        <v>40827</v>
      </c>
      <c r="T11" s="561" t="n">
        <v>41189</v>
      </c>
      <c r="U11" s="561" t="n">
        <v>41374</v>
      </c>
      <c r="V11" s="561" t="n">
        <v>41653</v>
      </c>
      <c r="W11" s="561" t="n">
        <v>41899</v>
      </c>
      <c r="X11" s="561" t="n">
        <v>42140</v>
      </c>
      <c r="Y11" s="561" t="n">
        <v>42499</v>
      </c>
      <c r="Z11" s="561" t="n">
        <v>42821</v>
      </c>
      <c r="AA11" s="561" t="n">
        <v>43077</v>
      </c>
      <c r="AB11" s="561" t="n">
        <v>43396</v>
      </c>
      <c r="AC11" s="561" t="n">
        <v>43656</v>
      </c>
      <c r="AD11" s="561" t="n">
        <v>43897</v>
      </c>
      <c r="AE11" s="8" t="n">
        <v>44220</v>
      </c>
      <c r="AF11" s="8" t="n">
        <v>44524</v>
      </c>
      <c r="AG11" s="8" t="n">
        <v>44805</v>
      </c>
      <c r="AH11" s="8" t="n">
        <v>45128</v>
      </c>
      <c r="AI11" s="44" t="n">
        <v>45249</v>
      </c>
      <c r="AJ11" s="7">
        <f>AI11-D11</f>
        <v/>
      </c>
    </row>
    <row r="12" ht="20.15" customHeight="1" s="488">
      <c r="A12" s="500" t="n"/>
      <c r="B12" s="500" t="n"/>
      <c r="C12" s="61" t="inlineStr">
        <is>
          <t>DG</t>
        </is>
      </c>
      <c r="D12" s="7" t="n">
        <v>588</v>
      </c>
      <c r="E12" s="561" t="n">
        <v>588</v>
      </c>
      <c r="F12" s="561" t="n">
        <v>588</v>
      </c>
      <c r="G12" s="561" t="n">
        <v>588</v>
      </c>
      <c r="H12" s="561" t="n">
        <v>588</v>
      </c>
      <c r="I12" s="561" t="n">
        <v>588</v>
      </c>
      <c r="J12" s="561" t="n">
        <v>651</v>
      </c>
      <c r="K12" s="561" t="n">
        <v>671</v>
      </c>
      <c r="L12" s="561" t="n">
        <v>781</v>
      </c>
      <c r="M12" s="561" t="n">
        <v>781</v>
      </c>
      <c r="N12" s="561" t="n">
        <v>856</v>
      </c>
      <c r="O12" s="561" t="n">
        <v>873</v>
      </c>
      <c r="P12" s="561" t="n">
        <v>873</v>
      </c>
      <c r="Q12" s="561" t="n">
        <v>997</v>
      </c>
      <c r="R12" s="561" t="n">
        <v>1017</v>
      </c>
      <c r="S12" s="561" t="n">
        <v>1017</v>
      </c>
      <c r="T12" s="561" t="n">
        <v>1017</v>
      </c>
      <c r="U12" s="561" t="n">
        <v>1158</v>
      </c>
      <c r="V12" s="561" t="n">
        <v>1158</v>
      </c>
      <c r="W12" s="561" t="n">
        <v>1182</v>
      </c>
      <c r="X12" s="561" t="n">
        <v>1286</v>
      </c>
      <c r="Y12" s="561" t="n">
        <v>1286</v>
      </c>
      <c r="Z12" s="561" t="n">
        <v>1286</v>
      </c>
      <c r="AA12" s="561" t="n">
        <v>1885</v>
      </c>
      <c r="AB12" s="561" t="n">
        <v>1409</v>
      </c>
      <c r="AC12" s="561" t="n">
        <v>1411</v>
      </c>
      <c r="AD12" s="561" t="n">
        <v>1420</v>
      </c>
      <c r="AE12" s="8" t="n">
        <v>1461</v>
      </c>
      <c r="AF12" s="8" t="n">
        <v>1523</v>
      </c>
      <c r="AG12" s="8" t="n">
        <v>1588</v>
      </c>
      <c r="AH12" s="8" t="n">
        <v>1627</v>
      </c>
      <c r="AI12" s="44" t="n">
        <v>1649</v>
      </c>
      <c r="AJ12" s="7">
        <f>AI12-D12</f>
        <v/>
      </c>
    </row>
    <row r="13" ht="20.15" customHeight="1" s="488">
      <c r="A13" s="500" t="n">
        <v>4</v>
      </c>
      <c r="B13" s="500" t="inlineStr">
        <is>
          <t>3F</t>
        </is>
      </c>
      <c r="C13" s="500" t="inlineStr">
        <is>
          <t>SL No 540430038821 (EB Unit)</t>
        </is>
      </c>
      <c r="D13" s="565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61" t="n">
        <v>0</v>
      </c>
      <c r="AJ13" s="7">
        <f>AI13-D13</f>
        <v/>
      </c>
    </row>
    <row r="14" ht="20.15" customHeight="1" s="488">
      <c r="A14" s="500" t="n"/>
      <c r="B14" s="500" t="n"/>
      <c r="C14" s="61" t="inlineStr">
        <is>
          <t>DG</t>
        </is>
      </c>
      <c r="D14" s="45" t="n">
        <v>0</v>
      </c>
      <c r="E14" s="561" t="n">
        <v>0</v>
      </c>
      <c r="F14" s="561" t="n">
        <v>0</v>
      </c>
      <c r="G14" s="561" t="n">
        <v>0</v>
      </c>
      <c r="H14" s="561" t="n">
        <v>0</v>
      </c>
      <c r="I14" s="561" t="n">
        <v>0</v>
      </c>
      <c r="J14" s="561" t="n">
        <v>0</v>
      </c>
      <c r="K14" s="561" t="n">
        <v>0</v>
      </c>
      <c r="L14" s="561" t="n">
        <v>0</v>
      </c>
      <c r="M14" s="561" t="n">
        <v>0</v>
      </c>
      <c r="N14" s="561" t="n">
        <v>0</v>
      </c>
      <c r="O14" s="561" t="n">
        <v>0</v>
      </c>
      <c r="P14" s="561" t="n">
        <v>0</v>
      </c>
      <c r="Q14" s="561" t="n">
        <v>0</v>
      </c>
      <c r="R14" s="561" t="n">
        <v>0</v>
      </c>
      <c r="S14" s="561" t="n">
        <v>0</v>
      </c>
      <c r="T14" s="561" t="n">
        <v>0</v>
      </c>
      <c r="U14" s="561" t="n">
        <v>0</v>
      </c>
      <c r="V14" s="561" t="n">
        <v>0</v>
      </c>
      <c r="W14" s="561" t="n">
        <v>0</v>
      </c>
      <c r="X14" s="561" t="n">
        <v>0</v>
      </c>
      <c r="Y14" s="561" t="n">
        <v>0</v>
      </c>
      <c r="Z14" s="561" t="n">
        <v>0</v>
      </c>
      <c r="AA14" s="561" t="n">
        <v>0</v>
      </c>
      <c r="AB14" s="561" t="n">
        <v>0</v>
      </c>
      <c r="AC14" s="561" t="n">
        <v>0</v>
      </c>
      <c r="AD14" s="561" t="n">
        <v>0</v>
      </c>
      <c r="AE14" s="561" t="n">
        <v>0</v>
      </c>
      <c r="AF14" s="561" t="n">
        <v>0</v>
      </c>
      <c r="AG14" s="561" t="n">
        <v>0</v>
      </c>
      <c r="AH14" s="561" t="n">
        <v>0</v>
      </c>
      <c r="AI14" s="561" t="n">
        <v>0</v>
      </c>
      <c r="AJ14" s="7">
        <f>AI14-D14</f>
        <v/>
      </c>
    </row>
    <row r="15" ht="20.15" customHeight="1" s="488">
      <c r="A15" s="500" t="n">
        <v>5</v>
      </c>
      <c r="B15" s="500" t="inlineStr">
        <is>
          <t>3F</t>
        </is>
      </c>
      <c r="C15" s="500" t="inlineStr">
        <is>
          <t>SL No 540430038849 (EB Unit)</t>
        </is>
      </c>
      <c r="D15" s="7" t="n">
        <v>11588</v>
      </c>
      <c r="E15" s="561" t="n">
        <v>11830</v>
      </c>
      <c r="F15" s="561" t="n">
        <v>11992</v>
      </c>
      <c r="G15" s="5" t="n">
        <v>12152</v>
      </c>
      <c r="H15" s="5" t="n">
        <v>12247</v>
      </c>
      <c r="I15" s="561" t="n">
        <v>12341</v>
      </c>
      <c r="J15" s="561" t="n">
        <v>12478</v>
      </c>
      <c r="K15" s="561" t="n">
        <v>12640</v>
      </c>
      <c r="L15" s="561" t="n">
        <v>12758</v>
      </c>
      <c r="M15" s="561" t="n">
        <v>12919</v>
      </c>
      <c r="N15" s="561" t="n">
        <v>13043</v>
      </c>
      <c r="O15" s="561" t="n">
        <v>13141</v>
      </c>
      <c r="P15" s="561" t="n">
        <v>13253</v>
      </c>
      <c r="Q15" s="561" t="n">
        <v>13364</v>
      </c>
      <c r="R15" s="561" t="n">
        <v>13533</v>
      </c>
      <c r="S15" s="561" t="n">
        <v>13708</v>
      </c>
      <c r="T15" s="561" t="n">
        <v>13887</v>
      </c>
      <c r="U15" s="561" t="n">
        <v>13969</v>
      </c>
      <c r="V15" s="561" t="n">
        <v>14074</v>
      </c>
      <c r="W15" s="561" t="n">
        <v>14183</v>
      </c>
      <c r="X15" s="561" t="n">
        <v>14304</v>
      </c>
      <c r="Y15" s="33" t="n">
        <v>14491</v>
      </c>
      <c r="Z15" s="561" t="n">
        <v>14655</v>
      </c>
      <c r="AA15" s="561" t="n">
        <v>14790</v>
      </c>
      <c r="AB15" s="561" t="n">
        <v>14957</v>
      </c>
      <c r="AC15" s="561" t="n">
        <v>15079</v>
      </c>
      <c r="AD15" s="561" t="n">
        <v>15195</v>
      </c>
      <c r="AE15" s="8" t="n">
        <v>15366</v>
      </c>
      <c r="AF15" s="8" t="n">
        <v>15528</v>
      </c>
      <c r="AG15" s="8" t="n">
        <v>15675</v>
      </c>
      <c r="AH15" s="8" t="n">
        <v>15845</v>
      </c>
      <c r="AI15" s="44" t="n">
        <v>15905</v>
      </c>
      <c r="AJ15" s="7">
        <f>AI15-D15</f>
        <v/>
      </c>
    </row>
    <row r="16" ht="20.15" customHeight="1" s="488">
      <c r="A16" s="500" t="n"/>
      <c r="B16" s="500" t="n"/>
      <c r="C16" s="61" t="inlineStr">
        <is>
          <t>DG</t>
        </is>
      </c>
      <c r="D16" s="7" t="n">
        <v>196</v>
      </c>
      <c r="E16" s="561" t="n">
        <v>196</v>
      </c>
      <c r="F16" s="561" t="n">
        <v>196</v>
      </c>
      <c r="G16" s="561" t="n">
        <v>196</v>
      </c>
      <c r="H16" s="561" t="n">
        <v>196</v>
      </c>
      <c r="I16" s="561" t="n">
        <v>196</v>
      </c>
      <c r="J16" s="561" t="n">
        <v>225</v>
      </c>
      <c r="K16" s="561" t="n">
        <v>237</v>
      </c>
      <c r="L16" s="561" t="n">
        <v>291</v>
      </c>
      <c r="M16" s="561" t="n">
        <v>291</v>
      </c>
      <c r="N16" s="561" t="n">
        <v>326</v>
      </c>
      <c r="O16" s="561" t="n">
        <v>332</v>
      </c>
      <c r="P16" s="561" t="n">
        <v>332</v>
      </c>
      <c r="Q16" s="561" t="n">
        <v>395</v>
      </c>
      <c r="R16" s="561" t="n">
        <v>404</v>
      </c>
      <c r="S16" s="561" t="n">
        <v>404</v>
      </c>
      <c r="T16" s="561" t="n">
        <v>404</v>
      </c>
      <c r="U16" s="561" t="n">
        <v>482</v>
      </c>
      <c r="V16" s="561" t="n">
        <v>482</v>
      </c>
      <c r="W16" s="561" t="n">
        <v>492</v>
      </c>
      <c r="X16" s="561" t="n">
        <v>543</v>
      </c>
      <c r="Y16" s="33" t="n">
        <v>543</v>
      </c>
      <c r="Z16" s="561" t="n">
        <v>543</v>
      </c>
      <c r="AA16" s="561" t="n">
        <v>600</v>
      </c>
      <c r="AB16" s="561" t="n">
        <v>613</v>
      </c>
      <c r="AC16" s="561" t="n">
        <v>614</v>
      </c>
      <c r="AD16" s="561" t="n">
        <v>619</v>
      </c>
      <c r="AE16" s="8" t="n">
        <v>641</v>
      </c>
      <c r="AF16" s="8" t="n">
        <v>674</v>
      </c>
      <c r="AG16" s="8" t="n">
        <v>713</v>
      </c>
      <c r="AH16" s="8" t="n">
        <v>734</v>
      </c>
      <c r="AI16" s="44" t="n">
        <v>746</v>
      </c>
      <c r="AJ16" s="7">
        <f>AI16-D16</f>
        <v/>
      </c>
    </row>
    <row r="17" ht="20.15" customHeight="1" s="488">
      <c r="A17" s="500" t="n">
        <v>6</v>
      </c>
      <c r="B17" s="500" t="inlineStr">
        <is>
          <t>3F</t>
        </is>
      </c>
      <c r="C17" s="500" t="inlineStr">
        <is>
          <t>SL No 540430038696 (EB Unit)</t>
        </is>
      </c>
      <c r="D17" s="7" t="n">
        <v>19531</v>
      </c>
      <c r="E17" s="561" t="n">
        <v>19954</v>
      </c>
      <c r="F17" s="561" t="n">
        <v>20225</v>
      </c>
      <c r="G17" s="561" t="n">
        <v>20489</v>
      </c>
      <c r="H17" s="561" t="n">
        <v>20660</v>
      </c>
      <c r="I17" s="561" t="n">
        <v>20844</v>
      </c>
      <c r="J17" s="561" t="n">
        <v>21069</v>
      </c>
      <c r="K17" s="561" t="n">
        <v>21335</v>
      </c>
      <c r="L17" s="561" t="n">
        <v>21521</v>
      </c>
      <c r="M17" s="561" t="n">
        <v>21728</v>
      </c>
      <c r="N17" s="561" t="n">
        <v>21896</v>
      </c>
      <c r="O17" s="561" t="n">
        <v>22015</v>
      </c>
      <c r="P17" s="561" t="n">
        <v>22167</v>
      </c>
      <c r="Q17" s="561" t="n">
        <v>22338</v>
      </c>
      <c r="R17" s="561" t="n">
        <v>22615</v>
      </c>
      <c r="S17" s="561" t="n">
        <v>22899</v>
      </c>
      <c r="T17" s="561" t="n">
        <v>23186</v>
      </c>
      <c r="U17" s="561" t="n">
        <v>23327</v>
      </c>
      <c r="V17" s="561" t="n">
        <v>23527</v>
      </c>
      <c r="W17" s="561" t="n">
        <v>23699</v>
      </c>
      <c r="X17" s="561" t="n">
        <v>23908</v>
      </c>
      <c r="Y17" s="561" t="n">
        <v>24186</v>
      </c>
      <c r="Z17" s="561" t="n">
        <v>24418</v>
      </c>
      <c r="AA17" s="561" t="n">
        <v>24591</v>
      </c>
      <c r="AB17" s="561" t="n">
        <v>24803</v>
      </c>
      <c r="AC17" s="561" t="n">
        <v>24944</v>
      </c>
      <c r="AD17" s="561" t="n">
        <v>25085</v>
      </c>
      <c r="AE17" s="561" t="n">
        <v>25335</v>
      </c>
      <c r="AF17" s="8" t="n">
        <v>25563</v>
      </c>
      <c r="AG17" s="561" t="n">
        <v>25780</v>
      </c>
      <c r="AH17" s="8" t="n">
        <v>26023</v>
      </c>
      <c r="AI17" s="44" t="n">
        <v>26115</v>
      </c>
      <c r="AJ17" s="7">
        <f>AI17-D17</f>
        <v/>
      </c>
    </row>
    <row r="18" ht="20.15" customHeight="1" s="488">
      <c r="A18" s="500" t="n"/>
      <c r="B18" s="500" t="n"/>
      <c r="C18" s="61" t="inlineStr">
        <is>
          <t>DG</t>
        </is>
      </c>
      <c r="D18" s="7" t="n">
        <v>353</v>
      </c>
      <c r="E18" s="561" t="n">
        <v>353</v>
      </c>
      <c r="F18" s="561" t="n">
        <v>353</v>
      </c>
      <c r="G18" s="561" t="n">
        <v>353</v>
      </c>
      <c r="H18" s="561" t="n">
        <v>353</v>
      </c>
      <c r="I18" s="561" t="n">
        <v>353</v>
      </c>
      <c r="J18" s="561" t="n">
        <v>402</v>
      </c>
      <c r="K18" s="561" t="n">
        <v>417</v>
      </c>
      <c r="L18" s="561" t="n">
        <v>492</v>
      </c>
      <c r="M18" s="561" t="n">
        <v>492</v>
      </c>
      <c r="N18" s="561" t="n">
        <v>559</v>
      </c>
      <c r="O18" s="561" t="n">
        <v>564</v>
      </c>
      <c r="P18" s="561" t="n">
        <v>564</v>
      </c>
      <c r="Q18" s="561" t="n">
        <v>659</v>
      </c>
      <c r="R18" s="561" t="n">
        <v>673</v>
      </c>
      <c r="S18" s="561" t="n">
        <v>673</v>
      </c>
      <c r="T18" s="561" t="n">
        <v>673</v>
      </c>
      <c r="U18" s="561" t="n">
        <v>807</v>
      </c>
      <c r="V18" s="561" t="n">
        <v>807</v>
      </c>
      <c r="W18" s="561" t="n">
        <v>825</v>
      </c>
      <c r="X18" s="561" t="n">
        <v>916</v>
      </c>
      <c r="Y18" s="561" t="n">
        <v>916</v>
      </c>
      <c r="Z18" s="561" t="n">
        <v>916</v>
      </c>
      <c r="AA18" s="561" t="n">
        <v>891</v>
      </c>
      <c r="AB18" s="33" t="n">
        <v>1011</v>
      </c>
      <c r="AC18" s="561" t="n">
        <v>1011</v>
      </c>
      <c r="AD18" s="561" t="n">
        <v>1016</v>
      </c>
      <c r="AE18" s="8" t="n">
        <v>1045</v>
      </c>
      <c r="AF18" s="8" t="n">
        <v>1085</v>
      </c>
      <c r="AG18" s="8" t="n">
        <v>1150</v>
      </c>
      <c r="AH18" s="8" t="n">
        <v>1185</v>
      </c>
      <c r="AI18" s="44" t="n">
        <v>1209</v>
      </c>
      <c r="AJ18" s="7">
        <f>AI18-D18</f>
        <v/>
      </c>
    </row>
    <row r="19" ht="20.15" customHeight="1" s="488">
      <c r="A19" s="500" t="n">
        <v>7</v>
      </c>
      <c r="B19" s="500" t="inlineStr">
        <is>
          <t>3F</t>
        </is>
      </c>
      <c r="C19" s="500" t="inlineStr">
        <is>
          <t>SL No 540430038843 (EB Unit)</t>
        </is>
      </c>
      <c r="D19" s="7" t="n">
        <v>75336</v>
      </c>
      <c r="E19" s="561" t="n">
        <v>76453</v>
      </c>
      <c r="F19" s="561" t="n">
        <v>77223</v>
      </c>
      <c r="G19" s="5" t="n">
        <v>77941</v>
      </c>
      <c r="H19" s="5" t="n">
        <v>78535</v>
      </c>
      <c r="I19" s="561" t="n">
        <v>79195</v>
      </c>
      <c r="J19" s="561" t="n">
        <v>79781</v>
      </c>
      <c r="K19" s="561" t="n">
        <v>80472</v>
      </c>
      <c r="L19" s="561" t="n">
        <v>81019</v>
      </c>
      <c r="M19" s="561" t="n">
        <v>81713</v>
      </c>
      <c r="N19" s="561" t="n">
        <v>82317</v>
      </c>
      <c r="O19" s="561" t="n">
        <v>82909</v>
      </c>
      <c r="P19" s="561" t="n">
        <v>83577</v>
      </c>
      <c r="Q19" s="561" t="n">
        <v>84046</v>
      </c>
      <c r="R19" s="5" t="n">
        <v>84747</v>
      </c>
      <c r="S19" s="561" t="n">
        <v>85477</v>
      </c>
      <c r="T19" s="561" t="n">
        <v>86207</v>
      </c>
      <c r="U19" s="561" t="n">
        <v>86599</v>
      </c>
      <c r="V19" s="561" t="n">
        <v>87217</v>
      </c>
      <c r="W19" s="5" t="n">
        <v>87733</v>
      </c>
      <c r="X19" s="561" t="n">
        <v>88230</v>
      </c>
      <c r="Y19" s="561" t="n">
        <v>88988</v>
      </c>
      <c r="Z19" s="561" t="n">
        <v>89665</v>
      </c>
      <c r="AA19" s="561" t="n">
        <v>90201</v>
      </c>
      <c r="AB19" s="33" t="n">
        <v>90898</v>
      </c>
      <c r="AC19" s="561" t="n">
        <v>91441</v>
      </c>
      <c r="AD19" s="561" t="n">
        <v>91754</v>
      </c>
      <c r="AE19" s="8" t="n">
        <v>92396</v>
      </c>
      <c r="AF19" s="8" t="n">
        <v>93063</v>
      </c>
      <c r="AG19" s="8" t="n">
        <v>93673</v>
      </c>
      <c r="AH19" s="8" t="n">
        <v>94361</v>
      </c>
      <c r="AI19" s="44" t="n">
        <v>94630</v>
      </c>
      <c r="AJ19" s="7">
        <f>AI19-D19</f>
        <v/>
      </c>
    </row>
    <row r="20" ht="20.15" customHeight="1" s="488">
      <c r="A20" s="500" t="n"/>
      <c r="B20" s="500" t="n"/>
      <c r="C20" s="61" t="inlineStr">
        <is>
          <t>DG</t>
        </is>
      </c>
      <c r="D20" s="7" t="n">
        <v>1226</v>
      </c>
      <c r="E20" s="561" t="n">
        <v>1226</v>
      </c>
      <c r="F20" s="561" t="n">
        <v>1226</v>
      </c>
      <c r="G20" s="561" t="n">
        <v>1226</v>
      </c>
      <c r="H20" s="561" t="n">
        <v>1226</v>
      </c>
      <c r="I20" s="561" t="n">
        <v>1226</v>
      </c>
      <c r="J20" s="561" t="n">
        <v>1350</v>
      </c>
      <c r="K20" s="561" t="n">
        <v>1366</v>
      </c>
      <c r="L20" s="561" t="n">
        <v>1590</v>
      </c>
      <c r="M20" s="561" t="n">
        <v>1590</v>
      </c>
      <c r="N20" s="561" t="n">
        <v>1741</v>
      </c>
      <c r="O20" s="561" t="n">
        <v>1778</v>
      </c>
      <c r="P20" s="561" t="n">
        <v>1778</v>
      </c>
      <c r="Q20" s="561" t="n">
        <v>2018</v>
      </c>
      <c r="R20" s="5" t="n">
        <v>2048</v>
      </c>
      <c r="S20" s="561" t="n">
        <v>2048</v>
      </c>
      <c r="T20" s="561" t="n">
        <v>2048</v>
      </c>
      <c r="U20" s="561" t="n">
        <v>2340</v>
      </c>
      <c r="V20" s="561" t="n">
        <v>2340</v>
      </c>
      <c r="W20" s="5" t="n">
        <v>2390</v>
      </c>
      <c r="X20" s="561" t="n">
        <v>2581</v>
      </c>
      <c r="Y20" s="561" t="n">
        <v>2581</v>
      </c>
      <c r="Z20" s="561" t="n">
        <v>2581</v>
      </c>
      <c r="AA20" s="561" t="n">
        <v>2792</v>
      </c>
      <c r="AB20" s="33" t="n">
        <v>2844</v>
      </c>
      <c r="AC20" s="561" t="n">
        <v>2848</v>
      </c>
      <c r="AD20" s="561" t="n">
        <v>2859</v>
      </c>
      <c r="AE20" s="8" t="n">
        <v>2934</v>
      </c>
      <c r="AF20" s="8" t="n">
        <v>3042</v>
      </c>
      <c r="AG20" s="8" t="n">
        <v>3170</v>
      </c>
      <c r="AH20" s="8" t="n">
        <v>3251</v>
      </c>
      <c r="AI20" s="44" t="n">
        <v>3299</v>
      </c>
      <c r="AJ20" s="7">
        <f>AI20-D20</f>
        <v/>
      </c>
    </row>
    <row r="21" ht="20.15" customHeight="1" s="488">
      <c r="A21" s="500" t="n">
        <v>8</v>
      </c>
      <c r="B21" s="500" t="inlineStr">
        <is>
          <t>3F</t>
        </is>
      </c>
      <c r="C21" s="500" t="inlineStr">
        <is>
          <t>SL No 540430038848 (EB Unit)</t>
        </is>
      </c>
      <c r="D21" s="7" t="n">
        <v>17963</v>
      </c>
      <c r="E21" s="561" t="n">
        <v>18048</v>
      </c>
      <c r="F21" s="561" t="n">
        <v>18105</v>
      </c>
      <c r="G21" s="5" t="n">
        <v>18160</v>
      </c>
      <c r="H21" s="5" t="n">
        <v>18203</v>
      </c>
      <c r="I21" s="561" t="n">
        <v>18257</v>
      </c>
      <c r="J21" s="561" t="n">
        <v>18308</v>
      </c>
      <c r="K21" s="561" t="n">
        <v>18364</v>
      </c>
      <c r="L21" s="561" t="n">
        <v>18415</v>
      </c>
      <c r="M21" s="561" t="n">
        <v>18521</v>
      </c>
      <c r="N21" s="561" t="n">
        <v>18600</v>
      </c>
      <c r="O21" s="561" t="n">
        <v>18702</v>
      </c>
      <c r="P21" s="561" t="n">
        <v>18797</v>
      </c>
      <c r="Q21" s="561" t="n">
        <v>18874</v>
      </c>
      <c r="R21" s="561" t="n">
        <v>18939</v>
      </c>
      <c r="S21" s="561" t="n">
        <v>19005</v>
      </c>
      <c r="T21" s="561" t="n">
        <v>19076</v>
      </c>
      <c r="U21" s="561" t="n">
        <v>19116</v>
      </c>
      <c r="V21" s="561" t="n">
        <v>19201</v>
      </c>
      <c r="W21" s="561" t="n">
        <v>19292</v>
      </c>
      <c r="X21" s="561" t="n">
        <v>19366</v>
      </c>
      <c r="Y21" s="561" t="n">
        <v>19515</v>
      </c>
      <c r="Z21" s="561" t="n">
        <v>19662</v>
      </c>
      <c r="AA21" s="561" t="n">
        <v>19754</v>
      </c>
      <c r="AB21" s="561" t="n">
        <v>19907</v>
      </c>
      <c r="AC21" s="561" t="n">
        <v>20039</v>
      </c>
      <c r="AD21" s="561" t="n">
        <v>20174</v>
      </c>
      <c r="AE21" s="8" t="n">
        <v>20315</v>
      </c>
      <c r="AF21" s="8" t="n">
        <v>20466</v>
      </c>
      <c r="AG21" s="8" t="n">
        <v>20554</v>
      </c>
      <c r="AH21" s="8" t="n">
        <v>20659</v>
      </c>
      <c r="AI21" s="44" t="n">
        <v>20693</v>
      </c>
      <c r="AJ21" s="7">
        <f>AI21-D21</f>
        <v/>
      </c>
    </row>
    <row r="22" ht="20.15" customHeight="1" s="488">
      <c r="A22" s="500" t="n"/>
      <c r="B22" s="500" t="n"/>
      <c r="C22" s="61" t="inlineStr">
        <is>
          <t>DG</t>
        </is>
      </c>
      <c r="D22" s="45" t="n">
        <v>269</v>
      </c>
      <c r="E22" s="33" t="n">
        <v>269</v>
      </c>
      <c r="F22" s="33" t="n">
        <v>269</v>
      </c>
      <c r="G22" s="33" t="n">
        <v>269</v>
      </c>
      <c r="H22" s="33" t="n">
        <v>269</v>
      </c>
      <c r="I22" s="33" t="n">
        <v>269</v>
      </c>
      <c r="J22" s="561" t="n">
        <v>277</v>
      </c>
      <c r="K22" s="561" t="n">
        <v>282</v>
      </c>
      <c r="L22" s="561" t="n">
        <v>306</v>
      </c>
      <c r="M22" s="561" t="n">
        <v>306</v>
      </c>
      <c r="N22" s="561" t="n">
        <v>321</v>
      </c>
      <c r="O22" s="561" t="n">
        <v>330</v>
      </c>
      <c r="P22" s="561" t="n">
        <v>330</v>
      </c>
      <c r="Q22" s="561" t="n">
        <v>361</v>
      </c>
      <c r="R22" s="5" t="n">
        <v>364</v>
      </c>
      <c r="S22" s="561" t="n">
        <v>364</v>
      </c>
      <c r="T22" s="561" t="n">
        <v>364</v>
      </c>
      <c r="U22" s="561" t="n">
        <v>405</v>
      </c>
      <c r="V22" s="561" t="n">
        <v>405</v>
      </c>
      <c r="W22" s="5" t="n">
        <v>414</v>
      </c>
      <c r="X22" s="561" t="n">
        <v>440</v>
      </c>
      <c r="Y22" s="561" t="n">
        <v>440</v>
      </c>
      <c r="Z22" s="561" t="n">
        <v>440</v>
      </c>
      <c r="AA22" s="561" t="n">
        <v>431</v>
      </c>
      <c r="AB22" s="33" t="n">
        <v>498</v>
      </c>
      <c r="AC22" s="561" t="n">
        <v>498</v>
      </c>
      <c r="AD22" s="561" t="n">
        <v>504</v>
      </c>
      <c r="AE22" s="8" t="n">
        <v>526</v>
      </c>
      <c r="AF22" s="8" t="n">
        <v>551</v>
      </c>
      <c r="AG22" s="8" t="n">
        <v>572</v>
      </c>
      <c r="AH22" s="8" t="n">
        <v>580</v>
      </c>
      <c r="AI22" s="8" t="n">
        <v>585</v>
      </c>
      <c r="AJ22" s="7">
        <f>AI22-D22</f>
        <v/>
      </c>
    </row>
    <row r="23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20" t="n"/>
      <c r="AJ23" s="501" t="n"/>
    </row>
    <row r="24">
      <c r="A24" s="500" t="n">
        <v>1</v>
      </c>
      <c r="B24" s="500" t="inlineStr">
        <is>
          <t>3F</t>
        </is>
      </c>
      <c r="C24" s="500" t="inlineStr">
        <is>
          <t>AHU1</t>
        </is>
      </c>
      <c r="D24" s="7" t="n">
        <v>7266</v>
      </c>
      <c r="E24" s="561" t="n">
        <v>7368</v>
      </c>
      <c r="F24" s="561" t="n">
        <v>7437</v>
      </c>
      <c r="G24" s="561" t="n">
        <v>7504</v>
      </c>
      <c r="H24" s="561" t="n">
        <v>7531</v>
      </c>
      <c r="I24" s="561" t="n">
        <v>7531</v>
      </c>
      <c r="J24" s="561" t="n">
        <v>7585</v>
      </c>
      <c r="K24" s="561" t="n">
        <v>7648</v>
      </c>
      <c r="L24" s="561" t="n">
        <v>7684</v>
      </c>
      <c r="M24" s="561" t="n">
        <v>7753</v>
      </c>
      <c r="N24" s="561" t="n">
        <v>7780</v>
      </c>
      <c r="O24" s="561" t="n">
        <v>7821</v>
      </c>
      <c r="P24" s="561" t="n">
        <v>7821</v>
      </c>
      <c r="Q24" s="561" t="n">
        <v>7867</v>
      </c>
      <c r="R24" s="561" t="n">
        <v>7966</v>
      </c>
      <c r="S24" s="561" t="n">
        <v>8069</v>
      </c>
      <c r="T24" s="561" t="n">
        <v>8164</v>
      </c>
      <c r="U24" s="561" t="n">
        <v>8184</v>
      </c>
      <c r="V24" s="561" t="n">
        <v>8242</v>
      </c>
      <c r="W24" s="561" t="n">
        <v>8242</v>
      </c>
      <c r="X24" s="561" t="n">
        <v>8317</v>
      </c>
      <c r="Y24" s="561" t="n">
        <v>8411</v>
      </c>
      <c r="Z24" s="561" t="n">
        <v>8497</v>
      </c>
      <c r="AA24" s="561" t="n">
        <v>8543</v>
      </c>
      <c r="AB24" s="561" t="n">
        <v>8622</v>
      </c>
      <c r="AC24" s="561" t="n">
        <v>8622</v>
      </c>
      <c r="AD24" s="561" t="n">
        <v>8622</v>
      </c>
      <c r="AE24" s="561" t="n">
        <v>8726</v>
      </c>
      <c r="AF24" s="561" t="n">
        <v>8812</v>
      </c>
      <c r="AG24" s="561" t="n">
        <v>8884</v>
      </c>
      <c r="AH24" s="8" t="n">
        <v>8982</v>
      </c>
      <c r="AI24" s="44" t="n">
        <v>9012</v>
      </c>
      <c r="AJ24" s="7">
        <f>AI24-D24</f>
        <v/>
      </c>
    </row>
    <row r="25" ht="18.5" customHeight="1" s="488">
      <c r="A25" s="500" t="n"/>
      <c r="B25" s="500" t="n"/>
      <c r="C25" s="61" t="inlineStr">
        <is>
          <t>DG</t>
        </is>
      </c>
      <c r="D25" s="7" t="n">
        <v>184</v>
      </c>
      <c r="E25" s="561" t="n">
        <v>184</v>
      </c>
      <c r="F25" s="561" t="n">
        <v>184</v>
      </c>
      <c r="G25" s="561" t="n">
        <v>184</v>
      </c>
      <c r="H25" s="561" t="n">
        <v>184</v>
      </c>
      <c r="I25" s="561" t="n">
        <v>184</v>
      </c>
      <c r="J25" s="561" t="n">
        <v>195</v>
      </c>
      <c r="K25" s="561" t="n">
        <v>200</v>
      </c>
      <c r="L25" s="561" t="n">
        <v>229</v>
      </c>
      <c r="M25" s="561" t="n">
        <v>229</v>
      </c>
      <c r="N25" s="561" t="n">
        <v>247</v>
      </c>
      <c r="O25" s="561" t="n">
        <v>249</v>
      </c>
      <c r="P25" s="561" t="n">
        <v>249</v>
      </c>
      <c r="Q25" s="561" t="n">
        <v>299</v>
      </c>
      <c r="R25" s="561" t="n">
        <v>305</v>
      </c>
      <c r="S25" s="561" t="n">
        <v>305</v>
      </c>
      <c r="T25" s="561" t="n">
        <v>305</v>
      </c>
      <c r="U25" s="561" t="n">
        <v>363</v>
      </c>
      <c r="V25" s="561" t="n">
        <v>363</v>
      </c>
      <c r="W25" s="561" t="n">
        <v>363</v>
      </c>
      <c r="X25" s="561" t="n">
        <v>398</v>
      </c>
      <c r="Y25" s="561" t="n">
        <v>398</v>
      </c>
      <c r="Z25" s="561" t="n">
        <v>398</v>
      </c>
      <c r="AA25" s="561" t="n">
        <v>443</v>
      </c>
      <c r="AB25" s="561" t="n">
        <v>454</v>
      </c>
      <c r="AC25" s="561" t="n">
        <v>454</v>
      </c>
      <c r="AD25" s="561" t="n">
        <v>454</v>
      </c>
      <c r="AE25" s="8" t="n">
        <v>472</v>
      </c>
      <c r="AF25" s="8" t="n">
        <v>496</v>
      </c>
      <c r="AG25" s="8" t="n">
        <v>524</v>
      </c>
      <c r="AH25" s="8" t="n">
        <v>543</v>
      </c>
      <c r="AI25" s="44" t="n">
        <v>555</v>
      </c>
      <c r="AJ25" s="7">
        <f>AI25-D25</f>
        <v/>
      </c>
    </row>
    <row r="26">
      <c r="A26" s="500" t="n">
        <v>2</v>
      </c>
      <c r="B26" s="500" t="inlineStr">
        <is>
          <t>3F</t>
        </is>
      </c>
      <c r="C26" s="500" t="inlineStr">
        <is>
          <t>AHU2</t>
        </is>
      </c>
      <c r="D26" s="7" t="n">
        <v>6581</v>
      </c>
      <c r="E26" s="561" t="n">
        <v>6675</v>
      </c>
      <c r="F26" s="561" t="n">
        <v>6754</v>
      </c>
      <c r="G26" s="5" t="n">
        <v>6820</v>
      </c>
      <c r="H26" s="5" t="n">
        <v>6845</v>
      </c>
      <c r="I26" s="561" t="n">
        <v>6845</v>
      </c>
      <c r="J26" s="561" t="n">
        <v>6898</v>
      </c>
      <c r="K26" s="561" t="n">
        <v>6961</v>
      </c>
      <c r="L26" s="561" t="n">
        <v>6997</v>
      </c>
      <c r="M26" s="561" t="n">
        <v>7066</v>
      </c>
      <c r="N26" s="561" t="n">
        <v>7100</v>
      </c>
      <c r="O26" s="561" t="n">
        <v>7132</v>
      </c>
      <c r="P26" s="561" t="n">
        <v>7132</v>
      </c>
      <c r="Q26" s="561" t="n">
        <v>7181</v>
      </c>
      <c r="R26" s="561" t="n">
        <v>7273</v>
      </c>
      <c r="S26" s="561" t="n">
        <v>7367</v>
      </c>
      <c r="T26" s="561" t="n">
        <v>7453</v>
      </c>
      <c r="U26" s="561" t="n">
        <v>7486</v>
      </c>
      <c r="V26" s="561" t="n">
        <v>7529</v>
      </c>
      <c r="W26" s="561" t="n">
        <v>7529</v>
      </c>
      <c r="X26" s="561" t="n">
        <v>7608</v>
      </c>
      <c r="Y26" s="561" t="n">
        <v>7693</v>
      </c>
      <c r="Z26" s="561" t="n">
        <v>7778</v>
      </c>
      <c r="AA26" s="561" t="n">
        <v>7824</v>
      </c>
      <c r="AB26" s="561" t="n">
        <v>7900</v>
      </c>
      <c r="AC26" s="561" t="n">
        <v>7900</v>
      </c>
      <c r="AD26" s="561" t="n">
        <v>7900</v>
      </c>
      <c r="AE26" s="8" t="n">
        <v>7999</v>
      </c>
      <c r="AF26" s="8" t="n">
        <v>8089</v>
      </c>
      <c r="AG26" s="8" t="n">
        <v>8165</v>
      </c>
      <c r="AH26" s="8" t="n">
        <v>8263</v>
      </c>
      <c r="AI26" s="44" t="n">
        <v>8291</v>
      </c>
      <c r="AJ26" s="7">
        <f>AI26-D26</f>
        <v/>
      </c>
    </row>
    <row r="27" ht="18.5" customHeight="1" s="488">
      <c r="A27" s="500" t="n"/>
      <c r="B27" s="500" t="n"/>
      <c r="C27" s="61" t="inlineStr">
        <is>
          <t>DG</t>
        </is>
      </c>
      <c r="D27" s="7" t="n">
        <v>194</v>
      </c>
      <c r="E27" s="561" t="n">
        <v>194</v>
      </c>
      <c r="F27" s="561" t="n">
        <v>194</v>
      </c>
      <c r="G27" s="561" t="n">
        <v>194</v>
      </c>
      <c r="H27" s="561" t="n">
        <v>194</v>
      </c>
      <c r="I27" s="561" t="n">
        <v>194</v>
      </c>
      <c r="J27" s="561" t="n">
        <v>206</v>
      </c>
      <c r="K27" s="561" t="n">
        <v>211</v>
      </c>
      <c r="L27" s="561" t="n">
        <v>239</v>
      </c>
      <c r="M27" s="561" t="n">
        <v>239</v>
      </c>
      <c r="N27" s="561" t="n">
        <v>255</v>
      </c>
      <c r="O27" s="561" t="n">
        <v>257</v>
      </c>
      <c r="P27" s="561" t="n">
        <v>257</v>
      </c>
      <c r="Q27" s="561" t="n">
        <v>317</v>
      </c>
      <c r="R27" s="561" t="n">
        <v>321</v>
      </c>
      <c r="S27" s="561" t="n">
        <v>321</v>
      </c>
      <c r="T27" s="561" t="n">
        <v>321</v>
      </c>
      <c r="U27" s="561" t="n">
        <v>369</v>
      </c>
      <c r="V27" s="561" t="n">
        <v>369</v>
      </c>
      <c r="W27" s="561" t="n">
        <v>369</v>
      </c>
      <c r="X27" s="561" t="n">
        <v>402</v>
      </c>
      <c r="Y27" s="561" t="n">
        <v>402</v>
      </c>
      <c r="Z27" s="561" t="n">
        <v>402</v>
      </c>
      <c r="AA27" s="561" t="n">
        <v>437</v>
      </c>
      <c r="AB27" s="561" t="n">
        <v>447</v>
      </c>
      <c r="AC27" s="561" t="n">
        <v>447</v>
      </c>
      <c r="AD27" s="561" t="n">
        <v>447</v>
      </c>
      <c r="AE27" s="8" t="n">
        <v>463</v>
      </c>
      <c r="AF27" s="8" t="n">
        <v>488</v>
      </c>
      <c r="AG27" s="8" t="n">
        <v>517</v>
      </c>
      <c r="AH27" s="8" t="n">
        <v>544</v>
      </c>
      <c r="AI27" s="44" t="n">
        <v>557</v>
      </c>
      <c r="AJ27" s="7">
        <f>AI27-D27</f>
        <v/>
      </c>
    </row>
    <row r="28">
      <c r="A28" s="500" t="n">
        <v>3</v>
      </c>
      <c r="B28" s="500" t="inlineStr">
        <is>
          <t>3F</t>
        </is>
      </c>
      <c r="C28" s="500" t="inlineStr">
        <is>
          <t>AHU3</t>
        </is>
      </c>
      <c r="D28" s="7" t="n">
        <v>4607</v>
      </c>
      <c r="E28" s="561" t="n">
        <v>4713</v>
      </c>
      <c r="F28" s="561" t="n">
        <v>4807</v>
      </c>
      <c r="G28" s="561" t="n">
        <v>4901</v>
      </c>
      <c r="H28" s="561" t="n">
        <v>4938</v>
      </c>
      <c r="I28" s="561" t="n">
        <v>4938</v>
      </c>
      <c r="J28" s="561" t="n">
        <v>5000</v>
      </c>
      <c r="K28" s="561" t="n">
        <v>5060</v>
      </c>
      <c r="L28" s="561" t="n">
        <v>5095</v>
      </c>
      <c r="M28" s="561" t="n">
        <v>5164</v>
      </c>
      <c r="N28" s="561" t="n">
        <v>5187</v>
      </c>
      <c r="O28" s="561" t="n">
        <v>5227</v>
      </c>
      <c r="P28" s="561" t="n">
        <v>5227</v>
      </c>
      <c r="Q28" s="561" t="n">
        <v>5278</v>
      </c>
      <c r="R28" s="561" t="n">
        <v>5379</v>
      </c>
      <c r="S28" s="561" t="n">
        <v>5478</v>
      </c>
      <c r="T28" s="561" t="n">
        <v>5581</v>
      </c>
      <c r="U28" s="561" t="n">
        <v>5603</v>
      </c>
      <c r="V28" s="561" t="n">
        <v>5641</v>
      </c>
      <c r="W28" s="561" t="n">
        <v>5641</v>
      </c>
      <c r="X28" s="561" t="n">
        <v>5705</v>
      </c>
      <c r="Y28" s="561" t="n">
        <v>5805</v>
      </c>
      <c r="Z28" s="561" t="n">
        <v>5909</v>
      </c>
      <c r="AA28" s="561" t="n">
        <v>5951</v>
      </c>
      <c r="AB28" s="561" t="n">
        <v>6040</v>
      </c>
      <c r="AC28" s="561" t="n">
        <v>6040</v>
      </c>
      <c r="AD28" s="561" t="n">
        <v>6040</v>
      </c>
      <c r="AE28" s="561" t="n">
        <v>6139</v>
      </c>
      <c r="AF28" s="561" t="n">
        <v>6226</v>
      </c>
      <c r="AG28" s="561" t="n">
        <v>6301</v>
      </c>
      <c r="AH28" s="561" t="n">
        <v>6403</v>
      </c>
      <c r="AI28" s="44" t="n">
        <v>6422</v>
      </c>
      <c r="AJ28" s="7">
        <f>AI28-D28</f>
        <v/>
      </c>
    </row>
    <row r="29" ht="18.5" customHeight="1" s="488">
      <c r="A29" s="500" t="n"/>
      <c r="B29" s="500" t="n"/>
      <c r="C29" s="61" t="inlineStr">
        <is>
          <t>DG</t>
        </is>
      </c>
      <c r="D29" s="7" t="n">
        <v>140</v>
      </c>
      <c r="E29" s="561" t="n">
        <v>140</v>
      </c>
      <c r="F29" s="561" t="n">
        <v>140</v>
      </c>
      <c r="G29" s="561" t="n">
        <v>140</v>
      </c>
      <c r="H29" s="561" t="n">
        <v>140</v>
      </c>
      <c r="I29" s="561" t="n">
        <v>140</v>
      </c>
      <c r="J29" s="561" t="n">
        <v>152</v>
      </c>
      <c r="K29" s="561" t="n">
        <v>156</v>
      </c>
      <c r="L29" s="561" t="n">
        <v>183</v>
      </c>
      <c r="M29" s="561" t="n">
        <v>183</v>
      </c>
      <c r="N29" s="561" t="n">
        <v>198</v>
      </c>
      <c r="O29" s="561" t="n">
        <v>199</v>
      </c>
      <c r="P29" s="561" t="n">
        <v>199</v>
      </c>
      <c r="Q29" s="561" t="n">
        <v>258</v>
      </c>
      <c r="R29" s="561" t="n">
        <v>264</v>
      </c>
      <c r="S29" s="561" t="n">
        <v>264</v>
      </c>
      <c r="T29" s="561" t="n">
        <v>264</v>
      </c>
      <c r="U29" s="561" t="n">
        <v>324</v>
      </c>
      <c r="V29" s="561" t="n">
        <v>324</v>
      </c>
      <c r="W29" s="561" t="n">
        <v>324</v>
      </c>
      <c r="X29" s="561" t="n">
        <v>356</v>
      </c>
      <c r="Y29" s="561" t="n">
        <v>356</v>
      </c>
      <c r="Z29" s="561" t="n">
        <v>356</v>
      </c>
      <c r="AA29" s="561" t="n">
        <v>395</v>
      </c>
      <c r="AB29" s="561" t="n">
        <v>407</v>
      </c>
      <c r="AC29" s="561" t="n">
        <v>407</v>
      </c>
      <c r="AD29" s="561" t="n">
        <v>407</v>
      </c>
      <c r="AE29" s="561" t="n">
        <v>425</v>
      </c>
      <c r="AF29" s="561" t="n">
        <v>450</v>
      </c>
      <c r="AG29" s="561" t="n">
        <v>481</v>
      </c>
      <c r="AH29" s="8" t="n">
        <v>501</v>
      </c>
      <c r="AI29" s="44" t="n">
        <v>513</v>
      </c>
      <c r="AJ29" s="7">
        <f>AI29-D29</f>
        <v/>
      </c>
    </row>
    <row r="30">
      <c r="A30" s="500" t="n">
        <v>4</v>
      </c>
      <c r="B30" s="500" t="inlineStr">
        <is>
          <t>3F</t>
        </is>
      </c>
      <c r="C30" s="500" t="inlineStr">
        <is>
          <t>AHU4</t>
        </is>
      </c>
      <c r="D30" s="7" t="n">
        <v>4928</v>
      </c>
      <c r="E30" s="561" t="n">
        <v>5053</v>
      </c>
      <c r="F30" s="561" t="n">
        <v>5136</v>
      </c>
      <c r="G30" s="561" t="n">
        <v>5217</v>
      </c>
      <c r="H30" s="561" t="n">
        <v>5248</v>
      </c>
      <c r="I30" s="561" t="n">
        <v>5248</v>
      </c>
      <c r="J30" s="561" t="n">
        <v>5316</v>
      </c>
      <c r="K30" s="561" t="n">
        <v>5388</v>
      </c>
      <c r="L30" s="561" t="n">
        <v>5430</v>
      </c>
      <c r="M30" s="561" t="n">
        <v>5515</v>
      </c>
      <c r="N30" s="561" t="n">
        <v>5553</v>
      </c>
      <c r="O30" s="561" t="n">
        <v>5590</v>
      </c>
      <c r="P30" s="561" t="n">
        <v>5590</v>
      </c>
      <c r="Q30" s="561" t="n">
        <v>5628</v>
      </c>
      <c r="R30" s="561" t="n">
        <v>5683</v>
      </c>
      <c r="S30" s="561" t="n">
        <v>5753</v>
      </c>
      <c r="T30" s="561" t="n">
        <v>5834</v>
      </c>
      <c r="U30" s="561" t="n">
        <v>5863</v>
      </c>
      <c r="V30" s="561" t="n">
        <v>5908</v>
      </c>
      <c r="W30" s="561" t="n">
        <v>5908</v>
      </c>
      <c r="X30" s="561" t="n">
        <v>5968</v>
      </c>
      <c r="Y30" s="561" t="n">
        <v>6050</v>
      </c>
      <c r="Z30" s="561" t="n">
        <v>6134</v>
      </c>
      <c r="AA30" s="561" t="n">
        <v>6176</v>
      </c>
      <c r="AB30" s="561" t="n">
        <v>6234</v>
      </c>
      <c r="AC30" s="561" t="n">
        <v>6234</v>
      </c>
      <c r="AD30" s="561" t="n">
        <v>6235</v>
      </c>
      <c r="AE30" s="561" t="n">
        <v>6315</v>
      </c>
      <c r="AF30" s="561" t="n">
        <v>6389</v>
      </c>
      <c r="AG30" s="561" t="n">
        <v>6445</v>
      </c>
      <c r="AH30" s="8" t="n">
        <v>6525</v>
      </c>
      <c r="AI30" s="44" t="n">
        <v>6551</v>
      </c>
      <c r="AJ30" s="7">
        <f>AI30-D30</f>
        <v/>
      </c>
    </row>
    <row r="31" ht="18.5" customHeight="1" s="488">
      <c r="A31" s="500" t="n"/>
      <c r="B31" s="500" t="n"/>
      <c r="C31" s="507" t="inlineStr">
        <is>
          <t>DG</t>
        </is>
      </c>
      <c r="D31" s="45" t="n">
        <v>127</v>
      </c>
      <c r="E31" s="561" t="n">
        <v>127</v>
      </c>
      <c r="F31" s="561" t="n">
        <v>127</v>
      </c>
      <c r="G31" s="561" t="n">
        <v>127</v>
      </c>
      <c r="H31" s="561" t="n">
        <v>127</v>
      </c>
      <c r="I31" s="561" t="n">
        <v>127</v>
      </c>
      <c r="J31" s="561" t="n">
        <v>140</v>
      </c>
      <c r="K31" s="561" t="n">
        <v>146</v>
      </c>
      <c r="L31" s="561" t="n">
        <v>179</v>
      </c>
      <c r="M31" s="561" t="n">
        <v>179</v>
      </c>
      <c r="N31" s="561" t="n">
        <v>197</v>
      </c>
      <c r="O31" s="561" t="n">
        <v>199</v>
      </c>
      <c r="P31" s="561" t="n">
        <v>199</v>
      </c>
      <c r="Q31" s="561" t="n">
        <v>237</v>
      </c>
      <c r="R31" s="561" t="n">
        <v>240</v>
      </c>
      <c r="S31" s="561" t="n">
        <v>240</v>
      </c>
      <c r="T31" s="561" t="n">
        <v>240</v>
      </c>
      <c r="U31" s="561" t="n">
        <v>290</v>
      </c>
      <c r="V31" s="561" t="n">
        <v>290</v>
      </c>
      <c r="W31" s="561" t="n">
        <v>290</v>
      </c>
      <c r="X31" s="561" t="n">
        <v>320</v>
      </c>
      <c r="Y31" s="561" t="n">
        <v>320</v>
      </c>
      <c r="Z31" s="561" t="n">
        <v>320</v>
      </c>
      <c r="AA31" s="561" t="n">
        <v>358</v>
      </c>
      <c r="AB31" s="561" t="n">
        <v>363</v>
      </c>
      <c r="AC31" s="561" t="n">
        <v>363</v>
      </c>
      <c r="AD31" s="561" t="n">
        <v>363</v>
      </c>
      <c r="AE31" s="561" t="n">
        <v>378</v>
      </c>
      <c r="AF31" s="561" t="n">
        <v>400</v>
      </c>
      <c r="AG31" s="561" t="n">
        <v>424</v>
      </c>
      <c r="AH31" s="8" t="n">
        <v>441</v>
      </c>
      <c r="AI31" s="8" t="n">
        <v>451</v>
      </c>
      <c r="AJ31" s="7">
        <f>AI31-D31</f>
        <v/>
      </c>
    </row>
    <row r="32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20" t="n"/>
      <c r="AJ32" s="501" t="n"/>
    </row>
    <row r="33">
      <c r="A33" s="500" t="n">
        <v>1</v>
      </c>
      <c r="B33" s="500" t="inlineStr">
        <is>
          <t>3F</t>
        </is>
      </c>
      <c r="C33" s="500" t="inlineStr">
        <is>
          <t>AHU1 - BTU</t>
        </is>
      </c>
      <c r="D33" s="12" t="n">
        <v>39808.33</v>
      </c>
      <c r="E33" s="10" t="n">
        <v>40784.95</v>
      </c>
      <c r="F33" s="38" t="n">
        <v>41523.35</v>
      </c>
      <c r="G33" s="10" t="n">
        <v>42144.42</v>
      </c>
      <c r="H33" s="10" t="n">
        <v>42515.66</v>
      </c>
      <c r="I33" s="10" t="n">
        <v>42515.66</v>
      </c>
      <c r="J33" s="10" t="n">
        <v>43641.97</v>
      </c>
      <c r="K33" s="10" t="n">
        <v>44516.37</v>
      </c>
      <c r="L33" s="10" t="n">
        <v>45377.14</v>
      </c>
      <c r="M33" s="10" t="n">
        <v>46379.68</v>
      </c>
      <c r="N33" s="10" t="n">
        <v>47271.64</v>
      </c>
      <c r="O33" s="10" t="n">
        <v>47689.75</v>
      </c>
      <c r="P33" s="10" t="n">
        <v>47689.75</v>
      </c>
      <c r="Q33" s="10" t="n">
        <v>48882.43</v>
      </c>
      <c r="R33" s="11" t="n">
        <v>49887.7</v>
      </c>
      <c r="S33" s="11" t="n">
        <v>50839.03</v>
      </c>
      <c r="T33" s="11" t="n">
        <v>51761.8</v>
      </c>
      <c r="U33" s="11" t="n">
        <v>52601.28</v>
      </c>
      <c r="V33" s="11" t="n">
        <v>53049.22</v>
      </c>
      <c r="W33" s="11" t="n">
        <v>53049.22</v>
      </c>
      <c r="X33" s="11" t="n">
        <v>54218.4</v>
      </c>
      <c r="Y33" s="11" t="n">
        <v>55235.63</v>
      </c>
      <c r="Z33" s="11" t="n">
        <v>56227.29</v>
      </c>
      <c r="AA33" s="11" t="n">
        <v>57193.07</v>
      </c>
      <c r="AB33" s="11" t="n">
        <v>58087.18</v>
      </c>
      <c r="AC33" s="11" t="n">
        <v>58087.18</v>
      </c>
      <c r="AD33" s="11" t="n">
        <v>58087.18</v>
      </c>
      <c r="AE33" s="11" t="n">
        <v>59613.06</v>
      </c>
      <c r="AF33" s="11" t="n">
        <v>60665.69</v>
      </c>
      <c r="AG33" s="11" t="n">
        <v>61550.68</v>
      </c>
      <c r="AH33" s="40" t="n">
        <v>62364.23</v>
      </c>
      <c r="AI33" s="43" t="n">
        <v>62776</v>
      </c>
      <c r="AJ33" s="7">
        <f>AI33-D33</f>
        <v/>
      </c>
    </row>
    <row r="34">
      <c r="A34" s="500" t="n">
        <v>2</v>
      </c>
      <c r="B34" s="500" t="inlineStr">
        <is>
          <t>3F</t>
        </is>
      </c>
      <c r="C34" s="500" t="inlineStr">
        <is>
          <t>AHU2 - BTU</t>
        </is>
      </c>
      <c r="D34" s="12" t="n">
        <v>39039.43</v>
      </c>
      <c r="E34" s="36" t="n">
        <v>40011.29</v>
      </c>
      <c r="F34" s="39" t="n">
        <v>40707.58</v>
      </c>
      <c r="G34" s="37" t="n">
        <v>41355.74</v>
      </c>
      <c r="H34" s="10" t="n">
        <v>41673.19</v>
      </c>
      <c r="I34" s="10" t="n">
        <v>41673.19</v>
      </c>
      <c r="J34" s="10" t="n">
        <v>42584.56</v>
      </c>
      <c r="K34" s="10" t="n">
        <v>43444.33</v>
      </c>
      <c r="L34" s="10" t="n">
        <v>44406.91</v>
      </c>
      <c r="M34" s="10" t="n">
        <v>45373.01</v>
      </c>
      <c r="N34" s="10" t="n">
        <v>46278.07</v>
      </c>
      <c r="O34" s="10" t="n">
        <v>46702.92</v>
      </c>
      <c r="P34" s="10" t="n">
        <v>46702.92</v>
      </c>
      <c r="Q34" s="10" t="n">
        <v>47791.44</v>
      </c>
      <c r="R34" s="11" t="n">
        <v>48823.62</v>
      </c>
      <c r="S34" s="11" t="n">
        <v>49685.21</v>
      </c>
      <c r="T34" s="11" t="n">
        <v>50511.93</v>
      </c>
      <c r="U34" s="11" t="n">
        <v>51384.4</v>
      </c>
      <c r="V34" s="11" t="n">
        <v>51844.09</v>
      </c>
      <c r="W34" s="11" t="n">
        <v>51844.09</v>
      </c>
      <c r="X34" s="11" t="n">
        <v>53106.22</v>
      </c>
      <c r="Y34" s="11" t="n">
        <v>54088.33</v>
      </c>
      <c r="Z34" s="11" t="n">
        <v>55133.66</v>
      </c>
      <c r="AA34" s="11" t="n">
        <v>56040.25</v>
      </c>
      <c r="AB34" s="11" t="n">
        <v>57035.63</v>
      </c>
      <c r="AC34" s="11" t="n">
        <v>57035.63</v>
      </c>
      <c r="AD34" s="11" t="n">
        <v>57035.63</v>
      </c>
      <c r="AE34" s="11" t="n">
        <v>58367.6</v>
      </c>
      <c r="AF34" s="11" t="n">
        <v>59509.96</v>
      </c>
      <c r="AG34" s="11" t="n">
        <v>60564.32</v>
      </c>
      <c r="AH34" s="40" t="n">
        <v>61617.73</v>
      </c>
      <c r="AI34" s="43" t="n">
        <v>62028</v>
      </c>
      <c r="AJ34" s="7">
        <f>AI34-D34</f>
        <v/>
      </c>
    </row>
    <row r="35">
      <c r="A35" s="500" t="n">
        <v>3</v>
      </c>
      <c r="B35" s="500" t="inlineStr">
        <is>
          <t>3F</t>
        </is>
      </c>
      <c r="C35" s="500" t="inlineStr">
        <is>
          <t>AHU3 - BTU</t>
        </is>
      </c>
      <c r="D35" s="12" t="n">
        <v>34466.31</v>
      </c>
      <c r="E35" s="10" t="n">
        <v>35393.85</v>
      </c>
      <c r="F35" s="41" t="n">
        <v>36282.87</v>
      </c>
      <c r="G35" s="10" t="n">
        <v>36977.18</v>
      </c>
      <c r="H35" s="10" t="n">
        <v>37332.32</v>
      </c>
      <c r="I35" s="10" t="n">
        <v>37332.32</v>
      </c>
      <c r="J35" s="10" t="n">
        <v>38473.21</v>
      </c>
      <c r="K35" s="10" t="n">
        <v>39518.46</v>
      </c>
      <c r="L35" s="10" t="n">
        <v>40611.79</v>
      </c>
      <c r="M35" s="10" t="n">
        <v>41664.29</v>
      </c>
      <c r="N35" s="10" t="n">
        <v>42556.38</v>
      </c>
      <c r="O35" s="10" t="n">
        <v>42981.82</v>
      </c>
      <c r="P35" s="10" t="n">
        <v>42981.82</v>
      </c>
      <c r="Q35" s="10" t="n">
        <v>44183.84</v>
      </c>
      <c r="R35" s="10" t="n">
        <v>45360.7</v>
      </c>
      <c r="S35" s="11" t="n">
        <v>46420.36</v>
      </c>
      <c r="T35" s="11" t="n">
        <v>47396.84</v>
      </c>
      <c r="U35" s="11" t="n">
        <v>48367.81</v>
      </c>
      <c r="V35" s="11" t="n">
        <v>48970.9</v>
      </c>
      <c r="W35" s="11" t="n">
        <v>48970.9</v>
      </c>
      <c r="X35" s="11" t="n">
        <v>50278.82</v>
      </c>
      <c r="Y35" s="11" t="n">
        <v>51264.83</v>
      </c>
      <c r="Z35" s="11" t="n">
        <v>52289.15</v>
      </c>
      <c r="AA35" s="11" t="n">
        <v>53158.33</v>
      </c>
      <c r="AB35" s="11" t="n">
        <v>54071.12</v>
      </c>
      <c r="AC35" s="11" t="n">
        <v>54071.12</v>
      </c>
      <c r="AD35" s="11" t="n">
        <v>54071.12</v>
      </c>
      <c r="AE35" s="11" t="n">
        <v>55480.6</v>
      </c>
      <c r="AF35" s="11" t="n">
        <v>56735.68</v>
      </c>
      <c r="AG35" s="11" t="n">
        <v>57867.99</v>
      </c>
      <c r="AH35" s="40" t="n">
        <v>59125.33</v>
      </c>
      <c r="AI35" s="43" t="n">
        <v>59574</v>
      </c>
      <c r="AJ35" s="7">
        <f>AI35-D35</f>
        <v/>
      </c>
    </row>
    <row r="36">
      <c r="A36" s="500" t="n">
        <v>4</v>
      </c>
      <c r="B36" s="500" t="inlineStr">
        <is>
          <t>3F</t>
        </is>
      </c>
      <c r="C36" s="500" t="inlineStr">
        <is>
          <t>AHU4 - BTU</t>
        </is>
      </c>
      <c r="D36" s="12" t="n">
        <v>48593.12</v>
      </c>
      <c r="E36" s="10" t="n">
        <v>49926.47</v>
      </c>
      <c r="F36" s="10" t="n">
        <v>50835.05</v>
      </c>
      <c r="G36" s="10" t="n">
        <v>51496.28</v>
      </c>
      <c r="H36" s="10" t="n">
        <v>51944.19</v>
      </c>
      <c r="I36" s="10" t="n">
        <v>51944.19</v>
      </c>
      <c r="J36" s="10" t="n">
        <v>53331.66</v>
      </c>
      <c r="K36" s="10" t="n">
        <v>54608.03</v>
      </c>
      <c r="L36" s="10" t="n">
        <v>55899.29</v>
      </c>
      <c r="M36" s="10" t="n">
        <v>57002.08</v>
      </c>
      <c r="N36" s="10" t="n">
        <v>58195.11</v>
      </c>
      <c r="O36" s="10" t="n">
        <v>58725.28</v>
      </c>
      <c r="P36" s="10" t="n">
        <v>58725.28</v>
      </c>
      <c r="Q36" s="10" t="n">
        <v>60242.6</v>
      </c>
      <c r="R36" s="11" t="n">
        <v>61701.04</v>
      </c>
      <c r="S36" s="11" t="n">
        <v>63006.1</v>
      </c>
      <c r="T36" s="11" t="n">
        <v>64142.44</v>
      </c>
      <c r="U36" s="11" t="n">
        <v>65039.01</v>
      </c>
      <c r="V36" s="11" t="n">
        <v>65593.75999999999</v>
      </c>
      <c r="W36" s="11" t="n">
        <v>65593.75999999999</v>
      </c>
      <c r="X36" s="11" t="n">
        <v>67007.78999999999</v>
      </c>
      <c r="Y36" s="11" t="n">
        <v>68291.96000000001</v>
      </c>
      <c r="Z36" s="11" t="n">
        <v>69574.21000000001</v>
      </c>
      <c r="AA36" s="11" t="n">
        <v>70699.45</v>
      </c>
      <c r="AB36" s="11" t="n">
        <v>71782.99000000001</v>
      </c>
      <c r="AC36" s="11" t="n">
        <v>71782.99000000001</v>
      </c>
      <c r="AD36" s="11" t="n">
        <v>71782.99000000001</v>
      </c>
      <c r="AE36" s="11" t="n">
        <v>73417.78999999999</v>
      </c>
      <c r="AF36" s="11" t="n">
        <v>74799.60000000001</v>
      </c>
      <c r="AG36" s="11" t="n">
        <v>75826.22</v>
      </c>
      <c r="AH36" s="40" t="n">
        <v>76962.14</v>
      </c>
      <c r="AI36" s="43" t="n">
        <v>77455</v>
      </c>
      <c r="AJ36" s="7">
        <f>AI36-D36</f>
        <v/>
      </c>
    </row>
    <row r="37">
      <c r="D37" s="13" t="n"/>
      <c r="E37" s="13" t="n"/>
      <c r="AD37" s="6" t="n"/>
    </row>
    <row r="38" ht="18.5" customHeight="1" s="488">
      <c r="A38" s="14" t="n"/>
      <c r="B38" s="15" t="n"/>
      <c r="C38" s="15" t="n"/>
      <c r="D38" s="15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</row>
    <row r="39" ht="15.5" customHeight="1" s="488">
      <c r="A39" s="16" t="n"/>
      <c r="B39" s="528" t="inlineStr">
        <is>
          <t xml:space="preserve"> Daily Energy Report</t>
        </is>
      </c>
      <c r="C39" s="520" t="n"/>
      <c r="D39" s="501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</row>
    <row r="40">
      <c r="A40" s="17" t="n"/>
      <c r="B40" s="519" t="inlineStr">
        <is>
          <t>Electricity Consumption</t>
        </is>
      </c>
      <c r="C40" s="520" t="n"/>
      <c r="D40" s="501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</row>
    <row r="41">
      <c r="A41" s="515" t="inlineStr">
        <is>
          <t>Sr.No</t>
        </is>
      </c>
      <c r="B41" s="515" t="inlineStr">
        <is>
          <t>Location</t>
        </is>
      </c>
      <c r="C41" s="515" t="inlineStr">
        <is>
          <t>Meter</t>
        </is>
      </c>
      <c r="D41" s="522" t="n"/>
      <c r="E41" s="42">
        <f>E3</f>
        <v/>
      </c>
      <c r="F41" s="42">
        <f>F3</f>
        <v/>
      </c>
      <c r="G41" s="42">
        <f>G3</f>
        <v/>
      </c>
      <c r="H41" s="42">
        <f>H3</f>
        <v/>
      </c>
      <c r="I41" s="42">
        <f>I3</f>
        <v/>
      </c>
      <c r="J41" s="42">
        <f>J3</f>
        <v/>
      </c>
      <c r="K41" s="42">
        <f>K3</f>
        <v/>
      </c>
      <c r="L41" s="42">
        <f>L3</f>
        <v/>
      </c>
      <c r="M41" s="42">
        <f>M3</f>
        <v/>
      </c>
      <c r="N41" s="42">
        <f>N3</f>
        <v/>
      </c>
      <c r="O41" s="42">
        <f>O3</f>
        <v/>
      </c>
      <c r="P41" s="42">
        <f>P3</f>
        <v/>
      </c>
      <c r="Q41" s="42">
        <f>Q3</f>
        <v/>
      </c>
      <c r="R41" s="42">
        <f>R3</f>
        <v/>
      </c>
      <c r="S41" s="42">
        <f>S3</f>
        <v/>
      </c>
      <c r="T41" s="42">
        <f>T3</f>
        <v/>
      </c>
      <c r="U41" s="42">
        <f>U3</f>
        <v/>
      </c>
      <c r="V41" s="42">
        <f>V3</f>
        <v/>
      </c>
      <c r="W41" s="42">
        <f>W3</f>
        <v/>
      </c>
      <c r="X41" s="42">
        <f>X3</f>
        <v/>
      </c>
      <c r="Y41" s="42">
        <f>Y3</f>
        <v/>
      </c>
      <c r="Z41" s="42">
        <f>Z3</f>
        <v/>
      </c>
      <c r="AA41" s="42">
        <f>AA3</f>
        <v/>
      </c>
      <c r="AB41" s="42">
        <f>AB3</f>
        <v/>
      </c>
      <c r="AC41" s="42">
        <f>AC3</f>
        <v/>
      </c>
      <c r="AD41" s="42">
        <f>AD3</f>
        <v/>
      </c>
      <c r="AE41" s="42">
        <f>AE3</f>
        <v/>
      </c>
      <c r="AF41" s="42">
        <f>AF3</f>
        <v/>
      </c>
      <c r="AG41" s="42">
        <f>AG3</f>
        <v/>
      </c>
      <c r="AH41" s="42">
        <f>AH3</f>
        <v/>
      </c>
      <c r="AI41" s="42">
        <f>AI3</f>
        <v/>
      </c>
      <c r="AJ41" s="515" t="inlineStr">
        <is>
          <t>Consumption</t>
        </is>
      </c>
    </row>
    <row r="42">
      <c r="A42" s="516" t="n"/>
      <c r="B42" s="516" t="n"/>
      <c r="C42" s="523" t="n"/>
      <c r="D42" s="524" t="n"/>
      <c r="E42" s="1">
        <f>E4</f>
        <v/>
      </c>
      <c r="F42" s="1">
        <f>F4</f>
        <v/>
      </c>
      <c r="G42" s="1">
        <f>G4</f>
        <v/>
      </c>
      <c r="H42" s="1">
        <f>H4</f>
        <v/>
      </c>
      <c r="I42" s="1">
        <f>I4</f>
        <v/>
      </c>
      <c r="J42" s="1">
        <f>J4</f>
        <v/>
      </c>
      <c r="K42" s="1">
        <f>K4</f>
        <v/>
      </c>
      <c r="L42" s="1">
        <f>L4</f>
        <v/>
      </c>
      <c r="M42" s="1">
        <f>M4</f>
        <v/>
      </c>
      <c r="N42" s="1">
        <f>N4</f>
        <v/>
      </c>
      <c r="O42" s="1">
        <f>O4</f>
        <v/>
      </c>
      <c r="P42" s="1">
        <f>P4</f>
        <v/>
      </c>
      <c r="Q42" s="1">
        <f>Q4</f>
        <v/>
      </c>
      <c r="R42" s="1">
        <f>R4</f>
        <v/>
      </c>
      <c r="S42" s="1">
        <f>S4</f>
        <v/>
      </c>
      <c r="T42" s="1">
        <f>T4</f>
        <v/>
      </c>
      <c r="U42" s="1">
        <f>U4</f>
        <v/>
      </c>
      <c r="V42" s="1">
        <f>V4</f>
        <v/>
      </c>
      <c r="W42" s="1">
        <f>W4</f>
        <v/>
      </c>
      <c r="X42" s="1">
        <f>X4</f>
        <v/>
      </c>
      <c r="Y42" s="1">
        <f>Y4</f>
        <v/>
      </c>
      <c r="Z42" s="1">
        <f>Z4</f>
        <v/>
      </c>
      <c r="AA42" s="1">
        <f>AA4</f>
        <v/>
      </c>
      <c r="AB42" s="1">
        <f>AB4</f>
        <v/>
      </c>
      <c r="AC42" s="1">
        <f>AC4</f>
        <v/>
      </c>
      <c r="AD42" s="1">
        <f>AD4</f>
        <v/>
      </c>
      <c r="AE42" s="1">
        <f>AE4</f>
        <v/>
      </c>
      <c r="AF42" s="1">
        <f>AF4</f>
        <v/>
      </c>
      <c r="AG42" s="1">
        <f>AG4</f>
        <v/>
      </c>
      <c r="AH42" s="1">
        <f>AH4</f>
        <v/>
      </c>
      <c r="AI42" s="1">
        <f>AI4</f>
        <v/>
      </c>
      <c r="AJ42" s="516" t="n"/>
    </row>
    <row r="43">
      <c r="A43" s="516" t="n"/>
      <c r="B43" s="516" t="n"/>
      <c r="C43" s="523" t="n"/>
      <c r="D43" s="524" t="n"/>
      <c r="E43" s="18" t="inlineStr">
        <is>
          <t>Time</t>
        </is>
      </c>
      <c r="F43" s="18" t="inlineStr">
        <is>
          <t>Time</t>
        </is>
      </c>
      <c r="G43" s="18" t="inlineStr">
        <is>
          <t>Time</t>
        </is>
      </c>
      <c r="H43" s="18" t="inlineStr">
        <is>
          <t>Time</t>
        </is>
      </c>
      <c r="I43" s="18" t="inlineStr">
        <is>
          <t>Time</t>
        </is>
      </c>
      <c r="J43" s="18" t="inlineStr">
        <is>
          <t>Time</t>
        </is>
      </c>
      <c r="K43" s="18" t="inlineStr">
        <is>
          <t>Time</t>
        </is>
      </c>
      <c r="L43" s="18" t="inlineStr">
        <is>
          <t>Time</t>
        </is>
      </c>
      <c r="M43" s="18" t="inlineStr">
        <is>
          <t>Time</t>
        </is>
      </c>
      <c r="N43" s="18" t="inlineStr">
        <is>
          <t>Time</t>
        </is>
      </c>
      <c r="O43" s="18" t="inlineStr">
        <is>
          <t>Time</t>
        </is>
      </c>
      <c r="P43" s="18" t="inlineStr">
        <is>
          <t>Time</t>
        </is>
      </c>
      <c r="Q43" s="18" t="inlineStr">
        <is>
          <t>Time</t>
        </is>
      </c>
      <c r="R43" s="18" t="inlineStr">
        <is>
          <t>Time</t>
        </is>
      </c>
      <c r="S43" s="18" t="inlineStr">
        <is>
          <t>Time</t>
        </is>
      </c>
      <c r="T43" s="18" t="inlineStr">
        <is>
          <t>Time</t>
        </is>
      </c>
      <c r="U43" s="18" t="inlineStr">
        <is>
          <t>Time</t>
        </is>
      </c>
      <c r="V43" s="18" t="inlineStr">
        <is>
          <t>Time</t>
        </is>
      </c>
      <c r="W43" s="18" t="inlineStr">
        <is>
          <t>Time</t>
        </is>
      </c>
      <c r="X43" s="18" t="inlineStr">
        <is>
          <t>Time</t>
        </is>
      </c>
      <c r="Y43" s="18" t="inlineStr">
        <is>
          <t>Time</t>
        </is>
      </c>
      <c r="Z43" s="18" t="inlineStr">
        <is>
          <t>Time</t>
        </is>
      </c>
      <c r="AA43" s="18" t="inlineStr">
        <is>
          <t>Time</t>
        </is>
      </c>
      <c r="AB43" s="18" t="inlineStr">
        <is>
          <t>Time</t>
        </is>
      </c>
      <c r="AC43" s="18" t="inlineStr">
        <is>
          <t>Time</t>
        </is>
      </c>
      <c r="AD43" s="18" t="inlineStr">
        <is>
          <t>Time</t>
        </is>
      </c>
      <c r="AE43" s="18" t="inlineStr">
        <is>
          <t>Time</t>
        </is>
      </c>
      <c r="AF43" s="18" t="inlineStr">
        <is>
          <t>Time</t>
        </is>
      </c>
      <c r="AG43" s="18" t="inlineStr">
        <is>
          <t>Time</t>
        </is>
      </c>
      <c r="AH43" s="18" t="inlineStr">
        <is>
          <t>Time</t>
        </is>
      </c>
      <c r="AI43" s="18" t="inlineStr">
        <is>
          <t>Time</t>
        </is>
      </c>
      <c r="AJ43" s="516" t="n"/>
    </row>
    <row r="44">
      <c r="A44" s="517" t="n"/>
      <c r="B44" s="517" t="n"/>
      <c r="C44" s="525" t="n"/>
      <c r="D44" s="526" t="n"/>
      <c r="E44" s="19" t="n">
        <v>0.3333333333333333</v>
      </c>
      <c r="F44" s="19" t="n">
        <v>0.3333333333333333</v>
      </c>
      <c r="G44" s="19" t="n">
        <v>0.3333333333333333</v>
      </c>
      <c r="H44" s="19" t="n">
        <v>0.3333333333333333</v>
      </c>
      <c r="I44" s="19" t="n">
        <v>0.3333333333333333</v>
      </c>
      <c r="J44" s="19" t="n">
        <v>0.3333333333333333</v>
      </c>
      <c r="K44" s="19" t="n">
        <v>0.3333333333333333</v>
      </c>
      <c r="L44" s="19" t="n">
        <v>0.3333333333333333</v>
      </c>
      <c r="M44" s="19" t="n">
        <v>0.3333333333333333</v>
      </c>
      <c r="N44" s="19" t="n">
        <v>0.3333333333333333</v>
      </c>
      <c r="O44" s="19" t="n">
        <v>0.3333333333333333</v>
      </c>
      <c r="P44" s="19" t="n">
        <v>0.3333333333333333</v>
      </c>
      <c r="Q44" s="19" t="n">
        <v>0.3333333333333333</v>
      </c>
      <c r="R44" s="19" t="n">
        <v>0.3333333333333333</v>
      </c>
      <c r="S44" s="19" t="n">
        <v>0.3333333333333333</v>
      </c>
      <c r="T44" s="19" t="n">
        <v>0.3333333333333333</v>
      </c>
      <c r="U44" s="19" t="n">
        <v>0.3333333333333333</v>
      </c>
      <c r="V44" s="19" t="n">
        <v>0.3333333333333333</v>
      </c>
      <c r="W44" s="19" t="n">
        <v>0.3333333333333333</v>
      </c>
      <c r="X44" s="19" t="n">
        <v>0.3333333333333333</v>
      </c>
      <c r="Y44" s="19" t="n">
        <v>0.3333333333333333</v>
      </c>
      <c r="Z44" s="19" t="n">
        <v>0.3333333333333333</v>
      </c>
      <c r="AA44" s="19" t="n">
        <v>0.3333333333333333</v>
      </c>
      <c r="AB44" s="19" t="n">
        <v>0.3333333333333333</v>
      </c>
      <c r="AC44" s="19" t="n">
        <v>0.3333333333333333</v>
      </c>
      <c r="AD44" s="19" t="n">
        <v>0.3333333333333333</v>
      </c>
      <c r="AE44" s="19" t="n">
        <v>0.3333333333333333</v>
      </c>
      <c r="AF44" s="19" t="n">
        <v>0.3333333333333333</v>
      </c>
      <c r="AG44" s="19" t="n">
        <v>0.3333333333333333</v>
      </c>
      <c r="AH44" s="19" t="n">
        <v>0.3333333333333333</v>
      </c>
      <c r="AI44" s="19" t="n">
        <v>0.3333333333333333</v>
      </c>
      <c r="AJ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8.5" customHeight="1" s="488">
      <c r="A46" s="500" t="n"/>
      <c r="B46" s="500" t="n"/>
      <c r="C46" s="507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8.5" customHeight="1" s="488">
      <c r="A48" s="500" t="n"/>
      <c r="B48" s="500" t="n"/>
      <c r="C48" s="507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8.5" customHeight="1" s="488">
      <c r="A50" s="500" t="n"/>
      <c r="B50" s="500" t="n"/>
      <c r="C50" s="507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8.5" customHeight="1" s="488">
      <c r="A52" s="500" t="n"/>
      <c r="B52" s="500" t="n"/>
      <c r="C52" s="507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8.5" customHeight="1" s="488">
      <c r="A54" s="500" t="n"/>
      <c r="B54" s="500" t="n"/>
      <c r="C54" s="507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21">
        <f>SUM(E54:AI54)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21">
        <f>SUM(E55:AI55)</f>
        <v/>
      </c>
    </row>
    <row r="56" ht="18.5" customHeight="1" s="488">
      <c r="A56" s="500" t="n"/>
      <c r="B56" s="500" t="n"/>
      <c r="C56" s="507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21">
        <f>SUM(E56:AI56)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21">
        <f>SUM(E57:AI57)</f>
        <v/>
      </c>
    </row>
    <row r="58" ht="18.5" customHeight="1" s="488">
      <c r="A58" s="500" t="n"/>
      <c r="B58" s="500" t="n"/>
      <c r="C58" s="507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8.5" customHeight="1" s="488">
      <c r="A60" s="500" t="n"/>
      <c r="B60" s="500" t="n"/>
      <c r="C60" s="507" t="inlineStr">
        <is>
          <t>DG</t>
        </is>
      </c>
      <c r="D60" s="501" t="n"/>
      <c r="E60" s="20">
        <f>J22-D22</f>
        <v/>
      </c>
      <c r="F60" s="20">
        <f>F22-J22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#REF!-I22</f>
        <v/>
      </c>
      <c r="K60" s="20">
        <f>K22-#REF!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20">
        <f>AI22-AH22</f>
        <v/>
      </c>
      <c r="AJ60" s="21">
        <f>SUM(E60:AI60)</f>
        <v/>
      </c>
    </row>
    <row r="61" ht="15" customHeight="1" s="488">
      <c r="A61" s="22" t="n"/>
      <c r="B61" s="22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23">
        <f>SUM(AI59,AI57,AI55,AI53,AI51,AI49,AI47,AI45)</f>
        <v/>
      </c>
      <c r="AJ61" s="111">
        <f>SUM(E61:AI61)</f>
        <v/>
      </c>
      <c r="AK61" s="121" t="inlineStr">
        <is>
          <t>EB</t>
        </is>
      </c>
      <c r="AL61" s="122">
        <f>AJ61</f>
        <v/>
      </c>
    </row>
    <row r="62" ht="15" customHeight="1" s="488">
      <c r="A62" s="22" t="n"/>
      <c r="B62" s="22" t="n"/>
      <c r="C62" s="63" t="inlineStr">
        <is>
          <t>Total Power- DG</t>
        </is>
      </c>
      <c r="D62" s="65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23">
        <f>SUM(AI46,AI48,AI50,AI52,AI54,AI56,AI58,AI60)</f>
        <v/>
      </c>
      <c r="AJ62" s="111">
        <f>SUM(E62:AI62)</f>
        <v/>
      </c>
      <c r="AK62" s="123" t="inlineStr">
        <is>
          <t>AHU</t>
        </is>
      </c>
      <c r="AL62" s="122">
        <f>AJ74</f>
        <v/>
      </c>
    </row>
    <row r="63">
      <c r="A63" s="571" t="n"/>
      <c r="B63" s="571" t="n"/>
      <c r="C63" s="514" t="inlineStr">
        <is>
          <t>Total Power Cumulative</t>
        </is>
      </c>
      <c r="D63" s="501" t="n"/>
      <c r="E63" s="26">
        <f>E61</f>
        <v/>
      </c>
      <c r="F63" s="26">
        <f>E63+F61</f>
        <v/>
      </c>
      <c r="G63" s="26">
        <f>F63+G61</f>
        <v/>
      </c>
      <c r="H63" s="26">
        <f>G63+H61</f>
        <v/>
      </c>
      <c r="I63" s="26">
        <f>H63+I61</f>
        <v/>
      </c>
      <c r="J63" s="26">
        <f>I63+J61</f>
        <v/>
      </c>
      <c r="K63" s="26">
        <f>J63+K61</f>
        <v/>
      </c>
      <c r="L63" s="26">
        <f>K63+L61</f>
        <v/>
      </c>
      <c r="M63" s="26">
        <f>L63+M61</f>
        <v/>
      </c>
      <c r="N63" s="26">
        <f>M63+N61</f>
        <v/>
      </c>
      <c r="O63" s="26">
        <f>N63+O61</f>
        <v/>
      </c>
      <c r="P63" s="26">
        <f>O63+P61</f>
        <v/>
      </c>
      <c r="Q63" s="26">
        <f>P63+Q61</f>
        <v/>
      </c>
      <c r="R63" s="26">
        <f>Q63+R61</f>
        <v/>
      </c>
      <c r="S63" s="26">
        <f>R63+S61</f>
        <v/>
      </c>
      <c r="T63" s="26">
        <f>S63+T61</f>
        <v/>
      </c>
      <c r="U63" s="26">
        <f>T63+U61</f>
        <v/>
      </c>
      <c r="V63" s="26">
        <f>U63+V61</f>
        <v/>
      </c>
      <c r="W63" s="26">
        <f>V63+W61</f>
        <v/>
      </c>
      <c r="X63" s="26">
        <f>W63+X61</f>
        <v/>
      </c>
      <c r="Y63" s="26">
        <f>X63+Y61</f>
        <v/>
      </c>
      <c r="Z63" s="26">
        <f>Y63+Z61</f>
        <v/>
      </c>
      <c r="AA63" s="26">
        <f>Z63+AA61</f>
        <v/>
      </c>
      <c r="AB63" s="26">
        <f>AA63+AB61</f>
        <v/>
      </c>
      <c r="AC63" s="26">
        <f>AB63+AC61</f>
        <v/>
      </c>
      <c r="AD63" s="26">
        <f>AC63+AD61</f>
        <v/>
      </c>
      <c r="AE63" s="26">
        <f>AD63+AE61</f>
        <v/>
      </c>
      <c r="AF63" s="26">
        <f>AE63+AF61</f>
        <v/>
      </c>
      <c r="AG63" s="26">
        <f>AF63+AG61</f>
        <v/>
      </c>
      <c r="AH63" s="26">
        <f>AG63+AH61</f>
        <v/>
      </c>
      <c r="AI63" s="26">
        <f>AH63+AI61</f>
        <v/>
      </c>
      <c r="AJ63" s="119">
        <f>AG63+AJ61</f>
        <v/>
      </c>
      <c r="AK63" s="123" t="inlineStr">
        <is>
          <t>BTU</t>
        </is>
      </c>
      <c r="AL63" s="124">
        <f>AJ80*40%</f>
        <v/>
      </c>
    </row>
    <row r="64">
      <c r="A64" s="17" t="n"/>
      <c r="B64" s="534" t="n"/>
      <c r="C64" s="534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20" t="n"/>
      <c r="AK64" s="123" t="inlineStr">
        <is>
          <t>DG</t>
        </is>
      </c>
      <c r="AL64" s="122">
        <f>AJ62+AJ75</f>
        <v/>
      </c>
    </row>
    <row r="65" ht="1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  <c r="AN65" s="66" t="n"/>
    </row>
    <row r="66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AI24-AH24</f>
        <v/>
      </c>
      <c r="AJ66" s="30">
        <f>SUM(E66:AI66)</f>
        <v/>
      </c>
    </row>
    <row r="67" ht="18.5" customHeight="1" s="488">
      <c r="A67" s="500" t="n"/>
      <c r="B67" s="500" t="n"/>
      <c r="C67" s="512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AI25-AH25</f>
        <v/>
      </c>
      <c r="AJ67" s="30">
        <f>SUM(E67:AI67)</f>
        <v/>
      </c>
    </row>
    <row r="6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AI26-AH26</f>
        <v/>
      </c>
      <c r="AJ68" s="30">
        <f>SUM(E68:AI68)</f>
        <v/>
      </c>
    </row>
    <row r="69" ht="18.5" customHeight="1" s="488">
      <c r="A69" s="500" t="n"/>
      <c r="B69" s="500" t="n"/>
      <c r="C69" s="512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AI27-AH27</f>
        <v/>
      </c>
      <c r="AJ69" s="30">
        <f>SUM(E69:AI69)</f>
        <v/>
      </c>
    </row>
    <row r="70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AI28-AH28</f>
        <v/>
      </c>
      <c r="AJ70" s="30">
        <f>SUM(E70:AI70)</f>
        <v/>
      </c>
    </row>
    <row r="71" ht="18.5" customHeight="1" s="488">
      <c r="A71" s="500" t="n"/>
      <c r="B71" s="500" t="n"/>
      <c r="C71" s="512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AI29-AH29</f>
        <v/>
      </c>
      <c r="AJ71" s="30">
        <f>SUM(E71:AI71)</f>
        <v/>
      </c>
    </row>
    <row r="72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AI30-AH30</f>
        <v/>
      </c>
      <c r="AJ72" s="30">
        <f>SUM(E72:AI72)</f>
        <v/>
      </c>
    </row>
    <row r="73" ht="18.5" customHeight="1" s="488">
      <c r="A73" s="500" t="n"/>
      <c r="B73" s="500" t="n"/>
      <c r="C73" s="512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AI31-AH31</f>
        <v/>
      </c>
      <c r="AJ73" s="30">
        <f>SUM(E73:AI73)</f>
        <v/>
      </c>
    </row>
    <row r="74" ht="25.5" customHeight="1" s="488">
      <c r="A74" s="22" t="n"/>
      <c r="B74" s="22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  <c r="AK74" s="64" t="n"/>
      <c r="AL74" s="64" t="n"/>
    </row>
    <row r="75" ht="25.5" customHeight="1" s="488">
      <c r="A75" s="22" t="n"/>
      <c r="B75" s="22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3">
        <f>SUM(AI67,AI69,AI71,AI73)</f>
        <v/>
      </c>
      <c r="AJ75" s="24">
        <f>SUM(E75:AI75)</f>
        <v/>
      </c>
      <c r="AK75" s="64" t="n"/>
      <c r="AL75" s="64" t="n"/>
    </row>
    <row r="76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AI33-AH33</f>
        <v/>
      </c>
      <c r="AJ76" s="30">
        <f>SUM(E76:AI76)</f>
        <v/>
      </c>
    </row>
    <row r="77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AI34-AH34</f>
        <v/>
      </c>
      <c r="AJ77" s="30">
        <f>SUM(E77:AI77)</f>
        <v/>
      </c>
    </row>
    <row r="7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AI35-AH35</f>
        <v/>
      </c>
      <c r="AJ78" s="30">
        <f>SUM(E78:AI78)</f>
        <v/>
      </c>
    </row>
    <row r="79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AI36-AH36</f>
        <v/>
      </c>
      <c r="AJ79" s="30">
        <f>SUM(E79:AI79)</f>
        <v/>
      </c>
    </row>
    <row r="80" ht="15" customHeight="1" s="488">
      <c r="A80" s="22" t="n"/>
      <c r="B80" s="22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3">
        <f>SUM(AI76:AI79)</f>
        <v/>
      </c>
      <c r="AJ80" s="24">
        <f>SUM(AJ76:AJ79)</f>
        <v/>
      </c>
      <c r="AK80" s="64" t="n"/>
    </row>
  </sheetData>
  <mergeCells count="49">
    <mergeCell ref="C77:D77"/>
    <mergeCell ref="C68:D68"/>
    <mergeCell ref="E2:AI2"/>
    <mergeCell ref="C58:D58"/>
    <mergeCell ref="B3:B6"/>
    <mergeCell ref="C45:D45"/>
    <mergeCell ref="C74:D74"/>
    <mergeCell ref="C79:D79"/>
    <mergeCell ref="C73:D73"/>
    <mergeCell ref="C47:D47"/>
    <mergeCell ref="C54:D54"/>
    <mergeCell ref="C63:D63"/>
    <mergeCell ref="C65:D65"/>
    <mergeCell ref="B40:D40"/>
    <mergeCell ref="A41:A44"/>
    <mergeCell ref="A3:A6"/>
    <mergeCell ref="C75:D75"/>
    <mergeCell ref="AJ3:AJ6"/>
    <mergeCell ref="C50:D50"/>
    <mergeCell ref="C55:D55"/>
    <mergeCell ref="C53:D53"/>
    <mergeCell ref="C80:D80"/>
    <mergeCell ref="C56:D56"/>
    <mergeCell ref="C59:D59"/>
    <mergeCell ref="A23:AJ23"/>
    <mergeCell ref="A32:AJ32"/>
    <mergeCell ref="C46:D46"/>
    <mergeCell ref="C60:D60"/>
    <mergeCell ref="C51:D51"/>
    <mergeCell ref="C76:D76"/>
    <mergeCell ref="C71:D71"/>
    <mergeCell ref="D3:D6"/>
    <mergeCell ref="C61:D61"/>
    <mergeCell ref="C52:D52"/>
    <mergeCell ref="C70:D70"/>
    <mergeCell ref="C48:D48"/>
    <mergeCell ref="B41:B44"/>
    <mergeCell ref="C72:D72"/>
    <mergeCell ref="C67:D67"/>
    <mergeCell ref="C57:D57"/>
    <mergeCell ref="C3:C6"/>
    <mergeCell ref="C66:D66"/>
    <mergeCell ref="C41:D44"/>
    <mergeCell ref="A2:D2"/>
    <mergeCell ref="AJ41:AJ44"/>
    <mergeCell ref="B39:D39"/>
    <mergeCell ref="C78:D78"/>
    <mergeCell ref="C69:D69"/>
    <mergeCell ref="C49:D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K80"/>
  <sheetViews>
    <sheetView topLeftCell="X45" zoomScale="85" zoomScaleNormal="85" workbookViewId="0">
      <selection activeCell="A22" sqref="A22:AJ22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89" min="3" max="3"/>
    <col width="20" bestFit="1" customWidth="1" style="110" min="4" max="4"/>
    <col width="23" bestFit="1" customWidth="1" style="70" min="5" max="5"/>
    <col width="23" customWidth="1" style="488" min="6" max="32"/>
    <col width="23" bestFit="1" customWidth="1" style="70" min="33" max="34"/>
    <col width="18" bestFit="1" customWidth="1" style="70" min="35" max="35"/>
    <col width="14" customWidth="1" style="70" min="36" max="36"/>
    <col width="18" customWidth="1" style="70" min="37" max="38"/>
    <col width="18" customWidth="1" style="70" min="39" max="16384"/>
  </cols>
  <sheetData>
    <row r="2" ht="16.5" customHeight="1" s="488">
      <c r="A2" s="538" t="n"/>
      <c r="B2" s="505" t="n"/>
      <c r="C2" s="505" t="n"/>
      <c r="D2" s="506" t="n"/>
      <c r="E2" s="535" t="inlineStr">
        <is>
          <t>June - 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6" t="n"/>
      <c r="AI2" s="69" t="n"/>
    </row>
    <row r="3" ht="13" customHeight="1" s="488">
      <c r="A3" s="530" t="inlineStr">
        <is>
          <t>Sr.No</t>
        </is>
      </c>
      <c r="B3" s="530" t="inlineStr">
        <is>
          <t>Location</t>
        </is>
      </c>
      <c r="C3" s="530" t="inlineStr">
        <is>
          <t>Meter</t>
        </is>
      </c>
      <c r="D3" s="536" t="inlineStr">
        <is>
          <t>Previous Reading</t>
        </is>
      </c>
      <c r="E3" s="71" t="n">
        <v>45444</v>
      </c>
      <c r="F3" s="71" t="n">
        <v>45445</v>
      </c>
      <c r="G3" s="71" t="n">
        <v>45446</v>
      </c>
      <c r="H3" s="71" t="n">
        <v>45447</v>
      </c>
      <c r="I3" s="71" t="n">
        <v>45448</v>
      </c>
      <c r="J3" s="71" t="n">
        <v>45449</v>
      </c>
      <c r="K3" s="71" t="n">
        <v>45450</v>
      </c>
      <c r="L3" s="71" t="n">
        <v>45451</v>
      </c>
      <c r="M3" s="71" t="n">
        <v>45452</v>
      </c>
      <c r="N3" s="71" t="n">
        <v>45453</v>
      </c>
      <c r="O3" s="71" t="n">
        <v>45454</v>
      </c>
      <c r="P3" s="71" t="n">
        <v>45455</v>
      </c>
      <c r="Q3" s="71" t="n">
        <v>45456</v>
      </c>
      <c r="R3" s="71" t="n">
        <v>45457</v>
      </c>
      <c r="S3" s="71" t="n">
        <v>45458</v>
      </c>
      <c r="T3" s="71" t="n">
        <v>45459</v>
      </c>
      <c r="U3" s="71" t="n">
        <v>45460</v>
      </c>
      <c r="V3" s="71" t="n">
        <v>45461</v>
      </c>
      <c r="W3" s="71" t="n">
        <v>45462</v>
      </c>
      <c r="X3" s="71" t="n">
        <v>45463</v>
      </c>
      <c r="Y3" s="71" t="n">
        <v>45464</v>
      </c>
      <c r="Z3" s="71" t="n">
        <v>45465</v>
      </c>
      <c r="AA3" s="71" t="n">
        <v>45466</v>
      </c>
      <c r="AB3" s="71" t="n">
        <v>45467</v>
      </c>
      <c r="AC3" s="71" t="n">
        <v>45468</v>
      </c>
      <c r="AD3" s="71" t="n">
        <v>45469</v>
      </c>
      <c r="AE3" s="71" t="n">
        <v>45470</v>
      </c>
      <c r="AF3" s="71" t="n">
        <v>45471</v>
      </c>
      <c r="AG3" s="71" t="n">
        <v>45472</v>
      </c>
      <c r="AH3" s="71" t="n">
        <v>45473</v>
      </c>
      <c r="AI3" s="537" t="inlineStr">
        <is>
          <t>Consumption</t>
        </is>
      </c>
    </row>
    <row r="4" ht="13" customHeight="1" s="488">
      <c r="A4" s="509" t="n"/>
      <c r="B4" s="509" t="n"/>
      <c r="C4" s="509" t="n"/>
      <c r="D4" s="509" t="n"/>
      <c r="E4" s="72" t="inlineStr">
        <is>
          <t>Sat</t>
        </is>
      </c>
      <c r="F4" s="72" t="inlineStr">
        <is>
          <t>Sun</t>
        </is>
      </c>
      <c r="G4" s="72" t="inlineStr">
        <is>
          <t>Mon</t>
        </is>
      </c>
      <c r="H4" s="72" t="inlineStr">
        <is>
          <t>Tue</t>
        </is>
      </c>
      <c r="I4" s="72" t="inlineStr">
        <is>
          <t>Wed</t>
        </is>
      </c>
      <c r="J4" s="72" t="inlineStr">
        <is>
          <t>Thu</t>
        </is>
      </c>
      <c r="K4" s="72" t="inlineStr">
        <is>
          <t>Fri</t>
        </is>
      </c>
      <c r="L4" s="72" t="inlineStr">
        <is>
          <t>Sat</t>
        </is>
      </c>
      <c r="M4" s="72" t="inlineStr">
        <is>
          <t>Sun</t>
        </is>
      </c>
      <c r="N4" s="72" t="inlineStr">
        <is>
          <t>Mon</t>
        </is>
      </c>
      <c r="O4" s="72" t="inlineStr">
        <is>
          <t>Tue</t>
        </is>
      </c>
      <c r="P4" s="72" t="inlineStr">
        <is>
          <t>Wed</t>
        </is>
      </c>
      <c r="Q4" s="72" t="inlineStr">
        <is>
          <t>Thu</t>
        </is>
      </c>
      <c r="R4" s="72" t="inlineStr">
        <is>
          <t>Fri</t>
        </is>
      </c>
      <c r="S4" s="72" t="inlineStr">
        <is>
          <t>Sat</t>
        </is>
      </c>
      <c r="T4" s="72" t="inlineStr">
        <is>
          <t>Sun</t>
        </is>
      </c>
      <c r="U4" s="72" t="inlineStr">
        <is>
          <t>Mon</t>
        </is>
      </c>
      <c r="V4" s="72" t="inlineStr">
        <is>
          <t>Tue</t>
        </is>
      </c>
      <c r="W4" s="72" t="inlineStr">
        <is>
          <t>Wed</t>
        </is>
      </c>
      <c r="X4" s="72" t="inlineStr">
        <is>
          <t>Thu</t>
        </is>
      </c>
      <c r="Y4" s="72" t="inlineStr">
        <is>
          <t>Fri</t>
        </is>
      </c>
      <c r="Z4" s="72" t="inlineStr">
        <is>
          <t>Sat</t>
        </is>
      </c>
      <c r="AA4" s="72" t="inlineStr">
        <is>
          <t>Sun</t>
        </is>
      </c>
      <c r="AB4" s="72" t="inlineStr">
        <is>
          <t>Mon</t>
        </is>
      </c>
      <c r="AC4" s="72" t="inlineStr">
        <is>
          <t>Tue</t>
        </is>
      </c>
      <c r="AD4" s="72" t="inlineStr">
        <is>
          <t>Wed</t>
        </is>
      </c>
      <c r="AE4" s="72" t="inlineStr">
        <is>
          <t>Thu</t>
        </is>
      </c>
      <c r="AF4" s="72" t="inlineStr">
        <is>
          <t>Fri</t>
        </is>
      </c>
      <c r="AG4" s="72" t="inlineStr">
        <is>
          <t>Sat</t>
        </is>
      </c>
      <c r="AH4" s="72" t="inlineStr">
        <is>
          <t>Sun</t>
        </is>
      </c>
      <c r="AI4" s="509" t="n"/>
    </row>
    <row r="5" ht="13" customHeight="1" s="488">
      <c r="A5" s="509" t="n"/>
      <c r="B5" s="509" t="n"/>
      <c r="C5" s="509" t="n"/>
      <c r="D5" s="509" t="n"/>
      <c r="E5" s="72" t="inlineStr">
        <is>
          <t>Time</t>
        </is>
      </c>
      <c r="F5" s="72" t="inlineStr">
        <is>
          <t>Time</t>
        </is>
      </c>
      <c r="G5" s="72" t="inlineStr">
        <is>
          <t>Time</t>
        </is>
      </c>
      <c r="H5" s="72" t="inlineStr">
        <is>
          <t>Time</t>
        </is>
      </c>
      <c r="I5" s="72" t="inlineStr">
        <is>
          <t>Time</t>
        </is>
      </c>
      <c r="J5" s="72" t="inlineStr">
        <is>
          <t>Time</t>
        </is>
      </c>
      <c r="K5" s="72" t="inlineStr">
        <is>
          <t>Time</t>
        </is>
      </c>
      <c r="L5" s="72" t="inlineStr">
        <is>
          <t>Time</t>
        </is>
      </c>
      <c r="M5" s="72" t="inlineStr">
        <is>
          <t>Time</t>
        </is>
      </c>
      <c r="N5" s="72" t="inlineStr">
        <is>
          <t>Time</t>
        </is>
      </c>
      <c r="O5" s="72" t="inlineStr">
        <is>
          <t>Time</t>
        </is>
      </c>
      <c r="P5" s="72" t="inlineStr">
        <is>
          <t>Time</t>
        </is>
      </c>
      <c r="Q5" s="72" t="inlineStr">
        <is>
          <t>Time</t>
        </is>
      </c>
      <c r="R5" s="72" t="inlineStr">
        <is>
          <t>Time</t>
        </is>
      </c>
      <c r="S5" s="72" t="inlineStr">
        <is>
          <t>Time</t>
        </is>
      </c>
      <c r="T5" s="72" t="inlineStr">
        <is>
          <t>Time</t>
        </is>
      </c>
      <c r="U5" s="72" t="inlineStr">
        <is>
          <t>Time</t>
        </is>
      </c>
      <c r="V5" s="72" t="inlineStr">
        <is>
          <t>Time</t>
        </is>
      </c>
      <c r="W5" s="72" t="inlineStr">
        <is>
          <t>Time</t>
        </is>
      </c>
      <c r="X5" s="72" t="inlineStr">
        <is>
          <t>Time</t>
        </is>
      </c>
      <c r="Y5" s="72" t="inlineStr">
        <is>
          <t>Time</t>
        </is>
      </c>
      <c r="Z5" s="72" t="inlineStr">
        <is>
          <t>Time</t>
        </is>
      </c>
      <c r="AA5" s="72" t="inlineStr">
        <is>
          <t>Time</t>
        </is>
      </c>
      <c r="AB5" s="72" t="inlineStr">
        <is>
          <t>Time</t>
        </is>
      </c>
      <c r="AC5" s="72" t="inlineStr">
        <is>
          <t>Time</t>
        </is>
      </c>
      <c r="AD5" s="72" t="inlineStr">
        <is>
          <t>Time</t>
        </is>
      </c>
      <c r="AE5" s="72" t="inlineStr">
        <is>
          <t>Time</t>
        </is>
      </c>
      <c r="AF5" s="72" t="inlineStr">
        <is>
          <t>Time</t>
        </is>
      </c>
      <c r="AG5" s="72" t="inlineStr">
        <is>
          <t>Time</t>
        </is>
      </c>
      <c r="AH5" s="72" t="inlineStr">
        <is>
          <t>Time</t>
        </is>
      </c>
      <c r="AI5" s="509" t="n"/>
    </row>
    <row r="6" ht="13" customHeight="1" s="488">
      <c r="A6" s="510" t="n"/>
      <c r="B6" s="510" t="n"/>
      <c r="C6" s="510" t="n"/>
      <c r="D6" s="510" t="n"/>
      <c r="E6" s="73" t="n">
        <v>0.3333333333333333</v>
      </c>
      <c r="F6" s="73" t="n">
        <v>0.3333333333333333</v>
      </c>
      <c r="G6" s="73" t="n">
        <v>0.3333333333333333</v>
      </c>
      <c r="H6" s="73" t="n">
        <v>0.3333333333333333</v>
      </c>
      <c r="I6" s="73" t="n">
        <v>0.3333333333333333</v>
      </c>
      <c r="J6" s="73" t="n">
        <v>0.3333333333333333</v>
      </c>
      <c r="K6" s="73" t="n">
        <v>0.3333333333333333</v>
      </c>
      <c r="L6" s="73" t="n">
        <v>0.3333333333333333</v>
      </c>
      <c r="M6" s="73" t="n">
        <v>0.3333333333333333</v>
      </c>
      <c r="N6" s="73" t="n">
        <v>0.3333333333333333</v>
      </c>
      <c r="O6" s="73" t="n">
        <v>0.3333333333333333</v>
      </c>
      <c r="P6" s="73" t="n">
        <v>0.3333333333333333</v>
      </c>
      <c r="Q6" s="73" t="n">
        <v>0.3333333333333333</v>
      </c>
      <c r="R6" s="73" t="n">
        <v>0.3333333333333333</v>
      </c>
      <c r="S6" s="73" t="n">
        <v>0.3333333333333333</v>
      </c>
      <c r="T6" s="73" t="n">
        <v>0.3333333333333333</v>
      </c>
      <c r="U6" s="73" t="n">
        <v>0.3333333333333333</v>
      </c>
      <c r="V6" s="73" t="n">
        <v>0.3333333333333333</v>
      </c>
      <c r="W6" s="73" t="n">
        <v>0.3333333333333333</v>
      </c>
      <c r="X6" s="73" t="n">
        <v>0.3333333333333333</v>
      </c>
      <c r="Y6" s="73" t="n">
        <v>0.3333333333333333</v>
      </c>
      <c r="Z6" s="73" t="n">
        <v>0.3333333333333333</v>
      </c>
      <c r="AA6" s="73" t="n">
        <v>0.3333333333333333</v>
      </c>
      <c r="AB6" s="73" t="n">
        <v>0.3333333333333333</v>
      </c>
      <c r="AC6" s="73" t="n">
        <v>0.3333333333333333</v>
      </c>
      <c r="AD6" s="73" t="n">
        <v>0.3333333333333333</v>
      </c>
      <c r="AE6" s="73" t="n">
        <v>0.3333333333333333</v>
      </c>
      <c r="AF6" s="73" t="n">
        <v>0.3333333333333333</v>
      </c>
      <c r="AG6" s="73" t="n">
        <v>0.3333333333333333</v>
      </c>
      <c r="AH6" s="73" t="n">
        <v>0.3333333333333333</v>
      </c>
      <c r="AI6" s="510" t="n"/>
    </row>
    <row r="7" ht="20.15" customHeight="1" s="488">
      <c r="A7" s="500" t="n">
        <v>1</v>
      </c>
      <c r="B7" s="500" t="inlineStr">
        <is>
          <t>3F</t>
        </is>
      </c>
      <c r="C7" s="500" t="inlineStr">
        <is>
          <t>SL No 540430038840 (EB Unit)</t>
        </is>
      </c>
      <c r="D7" s="7" t="n">
        <v>27418</v>
      </c>
      <c r="E7" s="561" t="n">
        <v>27721</v>
      </c>
      <c r="F7" s="561" t="n">
        <v>27934</v>
      </c>
      <c r="G7" s="5" t="n">
        <v>28120</v>
      </c>
      <c r="H7" s="5" t="n">
        <v>28377</v>
      </c>
      <c r="I7" s="561" t="n">
        <v>28592</v>
      </c>
      <c r="J7" s="561" t="n">
        <v>28856</v>
      </c>
      <c r="K7" s="561" t="n">
        <v>29126</v>
      </c>
      <c r="L7" s="561" t="n">
        <v>29326</v>
      </c>
      <c r="M7" s="6" t="n">
        <v>29543</v>
      </c>
      <c r="N7" s="561" t="n">
        <v>29775</v>
      </c>
      <c r="O7" s="561" t="n">
        <v>29902</v>
      </c>
      <c r="P7" s="561" t="n">
        <v>30131</v>
      </c>
      <c r="Q7" s="6" t="n">
        <v>30315</v>
      </c>
      <c r="R7" s="561" t="n">
        <v>30478</v>
      </c>
      <c r="S7" s="561" t="n">
        <v>30690</v>
      </c>
      <c r="T7" s="561" t="n">
        <v>30905</v>
      </c>
      <c r="U7" s="561" t="n">
        <v>31102</v>
      </c>
      <c r="V7" s="6" t="n">
        <v>31284</v>
      </c>
      <c r="W7" s="561" t="n">
        <v>31479</v>
      </c>
      <c r="X7" s="561" t="n">
        <v>31744</v>
      </c>
      <c r="Y7" s="561" t="n">
        <v>31999</v>
      </c>
      <c r="Z7" s="561" t="n">
        <v>32217</v>
      </c>
      <c r="AA7" s="561" t="n">
        <v>32437</v>
      </c>
      <c r="AB7" s="561" t="n">
        <v>32667</v>
      </c>
      <c r="AC7" s="561" t="n">
        <v>32929</v>
      </c>
      <c r="AD7" s="561" t="n">
        <v>33190</v>
      </c>
      <c r="AE7" s="561" t="n">
        <v>33458</v>
      </c>
      <c r="AF7" s="561" t="n">
        <v>33658</v>
      </c>
      <c r="AG7" s="561" t="n">
        <v>33879</v>
      </c>
      <c r="AH7" s="8" t="n">
        <v>33984</v>
      </c>
      <c r="AI7" s="7">
        <f>AH7-D7</f>
        <v/>
      </c>
    </row>
    <row r="8" ht="20.15" customHeight="1" s="488">
      <c r="A8" s="500" t="n"/>
      <c r="B8" s="500" t="n"/>
      <c r="C8" s="79" t="inlineStr">
        <is>
          <t>DG</t>
        </is>
      </c>
      <c r="D8" s="7" t="n">
        <v>1040</v>
      </c>
      <c r="E8" s="561" t="n">
        <v>1078</v>
      </c>
      <c r="F8" s="561" t="n">
        <v>1079</v>
      </c>
      <c r="G8" s="5" t="n">
        <v>1155</v>
      </c>
      <c r="H8" s="5" t="n">
        <v>1155</v>
      </c>
      <c r="I8" s="561" t="n">
        <v>1197</v>
      </c>
      <c r="J8" s="561" t="n">
        <v>1200</v>
      </c>
      <c r="K8" s="561" t="n">
        <v>1207</v>
      </c>
      <c r="L8" s="561" t="n">
        <v>1207</v>
      </c>
      <c r="M8" s="6" t="n">
        <v>1230</v>
      </c>
      <c r="N8" s="561" t="n">
        <v>1230</v>
      </c>
      <c r="O8" s="561" t="n">
        <v>1365</v>
      </c>
      <c r="P8" s="561" t="n">
        <v>1388</v>
      </c>
      <c r="Q8" s="6" t="n">
        <v>1465</v>
      </c>
      <c r="R8" s="561" t="n">
        <v>1540</v>
      </c>
      <c r="S8" s="561" t="n">
        <v>1540</v>
      </c>
      <c r="T8" s="561" t="n">
        <v>1547</v>
      </c>
      <c r="U8" s="561" t="n">
        <v>1575</v>
      </c>
      <c r="V8" s="6" t="n">
        <v>1647</v>
      </c>
      <c r="W8" s="561" t="n">
        <v>1700</v>
      </c>
      <c r="X8" s="561" t="n">
        <v>1700</v>
      </c>
      <c r="Y8" s="561" t="n">
        <v>1700</v>
      </c>
      <c r="Z8" s="561" t="n">
        <v>1700</v>
      </c>
      <c r="AA8" s="561" t="n">
        <v>1700</v>
      </c>
      <c r="AB8" s="561" t="n">
        <v>1708</v>
      </c>
      <c r="AC8" s="561" t="n">
        <v>1708</v>
      </c>
      <c r="AD8" s="561" t="n">
        <v>1708</v>
      </c>
      <c r="AE8" s="561" t="n">
        <v>1708</v>
      </c>
      <c r="AF8" s="561" t="n">
        <v>1745</v>
      </c>
      <c r="AG8" s="561" t="n">
        <v>1751</v>
      </c>
      <c r="AH8" s="8" t="n">
        <v>1753</v>
      </c>
      <c r="AI8" s="7">
        <f>AH8-D8</f>
        <v/>
      </c>
    </row>
    <row r="9" ht="20.15" customHeight="1" s="488">
      <c r="A9" s="500" t="n">
        <v>2</v>
      </c>
      <c r="B9" s="500" t="inlineStr">
        <is>
          <t>3F</t>
        </is>
      </c>
      <c r="C9" s="500" t="inlineStr">
        <is>
          <t>SL No 540430038845 (EB Unit)</t>
        </is>
      </c>
      <c r="D9" s="565" t="n">
        <v>1956</v>
      </c>
      <c r="E9" s="561" t="n">
        <v>1956</v>
      </c>
      <c r="F9" s="561" t="n">
        <v>1956</v>
      </c>
      <c r="G9" s="561" t="n">
        <v>1956</v>
      </c>
      <c r="H9" s="561" t="n">
        <v>1956</v>
      </c>
      <c r="I9" s="561" t="n">
        <v>1956</v>
      </c>
      <c r="J9" s="561" t="n">
        <v>1956</v>
      </c>
      <c r="K9" s="561" t="n">
        <v>1956</v>
      </c>
      <c r="L9" s="561" t="n">
        <v>1956</v>
      </c>
      <c r="M9" s="561" t="n">
        <v>1956</v>
      </c>
      <c r="N9" s="561" t="n">
        <v>1956</v>
      </c>
      <c r="O9" s="561" t="n">
        <v>1956</v>
      </c>
      <c r="P9" s="561" t="n">
        <v>1956</v>
      </c>
      <c r="Q9" s="561" t="n">
        <v>1956</v>
      </c>
      <c r="R9" s="561" t="n">
        <v>1956</v>
      </c>
      <c r="S9" s="561" t="n">
        <v>1956</v>
      </c>
      <c r="T9" s="561" t="n">
        <v>1956</v>
      </c>
      <c r="U9" s="561" t="n">
        <v>1956</v>
      </c>
      <c r="V9" s="561" t="n">
        <v>1956</v>
      </c>
      <c r="W9" s="561" t="n">
        <v>1956</v>
      </c>
      <c r="X9" s="561" t="n">
        <v>1956</v>
      </c>
      <c r="Y9" s="561" t="n">
        <v>1956</v>
      </c>
      <c r="Z9" s="561" t="n">
        <v>1956</v>
      </c>
      <c r="AA9" s="561" t="n">
        <v>1956</v>
      </c>
      <c r="AB9" s="561" t="n">
        <v>1956</v>
      </c>
      <c r="AC9" s="561" t="n">
        <v>1956</v>
      </c>
      <c r="AD9" s="561" t="n">
        <v>1956</v>
      </c>
      <c r="AE9" s="561" t="n">
        <v>1956</v>
      </c>
      <c r="AF9" s="561" t="n">
        <v>1956</v>
      </c>
      <c r="AG9" s="561" t="n">
        <v>1956</v>
      </c>
      <c r="AH9" s="561" t="n">
        <v>1956</v>
      </c>
      <c r="AI9" s="7">
        <f>AH9-D9</f>
        <v/>
      </c>
    </row>
    <row r="10" ht="20.15" customHeight="1" s="488">
      <c r="A10" s="500" t="n"/>
      <c r="B10" s="500" t="n"/>
      <c r="C10" s="79" t="inlineStr">
        <is>
          <t>DG</t>
        </is>
      </c>
      <c r="D10" s="45" t="n">
        <v>28</v>
      </c>
      <c r="E10" s="561" t="n">
        <v>28</v>
      </c>
      <c r="F10" s="561" t="n">
        <v>28</v>
      </c>
      <c r="G10" s="561" t="n">
        <v>28</v>
      </c>
      <c r="H10" s="561" t="n">
        <v>28</v>
      </c>
      <c r="I10" s="561" t="n">
        <v>28</v>
      </c>
      <c r="J10" s="561" t="n">
        <v>28</v>
      </c>
      <c r="K10" s="561" t="n">
        <v>28</v>
      </c>
      <c r="L10" s="561" t="n">
        <v>28</v>
      </c>
      <c r="M10" s="561" t="n">
        <v>28</v>
      </c>
      <c r="N10" s="561" t="n">
        <v>28</v>
      </c>
      <c r="O10" s="561" t="n">
        <v>28</v>
      </c>
      <c r="P10" s="561" t="n">
        <v>28</v>
      </c>
      <c r="Q10" s="561" t="n">
        <v>28</v>
      </c>
      <c r="R10" s="561" t="n">
        <v>28</v>
      </c>
      <c r="S10" s="561" t="n">
        <v>28</v>
      </c>
      <c r="T10" s="561" t="n">
        <v>28</v>
      </c>
      <c r="U10" s="561" t="n">
        <v>28</v>
      </c>
      <c r="V10" s="561" t="n">
        <v>28</v>
      </c>
      <c r="W10" s="561" t="n">
        <v>28</v>
      </c>
      <c r="X10" s="561" t="n">
        <v>28</v>
      </c>
      <c r="Y10" s="561" t="n">
        <v>28</v>
      </c>
      <c r="Z10" s="561" t="n">
        <v>28</v>
      </c>
      <c r="AA10" s="561" t="n">
        <v>28</v>
      </c>
      <c r="AB10" s="561" t="n">
        <v>28</v>
      </c>
      <c r="AC10" s="561" t="n">
        <v>28</v>
      </c>
      <c r="AD10" s="561" t="n">
        <v>28</v>
      </c>
      <c r="AE10" s="561" t="n">
        <v>28</v>
      </c>
      <c r="AF10" s="561" t="n">
        <v>28</v>
      </c>
      <c r="AG10" s="561" t="n">
        <v>28</v>
      </c>
      <c r="AH10" s="561" t="n">
        <v>28</v>
      </c>
      <c r="AI10" s="7">
        <f>AH10-D10</f>
        <v/>
      </c>
    </row>
    <row r="11" ht="20.15" customHeight="1" s="488">
      <c r="A11" s="500" t="n">
        <v>3</v>
      </c>
      <c r="B11" s="500" t="inlineStr">
        <is>
          <t>3F</t>
        </is>
      </c>
      <c r="C11" s="500" t="inlineStr">
        <is>
          <t>SL No 540430038844 (EB Unit)</t>
        </is>
      </c>
      <c r="D11" s="7" t="n">
        <v>45249</v>
      </c>
      <c r="E11" s="561" t="n">
        <v>45659</v>
      </c>
      <c r="F11" s="561" t="n">
        <v>45937</v>
      </c>
      <c r="G11" s="561" t="n">
        <v>46190</v>
      </c>
      <c r="H11" s="561" t="n">
        <v>46554</v>
      </c>
      <c r="I11" s="561" t="n">
        <v>46857</v>
      </c>
      <c r="J11" s="561" t="n">
        <v>47224</v>
      </c>
      <c r="K11" s="561" t="n">
        <v>47560</v>
      </c>
      <c r="L11" s="561" t="n">
        <v>47822</v>
      </c>
      <c r="M11" s="561" t="n">
        <v>48099</v>
      </c>
      <c r="N11" s="561" t="n">
        <v>48444</v>
      </c>
      <c r="O11" s="561" t="n">
        <v>48610</v>
      </c>
      <c r="P11" s="561" t="n">
        <v>48936</v>
      </c>
      <c r="Q11" s="561" t="n">
        <v>49185</v>
      </c>
      <c r="R11" s="561" t="n">
        <v>49405</v>
      </c>
      <c r="S11" s="561" t="n">
        <v>49691</v>
      </c>
      <c r="T11" s="561" t="n">
        <v>49960</v>
      </c>
      <c r="U11" s="561" t="n">
        <v>50224</v>
      </c>
      <c r="V11" s="561" t="n">
        <v>50483</v>
      </c>
      <c r="W11" s="561" t="n">
        <v>50770</v>
      </c>
      <c r="X11" s="561" t="n">
        <v>51135</v>
      </c>
      <c r="Y11" s="561" t="n">
        <v>51492</v>
      </c>
      <c r="Z11" s="561" t="n">
        <v>51774</v>
      </c>
      <c r="AA11" s="561" t="n">
        <v>52068</v>
      </c>
      <c r="AB11" s="561" t="n">
        <v>52408</v>
      </c>
      <c r="AC11" s="561" t="n">
        <v>52771</v>
      </c>
      <c r="AD11" s="561" t="n">
        <v>53138</v>
      </c>
      <c r="AE11" s="8" t="n">
        <v>53521</v>
      </c>
      <c r="AF11" s="8" t="n">
        <v>53797</v>
      </c>
      <c r="AG11" s="8" t="n">
        <v>54090</v>
      </c>
      <c r="AH11" s="8" t="n">
        <v>54227</v>
      </c>
      <c r="AI11" s="7">
        <f>AH11-D11</f>
        <v/>
      </c>
    </row>
    <row r="12" ht="20.15" customHeight="1" s="488">
      <c r="A12" s="500" t="n"/>
      <c r="B12" s="500" t="n"/>
      <c r="C12" s="79" t="inlineStr">
        <is>
          <t>DG</t>
        </is>
      </c>
      <c r="D12" s="7" t="n">
        <v>1649</v>
      </c>
      <c r="E12" s="561" t="n">
        <v>1702</v>
      </c>
      <c r="F12" s="561" t="n">
        <v>1702</v>
      </c>
      <c r="G12" s="561" t="n">
        <v>1821</v>
      </c>
      <c r="H12" s="561" t="n">
        <v>1821</v>
      </c>
      <c r="I12" s="561" t="n">
        <v>1885</v>
      </c>
      <c r="J12" s="561" t="n">
        <v>1885</v>
      </c>
      <c r="K12" s="561" t="n">
        <v>1898</v>
      </c>
      <c r="L12" s="561" t="n">
        <v>1898</v>
      </c>
      <c r="M12" s="561" t="n">
        <v>1928</v>
      </c>
      <c r="N12" s="561" t="n">
        <v>1928</v>
      </c>
      <c r="O12" s="561" t="n">
        <v>2127</v>
      </c>
      <c r="P12" s="561" t="n">
        <v>2163</v>
      </c>
      <c r="Q12" s="561" t="n">
        <v>2280</v>
      </c>
      <c r="R12" s="561" t="n">
        <v>2392</v>
      </c>
      <c r="S12" s="561" t="n">
        <v>2393</v>
      </c>
      <c r="T12" s="561" t="n">
        <v>2402</v>
      </c>
      <c r="U12" s="561" t="n">
        <v>2439</v>
      </c>
      <c r="V12" s="561" t="n">
        <v>2548</v>
      </c>
      <c r="W12" s="561" t="n">
        <v>2630</v>
      </c>
      <c r="X12" s="561" t="n">
        <v>2630</v>
      </c>
      <c r="Y12" s="561" t="n">
        <v>2630</v>
      </c>
      <c r="Z12" s="561" t="n">
        <v>2630</v>
      </c>
      <c r="AA12" s="561" t="n">
        <v>2630</v>
      </c>
      <c r="AB12" s="561" t="n">
        <v>2642</v>
      </c>
      <c r="AC12" s="561" t="n">
        <v>2642</v>
      </c>
      <c r="AD12" s="561" t="n">
        <v>2642</v>
      </c>
      <c r="AE12" s="561" t="n">
        <v>2642</v>
      </c>
      <c r="AF12" s="8" t="n">
        <v>2690</v>
      </c>
      <c r="AG12" s="8" t="n">
        <v>2699</v>
      </c>
      <c r="AH12" s="8" t="n">
        <v>2701</v>
      </c>
      <c r="AI12" s="7">
        <f>AH12-D12</f>
        <v/>
      </c>
    </row>
    <row r="13" ht="20.15" customHeight="1" s="488">
      <c r="A13" s="500" t="n">
        <v>4</v>
      </c>
      <c r="B13" s="500" t="inlineStr">
        <is>
          <t>3F</t>
        </is>
      </c>
      <c r="C13" s="500" t="inlineStr">
        <is>
          <t>SL No 540430038821 (EB Unit)</t>
        </is>
      </c>
      <c r="D13" s="565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7">
        <f>AH13-D13</f>
        <v/>
      </c>
    </row>
    <row r="14" ht="20.15" customHeight="1" s="488">
      <c r="A14" s="500" t="n"/>
      <c r="B14" s="500" t="n"/>
      <c r="C14" s="79" t="inlineStr">
        <is>
          <t>DG</t>
        </is>
      </c>
      <c r="D14" s="45" t="n">
        <v>0</v>
      </c>
      <c r="E14" s="561" t="n">
        <v>0</v>
      </c>
      <c r="F14" s="561" t="n">
        <v>0</v>
      </c>
      <c r="G14" s="561" t="n">
        <v>0</v>
      </c>
      <c r="H14" s="561" t="n">
        <v>0</v>
      </c>
      <c r="I14" s="561" t="n">
        <v>0</v>
      </c>
      <c r="J14" s="561" t="n">
        <v>0</v>
      </c>
      <c r="K14" s="561" t="n">
        <v>0</v>
      </c>
      <c r="L14" s="561" t="n">
        <v>0</v>
      </c>
      <c r="M14" s="561" t="n">
        <v>0</v>
      </c>
      <c r="N14" s="561" t="n">
        <v>0</v>
      </c>
      <c r="O14" s="561" t="n">
        <v>0</v>
      </c>
      <c r="P14" s="561" t="n">
        <v>0</v>
      </c>
      <c r="Q14" s="561" t="n">
        <v>0</v>
      </c>
      <c r="R14" s="561" t="n">
        <v>0</v>
      </c>
      <c r="S14" s="561" t="n">
        <v>0</v>
      </c>
      <c r="T14" s="561" t="n">
        <v>0</v>
      </c>
      <c r="U14" s="561" t="n">
        <v>0</v>
      </c>
      <c r="V14" s="561" t="n">
        <v>0</v>
      </c>
      <c r="W14" s="561" t="n">
        <v>0</v>
      </c>
      <c r="X14" s="561" t="n">
        <v>0</v>
      </c>
      <c r="Y14" s="561" t="n">
        <v>0</v>
      </c>
      <c r="Z14" s="561" t="n">
        <v>0</v>
      </c>
      <c r="AA14" s="561" t="n">
        <v>0</v>
      </c>
      <c r="AB14" s="561" t="n">
        <v>0</v>
      </c>
      <c r="AC14" s="561" t="n">
        <v>0</v>
      </c>
      <c r="AD14" s="561" t="n">
        <v>0</v>
      </c>
      <c r="AE14" s="561" t="n">
        <v>0</v>
      </c>
      <c r="AF14" s="561" t="n">
        <v>0</v>
      </c>
      <c r="AG14" s="561" t="n">
        <v>0</v>
      </c>
      <c r="AH14" s="561" t="n">
        <v>0</v>
      </c>
      <c r="AI14" s="7">
        <f>AH14-D14</f>
        <v/>
      </c>
    </row>
    <row r="15" ht="20.15" customHeight="1" s="488">
      <c r="A15" s="500" t="n">
        <v>5</v>
      </c>
      <c r="B15" s="500" t="inlineStr">
        <is>
          <t>3F</t>
        </is>
      </c>
      <c r="C15" s="500" t="inlineStr">
        <is>
          <t>SL No 540430038849 (EB Unit)</t>
        </is>
      </c>
      <c r="D15" s="7" t="n">
        <v>15905</v>
      </c>
      <c r="E15" s="561" t="n">
        <v>16093</v>
      </c>
      <c r="F15" s="561" t="n">
        <v>16220</v>
      </c>
      <c r="G15" s="5" t="n">
        <v>16350</v>
      </c>
      <c r="H15" s="5" t="n">
        <v>16538</v>
      </c>
      <c r="I15" s="561" t="n">
        <v>16695</v>
      </c>
      <c r="J15" s="561" t="n">
        <v>16889</v>
      </c>
      <c r="K15" s="561" t="n">
        <v>17062</v>
      </c>
      <c r="L15" s="561" t="n">
        <v>17186</v>
      </c>
      <c r="M15" s="561" t="n">
        <v>17308</v>
      </c>
      <c r="N15" s="561" t="n">
        <v>17492</v>
      </c>
      <c r="O15" s="561" t="n">
        <v>17582</v>
      </c>
      <c r="P15" s="561" t="n">
        <v>17758</v>
      </c>
      <c r="Q15" s="561" t="n">
        <v>17891</v>
      </c>
      <c r="R15" s="561" t="n">
        <v>18002</v>
      </c>
      <c r="S15" s="561" t="n">
        <v>18126</v>
      </c>
      <c r="T15" s="561" t="n">
        <v>18248</v>
      </c>
      <c r="U15" s="561" t="n">
        <v>18357</v>
      </c>
      <c r="V15" s="561" t="n">
        <v>18492</v>
      </c>
      <c r="W15" s="561" t="n">
        <v>18644</v>
      </c>
      <c r="X15" s="561" t="n">
        <v>18838</v>
      </c>
      <c r="Y15" s="33" t="n">
        <v>19028</v>
      </c>
      <c r="Z15" s="561" t="n">
        <v>19149</v>
      </c>
      <c r="AA15" s="561" t="n">
        <v>19281</v>
      </c>
      <c r="AB15" s="561" t="n">
        <v>19453</v>
      </c>
      <c r="AC15" s="561" t="n">
        <v>19612</v>
      </c>
      <c r="AD15" s="561" t="n">
        <v>19874</v>
      </c>
      <c r="AE15" s="8" t="n">
        <v>20029</v>
      </c>
      <c r="AF15" s="8" t="n">
        <v>20170</v>
      </c>
      <c r="AG15" s="8" t="n">
        <v>20286</v>
      </c>
      <c r="AH15" s="8" t="n">
        <v>20339</v>
      </c>
      <c r="AI15" s="7">
        <f>AH15-D15</f>
        <v/>
      </c>
    </row>
    <row r="16" ht="20.15" customHeight="1" s="488">
      <c r="A16" s="500" t="n"/>
      <c r="B16" s="500" t="n"/>
      <c r="C16" s="79" t="inlineStr">
        <is>
          <t>DG</t>
        </is>
      </c>
      <c r="D16" s="7" t="n">
        <v>746</v>
      </c>
      <c r="E16" s="561" t="n">
        <v>778</v>
      </c>
      <c r="F16" s="561" t="n">
        <v>779</v>
      </c>
      <c r="G16" s="5" t="n">
        <v>840</v>
      </c>
      <c r="H16" s="5" t="n">
        <v>840</v>
      </c>
      <c r="I16" s="561" t="n">
        <v>878</v>
      </c>
      <c r="J16" s="561" t="n">
        <v>878</v>
      </c>
      <c r="K16" s="561" t="n">
        <v>884</v>
      </c>
      <c r="L16" s="561" t="n">
        <v>884</v>
      </c>
      <c r="M16" s="561" t="n">
        <v>897</v>
      </c>
      <c r="N16" s="561" t="n">
        <v>897</v>
      </c>
      <c r="O16" s="561" t="n">
        <v>1003</v>
      </c>
      <c r="P16" s="561" t="n">
        <v>1021</v>
      </c>
      <c r="Q16" s="561" t="n">
        <v>1086</v>
      </c>
      <c r="R16" s="561" t="n">
        <v>1150</v>
      </c>
      <c r="S16" s="561" t="n">
        <v>1150</v>
      </c>
      <c r="T16" s="561" t="n">
        <v>1154</v>
      </c>
      <c r="U16" s="561" t="n">
        <v>1169</v>
      </c>
      <c r="V16" s="561" t="n">
        <v>1229</v>
      </c>
      <c r="W16" s="561" t="n">
        <v>1274</v>
      </c>
      <c r="X16" s="561" t="n">
        <v>1274</v>
      </c>
      <c r="Y16" s="33" t="n">
        <v>1274</v>
      </c>
      <c r="Z16" s="561" t="n">
        <v>1274</v>
      </c>
      <c r="AA16" s="561" t="n">
        <v>1274</v>
      </c>
      <c r="AB16" s="561" t="n">
        <v>1280</v>
      </c>
      <c r="AC16" s="561" t="n">
        <v>1280</v>
      </c>
      <c r="AD16" s="561" t="n">
        <v>1280</v>
      </c>
      <c r="AE16" s="8" t="n">
        <v>1280</v>
      </c>
      <c r="AF16" s="8" t="n">
        <v>1306</v>
      </c>
      <c r="AG16" s="8" t="n">
        <v>1310</v>
      </c>
      <c r="AH16" s="8" t="n">
        <v>1311</v>
      </c>
      <c r="AI16" s="7">
        <f>AH16-D16</f>
        <v/>
      </c>
    </row>
    <row r="17" ht="20.15" customHeight="1" s="488">
      <c r="A17" s="500" t="n">
        <v>6</v>
      </c>
      <c r="B17" s="500" t="inlineStr">
        <is>
          <t>3F</t>
        </is>
      </c>
      <c r="C17" s="500" t="inlineStr">
        <is>
          <t>SL No 540430038696 (EB Unit)</t>
        </is>
      </c>
      <c r="D17" s="7" t="n">
        <v>26115</v>
      </c>
      <c r="E17" s="561" t="n">
        <v>26384</v>
      </c>
      <c r="F17" s="561" t="n">
        <v>26500</v>
      </c>
      <c r="G17" s="561" t="n">
        <v>26639</v>
      </c>
      <c r="H17" s="561" t="n">
        <v>26918</v>
      </c>
      <c r="I17" s="561" t="n">
        <v>27154</v>
      </c>
      <c r="J17" s="561" t="n">
        <v>27410</v>
      </c>
      <c r="K17" s="561" t="n">
        <v>27656</v>
      </c>
      <c r="L17" s="561" t="n">
        <v>27794</v>
      </c>
      <c r="M17" s="561" t="n">
        <v>27913</v>
      </c>
      <c r="N17" s="561" t="n">
        <v>28193</v>
      </c>
      <c r="O17" s="561" t="n">
        <v>28316</v>
      </c>
      <c r="P17" s="561" t="n">
        <v>28575</v>
      </c>
      <c r="Q17" s="561" t="n">
        <v>28764</v>
      </c>
      <c r="R17" s="561" t="n">
        <v>28921</v>
      </c>
      <c r="S17" s="561" t="n">
        <v>29072</v>
      </c>
      <c r="T17" s="561" t="n">
        <v>29219</v>
      </c>
      <c r="U17" s="561" t="n">
        <v>29363</v>
      </c>
      <c r="V17" s="561" t="n">
        <v>29534</v>
      </c>
      <c r="W17" s="561" t="n">
        <v>29756</v>
      </c>
      <c r="X17" s="561" t="n">
        <v>29993</v>
      </c>
      <c r="Y17" s="561" t="n">
        <v>30229</v>
      </c>
      <c r="Z17" s="561" t="n">
        <v>30340</v>
      </c>
      <c r="AA17" s="561" t="n">
        <v>30479</v>
      </c>
      <c r="AB17" s="561" t="n">
        <v>30679</v>
      </c>
      <c r="AC17" s="561" t="n">
        <v>30924</v>
      </c>
      <c r="AD17" s="561" t="n">
        <v>31175</v>
      </c>
      <c r="AE17" s="561" t="n">
        <v>31411</v>
      </c>
      <c r="AF17" s="8" t="n">
        <v>31599</v>
      </c>
      <c r="AG17" s="561" t="n">
        <v>31714</v>
      </c>
      <c r="AH17" s="8" t="n">
        <v>31779</v>
      </c>
      <c r="AI17" s="7">
        <f>AH17-D17</f>
        <v/>
      </c>
    </row>
    <row r="18" ht="20.15" customHeight="1" s="488">
      <c r="A18" s="500" t="n"/>
      <c r="B18" s="500" t="n"/>
      <c r="C18" s="79" t="inlineStr">
        <is>
          <t>DG</t>
        </is>
      </c>
      <c r="D18" s="7" t="n">
        <v>1209</v>
      </c>
      <c r="E18" s="561" t="n">
        <v>1253</v>
      </c>
      <c r="F18" s="561" t="n">
        <v>1253</v>
      </c>
      <c r="G18" s="561" t="n">
        <v>1385</v>
      </c>
      <c r="H18" s="561" t="n">
        <v>1385</v>
      </c>
      <c r="I18" s="561" t="n">
        <v>1381</v>
      </c>
      <c r="J18" s="561" t="n">
        <v>1381</v>
      </c>
      <c r="K18" s="561" t="n">
        <v>1387</v>
      </c>
      <c r="L18" s="561" t="n">
        <v>1387</v>
      </c>
      <c r="M18" s="561" t="n">
        <v>1402</v>
      </c>
      <c r="N18" s="561" t="n">
        <v>1402</v>
      </c>
      <c r="O18" s="561" t="n">
        <v>1567</v>
      </c>
      <c r="P18" s="561" t="n">
        <v>1595</v>
      </c>
      <c r="Q18" s="561" t="n">
        <v>1699</v>
      </c>
      <c r="R18" s="561" t="n">
        <v>1795</v>
      </c>
      <c r="S18" s="561" t="n">
        <v>1796</v>
      </c>
      <c r="T18" s="561" t="n">
        <v>1798</v>
      </c>
      <c r="U18" s="561" t="n">
        <v>1814</v>
      </c>
      <c r="V18" s="561" t="n">
        <v>1880</v>
      </c>
      <c r="W18" s="561" t="n">
        <v>1954</v>
      </c>
      <c r="X18" s="561" t="n">
        <v>1954</v>
      </c>
      <c r="Y18" s="561" t="n">
        <v>1954</v>
      </c>
      <c r="Z18" s="561" t="n">
        <v>1954</v>
      </c>
      <c r="AA18" s="561" t="n">
        <v>1954</v>
      </c>
      <c r="AB18" s="33" t="n">
        <v>1962</v>
      </c>
      <c r="AC18" s="561" t="n">
        <v>1962</v>
      </c>
      <c r="AD18" s="561" t="n">
        <v>1962</v>
      </c>
      <c r="AE18" s="8" t="n">
        <v>1962</v>
      </c>
      <c r="AF18" s="8" t="n">
        <v>1997</v>
      </c>
      <c r="AG18" s="8" t="n">
        <v>1998</v>
      </c>
      <c r="AH18" s="8" t="n">
        <v>1999</v>
      </c>
      <c r="AI18" s="7">
        <f>AH18-D18</f>
        <v/>
      </c>
    </row>
    <row r="19" ht="20.15" customHeight="1" s="488">
      <c r="A19" s="500" t="n">
        <v>7</v>
      </c>
      <c r="B19" s="500" t="inlineStr">
        <is>
          <t>3F</t>
        </is>
      </c>
      <c r="C19" s="500" t="inlineStr">
        <is>
          <t>SL No 540430038843 (EB Unit)</t>
        </is>
      </c>
      <c r="D19" s="7" t="n">
        <v>94630</v>
      </c>
      <c r="E19" s="561" t="n">
        <v>95345</v>
      </c>
      <c r="F19" s="561" t="n">
        <v>95647</v>
      </c>
      <c r="G19" s="5" t="n">
        <v>96151</v>
      </c>
      <c r="H19" s="5" t="n">
        <v>96894</v>
      </c>
      <c r="I19" s="561" t="n">
        <v>97460</v>
      </c>
      <c r="J19" s="561" t="n">
        <v>98176</v>
      </c>
      <c r="K19" s="561" t="n">
        <v>98863</v>
      </c>
      <c r="L19" s="561" t="n">
        <v>99306</v>
      </c>
      <c r="M19" s="561" t="n">
        <v>99658</v>
      </c>
      <c r="N19" s="561" t="n">
        <v>100341</v>
      </c>
      <c r="O19" s="561" t="n">
        <v>100699</v>
      </c>
      <c r="P19" s="561" t="n">
        <v>101318</v>
      </c>
      <c r="Q19" s="561" t="n">
        <v>101804</v>
      </c>
      <c r="R19" s="5" t="n">
        <v>102235</v>
      </c>
      <c r="S19" s="561" t="n">
        <v>102687</v>
      </c>
      <c r="T19" s="561" t="n">
        <v>103226</v>
      </c>
      <c r="U19" s="561" t="n">
        <v>103503</v>
      </c>
      <c r="V19" s="561" t="n">
        <v>103957</v>
      </c>
      <c r="W19" s="5" t="n">
        <v>104485</v>
      </c>
      <c r="X19" s="561" t="n">
        <v>105126</v>
      </c>
      <c r="Y19" s="561" t="n">
        <v>105778</v>
      </c>
      <c r="Z19" s="561" t="n">
        <v>106120</v>
      </c>
      <c r="AA19" s="561" t="n">
        <v>106434</v>
      </c>
      <c r="AB19" s="33" t="n">
        <v>107025</v>
      </c>
      <c r="AC19" s="561" t="n">
        <v>107634</v>
      </c>
      <c r="AD19" s="561" t="n">
        <v>108302</v>
      </c>
      <c r="AE19" s="8" t="n">
        <v>109015</v>
      </c>
      <c r="AF19" s="8" t="n">
        <v>109562</v>
      </c>
      <c r="AG19" s="8" t="n">
        <v>109901</v>
      </c>
      <c r="AH19" s="8" t="n">
        <v>109964</v>
      </c>
      <c r="AI19" s="7">
        <f>AH19-D19</f>
        <v/>
      </c>
    </row>
    <row r="20" ht="20.15" customHeight="1" s="488">
      <c r="A20" s="500" t="n"/>
      <c r="B20" s="500" t="n"/>
      <c r="C20" s="79" t="inlineStr">
        <is>
          <t>DG</t>
        </is>
      </c>
      <c r="D20" s="7" t="n">
        <v>3299</v>
      </c>
      <c r="E20" s="561" t="n">
        <v>3414</v>
      </c>
      <c r="F20" s="561" t="n">
        <v>3417</v>
      </c>
      <c r="G20" s="5" t="n">
        <v>3625</v>
      </c>
      <c r="H20" s="5" t="n">
        <v>3625</v>
      </c>
      <c r="I20" s="561" t="n">
        <v>3748</v>
      </c>
      <c r="J20" s="561" t="n">
        <v>3755</v>
      </c>
      <c r="K20" s="561" t="n">
        <v>3770</v>
      </c>
      <c r="L20" s="561" t="n">
        <v>3770</v>
      </c>
      <c r="M20" s="561" t="n">
        <v>3825</v>
      </c>
      <c r="N20" s="561" t="n">
        <v>3825</v>
      </c>
      <c r="O20" s="561" t="n">
        <v>4156</v>
      </c>
      <c r="P20" s="561" t="n">
        <v>4214</v>
      </c>
      <c r="Q20" s="561" t="n">
        <v>4426</v>
      </c>
      <c r="R20" s="5" t="n">
        <v>4652</v>
      </c>
      <c r="S20" s="561" t="n">
        <v>4654</v>
      </c>
      <c r="T20" s="561" t="n">
        <v>4669</v>
      </c>
      <c r="U20" s="561" t="n">
        <v>4713</v>
      </c>
      <c r="V20" s="561" t="n">
        <v>4875</v>
      </c>
      <c r="W20" s="5" t="n">
        <v>5018</v>
      </c>
      <c r="X20" s="561" t="n">
        <v>5018</v>
      </c>
      <c r="Y20" s="561" t="n">
        <v>5018</v>
      </c>
      <c r="Z20" s="561" t="n">
        <v>5018</v>
      </c>
      <c r="AA20" s="561" t="n">
        <v>5018</v>
      </c>
      <c r="AB20" s="33" t="n">
        <v>5037</v>
      </c>
      <c r="AC20" s="561" t="n">
        <v>5037</v>
      </c>
      <c r="AD20" s="561" t="n">
        <v>5037</v>
      </c>
      <c r="AE20" s="8" t="n">
        <v>5037</v>
      </c>
      <c r="AF20" s="8" t="n">
        <v>5108</v>
      </c>
      <c r="AG20" s="8" t="n">
        <v>5117</v>
      </c>
      <c r="AH20" s="8" t="n">
        <v>5120</v>
      </c>
      <c r="AI20" s="7">
        <f>AH20-D20</f>
        <v/>
      </c>
    </row>
    <row r="21" ht="20.15" customHeight="1" s="488">
      <c r="A21" s="500" t="n">
        <v>8</v>
      </c>
      <c r="B21" s="500" t="inlineStr">
        <is>
          <t>3F</t>
        </is>
      </c>
      <c r="C21" s="500" t="inlineStr">
        <is>
          <t>SL No 540430038848 (EB Unit)</t>
        </is>
      </c>
      <c r="D21" s="7" t="n">
        <v>20693</v>
      </c>
      <c r="E21" s="561" t="n">
        <v>20827</v>
      </c>
      <c r="F21" s="561" t="n">
        <v>20964</v>
      </c>
      <c r="G21" s="5" t="n">
        <v>21109</v>
      </c>
      <c r="H21" s="5" t="n">
        <v>21208</v>
      </c>
      <c r="I21" s="561" t="n">
        <v>21287</v>
      </c>
      <c r="J21" s="561" t="n">
        <v>21376</v>
      </c>
      <c r="K21" s="561" t="n">
        <v>21459</v>
      </c>
      <c r="L21" s="561" t="n">
        <v>21570</v>
      </c>
      <c r="M21" s="561" t="n">
        <v>21691</v>
      </c>
      <c r="N21" s="561" t="n">
        <v>21790</v>
      </c>
      <c r="O21" s="561" t="n">
        <v>21831</v>
      </c>
      <c r="P21" s="561" t="n">
        <v>21916</v>
      </c>
      <c r="Q21" s="561" t="n">
        <v>21990</v>
      </c>
      <c r="R21" s="561" t="n">
        <v>22049</v>
      </c>
      <c r="S21" s="561" t="n">
        <v>22166</v>
      </c>
      <c r="T21" s="561" t="n">
        <v>22310</v>
      </c>
      <c r="U21" s="561" t="n">
        <v>22431</v>
      </c>
      <c r="V21" s="561" t="n">
        <v>22562</v>
      </c>
      <c r="W21" s="561" t="n">
        <v>22660</v>
      </c>
      <c r="X21" s="561" t="n">
        <v>22787</v>
      </c>
      <c r="Y21" s="561" t="n">
        <v>22919</v>
      </c>
      <c r="Z21" s="561" t="n">
        <v>23046</v>
      </c>
      <c r="AA21" s="561" t="n">
        <v>23171</v>
      </c>
      <c r="AB21" s="561" t="n">
        <v>23340</v>
      </c>
      <c r="AC21" s="561" t="n">
        <v>23459</v>
      </c>
      <c r="AD21" s="561" t="n">
        <v>23580</v>
      </c>
      <c r="AE21" s="8" t="n">
        <v>23712</v>
      </c>
      <c r="AF21" s="8" t="n">
        <v>23806</v>
      </c>
      <c r="AG21" s="8" t="n">
        <v>23926</v>
      </c>
      <c r="AH21" s="8" t="n">
        <v>23959</v>
      </c>
      <c r="AI21" s="7">
        <f>AH21-D21</f>
        <v/>
      </c>
    </row>
    <row r="22" ht="20.15" customHeight="1" s="488">
      <c r="A22" s="500" t="n"/>
      <c r="B22" s="500" t="n"/>
      <c r="C22" s="79" t="inlineStr">
        <is>
          <t>DG</t>
        </is>
      </c>
      <c r="D22" s="31" t="n">
        <v>585</v>
      </c>
      <c r="E22" s="500" t="n">
        <v>606</v>
      </c>
      <c r="F22" s="500" t="n">
        <v>606</v>
      </c>
      <c r="G22" s="500" t="n">
        <v>659</v>
      </c>
      <c r="H22" s="500" t="n">
        <v>659</v>
      </c>
      <c r="I22" s="500" t="n">
        <v>681</v>
      </c>
      <c r="J22" s="500" t="n">
        <v>681</v>
      </c>
      <c r="K22" s="500" t="n">
        <v>684</v>
      </c>
      <c r="L22" s="500" t="n">
        <v>684</v>
      </c>
      <c r="M22" s="500" t="n">
        <v>695</v>
      </c>
      <c r="N22" s="500" t="n">
        <v>695</v>
      </c>
      <c r="O22" s="500" t="n">
        <v>746</v>
      </c>
      <c r="P22" s="500" t="n">
        <v>757</v>
      </c>
      <c r="Q22" s="500" t="n">
        <v>789</v>
      </c>
      <c r="R22" s="500" t="n">
        <v>837</v>
      </c>
      <c r="S22" s="500" t="n">
        <v>837</v>
      </c>
      <c r="T22" s="500" t="n">
        <v>844</v>
      </c>
      <c r="U22" s="500" t="n">
        <v>862</v>
      </c>
      <c r="V22" s="500" t="n">
        <v>918</v>
      </c>
      <c r="W22" s="500" t="n">
        <v>945</v>
      </c>
      <c r="X22" s="500" t="n">
        <v>945</v>
      </c>
      <c r="Y22" s="500" t="n">
        <v>945</v>
      </c>
      <c r="Z22" s="500" t="n">
        <v>945</v>
      </c>
      <c r="AA22" s="500" t="n">
        <v>945</v>
      </c>
      <c r="AB22" s="500" t="n">
        <v>950</v>
      </c>
      <c r="AC22" s="500" t="n">
        <v>950</v>
      </c>
      <c r="AD22" s="500" t="n">
        <v>950</v>
      </c>
      <c r="AE22" s="500" t="n">
        <v>950</v>
      </c>
      <c r="AF22" s="500" t="n">
        <v>964</v>
      </c>
      <c r="AG22" s="500" t="n">
        <v>969</v>
      </c>
      <c r="AH22" s="500" t="n">
        <v>969</v>
      </c>
      <c r="AI22" s="7">
        <f>AH22-D22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01" t="n"/>
    </row>
    <row r="24" ht="14.5" customHeight="1" s="488">
      <c r="A24" s="500" t="n">
        <v>1</v>
      </c>
      <c r="B24" s="500" t="inlineStr">
        <is>
          <t>3F</t>
        </is>
      </c>
      <c r="C24" s="500" t="inlineStr">
        <is>
          <t>AHU1</t>
        </is>
      </c>
      <c r="D24" s="7" t="n">
        <v>9012</v>
      </c>
      <c r="E24" s="561" t="n">
        <v>9122</v>
      </c>
      <c r="F24" s="561" t="n">
        <v>9122</v>
      </c>
      <c r="G24" s="561" t="n">
        <v>9191</v>
      </c>
      <c r="H24" s="561" t="n">
        <v>9295</v>
      </c>
      <c r="I24" s="561" t="n">
        <v>9369</v>
      </c>
      <c r="J24" s="561" t="n">
        <v>9480</v>
      </c>
      <c r="K24" s="561" t="n">
        <v>9594</v>
      </c>
      <c r="L24" s="561" t="n">
        <v>9652</v>
      </c>
      <c r="M24" s="561" t="n">
        <v>9652</v>
      </c>
      <c r="N24" s="561" t="n">
        <v>9758</v>
      </c>
      <c r="O24" s="561" t="n">
        <v>9811</v>
      </c>
      <c r="P24" s="561" t="n">
        <v>9899</v>
      </c>
      <c r="Q24" s="561" t="n">
        <v>9960</v>
      </c>
      <c r="R24" s="561" t="n">
        <v>10010</v>
      </c>
      <c r="S24" s="561" t="n">
        <v>10063</v>
      </c>
      <c r="T24" s="561" t="n">
        <v>10063</v>
      </c>
      <c r="U24" s="561" t="n">
        <v>10079</v>
      </c>
      <c r="V24" s="561" t="n">
        <v>10158</v>
      </c>
      <c r="W24" s="561" t="n">
        <v>10241</v>
      </c>
      <c r="X24" s="561" t="n">
        <v>10350</v>
      </c>
      <c r="Y24" s="561" t="n">
        <v>10477</v>
      </c>
      <c r="Z24" s="561" t="n">
        <v>10547</v>
      </c>
      <c r="AA24" s="561" t="n">
        <v>10547</v>
      </c>
      <c r="AB24" s="561" t="n">
        <v>10671</v>
      </c>
      <c r="AC24" s="561" t="n">
        <v>10740</v>
      </c>
      <c r="AD24" s="561" t="n">
        <v>10786</v>
      </c>
      <c r="AE24" s="561" t="n">
        <v>10832</v>
      </c>
      <c r="AF24" s="561" t="n">
        <v>10880</v>
      </c>
      <c r="AG24" s="561" t="n">
        <v>10907</v>
      </c>
      <c r="AH24" s="8" t="n">
        <v>10907</v>
      </c>
      <c r="AI24" s="7">
        <f>AH24-D24</f>
        <v/>
      </c>
    </row>
    <row r="25" ht="14.5" customHeight="1" s="488">
      <c r="A25" s="500" t="n"/>
      <c r="B25" s="500" t="n"/>
      <c r="C25" s="79" t="inlineStr">
        <is>
          <t>DG</t>
        </is>
      </c>
      <c r="D25" s="7" t="n">
        <v>555</v>
      </c>
      <c r="E25" s="561" t="n">
        <v>569</v>
      </c>
      <c r="F25" s="561" t="n">
        <v>569</v>
      </c>
      <c r="G25" s="561" t="n">
        <v>618</v>
      </c>
      <c r="H25" s="561" t="n">
        <v>618</v>
      </c>
      <c r="I25" s="561" t="n">
        <v>645</v>
      </c>
      <c r="J25" s="561" t="n">
        <v>645</v>
      </c>
      <c r="K25" s="561" t="n">
        <v>645</v>
      </c>
      <c r="L25" s="561" t="n">
        <v>645</v>
      </c>
      <c r="M25" s="561" t="n">
        <v>645</v>
      </c>
      <c r="N25" s="561" t="n">
        <v>645</v>
      </c>
      <c r="O25" s="561" t="n">
        <v>708</v>
      </c>
      <c r="P25" s="561" t="n">
        <v>721</v>
      </c>
      <c r="Q25" s="561" t="n">
        <v>765</v>
      </c>
      <c r="R25" s="561" t="n">
        <v>814</v>
      </c>
      <c r="S25" s="561" t="n">
        <v>814</v>
      </c>
      <c r="T25" s="561" t="n">
        <v>814</v>
      </c>
      <c r="U25" s="561" t="n">
        <v>817</v>
      </c>
      <c r="V25" s="561" t="n">
        <v>854</v>
      </c>
      <c r="W25" s="561" t="n">
        <v>889</v>
      </c>
      <c r="X25" s="561" t="n">
        <v>889</v>
      </c>
      <c r="Y25" s="561" t="n">
        <v>889</v>
      </c>
      <c r="Z25" s="561" t="n">
        <v>889</v>
      </c>
      <c r="AA25" s="561" t="n">
        <v>889</v>
      </c>
      <c r="AB25" s="561" t="n">
        <v>895</v>
      </c>
      <c r="AC25" s="561" t="n">
        <v>895</v>
      </c>
      <c r="AD25" s="561" t="n">
        <v>895</v>
      </c>
      <c r="AE25" s="8" t="n">
        <v>895</v>
      </c>
      <c r="AF25" s="8" t="n">
        <v>895</v>
      </c>
      <c r="AG25" s="8" t="n">
        <v>895</v>
      </c>
      <c r="AH25" s="8" t="n">
        <v>895</v>
      </c>
      <c r="AI25" s="7">
        <f>AH25-D25</f>
        <v/>
      </c>
    </row>
    <row r="26" ht="14.5" customHeight="1" s="488">
      <c r="A26" s="500" t="n">
        <v>2</v>
      </c>
      <c r="B26" s="500" t="inlineStr">
        <is>
          <t>3F</t>
        </is>
      </c>
      <c r="C26" s="500" t="inlineStr">
        <is>
          <t>AHU2</t>
        </is>
      </c>
      <c r="D26" s="7" t="n">
        <v>8291</v>
      </c>
      <c r="E26" s="561" t="n">
        <v>8400</v>
      </c>
      <c r="F26" s="561" t="n">
        <v>8400</v>
      </c>
      <c r="G26" s="5" t="n">
        <v>8467</v>
      </c>
      <c r="H26" s="5" t="n">
        <v>8569</v>
      </c>
      <c r="I26" s="561" t="n">
        <v>8641</v>
      </c>
      <c r="J26" s="561" t="n">
        <v>8743</v>
      </c>
      <c r="K26" s="561" t="n">
        <v>8853</v>
      </c>
      <c r="L26" s="561" t="n">
        <v>8904</v>
      </c>
      <c r="M26" s="561" t="n">
        <v>8904</v>
      </c>
      <c r="N26" s="561" t="n">
        <v>9004</v>
      </c>
      <c r="O26" s="561" t="n">
        <v>9058</v>
      </c>
      <c r="P26" s="561" t="n">
        <v>9115</v>
      </c>
      <c r="Q26" s="561" t="n">
        <v>9206</v>
      </c>
      <c r="R26" s="561" t="n">
        <v>9253</v>
      </c>
      <c r="S26" s="561" t="n">
        <v>9302</v>
      </c>
      <c r="T26" s="561" t="n">
        <v>9302</v>
      </c>
      <c r="U26" s="561" t="n">
        <v>9319</v>
      </c>
      <c r="V26" s="561" t="n">
        <v>9400</v>
      </c>
      <c r="W26" s="561" t="n">
        <v>9484</v>
      </c>
      <c r="X26" s="561" t="n">
        <v>9583</v>
      </c>
      <c r="Y26" s="561" t="n">
        <v>9691</v>
      </c>
      <c r="Z26" s="561" t="n">
        <v>9750</v>
      </c>
      <c r="AA26" s="561" t="n">
        <v>9750</v>
      </c>
      <c r="AB26" s="561" t="n">
        <v>9871</v>
      </c>
      <c r="AC26" s="561" t="n">
        <v>9951</v>
      </c>
      <c r="AD26" s="561" t="n">
        <v>10088</v>
      </c>
      <c r="AE26" s="8" t="n">
        <v>10191</v>
      </c>
      <c r="AF26" s="8" t="n">
        <v>10274</v>
      </c>
      <c r="AG26" s="8" t="n">
        <v>10321</v>
      </c>
      <c r="AH26" s="8" t="n">
        <v>10321</v>
      </c>
      <c r="AI26" s="7">
        <f>AH26-D26</f>
        <v/>
      </c>
    </row>
    <row r="27" ht="14.5" customHeight="1" s="488">
      <c r="A27" s="500" t="n"/>
      <c r="B27" s="500" t="n"/>
      <c r="C27" s="79" t="inlineStr">
        <is>
          <t>DG</t>
        </is>
      </c>
      <c r="D27" s="7" t="n">
        <v>557</v>
      </c>
      <c r="E27" s="561" t="n">
        <v>570</v>
      </c>
      <c r="F27" s="561" t="n">
        <v>570</v>
      </c>
      <c r="G27" s="5" t="n">
        <v>620</v>
      </c>
      <c r="H27" s="5" t="n">
        <v>620</v>
      </c>
      <c r="I27" s="561" t="n">
        <v>646</v>
      </c>
      <c r="J27" s="561" t="n">
        <v>646</v>
      </c>
      <c r="K27" s="561" t="n">
        <v>646</v>
      </c>
      <c r="L27" s="561" t="n">
        <v>646</v>
      </c>
      <c r="M27" s="561" t="n">
        <v>646</v>
      </c>
      <c r="N27" s="561" t="n">
        <v>646</v>
      </c>
      <c r="O27" s="561" t="n">
        <v>703</v>
      </c>
      <c r="P27" s="561" t="n">
        <v>716</v>
      </c>
      <c r="Q27" s="561" t="n">
        <v>758</v>
      </c>
      <c r="R27" s="561" t="n">
        <v>804</v>
      </c>
      <c r="S27" s="561" t="n">
        <v>804</v>
      </c>
      <c r="T27" s="561" t="n">
        <v>804</v>
      </c>
      <c r="U27" s="561" t="n">
        <v>807</v>
      </c>
      <c r="V27" s="561" t="n">
        <v>847</v>
      </c>
      <c r="W27" s="561" t="n">
        <v>881</v>
      </c>
      <c r="X27" s="561" t="n">
        <v>881</v>
      </c>
      <c r="Y27" s="561" t="n">
        <v>881</v>
      </c>
      <c r="Z27" s="561" t="n">
        <v>881</v>
      </c>
      <c r="AA27" s="561" t="n">
        <v>881</v>
      </c>
      <c r="AB27" s="561" t="n">
        <v>887</v>
      </c>
      <c r="AC27" s="561" t="n">
        <v>887</v>
      </c>
      <c r="AD27" s="561" t="n">
        <v>887</v>
      </c>
      <c r="AE27" s="8" t="n">
        <v>887</v>
      </c>
      <c r="AF27" s="8" t="n">
        <v>901</v>
      </c>
      <c r="AG27" s="8" t="n">
        <v>903</v>
      </c>
      <c r="AH27" s="8" t="n">
        <v>903</v>
      </c>
      <c r="AI27" s="7">
        <f>AH27-D27</f>
        <v/>
      </c>
    </row>
    <row r="28" ht="14.5" customHeight="1" s="488">
      <c r="A28" s="500" t="n">
        <v>3</v>
      </c>
      <c r="B28" s="500" t="inlineStr">
        <is>
          <t>3F</t>
        </is>
      </c>
      <c r="C28" s="500" t="inlineStr">
        <is>
          <t>AHU3</t>
        </is>
      </c>
      <c r="D28" s="7" t="n">
        <v>6422</v>
      </c>
      <c r="E28" s="561" t="n">
        <v>6497</v>
      </c>
      <c r="F28" s="561" t="n">
        <v>6497</v>
      </c>
      <c r="G28" s="561" t="n">
        <v>6570</v>
      </c>
      <c r="H28" s="561" t="n">
        <v>6701</v>
      </c>
      <c r="I28" s="561" t="n">
        <v>6788</v>
      </c>
      <c r="J28" s="561" t="n">
        <v>6912</v>
      </c>
      <c r="K28" s="561" t="n">
        <v>7034</v>
      </c>
      <c r="L28" s="561" t="n">
        <v>7096</v>
      </c>
      <c r="M28" s="561" t="n">
        <v>7096</v>
      </c>
      <c r="N28" s="561" t="n">
        <v>7251</v>
      </c>
      <c r="O28" s="561" t="n">
        <v>7272</v>
      </c>
      <c r="P28" s="561" t="n">
        <v>7372</v>
      </c>
      <c r="Q28" s="561" t="n">
        <v>7436</v>
      </c>
      <c r="R28" s="561" t="n">
        <v>7492</v>
      </c>
      <c r="S28" s="561" t="n">
        <v>7555</v>
      </c>
      <c r="T28" s="561" t="n">
        <v>7555</v>
      </c>
      <c r="U28" s="561" t="n">
        <v>7615</v>
      </c>
      <c r="V28" s="561" t="n">
        <v>7688</v>
      </c>
      <c r="W28" s="561" t="n">
        <v>7776</v>
      </c>
      <c r="X28" s="561" t="n">
        <v>7943</v>
      </c>
      <c r="Y28" s="561" t="n">
        <v>8026</v>
      </c>
      <c r="Z28" s="561" t="n">
        <v>8078</v>
      </c>
      <c r="AA28" s="561" t="n">
        <v>8078</v>
      </c>
      <c r="AB28" s="561" t="n">
        <v>8230</v>
      </c>
      <c r="AC28" s="561" t="n">
        <v>8287</v>
      </c>
      <c r="AD28" s="561" t="n">
        <v>8496</v>
      </c>
      <c r="AE28" s="561" t="n">
        <v>8611</v>
      </c>
      <c r="AF28" s="561" t="n">
        <v>8709</v>
      </c>
      <c r="AG28" s="561" t="n">
        <v>8764</v>
      </c>
      <c r="AH28" s="561" t="n">
        <v>8764</v>
      </c>
      <c r="AI28" s="7">
        <f>AH28-D28</f>
        <v/>
      </c>
    </row>
    <row r="29" ht="14.5" customHeight="1" s="488">
      <c r="A29" s="500" t="n"/>
      <c r="B29" s="500" t="n"/>
      <c r="C29" s="79" t="inlineStr">
        <is>
          <t>DG</t>
        </is>
      </c>
      <c r="D29" s="7" t="n">
        <v>513</v>
      </c>
      <c r="E29" s="561" t="n">
        <v>526</v>
      </c>
      <c r="F29" s="561" t="n">
        <v>526</v>
      </c>
      <c r="G29" s="561" t="n">
        <v>580</v>
      </c>
      <c r="H29" s="561" t="n">
        <v>580</v>
      </c>
      <c r="I29" s="561" t="n">
        <v>611</v>
      </c>
      <c r="J29" s="561" t="n">
        <v>611</v>
      </c>
      <c r="K29" s="561" t="n">
        <v>611</v>
      </c>
      <c r="L29" s="561" t="n">
        <v>611</v>
      </c>
      <c r="M29" s="561" t="n">
        <v>611</v>
      </c>
      <c r="N29" s="561" t="n">
        <v>611</v>
      </c>
      <c r="O29" s="561" t="n">
        <v>611</v>
      </c>
      <c r="P29" s="561" t="n">
        <v>698</v>
      </c>
      <c r="Q29" s="561" t="n">
        <v>748</v>
      </c>
      <c r="R29" s="561" t="n">
        <v>805</v>
      </c>
      <c r="S29" s="561" t="n">
        <v>805</v>
      </c>
      <c r="T29" s="561" t="n">
        <v>805</v>
      </c>
      <c r="U29" s="561" t="n">
        <v>821</v>
      </c>
      <c r="V29" s="561" t="n">
        <v>862</v>
      </c>
      <c r="W29" s="561" t="n">
        <v>898</v>
      </c>
      <c r="X29" s="561" t="n">
        <v>898</v>
      </c>
      <c r="Y29" s="561" t="n">
        <v>898</v>
      </c>
      <c r="Z29" s="561" t="n">
        <v>898</v>
      </c>
      <c r="AA29" s="561" t="n">
        <v>898</v>
      </c>
      <c r="AB29" s="561" t="n">
        <v>905</v>
      </c>
      <c r="AC29" s="561" t="n">
        <v>905</v>
      </c>
      <c r="AD29" s="561" t="n">
        <v>905</v>
      </c>
      <c r="AE29" s="561" t="n">
        <v>905</v>
      </c>
      <c r="AF29" s="561" t="n">
        <v>920</v>
      </c>
      <c r="AG29" s="561" t="n">
        <v>923</v>
      </c>
      <c r="AH29" s="8" t="n">
        <v>923</v>
      </c>
      <c r="AI29" s="7">
        <f>AH29-D29</f>
        <v/>
      </c>
    </row>
    <row r="30" ht="14.5" customHeight="1" s="488">
      <c r="A30" s="500" t="n">
        <v>4</v>
      </c>
      <c r="B30" s="500" t="inlineStr">
        <is>
          <t>3F</t>
        </is>
      </c>
      <c r="C30" s="500" t="inlineStr">
        <is>
          <t>AHU4</t>
        </is>
      </c>
      <c r="D30" s="7" t="n">
        <v>6551</v>
      </c>
      <c r="E30" s="561" t="n">
        <v>6630</v>
      </c>
      <c r="F30" s="561" t="n">
        <v>6630</v>
      </c>
      <c r="G30" s="561" t="n">
        <v>6692</v>
      </c>
      <c r="H30" s="561" t="n">
        <v>6793</v>
      </c>
      <c r="I30" s="561" t="n">
        <v>6868</v>
      </c>
      <c r="J30" s="561" t="n">
        <v>6978</v>
      </c>
      <c r="K30" s="561" t="n">
        <v>7085</v>
      </c>
      <c r="L30" s="561" t="n">
        <v>7139</v>
      </c>
      <c r="M30" s="561" t="n">
        <v>7139</v>
      </c>
      <c r="N30" s="561" t="n">
        <v>7243</v>
      </c>
      <c r="O30" s="561" t="n">
        <v>7292</v>
      </c>
      <c r="P30" s="561" t="n">
        <v>7377</v>
      </c>
      <c r="Q30" s="561" t="n">
        <v>7433</v>
      </c>
      <c r="R30" s="561" t="n">
        <v>7480</v>
      </c>
      <c r="S30" s="561" t="n">
        <v>7530</v>
      </c>
      <c r="T30" s="561" t="n">
        <v>7530</v>
      </c>
      <c r="U30" s="561" t="n">
        <v>7545</v>
      </c>
      <c r="V30" s="561" t="n">
        <v>7616</v>
      </c>
      <c r="W30" s="561" t="n">
        <v>7693</v>
      </c>
      <c r="X30" s="561" t="n">
        <v>7802</v>
      </c>
      <c r="Y30" s="561" t="n">
        <v>7919</v>
      </c>
      <c r="Z30" s="561" t="n">
        <v>7986</v>
      </c>
      <c r="AA30" s="561" t="n">
        <v>7986</v>
      </c>
      <c r="AB30" s="561" t="n">
        <v>8095</v>
      </c>
      <c r="AC30" s="561" t="n">
        <v>8214</v>
      </c>
      <c r="AD30" s="561" t="n">
        <v>8327</v>
      </c>
      <c r="AE30" s="561" t="n">
        <v>8430</v>
      </c>
      <c r="AF30" s="561" t="n">
        <v>8530</v>
      </c>
      <c r="AG30" s="561" t="n">
        <v>8579</v>
      </c>
      <c r="AH30" s="8" t="n">
        <v>8579</v>
      </c>
      <c r="AI30" s="7">
        <f>AH30-D30</f>
        <v/>
      </c>
    </row>
    <row r="31" ht="14.5" customHeight="1" s="488">
      <c r="A31" s="500" t="n"/>
      <c r="B31" s="500" t="n"/>
      <c r="C31" s="529" t="inlineStr">
        <is>
          <t>DG</t>
        </is>
      </c>
      <c r="D31" s="31" t="n">
        <v>451</v>
      </c>
      <c r="E31" s="500" t="n">
        <v>462</v>
      </c>
      <c r="F31" s="500" t="n">
        <v>462</v>
      </c>
      <c r="G31" s="500" t="n">
        <v>508</v>
      </c>
      <c r="H31" s="500" t="n">
        <v>508</v>
      </c>
      <c r="I31" s="500" t="n">
        <v>535</v>
      </c>
      <c r="J31" s="500" t="n">
        <v>535</v>
      </c>
      <c r="K31" s="500" t="n">
        <v>535</v>
      </c>
      <c r="L31" s="500" t="n">
        <v>535</v>
      </c>
      <c r="M31" s="500" t="n">
        <v>535</v>
      </c>
      <c r="N31" s="500" t="n">
        <v>535</v>
      </c>
      <c r="O31" s="500" t="n">
        <v>596</v>
      </c>
      <c r="P31" s="500" t="n">
        <v>609</v>
      </c>
      <c r="Q31" s="500" t="n">
        <v>651</v>
      </c>
      <c r="R31" s="500" t="n">
        <v>698</v>
      </c>
      <c r="S31" s="500" t="n">
        <v>698</v>
      </c>
      <c r="T31" s="500" t="n">
        <v>698</v>
      </c>
      <c r="U31" s="500" t="n">
        <v>701</v>
      </c>
      <c r="V31" s="500" t="n">
        <v>748</v>
      </c>
      <c r="W31" s="500" t="n">
        <v>779</v>
      </c>
      <c r="X31" s="500" t="n">
        <v>779</v>
      </c>
      <c r="Y31" s="500" t="n">
        <v>779</v>
      </c>
      <c r="Z31" s="500" t="n">
        <v>779</v>
      </c>
      <c r="AA31" s="500" t="n">
        <v>779</v>
      </c>
      <c r="AB31" s="500" t="n">
        <v>782</v>
      </c>
      <c r="AC31" s="500" t="n">
        <v>782</v>
      </c>
      <c r="AD31" s="500" t="n">
        <v>782</v>
      </c>
      <c r="AE31" s="500" t="n">
        <v>782</v>
      </c>
      <c r="AF31" s="500" t="n">
        <v>782</v>
      </c>
      <c r="AG31" s="500" t="n">
        <v>782</v>
      </c>
      <c r="AH31" s="500" t="n">
        <v>782</v>
      </c>
      <c r="AI31" s="7">
        <f>AH31-D31</f>
        <v/>
      </c>
    </row>
    <row r="32" ht="14.5" customHeight="1" s="488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01" t="n"/>
    </row>
    <row r="33" ht="14.5" customHeight="1" s="488">
      <c r="A33" s="500" t="n">
        <v>1</v>
      </c>
      <c r="B33" s="500" t="inlineStr">
        <is>
          <t>3F</t>
        </is>
      </c>
      <c r="C33" s="500" t="inlineStr">
        <is>
          <t>AHU1 - BTU</t>
        </is>
      </c>
      <c r="D33" s="12" t="n">
        <v>62776</v>
      </c>
      <c r="E33" s="10" t="n">
        <v>63415.3</v>
      </c>
      <c r="F33" s="10" t="n">
        <v>63415.3</v>
      </c>
      <c r="G33" s="10" t="n">
        <v>64687.43</v>
      </c>
      <c r="H33" s="10" t="n">
        <v>65634.89</v>
      </c>
      <c r="I33" s="10" t="n">
        <v>66522.39999999999</v>
      </c>
      <c r="J33" s="10" t="n">
        <v>67373.61</v>
      </c>
      <c r="K33" s="10" t="n">
        <v>68037.21000000001</v>
      </c>
      <c r="L33" s="10" t="n">
        <v>68409.19</v>
      </c>
      <c r="M33" s="10" t="n">
        <v>68409.19</v>
      </c>
      <c r="N33" s="10" t="n">
        <v>69562.86</v>
      </c>
      <c r="O33" s="10" t="n">
        <v>70512.77</v>
      </c>
      <c r="P33" s="10" t="n">
        <v>71437.11</v>
      </c>
      <c r="Q33" s="10" t="n">
        <v>72406.66</v>
      </c>
      <c r="R33" s="11" t="n">
        <v>73361.83</v>
      </c>
      <c r="S33" s="11" t="n">
        <v>73721.98</v>
      </c>
      <c r="T33" s="11" t="n">
        <v>73721.98</v>
      </c>
      <c r="U33" s="11" t="n">
        <v>73944.72</v>
      </c>
      <c r="V33" s="11" t="n">
        <v>75322.50999999999</v>
      </c>
      <c r="W33" s="11" t="n">
        <v>76461.31</v>
      </c>
      <c r="X33" s="11" t="n">
        <v>77396.60000000001</v>
      </c>
      <c r="Y33" s="11" t="n">
        <v>78264.44</v>
      </c>
      <c r="Z33" s="11" t="n">
        <v>78656.69</v>
      </c>
      <c r="AA33" s="11" t="n">
        <v>78656.69</v>
      </c>
      <c r="AB33" s="11" t="n">
        <v>79900.67999999999</v>
      </c>
      <c r="AC33" s="11" t="n">
        <v>80881.07000000001</v>
      </c>
      <c r="AD33" s="11" t="n">
        <v>81864.67</v>
      </c>
      <c r="AE33" s="11" t="n">
        <v>82534.66</v>
      </c>
      <c r="AF33" s="11" t="n">
        <v>83015.77</v>
      </c>
      <c r="AG33" s="11" t="n">
        <v>83302.60000000001</v>
      </c>
      <c r="AH33" s="40" t="n">
        <v>83302.60000000001</v>
      </c>
      <c r="AI33" s="7">
        <f>AH33-D33</f>
        <v/>
      </c>
    </row>
    <row r="34" ht="14.5" customHeight="1" s="488">
      <c r="A34" s="500" t="n">
        <v>2</v>
      </c>
      <c r="B34" s="500" t="inlineStr">
        <is>
          <t>3F</t>
        </is>
      </c>
      <c r="C34" s="500" t="inlineStr">
        <is>
          <t>AHU2 - BTU</t>
        </is>
      </c>
      <c r="D34" s="12" t="n">
        <v>62028</v>
      </c>
      <c r="E34" s="36" t="n">
        <v>63002.02</v>
      </c>
      <c r="F34" s="36" t="n">
        <v>63002.02</v>
      </c>
      <c r="G34" s="37" t="n">
        <v>64235.15</v>
      </c>
      <c r="H34" s="10" t="n">
        <v>65387.7</v>
      </c>
      <c r="I34" s="10" t="n">
        <v>66379.89999999999</v>
      </c>
      <c r="J34" s="10" t="n">
        <v>67397.52</v>
      </c>
      <c r="K34" s="10" t="n">
        <v>68114.47</v>
      </c>
      <c r="L34" s="10" t="n">
        <v>68579.72</v>
      </c>
      <c r="M34" s="10" t="n">
        <v>68579.72</v>
      </c>
      <c r="N34" s="10" t="n">
        <v>69776</v>
      </c>
      <c r="O34" s="10" t="n">
        <v>70748.59</v>
      </c>
      <c r="P34" s="10" t="n">
        <v>71773.78</v>
      </c>
      <c r="Q34" s="10" t="n">
        <v>72813.39999999999</v>
      </c>
      <c r="R34" s="11" t="n">
        <v>73814.2</v>
      </c>
      <c r="S34" s="11" t="n">
        <v>74316.17999999999</v>
      </c>
      <c r="T34" s="11" t="n">
        <v>74316.17999999999</v>
      </c>
      <c r="U34" s="11" t="n">
        <v>74539.87</v>
      </c>
      <c r="V34" s="11" t="n">
        <v>75969.07000000001</v>
      </c>
      <c r="W34" s="11" t="n">
        <v>77218.14999999999</v>
      </c>
      <c r="X34" s="11" t="n">
        <v>78319.98</v>
      </c>
      <c r="Y34" s="11" t="n">
        <v>79132.32000000001</v>
      </c>
      <c r="Z34" s="11" t="n">
        <v>79602.03</v>
      </c>
      <c r="AA34" s="11" t="n">
        <v>79602.03</v>
      </c>
      <c r="AB34" s="11" t="n">
        <v>80744.96000000001</v>
      </c>
      <c r="AC34" s="11" t="n">
        <v>81636.5</v>
      </c>
      <c r="AD34" s="11" t="n">
        <v>82386.82000000001</v>
      </c>
      <c r="AE34" s="11" t="n">
        <v>83051.75999999999</v>
      </c>
      <c r="AF34" s="11" t="n">
        <v>83735.66</v>
      </c>
      <c r="AG34" s="11" t="n">
        <v>84127.73</v>
      </c>
      <c r="AH34" s="40" t="n">
        <v>84127.73</v>
      </c>
      <c r="AI34" s="7">
        <f>AH34-D34</f>
        <v/>
      </c>
    </row>
    <row r="35" ht="14.5" customHeight="1" s="488">
      <c r="A35" s="500" t="n">
        <v>3</v>
      </c>
      <c r="B35" s="500" t="inlineStr">
        <is>
          <t>3F</t>
        </is>
      </c>
      <c r="C35" s="500" t="inlineStr">
        <is>
          <t>AHU3 - BTU</t>
        </is>
      </c>
      <c r="D35" s="12" t="n">
        <v>59574</v>
      </c>
      <c r="E35" s="10" t="n">
        <v>60582.14</v>
      </c>
      <c r="F35" s="10" t="n">
        <v>60582.14</v>
      </c>
      <c r="G35" s="10" t="n">
        <v>62065.93</v>
      </c>
      <c r="H35" s="10" t="n">
        <v>63397.48</v>
      </c>
      <c r="I35" s="10" t="n">
        <v>64499.3</v>
      </c>
      <c r="J35" s="10" t="n">
        <v>65751.36</v>
      </c>
      <c r="K35" s="10" t="n">
        <v>66618.02</v>
      </c>
      <c r="L35" s="10" t="n">
        <v>67148.85000000001</v>
      </c>
      <c r="M35" s="10" t="n">
        <v>67148.85000000001</v>
      </c>
      <c r="N35" s="10" t="n">
        <v>68540.02</v>
      </c>
      <c r="O35" s="10" t="n">
        <v>69698.91</v>
      </c>
      <c r="P35" s="10" t="n">
        <v>70933.17999999999</v>
      </c>
      <c r="Q35" s="10" t="n">
        <v>72124.92999999999</v>
      </c>
      <c r="R35" s="10" t="n">
        <v>73346.75</v>
      </c>
      <c r="S35" s="11" t="n">
        <v>73930.92999999999</v>
      </c>
      <c r="T35" s="11" t="n">
        <v>73930.98</v>
      </c>
      <c r="U35" s="11" t="n">
        <v>74802.39999999999</v>
      </c>
      <c r="V35" s="11" t="n">
        <v>76401.81</v>
      </c>
      <c r="W35" s="11" t="n">
        <v>77931.25</v>
      </c>
      <c r="X35" s="11" t="n">
        <v>79219.38</v>
      </c>
      <c r="Y35" s="11" t="n">
        <v>80305.75</v>
      </c>
      <c r="Z35" s="11" t="n">
        <v>80966.66</v>
      </c>
      <c r="AA35" s="11" t="n">
        <v>80966.66</v>
      </c>
      <c r="AB35" s="11" t="n">
        <v>82450.55</v>
      </c>
      <c r="AC35" s="11" t="n">
        <v>83632.35000000001</v>
      </c>
      <c r="AD35" s="11" t="n">
        <v>84643.13</v>
      </c>
      <c r="AE35" s="11" t="n">
        <v>85751.11</v>
      </c>
      <c r="AF35" s="11" t="n">
        <v>86631.89999999999</v>
      </c>
      <c r="AG35" s="11" t="n">
        <v>87129.60000000001</v>
      </c>
      <c r="AH35" s="40" t="n">
        <v>87129.60000000001</v>
      </c>
      <c r="AI35" s="7">
        <f>AH35-D35</f>
        <v/>
      </c>
    </row>
    <row r="36" ht="14.5" customHeight="1" s="488">
      <c r="A36" s="500" t="n">
        <v>4</v>
      </c>
      <c r="B36" s="500" t="inlineStr">
        <is>
          <t>3F</t>
        </is>
      </c>
      <c r="C36" s="500" t="inlineStr">
        <is>
          <t>AHU4 - BTU</t>
        </is>
      </c>
      <c r="D36" s="12" t="n">
        <v>77455</v>
      </c>
      <c r="E36" s="10" t="n">
        <v>78394.88</v>
      </c>
      <c r="F36" s="10" t="n">
        <v>78394.88</v>
      </c>
      <c r="G36" s="10" t="n">
        <v>79937.10000000001</v>
      </c>
      <c r="H36" s="10" t="n">
        <v>81217.59</v>
      </c>
      <c r="I36" s="10" t="n">
        <v>82374.16</v>
      </c>
      <c r="J36" s="10" t="n">
        <v>83373.36</v>
      </c>
      <c r="K36" s="10" t="n">
        <v>84215</v>
      </c>
      <c r="L36" s="10" t="n">
        <v>84687.52</v>
      </c>
      <c r="M36" s="10" t="n">
        <v>84687.52</v>
      </c>
      <c r="N36" s="10" t="n">
        <v>86124.02</v>
      </c>
      <c r="O36" s="10" t="n">
        <v>87339.08</v>
      </c>
      <c r="P36" s="10" t="n">
        <v>88509.81</v>
      </c>
      <c r="Q36" s="10" t="n">
        <v>89616.66</v>
      </c>
      <c r="R36" s="11" t="n">
        <v>90758.28999999999</v>
      </c>
      <c r="S36" s="11" t="n">
        <v>91225.50999999999</v>
      </c>
      <c r="T36" s="11" t="n">
        <v>91225.50999999999</v>
      </c>
      <c r="U36" s="11" t="n">
        <v>91587.2</v>
      </c>
      <c r="V36" s="11" t="n">
        <v>92879.84</v>
      </c>
      <c r="W36" s="11" t="n">
        <v>94492.89999999999</v>
      </c>
      <c r="X36" s="11" t="n">
        <v>95697.21000000001</v>
      </c>
      <c r="Y36" s="11" t="n">
        <v>96783.14999999999</v>
      </c>
      <c r="Z36" s="11" t="n">
        <v>97280.16</v>
      </c>
      <c r="AA36" s="11" t="n">
        <v>97280.16</v>
      </c>
      <c r="AB36" s="11" t="n">
        <v>98756.31</v>
      </c>
      <c r="AC36" s="11" t="n">
        <v>100013.38</v>
      </c>
      <c r="AD36" s="11" t="n">
        <v>101081.27</v>
      </c>
      <c r="AE36" s="11" t="n">
        <v>102125.13</v>
      </c>
      <c r="AF36" s="11" t="n">
        <v>103048.49</v>
      </c>
      <c r="AG36" s="11" t="n">
        <v>103444.13</v>
      </c>
      <c r="AH36" s="40" t="n">
        <v>103444.13</v>
      </c>
      <c r="AI36" s="7">
        <f>AH36-D36</f>
        <v/>
      </c>
    </row>
    <row r="37">
      <c r="D37" s="106" t="n"/>
      <c r="E37" s="90" t="n"/>
      <c r="AD37" s="76" t="n"/>
    </row>
    <row r="38" ht="13" customHeight="1" s="488">
      <c r="A38" s="91" t="n"/>
      <c r="B38" s="92" t="n"/>
      <c r="C38" s="92" t="n"/>
      <c r="D38" s="107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  <c r="AB38" s="91" t="n"/>
      <c r="AC38" s="91" t="n"/>
      <c r="AD38" s="91" t="n"/>
      <c r="AE38" s="91" t="n"/>
      <c r="AF38" s="91" t="n"/>
      <c r="AG38" s="91" t="n"/>
      <c r="AH38" s="91" t="n"/>
      <c r="AI38" s="91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95">
        <f>AG3</f>
        <v/>
      </c>
      <c r="AH41" s="95">
        <f>AH3</f>
        <v/>
      </c>
      <c r="AI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96">
        <f>AG4</f>
        <v/>
      </c>
      <c r="AH42" s="96">
        <f>AH4</f>
        <v/>
      </c>
      <c r="AI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97" t="inlineStr">
        <is>
          <t>Time</t>
        </is>
      </c>
      <c r="AH43" s="97" t="inlineStr">
        <is>
          <t>Time</t>
        </is>
      </c>
      <c r="AI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98" t="n">
        <v>0.3333333333333333</v>
      </c>
      <c r="AH44" s="98" t="n">
        <v>0.3333333333333333</v>
      </c>
      <c r="AI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1">
        <f>SUM(E45:AH45)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1">
        <f>SUM(E46:AH46)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1">
        <f>SUM(E47:AH47)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1">
        <f>SUM(E48:AH48)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1">
        <f>SUM(E49:AH49)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1">
        <f>SUM(E50:AH50)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1">
        <f>SUM(E51:AH51)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1">
        <f>SUM(E52:AH52)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1">
        <f>SUM(E53:AH53)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105">
        <f>SUM(E54:AH54)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105">
        <f>SUM(E55:AH55)</f>
        <v/>
      </c>
      <c r="AJ55" s="115" t="inlineStr">
        <is>
          <t>EB</t>
        </is>
      </c>
      <c r="AK55" s="116">
        <f>AI61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105">
        <f>SUM(E56:AH56)</f>
        <v/>
      </c>
      <c r="AJ56" s="115" t="inlineStr">
        <is>
          <t>AHU</t>
        </is>
      </c>
      <c r="AK56" s="116">
        <f>AI74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1">
        <f>SUM(E57:AH57)</f>
        <v/>
      </c>
      <c r="AJ57" s="116" t="inlineStr">
        <is>
          <t>BTU</t>
        </is>
      </c>
      <c r="AK57" s="115">
        <f>AI80/2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1">
        <f>SUM(E58:AH58)</f>
        <v/>
      </c>
      <c r="AJ58" s="115" t="inlineStr">
        <is>
          <t>DG</t>
        </is>
      </c>
      <c r="AK58" s="116">
        <f>AI62+AI75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105">
        <f>SUM(E59:AH59)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105">
        <f>SUM(E60:AH60)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111">
        <f>SUM(E61:AH61)</f>
        <v/>
      </c>
    </row>
    <row r="62" ht="15" customHeight="1" s="488">
      <c r="A62" s="99" t="n"/>
      <c r="B62" s="99" t="n"/>
      <c r="C62" s="63" t="inlineStr">
        <is>
          <t>Total Power- DG</t>
        </is>
      </c>
      <c r="D62" s="158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111">
        <f>SUM(E62:AH62)</f>
        <v/>
      </c>
      <c r="AK62" s="78" t="n"/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E63+F61</f>
        <v/>
      </c>
      <c r="G63" s="102">
        <f>F63+G61</f>
        <v/>
      </c>
      <c r="H63" s="102">
        <f>G63+H61</f>
        <v/>
      </c>
      <c r="I63" s="102">
        <f>H63+I61</f>
        <v/>
      </c>
      <c r="J63" s="102">
        <f>I63+J61</f>
        <v/>
      </c>
      <c r="K63" s="102">
        <f>J63+K61</f>
        <v/>
      </c>
      <c r="L63" s="102">
        <f>K63+L61</f>
        <v/>
      </c>
      <c r="M63" s="102">
        <f>L63+M61</f>
        <v/>
      </c>
      <c r="N63" s="102">
        <f>M63+N61</f>
        <v/>
      </c>
      <c r="O63" s="102">
        <f>N63+O61</f>
        <v/>
      </c>
      <c r="P63" s="102">
        <f>O63+P61</f>
        <v/>
      </c>
      <c r="Q63" s="102">
        <f>P63+Q61</f>
        <v/>
      </c>
      <c r="R63" s="102">
        <f>Q63+R61</f>
        <v/>
      </c>
      <c r="S63" s="102">
        <f>R63+S61</f>
        <v/>
      </c>
      <c r="T63" s="102">
        <f>S63+T61</f>
        <v/>
      </c>
      <c r="U63" s="102">
        <f>T63+U61</f>
        <v/>
      </c>
      <c r="V63" s="102">
        <f>U63+V61</f>
        <v/>
      </c>
      <c r="W63" s="102">
        <f>V63+W61</f>
        <v/>
      </c>
      <c r="X63" s="102">
        <f>W63+X61</f>
        <v/>
      </c>
      <c r="Y63" s="102">
        <f>X63+Y61</f>
        <v/>
      </c>
      <c r="Z63" s="102">
        <f>Y63+Z61</f>
        <v/>
      </c>
      <c r="AA63" s="102">
        <f>Z63+AA61</f>
        <v/>
      </c>
      <c r="AB63" s="102">
        <f>AA63+AB61</f>
        <v/>
      </c>
      <c r="AC63" s="102">
        <f>AB63+AC61</f>
        <v/>
      </c>
      <c r="AD63" s="102">
        <f>AC63+AD61</f>
        <v/>
      </c>
      <c r="AE63" s="102">
        <f>AD63+AE61</f>
        <v/>
      </c>
      <c r="AF63" s="102">
        <f>AE63+AF61</f>
        <v/>
      </c>
      <c r="AG63" s="102">
        <f>AF63+AG61</f>
        <v/>
      </c>
      <c r="AH63" s="102">
        <f>AG63+AH61</f>
        <v/>
      </c>
      <c r="AI63" s="102">
        <f>AG63+AI61</f>
        <v/>
      </c>
    </row>
    <row r="64" ht="13" customHeight="1" s="488">
      <c r="A64" s="94" t="n"/>
      <c r="B64" s="534" t="n"/>
      <c r="C64" s="534" t="n"/>
      <c r="D64" s="109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</row>
    <row r="65" ht="14.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SUM(E66:AH66)</f>
        <v/>
      </c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SUM(E67:AH67)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SUM(E68:AH68)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SUM(E69:AH69)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SUM(E70:AH70)</f>
        <v/>
      </c>
      <c r="AJ70" s="78" t="n"/>
      <c r="AK70" s="78" t="n"/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SUM(E71:AH71)</f>
        <v/>
      </c>
      <c r="AJ71" s="78" t="n"/>
      <c r="AK71" s="78" t="n"/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SUM(E72:AH72)</f>
        <v/>
      </c>
      <c r="AK72" s="78" t="n"/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SUM(E73:AH73)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4">
        <f>SUM(E74:AH74)</f>
        <v/>
      </c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4">
        <f>SUM(E75:AH75)</f>
        <v/>
      </c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SUM(E76:AH76)</f>
        <v/>
      </c>
      <c r="AJ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SUM(E77:AH77)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SUM(E78:AH78)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SUM(E79:AH79)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4">
        <f>SUM(AI76:AI79)</f>
        <v/>
      </c>
    </row>
  </sheetData>
  <mergeCells count="49">
    <mergeCell ref="C77:D77"/>
    <mergeCell ref="C68:D68"/>
    <mergeCell ref="C58:D58"/>
    <mergeCell ref="B3:B6"/>
    <mergeCell ref="C45:D45"/>
    <mergeCell ref="C74:D74"/>
    <mergeCell ref="B39:D39"/>
    <mergeCell ref="C79:D79"/>
    <mergeCell ref="C73:D73"/>
    <mergeCell ref="C47:D47"/>
    <mergeCell ref="C54:D54"/>
    <mergeCell ref="C63:D63"/>
    <mergeCell ref="C65:D65"/>
    <mergeCell ref="B40:D40"/>
    <mergeCell ref="A41:A44"/>
    <mergeCell ref="A3:A6"/>
    <mergeCell ref="C75:D75"/>
    <mergeCell ref="C50:D50"/>
    <mergeCell ref="C55:D55"/>
    <mergeCell ref="C80:D80"/>
    <mergeCell ref="E2:AH2"/>
    <mergeCell ref="C56:D56"/>
    <mergeCell ref="C59:D59"/>
    <mergeCell ref="C46:D46"/>
    <mergeCell ref="C60:D60"/>
    <mergeCell ref="C51:D51"/>
    <mergeCell ref="C76:D76"/>
    <mergeCell ref="C71:D71"/>
    <mergeCell ref="D3:D6"/>
    <mergeCell ref="C61:D61"/>
    <mergeCell ref="AI3:AI6"/>
    <mergeCell ref="AI41:AI44"/>
    <mergeCell ref="C70:D70"/>
    <mergeCell ref="C52:D52"/>
    <mergeCell ref="C48:D48"/>
    <mergeCell ref="A32:AI32"/>
    <mergeCell ref="C67:D67"/>
    <mergeCell ref="C72:D72"/>
    <mergeCell ref="C57:D57"/>
    <mergeCell ref="A23:AI23"/>
    <mergeCell ref="C3:C6"/>
    <mergeCell ref="C66:D66"/>
    <mergeCell ref="C41:D44"/>
    <mergeCell ref="A2:D2"/>
    <mergeCell ref="C53:D53"/>
    <mergeCell ref="B41:B44"/>
    <mergeCell ref="C78:D78"/>
    <mergeCell ref="C69:D69"/>
    <mergeCell ref="C49:D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N80"/>
  <sheetViews>
    <sheetView topLeftCell="Y50" zoomScale="91" workbookViewId="0">
      <selection activeCell="A22" sqref="A22:AJ22"/>
    </sheetView>
  </sheetViews>
  <sheetFormatPr baseColWidth="8" defaultRowHeight="14.5"/>
  <cols>
    <col width="14" customWidth="1" style="488" min="1" max="1"/>
    <col width="27" customWidth="1" style="488" min="2" max="2"/>
    <col width="32" bestFit="1" customWidth="1" style="47" min="3" max="3"/>
    <col width="20" bestFit="1" customWidth="1" style="488" min="4" max="4"/>
    <col width="23" customWidth="1" style="488" min="5" max="15"/>
    <col width="23" bestFit="1" customWidth="1" style="488" min="16" max="17"/>
    <col width="23" customWidth="1" style="488" min="18" max="22"/>
    <col width="23" bestFit="1" customWidth="1" style="488" min="23" max="24"/>
    <col width="23" customWidth="1" style="488" min="25" max="25"/>
    <col width="23" bestFit="1" customWidth="1" style="488" min="26" max="27"/>
    <col width="23" customWidth="1" style="488" min="28" max="29"/>
    <col width="23" bestFit="1" customWidth="1" style="488" min="30" max="30"/>
    <col width="23" customWidth="1" style="488" min="31" max="31"/>
    <col width="23" bestFit="1" customWidth="1" style="488" min="32" max="32"/>
    <col width="23" customWidth="1" style="488" min="33" max="33"/>
    <col width="23" bestFit="1" customWidth="1" style="488" min="34" max="35"/>
    <col width="18" bestFit="1" customWidth="1" style="488" min="36" max="36"/>
    <col width="18" customWidth="1" style="488" min="37" max="38"/>
    <col width="14" customWidth="1" style="488" min="39" max="40"/>
  </cols>
  <sheetData>
    <row r="2" ht="16.5" customHeight="1" s="488">
      <c r="A2" s="527" t="n"/>
      <c r="B2" s="505" t="n"/>
      <c r="C2" s="505" t="n"/>
      <c r="D2" s="506" t="n"/>
      <c r="E2" s="504" t="inlineStr">
        <is>
          <t>July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5" t="n"/>
      <c r="AI2" s="506" t="n"/>
      <c r="AJ2" s="50" t="n"/>
    </row>
    <row r="3">
      <c r="A3" s="508" t="inlineStr">
        <is>
          <t>Sr.No</t>
        </is>
      </c>
      <c r="B3" s="508" t="inlineStr">
        <is>
          <t>Location</t>
        </is>
      </c>
      <c r="C3" s="508" t="inlineStr">
        <is>
          <t>Meter</t>
        </is>
      </c>
      <c r="D3" s="521" t="inlineStr">
        <is>
          <t>Previous Reading</t>
        </is>
      </c>
      <c r="E3" s="51" t="n">
        <v>45474</v>
      </c>
      <c r="F3" s="51" t="n">
        <v>45475</v>
      </c>
      <c r="G3" s="51" t="n">
        <v>45476</v>
      </c>
      <c r="H3" s="51" t="n">
        <v>45477</v>
      </c>
      <c r="I3" s="51" t="n">
        <v>45478</v>
      </c>
      <c r="J3" s="51" t="n">
        <v>45479</v>
      </c>
      <c r="K3" s="51" t="n">
        <v>45480</v>
      </c>
      <c r="L3" s="51" t="n">
        <v>45481</v>
      </c>
      <c r="M3" s="51" t="n">
        <v>45482</v>
      </c>
      <c r="N3" s="51" t="n">
        <v>45483</v>
      </c>
      <c r="O3" s="51" t="n">
        <v>45484</v>
      </c>
      <c r="P3" s="51" t="n">
        <v>45485</v>
      </c>
      <c r="Q3" s="51" t="n">
        <v>45486</v>
      </c>
      <c r="R3" s="51" t="n">
        <v>45487</v>
      </c>
      <c r="S3" s="51" t="n">
        <v>45488</v>
      </c>
      <c r="T3" s="51" t="n">
        <v>45489</v>
      </c>
      <c r="U3" s="51" t="n">
        <v>45490</v>
      </c>
      <c r="V3" s="51" t="n">
        <v>45491</v>
      </c>
      <c r="W3" s="51" t="n">
        <v>45492</v>
      </c>
      <c r="X3" s="51" t="n">
        <v>45493</v>
      </c>
      <c r="Y3" s="51" t="n">
        <v>45494</v>
      </c>
      <c r="Z3" s="51" t="n">
        <v>45495</v>
      </c>
      <c r="AA3" s="51" t="n">
        <v>45496</v>
      </c>
      <c r="AB3" s="51" t="n">
        <v>45497</v>
      </c>
      <c r="AC3" s="51" t="n">
        <v>45498</v>
      </c>
      <c r="AD3" s="51" t="n">
        <v>45499</v>
      </c>
      <c r="AE3" s="51" t="n">
        <v>45500</v>
      </c>
      <c r="AF3" s="51" t="n">
        <v>45501</v>
      </c>
      <c r="AG3" s="51" t="n">
        <v>45502</v>
      </c>
      <c r="AH3" s="51" t="n">
        <v>45503</v>
      </c>
      <c r="AI3" s="51" t="n">
        <v>45504</v>
      </c>
      <c r="AJ3" s="518" t="inlineStr">
        <is>
          <t>Consumption</t>
        </is>
      </c>
    </row>
    <row r="4">
      <c r="A4" s="509" t="n"/>
      <c r="B4" s="509" t="n"/>
      <c r="C4" s="509" t="n"/>
      <c r="D4" s="509" t="n"/>
      <c r="E4" s="52" t="inlineStr">
        <is>
          <t>Mon</t>
        </is>
      </c>
      <c r="F4" s="52" t="inlineStr">
        <is>
          <t>Tue</t>
        </is>
      </c>
      <c r="G4" s="52" t="inlineStr">
        <is>
          <t>Wed</t>
        </is>
      </c>
      <c r="H4" s="52" t="inlineStr">
        <is>
          <t>Thu</t>
        </is>
      </c>
      <c r="I4" s="52" t="inlineStr">
        <is>
          <t>Fri</t>
        </is>
      </c>
      <c r="J4" s="52" t="inlineStr">
        <is>
          <t>Sat</t>
        </is>
      </c>
      <c r="K4" s="52" t="inlineStr">
        <is>
          <t>Sun</t>
        </is>
      </c>
      <c r="L4" s="52" t="inlineStr">
        <is>
          <t>Mon</t>
        </is>
      </c>
      <c r="M4" s="52" t="inlineStr">
        <is>
          <t>Tue</t>
        </is>
      </c>
      <c r="N4" s="52" t="inlineStr">
        <is>
          <t>Wed</t>
        </is>
      </c>
      <c r="O4" s="52" t="inlineStr">
        <is>
          <t>Thu</t>
        </is>
      </c>
      <c r="P4" s="52" t="inlineStr">
        <is>
          <t>Fri</t>
        </is>
      </c>
      <c r="Q4" s="52" t="inlineStr">
        <is>
          <t>Sat</t>
        </is>
      </c>
      <c r="R4" s="52" t="inlineStr">
        <is>
          <t>Sun</t>
        </is>
      </c>
      <c r="S4" s="52" t="inlineStr">
        <is>
          <t>Mon</t>
        </is>
      </c>
      <c r="T4" s="52" t="inlineStr">
        <is>
          <t>Tue</t>
        </is>
      </c>
      <c r="U4" s="52" t="inlineStr">
        <is>
          <t>Wed</t>
        </is>
      </c>
      <c r="V4" s="52" t="inlineStr">
        <is>
          <t>Thu</t>
        </is>
      </c>
      <c r="W4" s="52" t="inlineStr">
        <is>
          <t>Fri</t>
        </is>
      </c>
      <c r="X4" s="52" t="inlineStr">
        <is>
          <t>Sat</t>
        </is>
      </c>
      <c r="Y4" s="52" t="inlineStr">
        <is>
          <t>Sun</t>
        </is>
      </c>
      <c r="Z4" s="52" t="inlineStr">
        <is>
          <t>Mon</t>
        </is>
      </c>
      <c r="AA4" s="52" t="inlineStr">
        <is>
          <t>Tue</t>
        </is>
      </c>
      <c r="AB4" s="52" t="inlineStr">
        <is>
          <t>Wed</t>
        </is>
      </c>
      <c r="AC4" s="52" t="inlineStr">
        <is>
          <t>Thu</t>
        </is>
      </c>
      <c r="AD4" s="52" t="inlineStr">
        <is>
          <t>Fri</t>
        </is>
      </c>
      <c r="AE4" s="52" t="inlineStr">
        <is>
          <t>Sat</t>
        </is>
      </c>
      <c r="AF4" s="52" t="inlineStr">
        <is>
          <t>Sun</t>
        </is>
      </c>
      <c r="AG4" s="52" t="inlineStr">
        <is>
          <t>Mon</t>
        </is>
      </c>
      <c r="AH4" s="52" t="inlineStr">
        <is>
          <t>Tue</t>
        </is>
      </c>
      <c r="AI4" s="52" t="inlineStr">
        <is>
          <t>Wed</t>
        </is>
      </c>
      <c r="AJ4" s="509" t="n"/>
    </row>
    <row r="5">
      <c r="A5" s="509" t="n"/>
      <c r="B5" s="509" t="n"/>
      <c r="C5" s="509" t="n"/>
      <c r="D5" s="509" t="n"/>
      <c r="E5" s="52" t="inlineStr">
        <is>
          <t>Time</t>
        </is>
      </c>
      <c r="F5" s="52" t="inlineStr">
        <is>
          <t>Time</t>
        </is>
      </c>
      <c r="G5" s="52" t="inlineStr">
        <is>
          <t>Time</t>
        </is>
      </c>
      <c r="H5" s="52" t="inlineStr">
        <is>
          <t>Time</t>
        </is>
      </c>
      <c r="I5" s="52" t="inlineStr">
        <is>
          <t>Time</t>
        </is>
      </c>
      <c r="J5" s="52" t="inlineStr">
        <is>
          <t>Time</t>
        </is>
      </c>
      <c r="K5" s="52" t="inlineStr">
        <is>
          <t>Time</t>
        </is>
      </c>
      <c r="L5" s="52" t="inlineStr">
        <is>
          <t>Time</t>
        </is>
      </c>
      <c r="M5" s="52" t="inlineStr">
        <is>
          <t>Time</t>
        </is>
      </c>
      <c r="N5" s="52" t="inlineStr">
        <is>
          <t>Time</t>
        </is>
      </c>
      <c r="O5" s="52" t="inlineStr">
        <is>
          <t>Time</t>
        </is>
      </c>
      <c r="P5" s="52" t="inlineStr">
        <is>
          <t>Time</t>
        </is>
      </c>
      <c r="Q5" s="52" t="inlineStr">
        <is>
          <t>Time</t>
        </is>
      </c>
      <c r="R5" s="52" t="inlineStr">
        <is>
          <t>Time</t>
        </is>
      </c>
      <c r="S5" s="52" t="inlineStr">
        <is>
          <t>Time</t>
        </is>
      </c>
      <c r="T5" s="52" t="inlineStr">
        <is>
          <t>Time</t>
        </is>
      </c>
      <c r="U5" s="52" t="inlineStr">
        <is>
          <t>Time</t>
        </is>
      </c>
      <c r="V5" s="52" t="inlineStr">
        <is>
          <t>Time</t>
        </is>
      </c>
      <c r="W5" s="52" t="inlineStr">
        <is>
          <t>Time</t>
        </is>
      </c>
      <c r="X5" s="52" t="inlineStr">
        <is>
          <t>Time</t>
        </is>
      </c>
      <c r="Y5" s="52" t="inlineStr">
        <is>
          <t>Time</t>
        </is>
      </c>
      <c r="Z5" s="52" t="inlineStr">
        <is>
          <t>Time</t>
        </is>
      </c>
      <c r="AA5" s="52" t="inlineStr">
        <is>
          <t>Time</t>
        </is>
      </c>
      <c r="AB5" s="52" t="inlineStr">
        <is>
          <t>Time</t>
        </is>
      </c>
      <c r="AC5" s="52" t="inlineStr">
        <is>
          <t>Time</t>
        </is>
      </c>
      <c r="AD5" s="52" t="inlineStr">
        <is>
          <t>Time</t>
        </is>
      </c>
      <c r="AE5" s="52" t="inlineStr">
        <is>
          <t>Time</t>
        </is>
      </c>
      <c r="AF5" s="52" t="inlineStr">
        <is>
          <t>Time</t>
        </is>
      </c>
      <c r="AG5" s="52" t="inlineStr">
        <is>
          <t>Time</t>
        </is>
      </c>
      <c r="AH5" s="52" t="inlineStr">
        <is>
          <t>Time</t>
        </is>
      </c>
      <c r="AI5" s="52" t="inlineStr">
        <is>
          <t>Time</t>
        </is>
      </c>
      <c r="AJ5" s="509" t="n"/>
    </row>
    <row r="6">
      <c r="A6" s="510" t="n"/>
      <c r="B6" s="510" t="n"/>
      <c r="C6" s="510" t="n"/>
      <c r="D6" s="510" t="n"/>
      <c r="E6" s="53" t="n">
        <v>0.3333333333333333</v>
      </c>
      <c r="F6" s="53" t="n">
        <v>0.3333333333333333</v>
      </c>
      <c r="G6" s="53" t="n">
        <v>0.3333333333333333</v>
      </c>
      <c r="H6" s="53" t="n">
        <v>0.3333333333333333</v>
      </c>
      <c r="I6" s="53" t="n">
        <v>0.3333333333333333</v>
      </c>
      <c r="J6" s="53">
        <f>#REF!=AN73</f>
        <v/>
      </c>
      <c r="K6" s="53" t="n">
        <v>0.3333333333333333</v>
      </c>
      <c r="L6" s="53" t="n">
        <v>0.3333333333333333</v>
      </c>
      <c r="M6" s="53" t="n">
        <v>0.3333333333333333</v>
      </c>
      <c r="N6" s="53" t="n">
        <v>0.3333333333333333</v>
      </c>
      <c r="O6" s="53" t="n">
        <v>0.3333333333333333</v>
      </c>
      <c r="P6" s="53" t="n">
        <v>0.3333333333333333</v>
      </c>
      <c r="Q6" s="53" t="n">
        <v>0.3333333333333333</v>
      </c>
      <c r="R6" s="53" t="n">
        <v>0.3333333333333333</v>
      </c>
      <c r="S6" s="53" t="n">
        <v>0.3333333333333333</v>
      </c>
      <c r="T6" s="53" t="n">
        <v>0.3333333333333333</v>
      </c>
      <c r="U6" s="53" t="n">
        <v>0.3333333333333333</v>
      </c>
      <c r="V6" s="53" t="n">
        <v>0.3333333333333333</v>
      </c>
      <c r="W6" s="53" t="n">
        <v>0.3333333333333333</v>
      </c>
      <c r="X6" s="53" t="n">
        <v>0.3333333333333333</v>
      </c>
      <c r="Y6" s="53" t="n">
        <v>0.3333333333333333</v>
      </c>
      <c r="Z6" s="53" t="n">
        <v>0.3333333333333333</v>
      </c>
      <c r="AA6" s="53" t="n">
        <v>0.3333333333333333</v>
      </c>
      <c r="AB6" s="53" t="n">
        <v>0.3333333333333333</v>
      </c>
      <c r="AC6" s="53" t="n">
        <v>0.3333333333333333</v>
      </c>
      <c r="AD6" s="53" t="n">
        <v>0.3333333333333333</v>
      </c>
      <c r="AE6" s="53" t="n">
        <v>0.3333333333333333</v>
      </c>
      <c r="AF6" s="53" t="n">
        <v>0.3333333333333333</v>
      </c>
      <c r="AG6" s="53" t="n">
        <v>0.3333333333333333</v>
      </c>
      <c r="AH6" s="53" t="n">
        <v>0.3333333333333333</v>
      </c>
      <c r="AI6" s="53" t="n">
        <v>0.3333333333333333</v>
      </c>
      <c r="AJ6" s="510" t="n"/>
    </row>
    <row r="7" ht="20.15" customHeight="1" s="488">
      <c r="A7" s="54" t="n">
        <v>1</v>
      </c>
      <c r="B7" s="54" t="inlineStr">
        <is>
          <t>3F</t>
        </is>
      </c>
      <c r="C7" s="54" t="inlineStr">
        <is>
          <t>SL No 540430038840 (EB Unit)</t>
        </is>
      </c>
      <c r="D7" s="55" t="n">
        <v>33984</v>
      </c>
      <c r="E7" s="48" t="n">
        <v>34325</v>
      </c>
      <c r="F7" s="48" t="n">
        <v>34584</v>
      </c>
      <c r="G7" s="56" t="n">
        <v>34840</v>
      </c>
      <c r="H7" s="56" t="n">
        <v>35100</v>
      </c>
      <c r="I7" s="48" t="n">
        <v>35331</v>
      </c>
      <c r="J7" s="48" t="n">
        <v>35537</v>
      </c>
      <c r="K7" s="48" t="n">
        <v>35740</v>
      </c>
      <c r="L7" s="48" t="n">
        <v>35959</v>
      </c>
      <c r="M7" s="48" t="n">
        <v>36232</v>
      </c>
      <c r="N7" s="48" t="n">
        <v>36449</v>
      </c>
      <c r="O7" s="48" t="n">
        <v>36753</v>
      </c>
      <c r="P7" s="48" t="n">
        <v>36947</v>
      </c>
      <c r="Q7" s="48" t="n">
        <v>37103</v>
      </c>
      <c r="R7" s="48" t="n">
        <v>37319</v>
      </c>
      <c r="S7" s="48" t="n">
        <v>37550</v>
      </c>
      <c r="T7" s="48" t="n">
        <v>37775</v>
      </c>
      <c r="U7" s="48" t="n">
        <v>37903</v>
      </c>
      <c r="V7" s="48" t="n">
        <v>38256</v>
      </c>
      <c r="W7" s="48" t="n">
        <v>38475</v>
      </c>
      <c r="X7" s="48" t="n">
        <v>38686</v>
      </c>
      <c r="Y7" s="48" t="n">
        <v>38886</v>
      </c>
      <c r="Z7" s="48" t="n">
        <v>39150</v>
      </c>
      <c r="AA7" s="48" t="n">
        <v>39390</v>
      </c>
      <c r="AB7" s="48" t="n">
        <v>39651</v>
      </c>
      <c r="AC7" s="48" t="n">
        <v>39894</v>
      </c>
      <c r="AD7" s="48" t="n">
        <v>40133</v>
      </c>
      <c r="AE7" s="48" t="n">
        <v>40341</v>
      </c>
      <c r="AF7" s="48" t="n">
        <v>40563</v>
      </c>
      <c r="AG7" s="48" t="n">
        <v>40784</v>
      </c>
      <c r="AH7" s="48" t="n">
        <v>40954</v>
      </c>
      <c r="AI7" s="48" t="n">
        <v>41074</v>
      </c>
      <c r="AJ7" s="57">
        <f>AI7-D7</f>
        <v/>
      </c>
      <c r="AK7" s="64">
        <f>SUM(AJ7,AJ9,AJ11,AJ13,AJ15,AJ17,AJ19,AJ21)</f>
        <v/>
      </c>
    </row>
    <row r="8" ht="20.15" customHeight="1" s="488">
      <c r="A8" s="49" t="n"/>
      <c r="B8" s="49" t="n"/>
      <c r="C8" s="61" t="inlineStr">
        <is>
          <t>DG</t>
        </is>
      </c>
      <c r="D8" s="45" t="n">
        <v>1753</v>
      </c>
      <c r="E8" s="8" t="n">
        <v>1793</v>
      </c>
      <c r="F8" s="8" t="n">
        <v>1793</v>
      </c>
      <c r="G8" s="8" t="n">
        <v>1793</v>
      </c>
      <c r="H8" s="8" t="n">
        <v>1793</v>
      </c>
      <c r="I8" s="8" t="n">
        <v>1800</v>
      </c>
      <c r="J8" s="8" t="n">
        <v>1818</v>
      </c>
      <c r="K8" s="8" t="n">
        <v>1835</v>
      </c>
      <c r="L8" s="8" t="n">
        <v>1866</v>
      </c>
      <c r="M8" s="6" t="n">
        <v>1866</v>
      </c>
      <c r="N8" s="8" t="n">
        <v>1917</v>
      </c>
      <c r="O8" s="8" t="n">
        <v>1930</v>
      </c>
      <c r="P8" s="8" t="n">
        <v>1979</v>
      </c>
      <c r="Q8" s="6" t="n">
        <v>2044</v>
      </c>
      <c r="R8" s="8" t="n">
        <v>2044</v>
      </c>
      <c r="S8" s="8" t="n">
        <v>2059</v>
      </c>
      <c r="T8" s="8" t="n">
        <v>2097</v>
      </c>
      <c r="U8" s="8" t="n">
        <v>2131</v>
      </c>
      <c r="V8" s="6" t="n">
        <v>2131</v>
      </c>
      <c r="W8" s="8" t="n">
        <v>2150</v>
      </c>
      <c r="X8" s="8" t="n">
        <v>2165</v>
      </c>
      <c r="Y8" s="8" t="n">
        <v>2165</v>
      </c>
      <c r="Z8" s="8" t="n">
        <v>2165</v>
      </c>
      <c r="AA8" s="8" t="n">
        <v>2177</v>
      </c>
      <c r="AB8" s="8" t="n">
        <v>2177</v>
      </c>
      <c r="AC8" s="8" t="n">
        <v>2188</v>
      </c>
      <c r="AD8" s="8" t="n">
        <v>2188</v>
      </c>
      <c r="AE8" s="8" t="n">
        <v>2190</v>
      </c>
      <c r="AF8" s="8" t="n">
        <v>2190</v>
      </c>
      <c r="AG8" s="8" t="n">
        <v>2240</v>
      </c>
      <c r="AH8" s="8" t="n">
        <v>2322</v>
      </c>
      <c r="AI8" s="8" t="n">
        <v>2322</v>
      </c>
      <c r="AJ8" s="57">
        <f>AI8-D8</f>
        <v/>
      </c>
      <c r="AK8" s="64">
        <f>SUM(AJ8,AJ10,AJ12,AJ14,AJ16,AJ18,AJ20,AJ22)</f>
        <v/>
      </c>
    </row>
    <row r="9" ht="20.15" customHeight="1" s="488">
      <c r="A9" s="500" t="n">
        <v>2</v>
      </c>
      <c r="B9" s="500" t="inlineStr">
        <is>
          <t>3F</t>
        </is>
      </c>
      <c r="C9" s="500" t="inlineStr">
        <is>
          <t>SL No 540430038845 (EB Unit)</t>
        </is>
      </c>
      <c r="D9" s="565" t="n">
        <v>1956</v>
      </c>
      <c r="E9" s="561" t="n">
        <v>1956</v>
      </c>
      <c r="F9" s="561" t="n">
        <v>1956</v>
      </c>
      <c r="G9" s="561" t="n">
        <v>1956</v>
      </c>
      <c r="H9" s="561" t="n">
        <v>1956</v>
      </c>
      <c r="I9" s="561" t="n">
        <v>1956</v>
      </c>
      <c r="J9" s="561" t="n">
        <v>1956</v>
      </c>
      <c r="K9" s="561" t="n">
        <v>1956</v>
      </c>
      <c r="L9" s="561" t="n">
        <v>1956</v>
      </c>
      <c r="M9" s="561" t="n">
        <v>1956</v>
      </c>
      <c r="N9" s="561" t="n">
        <v>1956</v>
      </c>
      <c r="O9" s="561" t="n">
        <v>1956</v>
      </c>
      <c r="P9" s="561" t="n">
        <v>1956</v>
      </c>
      <c r="Q9" s="561" t="n">
        <v>1956</v>
      </c>
      <c r="R9" s="561" t="n">
        <v>1956</v>
      </c>
      <c r="S9" s="561" t="n">
        <v>1956</v>
      </c>
      <c r="T9" s="561" t="n">
        <v>1956</v>
      </c>
      <c r="U9" s="561" t="n">
        <v>1956</v>
      </c>
      <c r="V9" s="561" t="n">
        <v>1956</v>
      </c>
      <c r="W9" s="561" t="n">
        <v>1956</v>
      </c>
      <c r="X9" s="561" t="n">
        <v>1956</v>
      </c>
      <c r="Y9" s="561" t="n">
        <v>1956</v>
      </c>
      <c r="Z9" s="561" t="n">
        <v>1956</v>
      </c>
      <c r="AA9" s="561" t="n">
        <v>1956</v>
      </c>
      <c r="AB9" s="561" t="n">
        <v>1956</v>
      </c>
      <c r="AC9" s="561" t="n">
        <v>1956</v>
      </c>
      <c r="AD9" s="561" t="n">
        <v>1956</v>
      </c>
      <c r="AE9" s="561" t="n">
        <v>1956</v>
      </c>
      <c r="AF9" s="561" t="n">
        <v>1956</v>
      </c>
      <c r="AG9" s="561" t="n">
        <v>1956</v>
      </c>
      <c r="AH9" s="561" t="n">
        <v>1956</v>
      </c>
      <c r="AI9" s="561" t="n">
        <v>1956</v>
      </c>
      <c r="AJ9" s="57">
        <f>AI9-D9</f>
        <v/>
      </c>
    </row>
    <row r="10" ht="20.15" customHeight="1" s="488">
      <c r="A10" s="500" t="n"/>
      <c r="B10" s="500" t="n"/>
      <c r="C10" s="61" t="inlineStr">
        <is>
          <t>DG</t>
        </is>
      </c>
      <c r="D10" s="45" t="n">
        <v>28.6</v>
      </c>
      <c r="E10" s="561" t="n">
        <v>28.6</v>
      </c>
      <c r="F10" s="561" t="n">
        <v>28.6</v>
      </c>
      <c r="G10" s="561" t="n">
        <v>28.6</v>
      </c>
      <c r="H10" s="561" t="n">
        <v>28.6</v>
      </c>
      <c r="I10" s="561" t="n">
        <v>28.6</v>
      </c>
      <c r="J10" s="561" t="n">
        <v>28.6</v>
      </c>
      <c r="K10" s="561" t="n">
        <v>28.6</v>
      </c>
      <c r="L10" s="561" t="n">
        <v>28.6</v>
      </c>
      <c r="M10" s="561" t="n">
        <v>28.6</v>
      </c>
      <c r="N10" s="561" t="n">
        <v>28.6</v>
      </c>
      <c r="O10" s="561" t="n">
        <v>28.6</v>
      </c>
      <c r="P10" s="561" t="n">
        <v>28.6</v>
      </c>
      <c r="Q10" s="561" t="n">
        <v>28.6</v>
      </c>
      <c r="R10" s="561" t="n">
        <v>28.6</v>
      </c>
      <c r="S10" s="561" t="n">
        <v>28.6</v>
      </c>
      <c r="T10" s="561" t="n">
        <v>28.6</v>
      </c>
      <c r="U10" s="561" t="n">
        <v>28.6</v>
      </c>
      <c r="V10" s="561" t="n">
        <v>28.6</v>
      </c>
      <c r="W10" s="561" t="n">
        <v>28.6</v>
      </c>
      <c r="X10" s="561" t="n">
        <v>28.6</v>
      </c>
      <c r="Y10" s="561" t="n">
        <v>28.6</v>
      </c>
      <c r="Z10" s="561" t="n">
        <v>28.6</v>
      </c>
      <c r="AA10" s="561" t="n">
        <v>28.6</v>
      </c>
      <c r="AB10" s="561" t="n">
        <v>28.6</v>
      </c>
      <c r="AC10" s="561" t="n">
        <v>28.6</v>
      </c>
      <c r="AD10" s="561" t="n">
        <v>28.6</v>
      </c>
      <c r="AE10" s="561" t="n">
        <v>28.6</v>
      </c>
      <c r="AF10" s="561" t="n">
        <v>28.6</v>
      </c>
      <c r="AG10" s="561" t="n">
        <v>28.6</v>
      </c>
      <c r="AH10" s="561" t="n">
        <v>28.6</v>
      </c>
      <c r="AI10" s="561" t="n">
        <v>28.6</v>
      </c>
      <c r="AJ10" s="57">
        <f>AI10-D10</f>
        <v/>
      </c>
    </row>
    <row r="11" ht="20.15" customHeight="1" s="488">
      <c r="A11" s="500" t="n">
        <v>3</v>
      </c>
      <c r="B11" s="500" t="inlineStr">
        <is>
          <t>3F</t>
        </is>
      </c>
      <c r="C11" s="500" t="inlineStr">
        <is>
          <t>SL No 540430038844 (EB Unit)</t>
        </is>
      </c>
      <c r="D11" s="45" t="n">
        <v>54227</v>
      </c>
      <c r="E11" s="561" t="n">
        <v>54698</v>
      </c>
      <c r="F11" s="561" t="n">
        <v>55071</v>
      </c>
      <c r="G11" s="561" t="n">
        <v>55397</v>
      </c>
      <c r="H11" s="561" t="n">
        <v>55806</v>
      </c>
      <c r="I11" s="561" t="n">
        <v>56139</v>
      </c>
      <c r="J11" s="561" t="n">
        <v>56404</v>
      </c>
      <c r="K11" s="561" t="n">
        <v>56666</v>
      </c>
      <c r="L11" s="561" t="n">
        <v>56981</v>
      </c>
      <c r="M11" s="561" t="n">
        <v>57374</v>
      </c>
      <c r="N11" s="561" t="n">
        <v>57683</v>
      </c>
      <c r="O11" s="561" t="n">
        <v>58011</v>
      </c>
      <c r="P11" s="561" t="n">
        <v>58281</v>
      </c>
      <c r="Q11" s="561" t="n">
        <v>58486</v>
      </c>
      <c r="R11" s="561" t="n">
        <v>58767</v>
      </c>
      <c r="S11" s="561" t="n">
        <v>59102</v>
      </c>
      <c r="T11" s="561" t="n">
        <v>59418</v>
      </c>
      <c r="U11" s="561" t="n">
        <v>59731</v>
      </c>
      <c r="V11" s="561" t="n">
        <v>60102</v>
      </c>
      <c r="W11" s="561" t="n">
        <v>60404</v>
      </c>
      <c r="X11" s="561" t="n">
        <v>60682</v>
      </c>
      <c r="Y11" s="561" t="n">
        <v>60942</v>
      </c>
      <c r="Z11" s="561" t="n">
        <v>61319</v>
      </c>
      <c r="AA11" s="561" t="n">
        <v>61660</v>
      </c>
      <c r="AB11" s="561" t="n">
        <v>62030</v>
      </c>
      <c r="AC11" s="561" t="n">
        <v>62370</v>
      </c>
      <c r="AD11" s="561" t="n">
        <v>62705</v>
      </c>
      <c r="AE11" s="8" t="n">
        <v>62980</v>
      </c>
      <c r="AF11" s="8" t="n">
        <v>63280</v>
      </c>
      <c r="AG11" s="8" t="n">
        <v>63580</v>
      </c>
      <c r="AH11" s="8" t="n">
        <v>63817</v>
      </c>
      <c r="AI11" s="8" t="n">
        <v>63982</v>
      </c>
      <c r="AJ11" s="57">
        <f>AI11-D11</f>
        <v/>
      </c>
    </row>
    <row r="12" ht="20.15" customHeight="1" s="488">
      <c r="A12" s="500" t="n"/>
      <c r="B12" s="500" t="n"/>
      <c r="C12" s="61" t="inlineStr">
        <is>
          <t>DG</t>
        </is>
      </c>
      <c r="D12" s="45" t="n">
        <v>2701</v>
      </c>
      <c r="E12" s="561" t="n">
        <v>2764</v>
      </c>
      <c r="F12" s="561" t="n">
        <v>2764</v>
      </c>
      <c r="G12" s="561" t="n">
        <v>2764</v>
      </c>
      <c r="H12" s="561" t="n">
        <v>2764</v>
      </c>
      <c r="I12" s="561" t="n">
        <v>2776</v>
      </c>
      <c r="J12" s="561" t="n">
        <v>2799</v>
      </c>
      <c r="K12" s="561" t="n">
        <v>2820</v>
      </c>
      <c r="L12" s="561" t="n">
        <v>2868</v>
      </c>
      <c r="M12" s="561" t="n">
        <v>2868</v>
      </c>
      <c r="N12" s="561" t="n">
        <v>2945</v>
      </c>
      <c r="O12" s="561" t="n">
        <v>2965</v>
      </c>
      <c r="P12" s="561" t="n">
        <v>3032</v>
      </c>
      <c r="Q12" s="561" t="n">
        <v>3117</v>
      </c>
      <c r="R12" s="561" t="n">
        <v>3117</v>
      </c>
      <c r="S12" s="561" t="n">
        <v>3138</v>
      </c>
      <c r="T12" s="561" t="n">
        <v>3197</v>
      </c>
      <c r="U12" s="561" t="n">
        <v>3249</v>
      </c>
      <c r="V12" s="561" t="n">
        <v>3249</v>
      </c>
      <c r="W12" s="561" t="n">
        <v>3276</v>
      </c>
      <c r="X12" s="561" t="n">
        <v>3296</v>
      </c>
      <c r="Y12" s="561" t="n">
        <v>3296</v>
      </c>
      <c r="Z12" s="561" t="n">
        <v>3296</v>
      </c>
      <c r="AA12" s="561" t="n">
        <v>3315</v>
      </c>
      <c r="AB12" s="561" t="n">
        <v>3315</v>
      </c>
      <c r="AC12" s="561" t="n">
        <v>3332</v>
      </c>
      <c r="AD12" s="561" t="n">
        <v>3332</v>
      </c>
      <c r="AE12" s="561" t="n">
        <v>3334</v>
      </c>
      <c r="AF12" s="8" t="n">
        <v>3334</v>
      </c>
      <c r="AG12" s="8" t="n">
        <v>3413</v>
      </c>
      <c r="AH12" s="8" t="n">
        <v>3540</v>
      </c>
      <c r="AI12" s="8" t="n">
        <v>3540</v>
      </c>
      <c r="AJ12" s="57">
        <f>AI12-D12</f>
        <v/>
      </c>
    </row>
    <row r="13" ht="20.15" customHeight="1" s="488">
      <c r="A13" s="500" t="n">
        <v>4</v>
      </c>
      <c r="B13" s="500" t="inlineStr">
        <is>
          <t>3F</t>
        </is>
      </c>
      <c r="C13" s="500" t="inlineStr">
        <is>
          <t>SL No 540430038821 (EB Unit)</t>
        </is>
      </c>
      <c r="D13" s="565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61" t="n">
        <v>0</v>
      </c>
      <c r="AJ13" s="57">
        <f>AI13-D13</f>
        <v/>
      </c>
    </row>
    <row r="14" ht="20.15" customHeight="1" s="488">
      <c r="A14" s="500" t="n"/>
      <c r="B14" s="500" t="n"/>
      <c r="C14" s="61" t="inlineStr">
        <is>
          <t>DG</t>
        </is>
      </c>
      <c r="D14" s="45" t="n">
        <v>0</v>
      </c>
      <c r="E14" s="561" t="n">
        <v>0</v>
      </c>
      <c r="F14" s="561" t="n">
        <v>0</v>
      </c>
      <c r="G14" s="561" t="n">
        <v>0</v>
      </c>
      <c r="H14" s="561" t="n">
        <v>0</v>
      </c>
      <c r="I14" s="561" t="n">
        <v>0</v>
      </c>
      <c r="J14" s="561" t="n">
        <v>0</v>
      </c>
      <c r="K14" s="561" t="n">
        <v>0</v>
      </c>
      <c r="L14" s="561" t="n">
        <v>0</v>
      </c>
      <c r="M14" s="561" t="n">
        <v>0</v>
      </c>
      <c r="N14" s="561" t="n">
        <v>0</v>
      </c>
      <c r="O14" s="561" t="n">
        <v>0</v>
      </c>
      <c r="P14" s="561" t="n">
        <v>0</v>
      </c>
      <c r="Q14" s="561" t="n">
        <v>0</v>
      </c>
      <c r="R14" s="561" t="n">
        <v>0</v>
      </c>
      <c r="S14" s="561" t="n">
        <v>0</v>
      </c>
      <c r="T14" s="561" t="n">
        <v>0</v>
      </c>
      <c r="U14" s="561" t="n">
        <v>0</v>
      </c>
      <c r="V14" s="561" t="n">
        <v>0</v>
      </c>
      <c r="W14" s="561" t="n">
        <v>0</v>
      </c>
      <c r="X14" s="561" t="n">
        <v>0</v>
      </c>
      <c r="Y14" s="60" t="n">
        <v>0</v>
      </c>
      <c r="Z14" s="561" t="n">
        <v>0</v>
      </c>
      <c r="AA14" s="561" t="n">
        <v>0</v>
      </c>
      <c r="AB14" s="561" t="n">
        <v>0</v>
      </c>
      <c r="AC14" s="561" t="n">
        <v>0</v>
      </c>
      <c r="AD14" s="561" t="n">
        <v>0</v>
      </c>
      <c r="AE14" s="561" t="n">
        <v>0</v>
      </c>
      <c r="AF14" s="561" t="n">
        <v>0</v>
      </c>
      <c r="AG14" s="8" t="n">
        <v>0</v>
      </c>
      <c r="AH14" s="8" t="n">
        <v>0</v>
      </c>
      <c r="AI14" s="8" t="n">
        <v>0</v>
      </c>
      <c r="AJ14" s="57">
        <f>AI14-D14</f>
        <v/>
      </c>
    </row>
    <row r="15" ht="20.15" customHeight="1" s="488">
      <c r="A15" s="500" t="n">
        <v>5</v>
      </c>
      <c r="B15" s="500" t="inlineStr">
        <is>
          <t>3F</t>
        </is>
      </c>
      <c r="C15" s="500" t="inlineStr">
        <is>
          <t>SL No 540430038849 (EB Unit)</t>
        </is>
      </c>
      <c r="D15" s="45" t="n">
        <v>20339</v>
      </c>
      <c r="E15" s="561" t="n">
        <v>20559</v>
      </c>
      <c r="F15" s="561" t="n">
        <v>20750</v>
      </c>
      <c r="G15" s="5" t="n">
        <v>20951</v>
      </c>
      <c r="H15" s="5" t="n">
        <v>21177</v>
      </c>
      <c r="I15" s="561" t="n">
        <v>21350</v>
      </c>
      <c r="J15" s="561" t="n">
        <v>21455</v>
      </c>
      <c r="K15" s="561" t="n">
        <v>21572</v>
      </c>
      <c r="L15" s="561" t="n">
        <v>21747</v>
      </c>
      <c r="M15" s="561" t="n">
        <v>21951</v>
      </c>
      <c r="N15" s="561" t="n">
        <v>22107</v>
      </c>
      <c r="O15" s="561" t="n">
        <v>22283</v>
      </c>
      <c r="P15" s="561" t="n">
        <v>22427</v>
      </c>
      <c r="Q15" s="561" t="n">
        <v>22521</v>
      </c>
      <c r="R15" s="561" t="n">
        <v>22633</v>
      </c>
      <c r="S15" s="561" t="n">
        <v>22803</v>
      </c>
      <c r="T15" s="561" t="n">
        <v>22963</v>
      </c>
      <c r="U15" s="561" t="n">
        <v>23120</v>
      </c>
      <c r="V15" s="561" t="n">
        <v>23315</v>
      </c>
      <c r="W15" s="561" t="n">
        <v>23472</v>
      </c>
      <c r="X15" s="58" t="n">
        <v>23572</v>
      </c>
      <c r="Y15" s="48" t="n">
        <v>23676</v>
      </c>
      <c r="Z15" s="59" t="n">
        <v>23884</v>
      </c>
      <c r="AA15" s="561" t="n">
        <v>24077</v>
      </c>
      <c r="AB15" s="561" t="n">
        <v>24280</v>
      </c>
      <c r="AC15" s="561" t="n">
        <v>24465</v>
      </c>
      <c r="AD15" s="561" t="n">
        <v>24642</v>
      </c>
      <c r="AE15" s="8" t="n">
        <v>24754</v>
      </c>
      <c r="AF15" s="8" t="n">
        <v>24872</v>
      </c>
      <c r="AG15" s="8" t="n">
        <v>25020</v>
      </c>
      <c r="AH15" s="8" t="n">
        <v>25136</v>
      </c>
      <c r="AI15" s="8" t="n">
        <v>25219</v>
      </c>
      <c r="AJ15" s="57">
        <f>AI15-D15</f>
        <v/>
      </c>
    </row>
    <row r="16" ht="20.15" customHeight="1" s="488">
      <c r="A16" s="500" t="n"/>
      <c r="B16" s="500" t="n"/>
      <c r="C16" s="61" t="inlineStr">
        <is>
          <t>DG</t>
        </is>
      </c>
      <c r="D16" s="45" t="n">
        <v>1311</v>
      </c>
      <c r="E16" s="561" t="n">
        <v>1346</v>
      </c>
      <c r="F16" s="561" t="n">
        <v>1346</v>
      </c>
      <c r="G16" s="561" t="n">
        <v>1346</v>
      </c>
      <c r="H16" s="561" t="n">
        <v>1346</v>
      </c>
      <c r="I16" s="561" t="n">
        <v>1352</v>
      </c>
      <c r="J16" s="561" t="n">
        <v>1363</v>
      </c>
      <c r="K16" s="561" t="n">
        <v>1372</v>
      </c>
      <c r="L16" s="561" t="n">
        <v>1412</v>
      </c>
      <c r="M16" s="561" t="n">
        <v>1412</v>
      </c>
      <c r="N16" s="561" t="n">
        <v>1451</v>
      </c>
      <c r="O16" s="561" t="n">
        <v>1464</v>
      </c>
      <c r="P16" s="561" t="n">
        <v>1498</v>
      </c>
      <c r="Q16" s="561" t="n">
        <v>1534</v>
      </c>
      <c r="R16" s="561" t="n">
        <v>1534</v>
      </c>
      <c r="S16" s="561" t="n">
        <v>1546</v>
      </c>
      <c r="T16" s="561" t="n">
        <v>1579</v>
      </c>
      <c r="U16" s="561" t="n">
        <v>1610</v>
      </c>
      <c r="V16" s="561" t="n">
        <v>1610</v>
      </c>
      <c r="W16" s="561" t="n">
        <v>1628</v>
      </c>
      <c r="X16" s="58" t="n">
        <v>1637</v>
      </c>
      <c r="Y16" s="48" t="n">
        <v>1637</v>
      </c>
      <c r="Z16" s="59" t="n">
        <v>1637</v>
      </c>
      <c r="AA16" s="561" t="n">
        <v>1650</v>
      </c>
      <c r="AB16" s="60" t="n">
        <v>1650</v>
      </c>
      <c r="AC16" s="561" t="n">
        <v>1660</v>
      </c>
      <c r="AD16" s="561" t="n">
        <v>1660</v>
      </c>
      <c r="AE16" s="8" t="n">
        <v>1660</v>
      </c>
      <c r="AF16" s="8" t="n">
        <v>1660</v>
      </c>
      <c r="AG16" s="8" t="n">
        <v>1707</v>
      </c>
      <c r="AH16" s="8" t="n">
        <v>1771</v>
      </c>
      <c r="AI16" s="8" t="n">
        <v>1771</v>
      </c>
      <c r="AJ16" s="57">
        <f>AI16-D16</f>
        <v/>
      </c>
    </row>
    <row r="17" ht="20.15" customHeight="1" s="488">
      <c r="A17" s="500" t="n">
        <v>6</v>
      </c>
      <c r="B17" s="500" t="inlineStr">
        <is>
          <t>3F</t>
        </is>
      </c>
      <c r="C17" s="500" t="inlineStr">
        <is>
          <t>SL No 540430038696 (EB Unit)</t>
        </is>
      </c>
      <c r="D17" s="45" t="n">
        <v>31779</v>
      </c>
      <c r="E17" s="561" t="n">
        <v>32033</v>
      </c>
      <c r="F17" s="561" t="n">
        <v>32273</v>
      </c>
      <c r="G17" s="561" t="n">
        <v>32474</v>
      </c>
      <c r="H17" s="561" t="n">
        <v>32689</v>
      </c>
      <c r="I17" s="561" t="n">
        <v>32877</v>
      </c>
      <c r="J17" s="561" t="n">
        <v>33011</v>
      </c>
      <c r="K17" s="561" t="n">
        <v>33102</v>
      </c>
      <c r="L17" s="561" t="n">
        <v>33298</v>
      </c>
      <c r="M17" s="561" t="n">
        <v>33528</v>
      </c>
      <c r="N17" s="561" t="n">
        <v>33715</v>
      </c>
      <c r="O17" s="561" t="n">
        <v>33928</v>
      </c>
      <c r="P17" s="561" t="n">
        <v>34105</v>
      </c>
      <c r="Q17" s="561" t="n">
        <v>34202</v>
      </c>
      <c r="R17" s="561" t="n">
        <v>34333</v>
      </c>
      <c r="S17" s="561" t="n">
        <v>34545</v>
      </c>
      <c r="T17" s="561" t="n">
        <v>34755</v>
      </c>
      <c r="U17" s="561" t="n">
        <v>34942</v>
      </c>
      <c r="V17" s="561" t="n">
        <v>35183</v>
      </c>
      <c r="W17" s="561" t="n">
        <v>35363</v>
      </c>
      <c r="X17" s="561" t="n">
        <v>35501</v>
      </c>
      <c r="Y17" s="8" t="n">
        <v>35615</v>
      </c>
      <c r="Z17" s="561" t="n">
        <v>35851</v>
      </c>
      <c r="AA17" s="58" t="n">
        <v>36029</v>
      </c>
      <c r="AB17" s="48" t="n">
        <v>36243</v>
      </c>
      <c r="AC17" s="59" t="n">
        <v>36441</v>
      </c>
      <c r="AD17" s="561" t="n">
        <v>36639</v>
      </c>
      <c r="AE17" s="561" t="n">
        <v>36745</v>
      </c>
      <c r="AF17" s="8" t="n">
        <v>36895</v>
      </c>
      <c r="AG17" s="561" t="n">
        <v>37080</v>
      </c>
      <c r="AH17" s="8" t="n">
        <v>37226</v>
      </c>
      <c r="AI17" s="8" t="n">
        <v>37338</v>
      </c>
      <c r="AJ17" s="57">
        <f>AI17-D17</f>
        <v/>
      </c>
    </row>
    <row r="18" ht="20.15" customHeight="1" s="488">
      <c r="A18" s="500" t="n"/>
      <c r="B18" s="500" t="n"/>
      <c r="C18" s="61" t="inlineStr">
        <is>
          <t>DG</t>
        </is>
      </c>
      <c r="D18" s="45" t="n">
        <v>1999</v>
      </c>
      <c r="E18" s="561" t="n">
        <v>2043</v>
      </c>
      <c r="F18" s="561" t="n">
        <v>2043</v>
      </c>
      <c r="G18" s="561" t="n">
        <v>2043</v>
      </c>
      <c r="H18" s="561" t="n">
        <v>2043</v>
      </c>
      <c r="I18" s="561" t="n">
        <v>2050</v>
      </c>
      <c r="J18" s="561" t="n">
        <v>2062</v>
      </c>
      <c r="K18" s="561" t="n">
        <v>2066</v>
      </c>
      <c r="L18" s="561" t="n">
        <v>2103</v>
      </c>
      <c r="M18" s="561" t="n">
        <v>2103</v>
      </c>
      <c r="N18" s="561" t="n">
        <v>2156</v>
      </c>
      <c r="O18" s="561" t="n">
        <v>2171</v>
      </c>
      <c r="P18" s="561" t="n">
        <v>2218</v>
      </c>
      <c r="Q18" s="561" t="n">
        <v>2239</v>
      </c>
      <c r="R18" s="561" t="n">
        <v>2239</v>
      </c>
      <c r="S18" s="561" t="n">
        <v>2256</v>
      </c>
      <c r="T18" s="561" t="n">
        <v>2289</v>
      </c>
      <c r="U18" s="561" t="n">
        <v>2321</v>
      </c>
      <c r="V18" s="561" t="n">
        <v>2321</v>
      </c>
      <c r="W18" s="561" t="n">
        <v>2343</v>
      </c>
      <c r="X18" s="561" t="n">
        <v>2354</v>
      </c>
      <c r="Y18" s="561" t="n">
        <v>2354</v>
      </c>
      <c r="Z18" s="561" t="n">
        <v>2354</v>
      </c>
      <c r="AA18" s="561" t="n">
        <v>2366</v>
      </c>
      <c r="AB18" s="58" t="n">
        <v>2366</v>
      </c>
      <c r="AC18" s="48" t="n">
        <v>2376</v>
      </c>
      <c r="AD18" s="59" t="n">
        <v>2376</v>
      </c>
      <c r="AE18" s="8" t="n">
        <v>2376</v>
      </c>
      <c r="AF18" s="8" t="n">
        <v>2376</v>
      </c>
      <c r="AG18" s="8" t="n">
        <v>2428</v>
      </c>
      <c r="AH18" s="8" t="n">
        <v>2510</v>
      </c>
      <c r="AI18" s="8" t="n">
        <v>2510</v>
      </c>
      <c r="AJ18" s="57">
        <f>AI18-D18</f>
        <v/>
      </c>
    </row>
    <row r="19" ht="20.15" customHeight="1" s="488">
      <c r="A19" s="500" t="n">
        <v>7</v>
      </c>
      <c r="B19" s="500" t="inlineStr">
        <is>
          <t>3F</t>
        </is>
      </c>
      <c r="C19" s="500" t="inlineStr">
        <is>
          <t>SL No 540430038843 (EB Unit)</t>
        </is>
      </c>
      <c r="D19" s="45" t="n">
        <v>109964</v>
      </c>
      <c r="E19" s="561" t="n">
        <v>110764</v>
      </c>
      <c r="F19" s="561" t="n">
        <v>111416</v>
      </c>
      <c r="G19" s="5" t="n">
        <v>112077</v>
      </c>
      <c r="H19" s="5" t="n">
        <v>112739</v>
      </c>
      <c r="I19" s="561" t="n">
        <v>113317</v>
      </c>
      <c r="J19" s="561" t="n">
        <v>113782</v>
      </c>
      <c r="K19" s="561" t="n">
        <v>114082</v>
      </c>
      <c r="L19" s="561" t="n">
        <v>114644</v>
      </c>
      <c r="M19" s="561" t="n">
        <v>115361</v>
      </c>
      <c r="N19" s="561" t="n">
        <v>115951</v>
      </c>
      <c r="O19" s="561" t="n">
        <v>116562</v>
      </c>
      <c r="P19" s="561" t="n">
        <v>117123</v>
      </c>
      <c r="Q19" s="561" t="n">
        <v>117600</v>
      </c>
      <c r="R19" s="5" t="n">
        <v>117970</v>
      </c>
      <c r="S19" s="561" t="n">
        <v>118563</v>
      </c>
      <c r="T19" s="561" t="n">
        <v>119149</v>
      </c>
      <c r="U19" s="561" t="n">
        <v>119733</v>
      </c>
      <c r="V19" s="561" t="n">
        <v>120427</v>
      </c>
      <c r="W19" s="5" t="n">
        <v>121003</v>
      </c>
      <c r="X19" s="561" t="n">
        <v>121482</v>
      </c>
      <c r="Y19" s="561" t="n">
        <v>121925</v>
      </c>
      <c r="Z19" s="561" t="n">
        <v>122610</v>
      </c>
      <c r="AA19" s="58" t="n">
        <v>123242</v>
      </c>
      <c r="AB19" s="48" t="n">
        <v>123975</v>
      </c>
      <c r="AC19" s="59" t="n">
        <v>124630</v>
      </c>
      <c r="AD19" s="561" t="n">
        <v>125296</v>
      </c>
      <c r="AE19" s="8" t="n">
        <v>125863</v>
      </c>
      <c r="AF19" s="8" t="n">
        <v>126392</v>
      </c>
      <c r="AG19" s="8" t="n">
        <v>126986</v>
      </c>
      <c r="AH19" s="8" t="n">
        <v>127494</v>
      </c>
      <c r="AI19" s="8" t="n">
        <v>127802</v>
      </c>
      <c r="AJ19" s="57">
        <f>AI19-D19</f>
        <v/>
      </c>
    </row>
    <row r="20" ht="20.15" customHeight="1" s="488">
      <c r="A20" s="500" t="n"/>
      <c r="B20" s="500" t="n"/>
      <c r="C20" s="61" t="inlineStr">
        <is>
          <t>DG</t>
        </is>
      </c>
      <c r="D20" s="45" t="n">
        <v>5120</v>
      </c>
      <c r="E20" s="561" t="n">
        <v>5217</v>
      </c>
      <c r="F20" s="561" t="n">
        <v>5217</v>
      </c>
      <c r="G20" s="561" t="n">
        <v>5217</v>
      </c>
      <c r="H20" s="561" t="n">
        <v>5217</v>
      </c>
      <c r="I20" s="561" t="n">
        <v>5236</v>
      </c>
      <c r="J20" s="561" t="n">
        <v>5288</v>
      </c>
      <c r="K20" s="561" t="n">
        <v>5300</v>
      </c>
      <c r="L20" s="561" t="n">
        <v>5380</v>
      </c>
      <c r="M20" s="561" t="n">
        <v>5380</v>
      </c>
      <c r="N20" s="561" t="n">
        <v>5525</v>
      </c>
      <c r="O20" s="561" t="n">
        <v>5561</v>
      </c>
      <c r="P20" s="561" t="n">
        <v>5662</v>
      </c>
      <c r="Q20" s="561" t="n">
        <v>5796</v>
      </c>
      <c r="R20" s="5" t="n">
        <v>5796</v>
      </c>
      <c r="S20" s="561" t="n">
        <v>5845</v>
      </c>
      <c r="T20" s="561" t="n">
        <v>5951</v>
      </c>
      <c r="U20" s="561" t="n">
        <v>6051</v>
      </c>
      <c r="V20" s="561" t="n">
        <v>6051</v>
      </c>
      <c r="W20" s="5" t="n">
        <v>6109</v>
      </c>
      <c r="X20" s="561" t="n">
        <v>6152</v>
      </c>
      <c r="Y20" s="561" t="n">
        <v>6152</v>
      </c>
      <c r="Z20" s="561" t="n">
        <v>6152</v>
      </c>
      <c r="AA20" s="58" t="n">
        <v>6186</v>
      </c>
      <c r="AB20" s="48" t="n">
        <v>6186</v>
      </c>
      <c r="AC20" s="59" t="n">
        <v>6213</v>
      </c>
      <c r="AD20" s="561" t="n">
        <v>6213</v>
      </c>
      <c r="AE20" s="8" t="n">
        <v>6216</v>
      </c>
      <c r="AF20" s="8" t="n">
        <v>6216</v>
      </c>
      <c r="AG20" s="8" t="n">
        <v>6344</v>
      </c>
      <c r="AH20" s="8" t="n">
        <v>6554</v>
      </c>
      <c r="AI20" s="8" t="n">
        <v>6554</v>
      </c>
      <c r="AJ20" s="57">
        <f>AI20-D20</f>
        <v/>
      </c>
    </row>
    <row r="21" ht="20.15" customHeight="1" s="488">
      <c r="A21" s="500" t="n">
        <v>8</v>
      </c>
      <c r="B21" s="500" t="inlineStr">
        <is>
          <t>3F</t>
        </is>
      </c>
      <c r="C21" s="500" t="inlineStr">
        <is>
          <t>SL No 540430038848 (EB Unit)</t>
        </is>
      </c>
      <c r="D21" s="45" t="n">
        <v>23959</v>
      </c>
      <c r="E21" s="561" t="n">
        <v>24164</v>
      </c>
      <c r="F21" s="561" t="n">
        <v>24290</v>
      </c>
      <c r="G21" s="5" t="n">
        <v>24433</v>
      </c>
      <c r="H21" s="5" t="n">
        <v>24558</v>
      </c>
      <c r="I21" s="561" t="n">
        <v>24681</v>
      </c>
      <c r="J21" s="561" t="n">
        <v>24790</v>
      </c>
      <c r="K21" s="561" t="n">
        <v>24929</v>
      </c>
      <c r="L21" s="561" t="n">
        <v>25036</v>
      </c>
      <c r="M21" s="561" t="n">
        <v>25164</v>
      </c>
      <c r="N21" s="561" t="n">
        <v>25257</v>
      </c>
      <c r="O21" s="561" t="n">
        <v>25372</v>
      </c>
      <c r="P21" s="561" t="n">
        <v>25460</v>
      </c>
      <c r="Q21" s="561" t="n">
        <v>25564</v>
      </c>
      <c r="R21" s="561" t="n">
        <v>25675</v>
      </c>
      <c r="S21" s="561" t="n">
        <v>25800</v>
      </c>
      <c r="T21" s="561" t="n">
        <v>25883</v>
      </c>
      <c r="U21" s="561" t="n">
        <v>26009</v>
      </c>
      <c r="V21" s="561" t="n">
        <v>26114</v>
      </c>
      <c r="W21" s="561" t="n">
        <v>26232</v>
      </c>
      <c r="X21" s="561" t="n">
        <v>26332</v>
      </c>
      <c r="Y21" s="561" t="n">
        <v>26448</v>
      </c>
      <c r="Z21" s="561" t="n">
        <v>26583</v>
      </c>
      <c r="AA21" s="561" t="n">
        <v>26736</v>
      </c>
      <c r="AB21" s="8" t="n">
        <v>26866</v>
      </c>
      <c r="AC21" s="561" t="n">
        <v>26984</v>
      </c>
      <c r="AD21" s="561" t="n">
        <v>27102</v>
      </c>
      <c r="AE21" s="8" t="n">
        <v>27231</v>
      </c>
      <c r="AF21" s="8" t="n">
        <v>27310</v>
      </c>
      <c r="AG21" s="8" t="n">
        <v>27428</v>
      </c>
      <c r="AH21" s="8" t="n">
        <v>27512</v>
      </c>
      <c r="AI21" s="8" t="n">
        <v>27550</v>
      </c>
      <c r="AJ21" s="57">
        <f>AI21-D21</f>
        <v/>
      </c>
    </row>
    <row r="22" ht="20.15" customHeight="1" s="488">
      <c r="A22" s="500" t="n"/>
      <c r="B22" s="500" t="n"/>
      <c r="C22" s="61" t="inlineStr">
        <is>
          <t>DG</t>
        </is>
      </c>
      <c r="D22" s="45" t="n">
        <v>969</v>
      </c>
      <c r="E22" s="561" t="n">
        <v>987</v>
      </c>
      <c r="F22" s="561" t="n">
        <v>987</v>
      </c>
      <c r="G22" s="561" t="n">
        <v>987</v>
      </c>
      <c r="H22" s="561" t="n">
        <v>987</v>
      </c>
      <c r="I22" s="561" t="n">
        <v>991</v>
      </c>
      <c r="J22" s="561" t="n">
        <v>1009</v>
      </c>
      <c r="K22" s="561" t="n">
        <v>1024</v>
      </c>
      <c r="L22" s="561" t="n">
        <v>1036</v>
      </c>
      <c r="M22" s="561" t="n">
        <v>1036</v>
      </c>
      <c r="N22" s="561" t="n">
        <v>1056</v>
      </c>
      <c r="O22" s="561" t="n">
        <v>1063</v>
      </c>
      <c r="P22" s="561" t="n">
        <v>1080</v>
      </c>
      <c r="Q22" s="561" t="n">
        <v>1135</v>
      </c>
      <c r="R22" s="5" t="n">
        <v>1135</v>
      </c>
      <c r="S22" s="561" t="n">
        <v>1141</v>
      </c>
      <c r="T22" s="561" t="n">
        <v>1168</v>
      </c>
      <c r="U22" s="561" t="n">
        <v>1184</v>
      </c>
      <c r="V22" s="561" t="n">
        <v>1184</v>
      </c>
      <c r="W22" s="5" t="n">
        <v>1187</v>
      </c>
      <c r="X22" s="561" t="n">
        <v>1192</v>
      </c>
      <c r="Y22" s="561" t="n">
        <v>1192</v>
      </c>
      <c r="Z22" s="561" t="n">
        <v>1192</v>
      </c>
      <c r="AA22" s="561" t="n">
        <v>1197</v>
      </c>
      <c r="AB22" s="33" t="n">
        <v>1197</v>
      </c>
      <c r="AC22" s="561" t="n">
        <v>1201</v>
      </c>
      <c r="AD22" s="561" t="n">
        <v>1201</v>
      </c>
      <c r="AE22" s="8" t="n">
        <v>1201</v>
      </c>
      <c r="AF22" s="8" t="n">
        <v>1201</v>
      </c>
      <c r="AG22" s="8" t="n">
        <v>1222</v>
      </c>
      <c r="AH22" s="8" t="n">
        <v>1261</v>
      </c>
      <c r="AI22" s="8" t="n">
        <v>1261</v>
      </c>
      <c r="AJ22" s="57">
        <f>AI22-D22</f>
        <v/>
      </c>
    </row>
    <row r="23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20" t="n"/>
      <c r="AJ23" s="501" t="n"/>
    </row>
    <row r="24">
      <c r="A24" s="500" t="n">
        <v>1</v>
      </c>
      <c r="B24" s="500" t="inlineStr">
        <is>
          <t>3F</t>
        </is>
      </c>
      <c r="C24" s="500" t="inlineStr">
        <is>
          <t>AHU1</t>
        </is>
      </c>
      <c r="D24" s="45" t="n">
        <v>10907</v>
      </c>
      <c r="E24" s="561" t="n">
        <v>10960</v>
      </c>
      <c r="F24" s="561" t="n">
        <v>11053</v>
      </c>
      <c r="G24" s="561" t="n">
        <v>11138</v>
      </c>
      <c r="H24" s="561" t="n">
        <v>11205</v>
      </c>
      <c r="I24" s="561" t="n">
        <v>11270</v>
      </c>
      <c r="J24" s="561" t="n">
        <v>11311</v>
      </c>
      <c r="K24" s="561" t="n">
        <v>11311</v>
      </c>
      <c r="L24" s="561" t="n">
        <v>11406</v>
      </c>
      <c r="M24" s="561" t="n">
        <v>11516</v>
      </c>
      <c r="N24" s="561" t="n">
        <v>11588</v>
      </c>
      <c r="O24" s="561" t="n">
        <v>11678</v>
      </c>
      <c r="P24" s="561" t="n">
        <v>11757</v>
      </c>
      <c r="Q24" s="561" t="n">
        <v>11797</v>
      </c>
      <c r="R24" s="561" t="n">
        <v>11797</v>
      </c>
      <c r="S24" s="561" t="n">
        <v>11883</v>
      </c>
      <c r="T24" s="561" t="n">
        <v>11973</v>
      </c>
      <c r="U24" s="561" t="n">
        <v>12059</v>
      </c>
      <c r="V24" s="561" t="n">
        <v>12180</v>
      </c>
      <c r="W24" s="561" t="n">
        <v>12289</v>
      </c>
      <c r="X24" s="561" t="n">
        <v>12344</v>
      </c>
      <c r="Y24" s="561" t="n">
        <v>12344</v>
      </c>
      <c r="Z24" s="561" t="n">
        <v>12476</v>
      </c>
      <c r="AA24" s="561" t="n">
        <v>12591</v>
      </c>
      <c r="AB24" s="561" t="n">
        <v>12706</v>
      </c>
      <c r="AC24" s="561" t="n">
        <v>12812</v>
      </c>
      <c r="AD24" s="561" t="n">
        <v>12926</v>
      </c>
      <c r="AE24" s="561" t="n">
        <v>12977</v>
      </c>
      <c r="AF24" s="561" t="n">
        <v>12977</v>
      </c>
      <c r="AG24" s="561" t="n">
        <v>13063</v>
      </c>
      <c r="AH24" s="8" t="n">
        <v>13118</v>
      </c>
      <c r="AI24" s="8" t="n">
        <v>13170</v>
      </c>
      <c r="AJ24" s="7">
        <f>AI24-D24</f>
        <v/>
      </c>
    </row>
    <row r="25" ht="18.5" customHeight="1" s="488">
      <c r="A25" s="500" t="n"/>
      <c r="B25" s="500" t="n"/>
      <c r="C25" s="507" t="inlineStr">
        <is>
          <t>DG</t>
        </is>
      </c>
      <c r="D25" s="45" t="n">
        <v>895</v>
      </c>
      <c r="E25" s="561" t="n">
        <v>895</v>
      </c>
      <c r="F25" s="561" t="n">
        <v>895</v>
      </c>
      <c r="G25" s="561" t="n">
        <v>895</v>
      </c>
      <c r="H25" s="561" t="n">
        <v>895</v>
      </c>
      <c r="I25" s="561" t="n">
        <v>895</v>
      </c>
      <c r="J25" s="561" t="n">
        <v>895</v>
      </c>
      <c r="K25" s="561" t="n">
        <v>895</v>
      </c>
      <c r="L25" s="561" t="n">
        <v>913</v>
      </c>
      <c r="M25" s="561" t="n">
        <v>913</v>
      </c>
      <c r="N25" s="561" t="n">
        <v>943</v>
      </c>
      <c r="O25" s="561" t="n">
        <v>951</v>
      </c>
      <c r="P25" s="561" t="n">
        <v>967</v>
      </c>
      <c r="Q25" s="561" t="n">
        <v>982</v>
      </c>
      <c r="R25" s="561" t="n">
        <v>982</v>
      </c>
      <c r="S25" s="561" t="n">
        <v>991</v>
      </c>
      <c r="T25" s="561" t="n">
        <v>1016</v>
      </c>
      <c r="U25" s="561" t="n">
        <v>1039</v>
      </c>
      <c r="V25" s="561" t="n">
        <v>1039</v>
      </c>
      <c r="W25" s="561" t="n">
        <v>1052</v>
      </c>
      <c r="X25" s="561" t="n">
        <v>1066</v>
      </c>
      <c r="Y25" s="561" t="n">
        <v>1066</v>
      </c>
      <c r="Z25" s="561" t="n">
        <v>1066</v>
      </c>
      <c r="AA25" s="561" t="n">
        <v>1074</v>
      </c>
      <c r="AB25" s="561" t="n">
        <v>1074</v>
      </c>
      <c r="AC25" s="561" t="n">
        <v>1080</v>
      </c>
      <c r="AD25" s="561" t="n">
        <v>1080</v>
      </c>
      <c r="AE25" s="8" t="n">
        <v>1080</v>
      </c>
      <c r="AF25" s="8" t="n">
        <v>1080</v>
      </c>
      <c r="AG25" s="8" t="n">
        <v>1109</v>
      </c>
      <c r="AH25" s="8" t="n">
        <v>1153</v>
      </c>
      <c r="AI25" s="8" t="n">
        <v>1153</v>
      </c>
      <c r="AJ25" s="7">
        <f>AI25-D25</f>
        <v/>
      </c>
    </row>
    <row r="26">
      <c r="A26" s="500" t="n">
        <v>2</v>
      </c>
      <c r="B26" s="500" t="inlineStr">
        <is>
          <t>3F</t>
        </is>
      </c>
      <c r="C26" s="500" t="inlineStr">
        <is>
          <t>AHU2</t>
        </is>
      </c>
      <c r="D26" s="45" t="n">
        <v>10321</v>
      </c>
      <c r="E26" s="561" t="n">
        <v>10416</v>
      </c>
      <c r="F26" s="561" t="n">
        <v>10520</v>
      </c>
      <c r="G26" s="5" t="n">
        <v>10618</v>
      </c>
      <c r="H26" s="5" t="n">
        <v>10712</v>
      </c>
      <c r="I26" s="561" t="n">
        <v>10798</v>
      </c>
      <c r="J26" s="561" t="n">
        <v>10855</v>
      </c>
      <c r="K26" s="561" t="n">
        <v>10855</v>
      </c>
      <c r="L26" s="561" t="n">
        <v>10959</v>
      </c>
      <c r="M26" s="561" t="n">
        <v>11068</v>
      </c>
      <c r="N26" s="561" t="n">
        <v>11142</v>
      </c>
      <c r="O26" s="561" t="n">
        <v>11234</v>
      </c>
      <c r="P26" s="561" t="n">
        <v>11291</v>
      </c>
      <c r="Q26" s="561" t="n">
        <v>11312</v>
      </c>
      <c r="R26" s="561" t="n">
        <v>11312</v>
      </c>
      <c r="S26" s="561" t="n">
        <v>11405</v>
      </c>
      <c r="T26" s="561" t="n">
        <v>11462</v>
      </c>
      <c r="U26" s="561" t="n">
        <v>11545</v>
      </c>
      <c r="V26" s="561" t="n">
        <v>11619</v>
      </c>
      <c r="W26" s="561" t="n">
        <v>11687</v>
      </c>
      <c r="X26" s="561" t="n">
        <v>11714</v>
      </c>
      <c r="Y26" s="561" t="n">
        <v>11714</v>
      </c>
      <c r="Z26" s="561" t="n">
        <v>11846</v>
      </c>
      <c r="AA26" s="561" t="n">
        <v>11930</v>
      </c>
      <c r="AB26" s="561" t="n">
        <v>12004</v>
      </c>
      <c r="AC26" s="561" t="n">
        <v>12070</v>
      </c>
      <c r="AD26" s="561" t="n">
        <v>12149</v>
      </c>
      <c r="AE26" s="8" t="n">
        <v>12187</v>
      </c>
      <c r="AF26" s="8" t="n">
        <v>12187</v>
      </c>
      <c r="AG26" s="8" t="n">
        <v>12266</v>
      </c>
      <c r="AH26" s="8" t="n">
        <v>12323</v>
      </c>
      <c r="AI26" s="8" t="n">
        <v>12367</v>
      </c>
      <c r="AJ26" s="7">
        <f>AI26-D26</f>
        <v/>
      </c>
    </row>
    <row r="27" ht="18.5" customHeight="1" s="488">
      <c r="A27" s="500" t="n"/>
      <c r="B27" s="500" t="n"/>
      <c r="C27" s="507" t="inlineStr">
        <is>
          <t>DG</t>
        </is>
      </c>
      <c r="D27" s="45" t="n">
        <v>903</v>
      </c>
      <c r="E27" s="561" t="n">
        <v>926</v>
      </c>
      <c r="F27" s="561" t="n">
        <v>926</v>
      </c>
      <c r="G27" s="561" t="n">
        <v>926</v>
      </c>
      <c r="H27" s="561" t="n">
        <v>926</v>
      </c>
      <c r="I27" s="561" t="n">
        <v>930</v>
      </c>
      <c r="J27" s="561" t="n">
        <v>930</v>
      </c>
      <c r="K27" s="561" t="n">
        <v>930</v>
      </c>
      <c r="L27" s="561" t="n">
        <v>950</v>
      </c>
      <c r="M27" s="561" t="n">
        <v>950</v>
      </c>
      <c r="N27" s="561" t="n">
        <v>988</v>
      </c>
      <c r="O27" s="561" t="n">
        <v>996</v>
      </c>
      <c r="P27" s="561" t="n">
        <v>1010</v>
      </c>
      <c r="Q27" s="561" t="n">
        <v>1019</v>
      </c>
      <c r="R27" s="561" t="n">
        <v>1019</v>
      </c>
      <c r="S27" s="561" t="n">
        <v>1030</v>
      </c>
      <c r="T27" s="561" t="n">
        <v>1052</v>
      </c>
      <c r="U27" s="561" t="n">
        <v>1075</v>
      </c>
      <c r="V27" s="561" t="n">
        <v>1075</v>
      </c>
      <c r="W27" s="561" t="n">
        <v>1083</v>
      </c>
      <c r="X27" s="561" t="n">
        <v>1092</v>
      </c>
      <c r="Y27" s="561" t="n">
        <v>1092</v>
      </c>
      <c r="Z27" s="561" t="n">
        <v>1092</v>
      </c>
      <c r="AA27" s="561" t="n">
        <v>1097</v>
      </c>
      <c r="AB27" s="561" t="n">
        <v>1097</v>
      </c>
      <c r="AC27" s="561" t="n">
        <v>1101</v>
      </c>
      <c r="AD27" s="561" t="n">
        <v>1101</v>
      </c>
      <c r="AE27" s="8" t="n">
        <v>1101</v>
      </c>
      <c r="AF27" s="8" t="n">
        <v>1101</v>
      </c>
      <c r="AG27" s="8" t="n">
        <v>1128</v>
      </c>
      <c r="AH27" s="8" t="n">
        <v>1175</v>
      </c>
      <c r="AI27" s="8" t="n">
        <v>1175</v>
      </c>
      <c r="AJ27" s="7">
        <f>AI27-D27</f>
        <v/>
      </c>
    </row>
    <row r="28">
      <c r="A28" s="500" t="n">
        <v>3</v>
      </c>
      <c r="B28" s="500" t="inlineStr">
        <is>
          <t>3F</t>
        </is>
      </c>
      <c r="C28" s="500" t="inlineStr">
        <is>
          <t>AHU3</t>
        </is>
      </c>
      <c r="D28" s="565" t="n">
        <v>8764</v>
      </c>
      <c r="E28" s="561" t="n">
        <v>8862</v>
      </c>
      <c r="F28" s="561" t="n">
        <v>8985</v>
      </c>
      <c r="G28" s="561" t="n">
        <v>9103</v>
      </c>
      <c r="H28" s="561" t="n">
        <v>9219</v>
      </c>
      <c r="I28" s="561" t="n">
        <v>9321</v>
      </c>
      <c r="J28" s="561" t="n">
        <v>9389</v>
      </c>
      <c r="K28" s="561" t="n">
        <v>9389</v>
      </c>
      <c r="L28" s="561" t="n">
        <v>9494</v>
      </c>
      <c r="M28" s="561" t="n">
        <v>9612</v>
      </c>
      <c r="N28" s="561" t="n">
        <v>9689</v>
      </c>
      <c r="O28" s="561" t="n">
        <v>9791</v>
      </c>
      <c r="P28" s="561" t="n">
        <v>9887</v>
      </c>
      <c r="Q28" s="561" t="n">
        <v>9930</v>
      </c>
      <c r="R28" s="561" t="n">
        <v>9930</v>
      </c>
      <c r="S28" s="561" t="n">
        <v>10039</v>
      </c>
      <c r="T28" s="561" t="n">
        <v>10124</v>
      </c>
      <c r="U28" s="561" t="n">
        <v>10210</v>
      </c>
      <c r="V28" s="561" t="n">
        <v>10332</v>
      </c>
      <c r="W28" s="561" t="n">
        <v>10444</v>
      </c>
      <c r="X28" s="561" t="n">
        <v>10489</v>
      </c>
      <c r="Y28" s="561" t="n">
        <v>10489</v>
      </c>
      <c r="Z28" s="561" t="n">
        <v>10624</v>
      </c>
      <c r="AA28" s="561" t="n">
        <v>10741</v>
      </c>
      <c r="AB28" s="561" t="n">
        <v>10862</v>
      </c>
      <c r="AC28" s="561" t="n">
        <v>10973</v>
      </c>
      <c r="AD28" s="561" t="n">
        <v>11089</v>
      </c>
      <c r="AE28" s="561" t="n">
        <v>11149</v>
      </c>
      <c r="AF28" s="561" t="n">
        <v>11149</v>
      </c>
      <c r="AG28" s="561" t="n">
        <v>11238</v>
      </c>
      <c r="AH28" s="561" t="n">
        <v>11296</v>
      </c>
      <c r="AI28" s="561" t="n">
        <v>11346</v>
      </c>
      <c r="AJ28" s="7">
        <f>AI28-D28</f>
        <v/>
      </c>
    </row>
    <row r="29" ht="18.5" customHeight="1" s="488">
      <c r="A29" s="500" t="n"/>
      <c r="B29" s="500" t="n"/>
      <c r="C29" s="507" t="inlineStr">
        <is>
          <t>DG</t>
        </is>
      </c>
      <c r="D29" s="45" t="n">
        <v>923</v>
      </c>
      <c r="E29" s="561" t="n">
        <v>946</v>
      </c>
      <c r="F29" s="561" t="n">
        <v>946</v>
      </c>
      <c r="G29" s="561" t="n">
        <v>946</v>
      </c>
      <c r="H29" s="561" t="n">
        <v>946</v>
      </c>
      <c r="I29" s="561" t="n">
        <v>951</v>
      </c>
      <c r="J29" s="561" t="n">
        <v>951</v>
      </c>
      <c r="K29" s="561" t="n">
        <v>951</v>
      </c>
      <c r="L29" s="561" t="n">
        <v>970</v>
      </c>
      <c r="M29" s="561" t="n">
        <v>970</v>
      </c>
      <c r="N29" s="561" t="n">
        <v>993</v>
      </c>
      <c r="O29" s="561" t="n">
        <v>1002</v>
      </c>
      <c r="P29" s="561" t="n">
        <v>1021</v>
      </c>
      <c r="Q29" s="561" t="n">
        <v>1039</v>
      </c>
      <c r="R29" s="561" t="n">
        <v>1039</v>
      </c>
      <c r="S29" s="561" t="n">
        <v>1050</v>
      </c>
      <c r="T29" s="561" t="n">
        <v>1075</v>
      </c>
      <c r="U29" s="561" t="n">
        <v>1098</v>
      </c>
      <c r="V29" s="561" t="n">
        <v>1098</v>
      </c>
      <c r="W29" s="561" t="n">
        <v>1112</v>
      </c>
      <c r="X29" s="561" t="n">
        <v>1126</v>
      </c>
      <c r="Y29" s="561" t="n">
        <v>1126</v>
      </c>
      <c r="Z29" s="561" t="n">
        <v>1126</v>
      </c>
      <c r="AA29" s="561" t="n">
        <v>1134</v>
      </c>
      <c r="AB29" s="561" t="n">
        <v>1134</v>
      </c>
      <c r="AC29" s="561" t="n">
        <v>1141</v>
      </c>
      <c r="AD29" s="561" t="n">
        <v>1141</v>
      </c>
      <c r="AE29" s="561" t="n">
        <v>1141</v>
      </c>
      <c r="AF29" s="561" t="n">
        <v>1141</v>
      </c>
      <c r="AG29" s="561" t="n">
        <v>1171</v>
      </c>
      <c r="AH29" s="8" t="n">
        <v>1218</v>
      </c>
      <c r="AI29" s="8" t="n">
        <v>1218</v>
      </c>
      <c r="AJ29" s="7">
        <f>AI29-D29</f>
        <v/>
      </c>
    </row>
    <row r="30">
      <c r="A30" s="500" t="n">
        <v>4</v>
      </c>
      <c r="B30" s="500" t="inlineStr">
        <is>
          <t>3F</t>
        </is>
      </c>
      <c r="C30" s="500" t="inlineStr">
        <is>
          <t>AHU4</t>
        </is>
      </c>
      <c r="D30" s="45" t="n">
        <v>8579</v>
      </c>
      <c r="E30" s="561" t="n">
        <v>8687</v>
      </c>
      <c r="F30" s="561" t="n">
        <v>8796</v>
      </c>
      <c r="G30" s="561" t="n">
        <v>8898</v>
      </c>
      <c r="H30" s="561" t="n">
        <v>9002</v>
      </c>
      <c r="I30" s="561" t="n">
        <v>9094</v>
      </c>
      <c r="J30" s="561" t="n">
        <v>9161</v>
      </c>
      <c r="K30" s="561" t="n">
        <v>9161</v>
      </c>
      <c r="L30" s="561" t="n">
        <v>9254</v>
      </c>
      <c r="M30" s="561" t="n">
        <v>9359</v>
      </c>
      <c r="N30" s="561" t="n">
        <v>9432</v>
      </c>
      <c r="O30" s="561" t="n">
        <v>9523</v>
      </c>
      <c r="P30" s="561" t="n">
        <v>9605</v>
      </c>
      <c r="Q30" s="561" t="n">
        <v>9641</v>
      </c>
      <c r="R30" s="561" t="n">
        <v>9641</v>
      </c>
      <c r="S30" s="561" t="n">
        <v>9738</v>
      </c>
      <c r="T30" s="561" t="n">
        <v>9825</v>
      </c>
      <c r="U30" s="561" t="n">
        <v>9908</v>
      </c>
      <c r="V30" s="561" t="n">
        <v>10022</v>
      </c>
      <c r="W30" s="561" t="n">
        <v>10126</v>
      </c>
      <c r="X30" s="561" t="n">
        <v>10168</v>
      </c>
      <c r="Y30" s="561" t="n">
        <v>10168</v>
      </c>
      <c r="Z30" s="561" t="n">
        <v>10305</v>
      </c>
      <c r="AA30" s="561" t="n">
        <v>10412</v>
      </c>
      <c r="AB30" s="561" t="n">
        <v>10519</v>
      </c>
      <c r="AC30" s="561" t="n">
        <v>10614</v>
      </c>
      <c r="AD30" s="561" t="n">
        <v>10719</v>
      </c>
      <c r="AE30" s="561" t="n">
        <v>10778</v>
      </c>
      <c r="AF30" s="561" t="n">
        <v>10778</v>
      </c>
      <c r="AG30" s="561" t="n">
        <v>10865</v>
      </c>
      <c r="AH30" s="8" t="n">
        <v>10920</v>
      </c>
      <c r="AI30" s="8" t="n">
        <v>10968</v>
      </c>
      <c r="AJ30" s="7">
        <f>AI30-D30</f>
        <v/>
      </c>
    </row>
    <row r="31" ht="18.5" customHeight="1" s="488">
      <c r="A31" s="500" t="n"/>
      <c r="B31" s="500" t="n"/>
      <c r="C31" s="507" t="inlineStr">
        <is>
          <t>DG</t>
        </is>
      </c>
      <c r="D31" s="45" t="n">
        <v>782</v>
      </c>
      <c r="E31" s="561" t="n">
        <v>782</v>
      </c>
      <c r="F31" s="561" t="n">
        <v>782</v>
      </c>
      <c r="G31" s="561" t="n">
        <v>782</v>
      </c>
      <c r="H31" s="561" t="n">
        <v>782</v>
      </c>
      <c r="I31" s="561" t="n">
        <v>782</v>
      </c>
      <c r="J31" s="561" t="n">
        <v>782</v>
      </c>
      <c r="K31" s="561" t="n">
        <v>782</v>
      </c>
      <c r="L31" s="561" t="n">
        <v>800</v>
      </c>
      <c r="M31" s="561" t="n">
        <v>800</v>
      </c>
      <c r="N31" s="561" t="n">
        <v>831</v>
      </c>
      <c r="O31" s="561" t="n">
        <v>839</v>
      </c>
      <c r="P31" s="561" t="n">
        <v>855</v>
      </c>
      <c r="Q31" s="561" t="n">
        <v>870</v>
      </c>
      <c r="R31" s="561" t="n">
        <v>870</v>
      </c>
      <c r="S31" s="561" t="n">
        <v>881</v>
      </c>
      <c r="T31" s="561" t="n">
        <v>905</v>
      </c>
      <c r="U31" s="561" t="n">
        <v>927</v>
      </c>
      <c r="V31" s="561" t="n">
        <v>927</v>
      </c>
      <c r="W31" s="561" t="n">
        <v>939</v>
      </c>
      <c r="X31" s="561" t="n">
        <v>952</v>
      </c>
      <c r="Y31" s="561" t="n">
        <v>952</v>
      </c>
      <c r="Z31" s="561" t="n">
        <v>952</v>
      </c>
      <c r="AA31" s="561" t="n">
        <v>959</v>
      </c>
      <c r="AB31" s="561" t="n">
        <v>959</v>
      </c>
      <c r="AC31" s="561" t="n">
        <v>965</v>
      </c>
      <c r="AD31" s="561" t="n">
        <v>965</v>
      </c>
      <c r="AE31" s="561" t="n">
        <v>965</v>
      </c>
      <c r="AF31" s="561" t="n">
        <v>965</v>
      </c>
      <c r="AG31" s="561" t="n">
        <v>993</v>
      </c>
      <c r="AH31" s="8" t="n">
        <v>1038</v>
      </c>
      <c r="AI31" s="8" t="n">
        <v>1038</v>
      </c>
      <c r="AJ31" s="7">
        <f>AI31-D31</f>
        <v/>
      </c>
    </row>
    <row r="32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20" t="n"/>
      <c r="AJ32" s="501" t="n"/>
    </row>
    <row r="33">
      <c r="A33" s="500" t="n">
        <v>1</v>
      </c>
      <c r="B33" s="500" t="inlineStr">
        <is>
          <t>3F</t>
        </is>
      </c>
      <c r="C33" s="500" t="inlineStr">
        <is>
          <t>AHU1 - BTU</t>
        </is>
      </c>
      <c r="D33" s="46" t="n">
        <v>83302.60000000001</v>
      </c>
      <c r="E33" s="10" t="n">
        <v>84492.81</v>
      </c>
      <c r="F33" s="10" t="n">
        <v>85513.25999999999</v>
      </c>
      <c r="G33" s="10" t="n">
        <v>86362.28</v>
      </c>
      <c r="H33" s="10" t="n">
        <v>87014.03999999999</v>
      </c>
      <c r="I33" s="10" t="n">
        <v>87636.97</v>
      </c>
      <c r="J33" s="10" t="n">
        <v>88092.45</v>
      </c>
      <c r="K33" s="10" t="n">
        <v>88092.45</v>
      </c>
      <c r="L33" s="10" t="n">
        <v>89275.92999999999</v>
      </c>
      <c r="M33" s="10" t="n">
        <v>90140.84</v>
      </c>
      <c r="N33" s="10" t="n">
        <v>91071.91</v>
      </c>
      <c r="O33" s="10" t="n">
        <v>91799.95</v>
      </c>
      <c r="P33" s="10" t="n">
        <v>92376.86</v>
      </c>
      <c r="Q33" s="10" t="n">
        <v>92727.48</v>
      </c>
      <c r="R33" s="11" t="n">
        <v>92727.48</v>
      </c>
      <c r="S33" s="11" t="n">
        <v>93836.99000000001</v>
      </c>
      <c r="T33" s="11" t="n">
        <v>94902.87</v>
      </c>
      <c r="U33" s="11" t="n">
        <v>95903.87</v>
      </c>
      <c r="V33" s="11" t="n">
        <v>96822.71000000001</v>
      </c>
      <c r="W33" s="11" t="n">
        <v>97676.98</v>
      </c>
      <c r="X33" s="11" t="n">
        <v>98086.94</v>
      </c>
      <c r="Y33" s="11" t="n">
        <v>98086.94</v>
      </c>
      <c r="Z33" s="11" t="n">
        <v>99242.89</v>
      </c>
      <c r="AA33" s="11" t="n">
        <v>100102.18</v>
      </c>
      <c r="AB33" s="11" t="n">
        <v>100772.31</v>
      </c>
      <c r="AC33" s="11" t="n">
        <v>101510.24</v>
      </c>
      <c r="AD33" s="11" t="n">
        <v>102180.17</v>
      </c>
      <c r="AE33" s="11" t="n">
        <v>102780.19</v>
      </c>
      <c r="AF33" s="11" t="n">
        <v>102780.19</v>
      </c>
      <c r="AG33" s="11" t="n">
        <v>103987.75</v>
      </c>
      <c r="AH33" s="40" t="n">
        <v>105032.88</v>
      </c>
      <c r="AI33" s="40" t="n">
        <v>105491.36</v>
      </c>
      <c r="AJ33" s="7">
        <f>AI33-D33</f>
        <v/>
      </c>
    </row>
    <row r="34">
      <c r="A34" s="500" t="n">
        <v>2</v>
      </c>
      <c r="B34" s="500" t="inlineStr">
        <is>
          <t>3F</t>
        </is>
      </c>
      <c r="C34" s="500" t="inlineStr">
        <is>
          <t>AHU2 - BTU</t>
        </is>
      </c>
      <c r="D34" s="46" t="n">
        <v>84127.73</v>
      </c>
      <c r="E34" s="36" t="n">
        <v>85305.72</v>
      </c>
      <c r="F34" s="36" t="n">
        <v>86276.34</v>
      </c>
      <c r="G34" s="37" t="n">
        <v>86980.42999999999</v>
      </c>
      <c r="H34" s="10" t="n">
        <v>87602.88</v>
      </c>
      <c r="I34" s="10" t="n">
        <v>88229.39999999999</v>
      </c>
      <c r="J34" s="10" t="n">
        <v>88611.63</v>
      </c>
      <c r="K34" s="10" t="n">
        <v>88611.63</v>
      </c>
      <c r="L34" s="10" t="n">
        <v>89579.5</v>
      </c>
      <c r="M34" s="10" t="n">
        <v>90300.59</v>
      </c>
      <c r="N34" s="10" t="n">
        <v>90966.53</v>
      </c>
      <c r="O34" s="10" t="n">
        <v>91644.45</v>
      </c>
      <c r="P34" s="10" t="n">
        <v>92346.13</v>
      </c>
      <c r="Q34" s="10" t="n">
        <v>92702.58</v>
      </c>
      <c r="R34" s="11" t="n">
        <v>92702.58</v>
      </c>
      <c r="S34" s="11" t="n">
        <v>93840.78999999999</v>
      </c>
      <c r="T34" s="11" t="n">
        <v>95017.02</v>
      </c>
      <c r="U34" s="11" t="n">
        <v>96125.75</v>
      </c>
      <c r="V34" s="11" t="n">
        <v>97180.62</v>
      </c>
      <c r="W34" s="11" t="n">
        <v>98288.49000000001</v>
      </c>
      <c r="X34" s="11" t="n">
        <v>98831.3</v>
      </c>
      <c r="Y34" s="11" t="n">
        <v>98831.3</v>
      </c>
      <c r="Z34" s="11" t="n">
        <v>99912.99000000001</v>
      </c>
      <c r="AA34" s="11" t="n">
        <v>100776.4</v>
      </c>
      <c r="AB34" s="11" t="n">
        <v>101417.81</v>
      </c>
      <c r="AC34" s="11" t="n">
        <v>102127.1</v>
      </c>
      <c r="AD34" s="11" t="n">
        <v>102814.43</v>
      </c>
      <c r="AE34" s="11" t="n">
        <v>103407.45</v>
      </c>
      <c r="AF34" s="11" t="n">
        <v>103407.45</v>
      </c>
      <c r="AG34" s="11" t="n">
        <v>104749.8</v>
      </c>
      <c r="AH34" s="40" t="n">
        <v>105990.3</v>
      </c>
      <c r="AI34" s="40" t="n">
        <v>106652.85</v>
      </c>
      <c r="AJ34" s="7">
        <f>AI34-D34</f>
        <v/>
      </c>
    </row>
    <row r="35">
      <c r="A35" s="500" t="n">
        <v>3</v>
      </c>
      <c r="B35" s="500" t="inlineStr">
        <is>
          <t>3F</t>
        </is>
      </c>
      <c r="C35" s="500" t="inlineStr">
        <is>
          <t>AHU3 - BTU</t>
        </is>
      </c>
      <c r="D35" s="46" t="n">
        <v>87129.60000000001</v>
      </c>
      <c r="E35" s="10" t="n">
        <v>88682.99000000001</v>
      </c>
      <c r="F35" s="10" t="n">
        <v>90084.28</v>
      </c>
      <c r="G35" s="10" t="n">
        <v>91225.42999999999</v>
      </c>
      <c r="H35" s="10" t="n">
        <v>92233.48</v>
      </c>
      <c r="I35" s="10" t="n">
        <v>92972.06</v>
      </c>
      <c r="J35" s="10" t="n">
        <v>93375.03</v>
      </c>
      <c r="K35" s="10" t="n">
        <v>93375.03</v>
      </c>
      <c r="L35" s="10" t="n">
        <v>94552.08</v>
      </c>
      <c r="M35" s="10" t="n">
        <v>95527</v>
      </c>
      <c r="N35" s="10" t="n">
        <v>96364.35000000001</v>
      </c>
      <c r="O35" s="10" t="n">
        <v>97159.45</v>
      </c>
      <c r="P35" s="10" t="n">
        <v>97989.09</v>
      </c>
      <c r="Q35" s="10" t="n">
        <v>98468.28</v>
      </c>
      <c r="R35" s="10" t="n">
        <v>98468.28</v>
      </c>
      <c r="S35" s="11" t="n">
        <v>99710.67</v>
      </c>
      <c r="T35" s="11" t="n">
        <v>100924.95</v>
      </c>
      <c r="U35" s="11" t="n">
        <v>101985.66</v>
      </c>
      <c r="V35" s="11" t="n">
        <v>103070.78</v>
      </c>
      <c r="W35" s="11" t="n">
        <v>104231.5</v>
      </c>
      <c r="X35" s="11" t="n">
        <v>104721.24</v>
      </c>
      <c r="Y35" s="11" t="n">
        <v>104721.24</v>
      </c>
      <c r="Z35" s="11" t="n">
        <v>106078.15</v>
      </c>
      <c r="AA35" s="11" t="n">
        <v>107218.94</v>
      </c>
      <c r="AB35" s="11" t="n">
        <v>108099.17</v>
      </c>
      <c r="AC35" s="11" t="n">
        <v>109098.62</v>
      </c>
      <c r="AD35" s="11" t="n">
        <v>109972.01</v>
      </c>
      <c r="AE35" s="11" t="n">
        <v>110690.71</v>
      </c>
      <c r="AF35" s="11" t="n">
        <v>110690.71</v>
      </c>
      <c r="AG35" s="11" t="n">
        <v>111928.79</v>
      </c>
      <c r="AH35" s="40" t="n">
        <v>113016.93</v>
      </c>
      <c r="AI35" s="40" t="n">
        <v>113637.95</v>
      </c>
      <c r="AJ35" s="7">
        <f>AI35-D35</f>
        <v/>
      </c>
    </row>
    <row r="36">
      <c r="A36" s="500" t="n">
        <v>4</v>
      </c>
      <c r="B36" s="500" t="inlineStr">
        <is>
          <t>3F</t>
        </is>
      </c>
      <c r="C36" s="500" t="inlineStr">
        <is>
          <t>AHU4 - BTU</t>
        </is>
      </c>
      <c r="D36" s="46" t="n">
        <v>103444.13</v>
      </c>
      <c r="E36" s="10" t="n">
        <v>105005.48</v>
      </c>
      <c r="F36" s="10" t="n">
        <v>106194</v>
      </c>
      <c r="G36" s="10" t="n">
        <v>107109.01</v>
      </c>
      <c r="H36" s="10" t="n">
        <v>107938.18</v>
      </c>
      <c r="I36" s="10" t="n">
        <v>108949.38</v>
      </c>
      <c r="J36" s="10" t="n">
        <v>109519.11</v>
      </c>
      <c r="K36" s="10" t="n">
        <v>109519.11</v>
      </c>
      <c r="L36" s="10" t="n">
        <v>110842.3</v>
      </c>
      <c r="M36" s="10" t="n">
        <v>111768.06</v>
      </c>
      <c r="N36" s="10" t="n">
        <v>112732.5</v>
      </c>
      <c r="O36" s="10" t="n">
        <v>113902.85</v>
      </c>
      <c r="P36" s="10" t="n">
        <v>114846.4</v>
      </c>
      <c r="Q36" s="10" t="n">
        <v>115336.17</v>
      </c>
      <c r="R36" s="11" t="n">
        <v>115336.17</v>
      </c>
      <c r="S36" s="11" t="n">
        <v>116789.55</v>
      </c>
      <c r="T36" s="11" t="n">
        <v>118073.23</v>
      </c>
      <c r="U36" s="11" t="n">
        <v>119179.1</v>
      </c>
      <c r="V36" s="11" t="n">
        <v>120123.97</v>
      </c>
      <c r="W36" s="11" t="n">
        <v>121035.88</v>
      </c>
      <c r="X36" s="11" t="n">
        <v>121447.42</v>
      </c>
      <c r="Y36" s="11" t="n">
        <v>121447.42</v>
      </c>
      <c r="Z36" s="11" t="n">
        <v>122863.19</v>
      </c>
      <c r="AA36" s="11" t="n">
        <v>124003.25</v>
      </c>
      <c r="AB36" s="11" t="n">
        <v>124903.96</v>
      </c>
      <c r="AC36" s="11" t="n">
        <v>125819.93</v>
      </c>
      <c r="AD36" s="11" t="n">
        <v>126755.64</v>
      </c>
      <c r="AE36" s="11" t="n">
        <v>127503.13</v>
      </c>
      <c r="AF36" s="11" t="n">
        <v>127503.13</v>
      </c>
      <c r="AG36" s="11" t="n">
        <v>128925.27</v>
      </c>
      <c r="AH36" s="40" t="n">
        <v>130141.18</v>
      </c>
      <c r="AI36" s="40" t="n">
        <v>130737.1</v>
      </c>
      <c r="AJ36" s="7">
        <f>AI36-D36</f>
        <v/>
      </c>
    </row>
    <row r="37">
      <c r="D37" s="13" t="n"/>
      <c r="E37" s="13" t="n"/>
      <c r="AD37" s="6" t="n"/>
    </row>
    <row r="38" ht="18.5" customHeight="1" s="488">
      <c r="A38" s="14" t="n"/>
      <c r="B38" s="15" t="n"/>
      <c r="C38" s="15" t="n"/>
      <c r="D38" s="15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</row>
    <row r="39" ht="15.5" customHeight="1" s="488">
      <c r="A39" s="16" t="n"/>
      <c r="B39" s="528" t="inlineStr">
        <is>
          <t xml:space="preserve"> Daily Energy Report</t>
        </is>
      </c>
      <c r="C39" s="520" t="n"/>
      <c r="D39" s="501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</row>
    <row r="40">
      <c r="A40" s="17" t="n"/>
      <c r="B40" s="519" t="inlineStr">
        <is>
          <t>Electricity Consumption</t>
        </is>
      </c>
      <c r="C40" s="520" t="n"/>
      <c r="D40" s="501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</row>
    <row r="41">
      <c r="A41" s="515" t="inlineStr">
        <is>
          <t>Sr.No</t>
        </is>
      </c>
      <c r="B41" s="515" t="inlineStr">
        <is>
          <t>Location</t>
        </is>
      </c>
      <c r="C41" s="515" t="inlineStr">
        <is>
          <t>Meter</t>
        </is>
      </c>
      <c r="D41" s="522" t="n"/>
      <c r="E41" s="42">
        <f>E3</f>
        <v/>
      </c>
      <c r="F41" s="42">
        <f>F3</f>
        <v/>
      </c>
      <c r="G41" s="42">
        <f>G3</f>
        <v/>
      </c>
      <c r="H41" s="42">
        <f>H3</f>
        <v/>
      </c>
      <c r="I41" s="42">
        <f>I3</f>
        <v/>
      </c>
      <c r="J41" s="42">
        <f>J3</f>
        <v/>
      </c>
      <c r="K41" s="42">
        <f>K3</f>
        <v/>
      </c>
      <c r="L41" s="42">
        <f>L3</f>
        <v/>
      </c>
      <c r="M41" s="42">
        <f>M3</f>
        <v/>
      </c>
      <c r="N41" s="42">
        <f>N3</f>
        <v/>
      </c>
      <c r="O41" s="42">
        <f>O3</f>
        <v/>
      </c>
      <c r="P41" s="42">
        <f>P3</f>
        <v/>
      </c>
      <c r="Q41" s="42">
        <f>Q3</f>
        <v/>
      </c>
      <c r="R41" s="42">
        <f>R3</f>
        <v/>
      </c>
      <c r="S41" s="42">
        <f>S3</f>
        <v/>
      </c>
      <c r="T41" s="42">
        <f>T3</f>
        <v/>
      </c>
      <c r="U41" s="42">
        <f>U3</f>
        <v/>
      </c>
      <c r="V41" s="42">
        <f>V3</f>
        <v/>
      </c>
      <c r="W41" s="42">
        <f>W3</f>
        <v/>
      </c>
      <c r="X41" s="42">
        <f>X3</f>
        <v/>
      </c>
      <c r="Y41" s="42">
        <f>Y3</f>
        <v/>
      </c>
      <c r="Z41" s="42">
        <f>Z3</f>
        <v/>
      </c>
      <c r="AA41" s="42">
        <f>AA3</f>
        <v/>
      </c>
      <c r="AB41" s="42">
        <f>AB3</f>
        <v/>
      </c>
      <c r="AC41" s="42">
        <f>AC3</f>
        <v/>
      </c>
      <c r="AD41" s="42">
        <f>AD3</f>
        <v/>
      </c>
      <c r="AE41" s="42">
        <f>AE3</f>
        <v/>
      </c>
      <c r="AF41" s="42">
        <f>AF3</f>
        <v/>
      </c>
      <c r="AG41" s="42">
        <f>AG3</f>
        <v/>
      </c>
      <c r="AH41" s="42">
        <f>AH3</f>
        <v/>
      </c>
      <c r="AI41" s="42">
        <f>AI3</f>
        <v/>
      </c>
      <c r="AJ41" s="515" t="inlineStr">
        <is>
          <t>Consumption</t>
        </is>
      </c>
    </row>
    <row r="42">
      <c r="A42" s="516" t="n"/>
      <c r="B42" s="516" t="n"/>
      <c r="C42" s="523" t="n"/>
      <c r="D42" s="524" t="n"/>
      <c r="E42" s="1">
        <f>E4</f>
        <v/>
      </c>
      <c r="F42" s="1">
        <f>F4</f>
        <v/>
      </c>
      <c r="G42" s="1">
        <f>G4</f>
        <v/>
      </c>
      <c r="H42" s="1">
        <f>H4</f>
        <v/>
      </c>
      <c r="I42" s="1">
        <f>I4</f>
        <v/>
      </c>
      <c r="J42" s="1">
        <f>J4</f>
        <v/>
      </c>
      <c r="K42" s="1">
        <f>K4</f>
        <v/>
      </c>
      <c r="L42" s="1">
        <f>L4</f>
        <v/>
      </c>
      <c r="M42" s="1">
        <f>M4</f>
        <v/>
      </c>
      <c r="N42" s="1">
        <f>N4</f>
        <v/>
      </c>
      <c r="O42" s="1">
        <f>O4</f>
        <v/>
      </c>
      <c r="P42" s="1">
        <f>P4</f>
        <v/>
      </c>
      <c r="Q42" s="1">
        <f>Q4</f>
        <v/>
      </c>
      <c r="R42" s="1">
        <f>R4</f>
        <v/>
      </c>
      <c r="S42" s="1">
        <f>S4</f>
        <v/>
      </c>
      <c r="T42" s="1">
        <f>T4</f>
        <v/>
      </c>
      <c r="U42" s="1">
        <f>U4</f>
        <v/>
      </c>
      <c r="V42" s="1">
        <f>V4</f>
        <v/>
      </c>
      <c r="W42" s="1">
        <f>W4</f>
        <v/>
      </c>
      <c r="X42" s="1">
        <f>X4</f>
        <v/>
      </c>
      <c r="Y42" s="1">
        <f>Y4</f>
        <v/>
      </c>
      <c r="Z42" s="1">
        <f>Z4</f>
        <v/>
      </c>
      <c r="AA42" s="1">
        <f>AA4</f>
        <v/>
      </c>
      <c r="AB42" s="1">
        <f>AB4</f>
        <v/>
      </c>
      <c r="AC42" s="1">
        <f>AC4</f>
        <v/>
      </c>
      <c r="AD42" s="1">
        <f>AD4</f>
        <v/>
      </c>
      <c r="AE42" s="1">
        <f>AE4</f>
        <v/>
      </c>
      <c r="AF42" s="1">
        <f>AF4</f>
        <v/>
      </c>
      <c r="AG42" s="1">
        <f>AG4</f>
        <v/>
      </c>
      <c r="AH42" s="1">
        <f>AH4</f>
        <v/>
      </c>
      <c r="AI42" s="1">
        <f>AI4</f>
        <v/>
      </c>
      <c r="AJ42" s="516" t="n"/>
    </row>
    <row r="43">
      <c r="A43" s="516" t="n"/>
      <c r="B43" s="516" t="n"/>
      <c r="C43" s="523" t="n"/>
      <c r="D43" s="524" t="n"/>
      <c r="E43" s="18" t="inlineStr">
        <is>
          <t>Time</t>
        </is>
      </c>
      <c r="F43" s="18" t="inlineStr">
        <is>
          <t>Time</t>
        </is>
      </c>
      <c r="G43" s="18" t="inlineStr">
        <is>
          <t>Time</t>
        </is>
      </c>
      <c r="H43" s="18" t="inlineStr">
        <is>
          <t>Time</t>
        </is>
      </c>
      <c r="I43" s="18" t="inlineStr">
        <is>
          <t>Time</t>
        </is>
      </c>
      <c r="J43" s="18" t="inlineStr">
        <is>
          <t>Time</t>
        </is>
      </c>
      <c r="K43" s="18" t="inlineStr">
        <is>
          <t>Time</t>
        </is>
      </c>
      <c r="L43" s="18" t="inlineStr">
        <is>
          <t>Time</t>
        </is>
      </c>
      <c r="M43" s="18" t="inlineStr">
        <is>
          <t>Time</t>
        </is>
      </c>
      <c r="N43" s="18" t="inlineStr">
        <is>
          <t>Time</t>
        </is>
      </c>
      <c r="O43" s="18" t="inlineStr">
        <is>
          <t>Time</t>
        </is>
      </c>
      <c r="P43" s="18" t="inlineStr">
        <is>
          <t>Time</t>
        </is>
      </c>
      <c r="Q43" s="18" t="inlineStr">
        <is>
          <t>Time</t>
        </is>
      </c>
      <c r="R43" s="18" t="inlineStr">
        <is>
          <t>Time</t>
        </is>
      </c>
      <c r="S43" s="18" t="inlineStr">
        <is>
          <t>Time</t>
        </is>
      </c>
      <c r="T43" s="18" t="inlineStr">
        <is>
          <t>Time</t>
        </is>
      </c>
      <c r="U43" s="18" t="inlineStr">
        <is>
          <t>Time</t>
        </is>
      </c>
      <c r="V43" s="18" t="inlineStr">
        <is>
          <t>Time</t>
        </is>
      </c>
      <c r="W43" s="18" t="inlineStr">
        <is>
          <t>Time</t>
        </is>
      </c>
      <c r="X43" s="18" t="inlineStr">
        <is>
          <t>Time</t>
        </is>
      </c>
      <c r="Y43" s="18" t="inlineStr">
        <is>
          <t>Time</t>
        </is>
      </c>
      <c r="Z43" s="18" t="inlineStr">
        <is>
          <t>Time</t>
        </is>
      </c>
      <c r="AA43" s="18" t="inlineStr">
        <is>
          <t>Time</t>
        </is>
      </c>
      <c r="AB43" s="18" t="inlineStr">
        <is>
          <t>Time</t>
        </is>
      </c>
      <c r="AC43" s="18" t="inlineStr">
        <is>
          <t>Time</t>
        </is>
      </c>
      <c r="AD43" s="18" t="inlineStr">
        <is>
          <t>Time</t>
        </is>
      </c>
      <c r="AE43" s="18" t="inlineStr">
        <is>
          <t>Time</t>
        </is>
      </c>
      <c r="AF43" s="18" t="inlineStr">
        <is>
          <t>Time</t>
        </is>
      </c>
      <c r="AG43" s="18" t="inlineStr">
        <is>
          <t>Time</t>
        </is>
      </c>
      <c r="AH43" s="18" t="inlineStr">
        <is>
          <t>Time</t>
        </is>
      </c>
      <c r="AI43" s="18" t="inlineStr">
        <is>
          <t>Time</t>
        </is>
      </c>
      <c r="AJ43" s="516" t="n"/>
    </row>
    <row r="44">
      <c r="A44" s="517" t="n"/>
      <c r="B44" s="517" t="n"/>
      <c r="C44" s="525" t="n"/>
      <c r="D44" s="526" t="n"/>
      <c r="E44" s="19" t="n">
        <v>0.3333333333333333</v>
      </c>
      <c r="F44" s="19" t="n">
        <v>0.3333333333333333</v>
      </c>
      <c r="G44" s="19" t="n">
        <v>0.3333333333333333</v>
      </c>
      <c r="H44" s="19" t="n">
        <v>0.3333333333333333</v>
      </c>
      <c r="I44" s="19" t="n">
        <v>0.3333333333333333</v>
      </c>
      <c r="J44" s="19" t="n">
        <v>0.3333333333333333</v>
      </c>
      <c r="K44" s="19" t="n">
        <v>0.3333333333333333</v>
      </c>
      <c r="L44" s="19" t="n">
        <v>0.3333333333333333</v>
      </c>
      <c r="M44" s="19" t="n">
        <v>0.3333333333333333</v>
      </c>
      <c r="N44" s="19" t="n">
        <v>0.3333333333333333</v>
      </c>
      <c r="O44" s="19" t="n">
        <v>0.3333333333333333</v>
      </c>
      <c r="P44" s="19" t="n">
        <v>0.3333333333333333</v>
      </c>
      <c r="Q44" s="19" t="n">
        <v>0.3333333333333333</v>
      </c>
      <c r="R44" s="19" t="n">
        <v>0.3333333333333333</v>
      </c>
      <c r="S44" s="19" t="n">
        <v>0.3333333333333333</v>
      </c>
      <c r="T44" s="19" t="n">
        <v>0.3333333333333333</v>
      </c>
      <c r="U44" s="19" t="n">
        <v>0.3333333333333333</v>
      </c>
      <c r="V44" s="19" t="n">
        <v>0.3333333333333333</v>
      </c>
      <c r="W44" s="19" t="n">
        <v>0.3333333333333333</v>
      </c>
      <c r="X44" s="19" t="n">
        <v>0.3333333333333333</v>
      </c>
      <c r="Y44" s="19" t="n">
        <v>0.3333333333333333</v>
      </c>
      <c r="Z44" s="19" t="n">
        <v>0.3333333333333333</v>
      </c>
      <c r="AA44" s="19" t="n">
        <v>0.3333333333333333</v>
      </c>
      <c r="AB44" s="19" t="n">
        <v>0.3333333333333333</v>
      </c>
      <c r="AC44" s="19" t="n">
        <v>0.3333333333333333</v>
      </c>
      <c r="AD44" s="19" t="n">
        <v>0.3333333333333333</v>
      </c>
      <c r="AE44" s="19" t="n">
        <v>0.3333333333333333</v>
      </c>
      <c r="AF44" s="19" t="n">
        <v>0.3333333333333333</v>
      </c>
      <c r="AG44" s="19" t="n">
        <v>0.3333333333333333</v>
      </c>
      <c r="AH44" s="19" t="n">
        <v>0.3333333333333333</v>
      </c>
      <c r="AI44" s="19" t="n">
        <v>0.3333333333333333</v>
      </c>
      <c r="AJ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8.5" customHeight="1" s="488">
      <c r="A46" s="500" t="n"/>
      <c r="B46" s="500" t="n"/>
      <c r="C46" s="507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8.5" customHeight="1" s="488">
      <c r="A48" s="500" t="n"/>
      <c r="B48" s="500" t="n"/>
      <c r="C48" s="507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8.5" customHeight="1" s="488">
      <c r="A50" s="500" t="n"/>
      <c r="B50" s="500" t="n"/>
      <c r="C50" s="507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8.5" customHeight="1" s="488">
      <c r="A52" s="500" t="n"/>
      <c r="B52" s="500" t="n"/>
      <c r="C52" s="507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8.5" customHeight="1" s="488">
      <c r="A54" s="500" t="n"/>
      <c r="B54" s="500" t="n"/>
      <c r="C54" s="507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21">
        <f>SUM(E54:AI54)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21">
        <f>SUM(E55:AI55)</f>
        <v/>
      </c>
    </row>
    <row r="56" ht="18.5" customHeight="1" s="488">
      <c r="A56" s="500" t="n"/>
      <c r="B56" s="500" t="n"/>
      <c r="C56" s="507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21">
        <f>SUM(E56:AI56)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21">
        <f>SUM(E57:AI57)</f>
        <v/>
      </c>
    </row>
    <row r="58" ht="18.5" customHeight="1" s="488">
      <c r="A58" s="500" t="n"/>
      <c r="B58" s="500" t="n"/>
      <c r="C58" s="507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8.5" customHeight="1" s="488">
      <c r="A60" s="500" t="n"/>
      <c r="B60" s="500" t="n"/>
      <c r="C60" s="507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20">
        <f>AI22-AH22</f>
        <v/>
      </c>
      <c r="AJ60" s="21">
        <f>SUM(E60:AI60)</f>
        <v/>
      </c>
    </row>
    <row r="61" ht="15" customHeight="1" s="488">
      <c r="A61" s="22" t="n"/>
      <c r="B61" s="22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23">
        <f>SUM(AI59,AI57,AI55,AI53,AI51,AI49,AI47,AI45)</f>
        <v/>
      </c>
      <c r="AJ61" s="111">
        <f>SUM(E61:AI61)</f>
        <v/>
      </c>
      <c r="AK61" s="121" t="inlineStr">
        <is>
          <t>EB</t>
        </is>
      </c>
      <c r="AL61" s="122">
        <f>AJ61</f>
        <v/>
      </c>
    </row>
    <row r="62" ht="15" customHeight="1" s="488">
      <c r="A62" s="22" t="n"/>
      <c r="B62" s="22" t="n"/>
      <c r="C62" s="63" t="inlineStr">
        <is>
          <t>Total Power- DG</t>
        </is>
      </c>
      <c r="D62" s="65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23">
        <f>SUM(AI46,AI48,AI50,AI52,AI54,AI56,AI58,AI60)</f>
        <v/>
      </c>
      <c r="AJ62" s="111">
        <f>SUM(E62:AI62)</f>
        <v/>
      </c>
      <c r="AK62" s="123" t="inlineStr">
        <is>
          <t>AHU</t>
        </is>
      </c>
      <c r="AL62" s="122">
        <f>AJ74</f>
        <v/>
      </c>
    </row>
    <row r="63">
      <c r="A63" s="571" t="n"/>
      <c r="B63" s="571" t="n"/>
      <c r="C63" s="514" t="inlineStr">
        <is>
          <t>Total Power Cumulative</t>
        </is>
      </c>
      <c r="D63" s="501" t="n"/>
      <c r="E63" s="26">
        <f>E61</f>
        <v/>
      </c>
      <c r="F63" s="26">
        <f>E63+F61</f>
        <v/>
      </c>
      <c r="G63" s="26">
        <f>F63+G61</f>
        <v/>
      </c>
      <c r="H63" s="26">
        <f>G63+H61</f>
        <v/>
      </c>
      <c r="I63" s="26">
        <f>H63+I61</f>
        <v/>
      </c>
      <c r="J63" s="26">
        <f>I63+J61</f>
        <v/>
      </c>
      <c r="K63" s="26">
        <f>J63+K61</f>
        <v/>
      </c>
      <c r="L63" s="26">
        <f>K63+L61</f>
        <v/>
      </c>
      <c r="M63" s="26">
        <f>L63+M61</f>
        <v/>
      </c>
      <c r="N63" s="26">
        <f>M63+N61</f>
        <v/>
      </c>
      <c r="O63" s="26">
        <f>N63+O61</f>
        <v/>
      </c>
      <c r="P63" s="26">
        <f>O63+P61</f>
        <v/>
      </c>
      <c r="Q63" s="26">
        <f>P63+Q61</f>
        <v/>
      </c>
      <c r="R63" s="26">
        <f>Q63+R61</f>
        <v/>
      </c>
      <c r="S63" s="26">
        <f>R63+S61</f>
        <v/>
      </c>
      <c r="T63" s="26">
        <f>S63+T61</f>
        <v/>
      </c>
      <c r="U63" s="26">
        <f>T63+U61</f>
        <v/>
      </c>
      <c r="V63" s="26">
        <f>U63+V61</f>
        <v/>
      </c>
      <c r="W63" s="26">
        <f>V63+W61</f>
        <v/>
      </c>
      <c r="X63" s="26">
        <f>W63+X61</f>
        <v/>
      </c>
      <c r="Y63" s="26">
        <f>X63+Y61</f>
        <v/>
      </c>
      <c r="Z63" s="26">
        <f>Y63+Z61</f>
        <v/>
      </c>
      <c r="AA63" s="26">
        <f>Z63+AA61</f>
        <v/>
      </c>
      <c r="AB63" s="26">
        <f>AA63+AB61</f>
        <v/>
      </c>
      <c r="AC63" s="26">
        <f>AB63+AC61</f>
        <v/>
      </c>
      <c r="AD63" s="26">
        <f>AC63+AD61</f>
        <v/>
      </c>
      <c r="AE63" s="26">
        <f>AD63+AE61</f>
        <v/>
      </c>
      <c r="AF63" s="26">
        <f>AE63+AF61</f>
        <v/>
      </c>
      <c r="AG63" s="26">
        <f>AF63+AG61</f>
        <v/>
      </c>
      <c r="AH63" s="26">
        <f>AG63+AH61</f>
        <v/>
      </c>
      <c r="AI63" s="26">
        <f>AH63+AI61</f>
        <v/>
      </c>
      <c r="AJ63" s="119">
        <f>AG63+AJ61</f>
        <v/>
      </c>
      <c r="AK63" s="123" t="inlineStr">
        <is>
          <t>BTU</t>
        </is>
      </c>
      <c r="AL63" s="124">
        <f>AJ80*40%</f>
        <v/>
      </c>
    </row>
    <row r="64">
      <c r="A64" s="17" t="n"/>
      <c r="B64" s="534" t="n"/>
      <c r="C64" s="534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20" t="n"/>
      <c r="AK64" s="123" t="inlineStr">
        <is>
          <t>DG</t>
        </is>
      </c>
      <c r="AL64" s="122">
        <f>AJ62+AJ75</f>
        <v/>
      </c>
    </row>
    <row r="65" ht="1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  <c r="AN65" s="66" t="n"/>
    </row>
    <row r="66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AI24-AH24</f>
        <v/>
      </c>
      <c r="AJ66" s="30">
        <f>SUM(E66:AI66)</f>
        <v/>
      </c>
    </row>
    <row r="67" ht="18.5" customHeight="1" s="488">
      <c r="A67" s="500" t="n"/>
      <c r="B67" s="500" t="n"/>
      <c r="C67" s="512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AI25-AH25</f>
        <v/>
      </c>
      <c r="AJ67" s="30">
        <f>SUM(E67:AI67)</f>
        <v/>
      </c>
    </row>
    <row r="6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AI26-AH26</f>
        <v/>
      </c>
      <c r="AJ68" s="30">
        <f>SUM(E68:AI68)</f>
        <v/>
      </c>
    </row>
    <row r="69" ht="18.5" customHeight="1" s="488">
      <c r="A69" s="500" t="n"/>
      <c r="B69" s="500" t="n"/>
      <c r="C69" s="512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AI27-AH27</f>
        <v/>
      </c>
      <c r="AJ69" s="30">
        <f>SUM(E69:AI69)</f>
        <v/>
      </c>
    </row>
    <row r="70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AI28-AH28</f>
        <v/>
      </c>
      <c r="AJ70" s="30">
        <f>SUM(E70:AI70)</f>
        <v/>
      </c>
    </row>
    <row r="71" ht="18.5" customHeight="1" s="488">
      <c r="A71" s="500" t="n"/>
      <c r="B71" s="500" t="n"/>
      <c r="C71" s="512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AI29-AH29</f>
        <v/>
      </c>
      <c r="AJ71" s="30">
        <f>SUM(E71:AI71)</f>
        <v/>
      </c>
    </row>
    <row r="72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AI30-AH30</f>
        <v/>
      </c>
      <c r="AJ72" s="30">
        <f>SUM(E72:AI72)</f>
        <v/>
      </c>
    </row>
    <row r="73" ht="18.5" customHeight="1" s="488">
      <c r="A73" s="500" t="n"/>
      <c r="B73" s="500" t="n"/>
      <c r="C73" s="512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AI31-AH31</f>
        <v/>
      </c>
      <c r="AJ73" s="30">
        <f>SUM(E73:AI73)</f>
        <v/>
      </c>
    </row>
    <row r="74" ht="25.5" customHeight="1" s="488">
      <c r="A74" s="22" t="n"/>
      <c r="B74" s="22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  <c r="AK74" s="64" t="n"/>
      <c r="AL74" s="64" t="n"/>
    </row>
    <row r="75" ht="25.5" customHeight="1" s="488">
      <c r="A75" s="22" t="n"/>
      <c r="B75" s="22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3">
        <f>SUM(AI67,AI69,AI71,AI73)</f>
        <v/>
      </c>
      <c r="AJ75" s="24">
        <f>SUM(E75:AI75)</f>
        <v/>
      </c>
      <c r="AK75" s="64" t="n"/>
      <c r="AL75" s="64" t="n"/>
    </row>
    <row r="76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AI33-AH33</f>
        <v/>
      </c>
      <c r="AJ76" s="30">
        <f>SUM(E76:AI76)</f>
        <v/>
      </c>
    </row>
    <row r="77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AI34-AH34</f>
        <v/>
      </c>
      <c r="AJ77" s="30">
        <f>SUM(E77:AI77)</f>
        <v/>
      </c>
    </row>
    <row r="7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AI35-AH35</f>
        <v/>
      </c>
      <c r="AJ78" s="30">
        <f>SUM(E78:AI78)</f>
        <v/>
      </c>
    </row>
    <row r="79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AI36-AH36</f>
        <v/>
      </c>
      <c r="AJ79" s="30">
        <f>SUM(E79:AI79)</f>
        <v/>
      </c>
    </row>
    <row r="80" ht="15" customHeight="1" s="488">
      <c r="A80" s="22" t="n"/>
      <c r="B80" s="22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3">
        <f>SUM(AI76:AI79)</f>
        <v/>
      </c>
      <c r="AJ80" s="24">
        <f>SUM(AJ76:AJ79)</f>
        <v/>
      </c>
      <c r="AK80" s="64" t="n"/>
    </row>
  </sheetData>
  <mergeCells count="49">
    <mergeCell ref="C77:D77"/>
    <mergeCell ref="C68:D68"/>
    <mergeCell ref="E2:AI2"/>
    <mergeCell ref="C58:D58"/>
    <mergeCell ref="B3:B6"/>
    <mergeCell ref="C45:D45"/>
    <mergeCell ref="C74:D74"/>
    <mergeCell ref="C79:D79"/>
    <mergeCell ref="C73:D73"/>
    <mergeCell ref="C47:D47"/>
    <mergeCell ref="C54:D54"/>
    <mergeCell ref="C63:D63"/>
    <mergeCell ref="C65:D65"/>
    <mergeCell ref="B40:D40"/>
    <mergeCell ref="A41:A44"/>
    <mergeCell ref="A3:A6"/>
    <mergeCell ref="C50:D50"/>
    <mergeCell ref="AJ3:AJ6"/>
    <mergeCell ref="C75:D75"/>
    <mergeCell ref="C55:D55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D3:D6"/>
    <mergeCell ref="C61:D61"/>
    <mergeCell ref="C52:D52"/>
    <mergeCell ref="C70:D70"/>
    <mergeCell ref="C48:D48"/>
    <mergeCell ref="B41:B44"/>
    <mergeCell ref="C72:D72"/>
    <mergeCell ref="C67:D67"/>
    <mergeCell ref="C57:D57"/>
    <mergeCell ref="C3:C6"/>
    <mergeCell ref="C66:D66"/>
    <mergeCell ref="C41:D44"/>
    <mergeCell ref="A2:D2"/>
    <mergeCell ref="C53:D53"/>
    <mergeCell ref="B39:D39"/>
    <mergeCell ref="C78:D78"/>
    <mergeCell ref="C69:D69"/>
    <mergeCell ref="C49:D49"/>
  </mergeCells>
  <pageMargins left="0.7" right="0.7" top="0.75" bottom="0.75" header="0.3" footer="0.3"/>
  <pageSetup orientation="landscape" paperSize="9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L80"/>
  <sheetViews>
    <sheetView topLeftCell="A43" workbookViewId="0">
      <selection activeCell="A22" sqref="A22:AJ22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89" min="3" max="3"/>
    <col width="20" bestFit="1" customWidth="1" style="70" min="4" max="4"/>
    <col width="23" customWidth="1" style="488" min="5" max="32"/>
    <col width="23" bestFit="1" customWidth="1" style="70" min="33" max="35"/>
    <col width="18" bestFit="1" customWidth="1" style="70" min="36" max="36"/>
    <col width="14" customWidth="1" style="70" min="37" max="37"/>
    <col width="18" customWidth="1" style="70" min="38" max="39"/>
    <col width="18" customWidth="1" style="70" min="40" max="16384"/>
  </cols>
  <sheetData>
    <row r="2" ht="16.5" customHeight="1" s="488">
      <c r="A2" s="538" t="n"/>
      <c r="B2" s="505" t="n"/>
      <c r="C2" s="505" t="n"/>
      <c r="D2" s="506" t="n"/>
      <c r="E2" s="535" t="inlineStr">
        <is>
          <t>August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5" t="n"/>
      <c r="AI2" s="506" t="n"/>
      <c r="AJ2" s="69" t="n"/>
    </row>
    <row r="3" ht="13" customHeight="1" s="488">
      <c r="A3" s="530" t="inlineStr">
        <is>
          <t>Sr.No</t>
        </is>
      </c>
      <c r="B3" s="530" t="inlineStr">
        <is>
          <t>Location</t>
        </is>
      </c>
      <c r="C3" s="530" t="inlineStr">
        <is>
          <t>Meter</t>
        </is>
      </c>
      <c r="D3" s="540" t="inlineStr">
        <is>
          <t>Previous Reading</t>
        </is>
      </c>
      <c r="E3" s="71" t="n">
        <v>45505</v>
      </c>
      <c r="F3" s="71" t="n">
        <v>45506</v>
      </c>
      <c r="G3" s="71" t="n">
        <v>45507</v>
      </c>
      <c r="H3" s="71" t="n">
        <v>45508</v>
      </c>
      <c r="I3" s="71" t="n">
        <v>45509</v>
      </c>
      <c r="J3" s="71" t="n">
        <v>45510</v>
      </c>
      <c r="K3" s="71" t="n">
        <v>45511</v>
      </c>
      <c r="L3" s="71" t="n">
        <v>45512</v>
      </c>
      <c r="M3" s="71" t="n">
        <v>45513</v>
      </c>
      <c r="N3" s="71" t="n">
        <v>45514</v>
      </c>
      <c r="O3" s="71" t="n">
        <v>45515</v>
      </c>
      <c r="P3" s="71" t="n">
        <v>45516</v>
      </c>
      <c r="Q3" s="71" t="n">
        <v>45517</v>
      </c>
      <c r="R3" s="71" t="n">
        <v>45518</v>
      </c>
      <c r="S3" s="71" t="n">
        <v>45519</v>
      </c>
      <c r="T3" s="71" t="n">
        <v>45520</v>
      </c>
      <c r="U3" s="71" t="n">
        <v>45521</v>
      </c>
      <c r="V3" s="71" t="n">
        <v>45522</v>
      </c>
      <c r="W3" s="71" t="n">
        <v>45523</v>
      </c>
      <c r="X3" s="71" t="n">
        <v>45524</v>
      </c>
      <c r="Y3" s="71" t="n">
        <v>45525</v>
      </c>
      <c r="Z3" s="71" t="n">
        <v>45526</v>
      </c>
      <c r="AA3" s="71" t="n">
        <v>45527</v>
      </c>
      <c r="AB3" s="71" t="n">
        <v>45528</v>
      </c>
      <c r="AC3" s="71" t="n">
        <v>45529</v>
      </c>
      <c r="AD3" s="71" t="n">
        <v>45530</v>
      </c>
      <c r="AE3" s="71" t="n">
        <v>45531</v>
      </c>
      <c r="AF3" s="71" t="n">
        <v>45532</v>
      </c>
      <c r="AG3" s="71" t="n">
        <v>45533</v>
      </c>
      <c r="AH3" s="71" t="n">
        <v>45534</v>
      </c>
      <c r="AI3" s="71" t="n">
        <v>45535</v>
      </c>
      <c r="AJ3" s="537" t="inlineStr">
        <is>
          <t>Consumption</t>
        </is>
      </c>
    </row>
    <row r="4" ht="13" customHeight="1" s="488">
      <c r="A4" s="509" t="n"/>
      <c r="B4" s="509" t="n"/>
      <c r="C4" s="509" t="n"/>
      <c r="D4" s="509" t="n"/>
      <c r="E4" s="72" t="inlineStr">
        <is>
          <t>Thu</t>
        </is>
      </c>
      <c r="F4" s="72" t="inlineStr">
        <is>
          <t>Fri</t>
        </is>
      </c>
      <c r="G4" s="72" t="inlineStr">
        <is>
          <t>Sat</t>
        </is>
      </c>
      <c r="H4" s="72" t="inlineStr">
        <is>
          <t>Sun</t>
        </is>
      </c>
      <c r="I4" s="72" t="inlineStr">
        <is>
          <t>Mon</t>
        </is>
      </c>
      <c r="J4" s="72" t="inlineStr">
        <is>
          <t>Tue</t>
        </is>
      </c>
      <c r="K4" s="72" t="inlineStr">
        <is>
          <t>Wed</t>
        </is>
      </c>
      <c r="L4" s="72" t="inlineStr">
        <is>
          <t>Thu</t>
        </is>
      </c>
      <c r="M4" s="72" t="inlineStr">
        <is>
          <t>Fri</t>
        </is>
      </c>
      <c r="N4" s="72" t="inlineStr">
        <is>
          <t>Sat</t>
        </is>
      </c>
      <c r="O4" s="72" t="inlineStr">
        <is>
          <t>Sun</t>
        </is>
      </c>
      <c r="P4" s="72" t="inlineStr">
        <is>
          <t>Mon</t>
        </is>
      </c>
      <c r="Q4" s="72" t="inlineStr">
        <is>
          <t>Tue</t>
        </is>
      </c>
      <c r="R4" s="72" t="inlineStr">
        <is>
          <t>Wed</t>
        </is>
      </c>
      <c r="S4" s="72" t="inlineStr">
        <is>
          <t>Thu</t>
        </is>
      </c>
      <c r="T4" s="72" t="inlineStr">
        <is>
          <t>Fri</t>
        </is>
      </c>
      <c r="U4" s="72" t="inlineStr">
        <is>
          <t>Sat</t>
        </is>
      </c>
      <c r="V4" s="72" t="inlineStr">
        <is>
          <t>Sun</t>
        </is>
      </c>
      <c r="W4" s="72" t="inlineStr">
        <is>
          <t>Mon</t>
        </is>
      </c>
      <c r="X4" s="72" t="inlineStr">
        <is>
          <t>Tue</t>
        </is>
      </c>
      <c r="Y4" s="72" t="inlineStr">
        <is>
          <t>Wed</t>
        </is>
      </c>
      <c r="Z4" s="72" t="inlineStr">
        <is>
          <t>Thu</t>
        </is>
      </c>
      <c r="AA4" s="72" t="inlineStr">
        <is>
          <t>Fri</t>
        </is>
      </c>
      <c r="AB4" s="72" t="inlineStr">
        <is>
          <t>Sat</t>
        </is>
      </c>
      <c r="AC4" s="72" t="inlineStr">
        <is>
          <t>Sun</t>
        </is>
      </c>
      <c r="AD4" s="72" t="inlineStr">
        <is>
          <t>Mon</t>
        </is>
      </c>
      <c r="AE4" s="72" t="inlineStr">
        <is>
          <t>Tue</t>
        </is>
      </c>
      <c r="AF4" s="72" t="inlineStr">
        <is>
          <t>Wed</t>
        </is>
      </c>
      <c r="AG4" s="72" t="inlineStr">
        <is>
          <t>Thu</t>
        </is>
      </c>
      <c r="AH4" s="72" t="inlineStr">
        <is>
          <t>Fri</t>
        </is>
      </c>
      <c r="AI4" s="72" t="inlineStr">
        <is>
          <t>Sat</t>
        </is>
      </c>
      <c r="AJ4" s="509" t="n"/>
    </row>
    <row r="5" ht="13" customHeight="1" s="488">
      <c r="A5" s="509" t="n"/>
      <c r="B5" s="509" t="n"/>
      <c r="C5" s="509" t="n"/>
      <c r="D5" s="509" t="n"/>
      <c r="E5" s="72" t="inlineStr">
        <is>
          <t>Time</t>
        </is>
      </c>
      <c r="F5" s="72" t="inlineStr">
        <is>
          <t>Time</t>
        </is>
      </c>
      <c r="G5" s="72" t="inlineStr">
        <is>
          <t>Time</t>
        </is>
      </c>
      <c r="H5" s="72" t="inlineStr">
        <is>
          <t>Time</t>
        </is>
      </c>
      <c r="I5" s="72" t="inlineStr">
        <is>
          <t>Time</t>
        </is>
      </c>
      <c r="J5" s="72" t="inlineStr">
        <is>
          <t>Time</t>
        </is>
      </c>
      <c r="K5" s="72" t="inlineStr">
        <is>
          <t>Time</t>
        </is>
      </c>
      <c r="L5" s="72" t="inlineStr">
        <is>
          <t>Time</t>
        </is>
      </c>
      <c r="M5" s="72" t="inlineStr">
        <is>
          <t>Time</t>
        </is>
      </c>
      <c r="N5" s="72" t="inlineStr">
        <is>
          <t>Time</t>
        </is>
      </c>
      <c r="O5" s="72" t="inlineStr">
        <is>
          <t>Time</t>
        </is>
      </c>
      <c r="P5" s="72" t="inlineStr">
        <is>
          <t>Time</t>
        </is>
      </c>
      <c r="Q5" s="72" t="inlineStr">
        <is>
          <t>Time</t>
        </is>
      </c>
      <c r="R5" s="72" t="inlineStr">
        <is>
          <t>Time</t>
        </is>
      </c>
      <c r="S5" s="72" t="inlineStr">
        <is>
          <t>Time</t>
        </is>
      </c>
      <c r="T5" s="72" t="inlineStr">
        <is>
          <t>Time</t>
        </is>
      </c>
      <c r="U5" s="72" t="inlineStr">
        <is>
          <t>Time</t>
        </is>
      </c>
      <c r="V5" s="72" t="inlineStr">
        <is>
          <t>Time</t>
        </is>
      </c>
      <c r="W5" s="72" t="inlineStr">
        <is>
          <t>Time</t>
        </is>
      </c>
      <c r="X5" s="72" t="inlineStr">
        <is>
          <t>Time</t>
        </is>
      </c>
      <c r="Y5" s="72" t="inlineStr">
        <is>
          <t>Time</t>
        </is>
      </c>
      <c r="Z5" s="72" t="inlineStr">
        <is>
          <t>Time</t>
        </is>
      </c>
      <c r="AA5" s="72" t="inlineStr">
        <is>
          <t>Time</t>
        </is>
      </c>
      <c r="AB5" s="72" t="inlineStr">
        <is>
          <t>Time</t>
        </is>
      </c>
      <c r="AC5" s="72" t="inlineStr">
        <is>
          <t>Time</t>
        </is>
      </c>
      <c r="AD5" s="72" t="inlineStr">
        <is>
          <t>Time</t>
        </is>
      </c>
      <c r="AE5" s="72" t="inlineStr">
        <is>
          <t>Time</t>
        </is>
      </c>
      <c r="AF5" s="72" t="inlineStr">
        <is>
          <t>Time</t>
        </is>
      </c>
      <c r="AG5" s="72" t="inlineStr">
        <is>
          <t>Time</t>
        </is>
      </c>
      <c r="AH5" s="72" t="inlineStr">
        <is>
          <t>Time</t>
        </is>
      </c>
      <c r="AI5" s="72" t="inlineStr">
        <is>
          <t>Time</t>
        </is>
      </c>
      <c r="AJ5" s="509" t="n"/>
    </row>
    <row r="6" ht="13" customHeight="1" s="488">
      <c r="A6" s="510" t="n"/>
      <c r="B6" s="510" t="n"/>
      <c r="C6" s="510" t="n"/>
      <c r="D6" s="510" t="n"/>
      <c r="E6" s="73" t="n">
        <v>0.3333333333333333</v>
      </c>
      <c r="F6" s="73" t="n">
        <v>0.3333333333333333</v>
      </c>
      <c r="G6" s="73" t="n">
        <v>0.3333333333333333</v>
      </c>
      <c r="H6" s="73" t="n">
        <v>0.3333333333333333</v>
      </c>
      <c r="I6" s="73" t="n">
        <v>0.3333333333333333</v>
      </c>
      <c r="J6" s="73" t="n">
        <v>0.3333333333333333</v>
      </c>
      <c r="K6" s="73" t="n">
        <v>0.3333333333333333</v>
      </c>
      <c r="L6" s="73" t="n">
        <v>0.3333333333333333</v>
      </c>
      <c r="M6" s="73" t="n">
        <v>0.3333333333333333</v>
      </c>
      <c r="N6" s="73" t="n">
        <v>0.3333333333333333</v>
      </c>
      <c r="O6" s="73" t="n">
        <v>0.3333333333333333</v>
      </c>
      <c r="P6" s="73" t="n">
        <v>0.3333333333333333</v>
      </c>
      <c r="Q6" s="73" t="n">
        <v>0.3333333333333333</v>
      </c>
      <c r="R6" s="73" t="n">
        <v>0.3333333333333333</v>
      </c>
      <c r="S6" s="73" t="n">
        <v>0.3333333333333333</v>
      </c>
      <c r="T6" s="73" t="n">
        <v>0.3333333333333333</v>
      </c>
      <c r="U6" s="73" t="n">
        <v>0.3333333333333333</v>
      </c>
      <c r="V6" s="73" t="n">
        <v>0.3333333333333333</v>
      </c>
      <c r="W6" s="73" t="n">
        <v>0.3333333333333333</v>
      </c>
      <c r="X6" s="73" t="n">
        <v>0.3333333333333333</v>
      </c>
      <c r="Y6" s="73" t="n">
        <v>0.3333333333333333</v>
      </c>
      <c r="Z6" s="73" t="n">
        <v>0.3333333333333333</v>
      </c>
      <c r="AA6" s="73" t="n">
        <v>0.3333333333333333</v>
      </c>
      <c r="AB6" s="73" t="n">
        <v>0.3333333333333333</v>
      </c>
      <c r="AC6" s="73" t="n">
        <v>0.3333333333333333</v>
      </c>
      <c r="AD6" s="73" t="n">
        <v>0.3333333333333333</v>
      </c>
      <c r="AE6" s="73" t="n">
        <v>0.3333333333333333</v>
      </c>
      <c r="AF6" s="73" t="n">
        <v>0.3333333333333333</v>
      </c>
      <c r="AG6" s="73" t="n">
        <v>0.3333333333333333</v>
      </c>
      <c r="AH6" s="73" t="n">
        <v>0.3333333333333333</v>
      </c>
      <c r="AI6" s="73" t="n">
        <v>0.3333333333333333</v>
      </c>
      <c r="AJ6" s="510" t="n"/>
    </row>
    <row r="7" ht="20.15" customHeight="1" s="488">
      <c r="A7" s="54" t="n">
        <v>1</v>
      </c>
      <c r="B7" s="54" t="inlineStr">
        <is>
          <t>3F</t>
        </is>
      </c>
      <c r="C7" s="54" t="inlineStr">
        <is>
          <t>SL No 540430038840 (EB Unit)</t>
        </is>
      </c>
      <c r="D7" s="74" t="n">
        <v>41074</v>
      </c>
      <c r="E7" s="500" t="n">
        <v>41292</v>
      </c>
      <c r="F7" s="500" t="n">
        <v>41545</v>
      </c>
      <c r="G7" s="75" t="n">
        <v>41745</v>
      </c>
      <c r="H7" s="75" t="n">
        <v>41958</v>
      </c>
      <c r="I7" s="500" t="n">
        <v>42213</v>
      </c>
      <c r="J7" s="500" t="n">
        <v>42455</v>
      </c>
      <c r="K7" s="500" t="n">
        <v>42726</v>
      </c>
      <c r="L7" s="67" t="n">
        <v>42987</v>
      </c>
      <c r="M7" s="54" t="n">
        <v>43247</v>
      </c>
      <c r="N7" s="68" t="n">
        <v>43388</v>
      </c>
      <c r="O7" s="500" t="n">
        <v>43608</v>
      </c>
      <c r="P7" s="67" t="n">
        <v>43857</v>
      </c>
      <c r="Q7" s="54" t="n">
        <v>44134</v>
      </c>
      <c r="R7" s="68" t="n">
        <v>44350</v>
      </c>
      <c r="S7" s="500" t="n">
        <v>44572</v>
      </c>
      <c r="T7" s="500" t="n">
        <v>44798</v>
      </c>
      <c r="U7" s="500" t="n">
        <v>45018</v>
      </c>
      <c r="V7" s="76" t="n">
        <v>45239</v>
      </c>
      <c r="W7" s="500" t="n">
        <v>45475</v>
      </c>
      <c r="X7" s="500" t="n">
        <v>45714</v>
      </c>
      <c r="Y7" s="500" t="n">
        <v>45930</v>
      </c>
      <c r="Z7" s="500" t="n">
        <v>46195</v>
      </c>
      <c r="AA7" s="500" t="n">
        <v>46460</v>
      </c>
      <c r="AB7" s="500" t="n">
        <v>46675</v>
      </c>
      <c r="AC7" s="500" t="n">
        <v>46884</v>
      </c>
      <c r="AD7" s="500" t="n">
        <v>47000</v>
      </c>
      <c r="AE7" s="500" t="n">
        <v>47266</v>
      </c>
      <c r="AF7" s="500" t="n">
        <v>47531</v>
      </c>
      <c r="AG7" s="54" t="n">
        <v>47790</v>
      </c>
      <c r="AH7" s="54" t="n">
        <v>48054</v>
      </c>
      <c r="AI7" s="54" t="n">
        <v>48175</v>
      </c>
      <c r="AJ7" s="77">
        <f>AI7-D7</f>
        <v/>
      </c>
      <c r="AK7" s="78" t="n"/>
    </row>
    <row r="8" ht="20.15" customHeight="1" s="488">
      <c r="A8" s="49" t="n"/>
      <c r="B8" s="49" t="n"/>
      <c r="C8" s="79" t="inlineStr">
        <is>
          <t>DG</t>
        </is>
      </c>
      <c r="D8" s="79" t="n">
        <v>2322</v>
      </c>
      <c r="E8" s="49" t="n">
        <v>2496</v>
      </c>
      <c r="F8" s="49" t="n">
        <v>2496</v>
      </c>
      <c r="G8" s="49" t="n">
        <v>2507</v>
      </c>
      <c r="H8" s="49" t="n">
        <v>2510</v>
      </c>
      <c r="I8" s="49" t="n">
        <v>2510</v>
      </c>
      <c r="J8" s="49" t="n">
        <v>2537</v>
      </c>
      <c r="K8" s="49" t="n">
        <v>2537</v>
      </c>
      <c r="L8" s="49" t="n">
        <v>2537</v>
      </c>
      <c r="M8" s="76" t="n">
        <v>2537</v>
      </c>
      <c r="N8" s="49" t="n">
        <v>2553</v>
      </c>
      <c r="O8" s="49" t="n">
        <v>2553</v>
      </c>
      <c r="P8" s="49" t="n">
        <v>2553</v>
      </c>
      <c r="Q8" s="49" t="n">
        <v>2553</v>
      </c>
      <c r="R8" s="49" t="n">
        <v>2627</v>
      </c>
      <c r="S8" s="49" t="n">
        <v>2627</v>
      </c>
      <c r="T8" s="49" t="n">
        <v>2627</v>
      </c>
      <c r="U8" s="49" t="n">
        <v>2627</v>
      </c>
      <c r="V8" s="49" t="n">
        <v>2627</v>
      </c>
      <c r="W8" s="49" t="n">
        <v>2627</v>
      </c>
      <c r="X8" s="49" t="n">
        <v>2646</v>
      </c>
      <c r="Y8" s="49" t="n">
        <v>2677</v>
      </c>
      <c r="Z8" s="49" t="n">
        <v>2677</v>
      </c>
      <c r="AA8" s="49" t="n">
        <v>2677</v>
      </c>
      <c r="AB8" s="49" t="n">
        <v>2677</v>
      </c>
      <c r="AC8" s="49" t="n">
        <v>2680</v>
      </c>
      <c r="AD8" s="49" t="n">
        <v>2836</v>
      </c>
      <c r="AE8" s="49" t="n">
        <v>2836</v>
      </c>
      <c r="AF8" s="49" t="n">
        <v>2836</v>
      </c>
      <c r="AG8" s="49" t="n">
        <v>2836</v>
      </c>
      <c r="AH8" s="49" t="n">
        <v>2836</v>
      </c>
      <c r="AI8" s="49" t="n">
        <v>2836</v>
      </c>
      <c r="AJ8" s="77">
        <f>AI8-D8</f>
        <v/>
      </c>
      <c r="AK8" s="78" t="n"/>
    </row>
    <row r="9" ht="20.15" customHeight="1" s="488">
      <c r="A9" s="500" t="n">
        <v>2</v>
      </c>
      <c r="B9" s="500" t="inlineStr">
        <is>
          <t>3F</t>
        </is>
      </c>
      <c r="C9" s="500" t="inlineStr">
        <is>
          <t>SL No 540430038845 (EB Unit)</t>
        </is>
      </c>
      <c r="D9" s="529" t="n">
        <v>1956</v>
      </c>
      <c r="E9" s="500" t="n">
        <v>1956</v>
      </c>
      <c r="F9" s="500" t="n">
        <v>1956</v>
      </c>
      <c r="G9" s="500" t="n">
        <v>1956</v>
      </c>
      <c r="H9" s="500" t="n">
        <v>1956</v>
      </c>
      <c r="I9" s="500" t="n">
        <v>1956</v>
      </c>
      <c r="J9" s="500" t="n">
        <v>1956</v>
      </c>
      <c r="K9" s="500" t="n">
        <v>1956</v>
      </c>
      <c r="L9" s="500" t="n">
        <v>1956</v>
      </c>
      <c r="M9" s="500" t="n">
        <v>1956</v>
      </c>
      <c r="N9" s="500" t="n">
        <v>1956</v>
      </c>
      <c r="O9" s="500" t="n">
        <v>1956</v>
      </c>
      <c r="P9" s="500" t="n">
        <v>1956</v>
      </c>
      <c r="Q9" s="500" t="n">
        <v>1956</v>
      </c>
      <c r="R9" s="500" t="n">
        <v>1956</v>
      </c>
      <c r="S9" s="500" t="n">
        <v>1956</v>
      </c>
      <c r="T9" s="500" t="n">
        <v>1956</v>
      </c>
      <c r="U9" s="500" t="n">
        <v>1956</v>
      </c>
      <c r="V9" s="500" t="n">
        <v>1956</v>
      </c>
      <c r="W9" s="500" t="n">
        <v>1956</v>
      </c>
      <c r="X9" s="500" t="n">
        <v>1956</v>
      </c>
      <c r="Y9" s="500" t="n">
        <v>1956</v>
      </c>
      <c r="Z9" s="500" t="n">
        <v>1956</v>
      </c>
      <c r="AA9" s="500" t="n">
        <v>1956</v>
      </c>
      <c r="AB9" s="500" t="n">
        <v>1956</v>
      </c>
      <c r="AC9" s="500" t="n">
        <v>1956</v>
      </c>
      <c r="AD9" s="500" t="n">
        <v>1956</v>
      </c>
      <c r="AE9" s="500" t="n">
        <v>1956</v>
      </c>
      <c r="AF9" s="500" t="n">
        <v>1956</v>
      </c>
      <c r="AG9" s="500" t="n">
        <v>1956</v>
      </c>
      <c r="AH9" s="500" t="n">
        <v>1956</v>
      </c>
      <c r="AI9" s="500" t="n">
        <v>1956</v>
      </c>
      <c r="AJ9" s="77">
        <f>AI9-D9</f>
        <v/>
      </c>
    </row>
    <row r="10" ht="20.15" customHeight="1" s="488">
      <c r="A10" s="500" t="n"/>
      <c r="B10" s="500" t="n"/>
      <c r="C10" s="79" t="inlineStr">
        <is>
          <t>DG</t>
        </is>
      </c>
      <c r="D10" s="79" t="n">
        <v>28.6</v>
      </c>
      <c r="E10" s="500" t="n">
        <v>28.6</v>
      </c>
      <c r="F10" s="500" t="n">
        <v>28.6</v>
      </c>
      <c r="G10" s="500" t="n">
        <v>28.6</v>
      </c>
      <c r="H10" s="500" t="n">
        <v>28.6</v>
      </c>
      <c r="I10" s="500" t="n">
        <v>28.6</v>
      </c>
      <c r="J10" s="500" t="n">
        <v>28.6</v>
      </c>
      <c r="K10" s="500" t="n">
        <v>28.6</v>
      </c>
      <c r="L10" s="500" t="n">
        <v>28.6</v>
      </c>
      <c r="M10" s="500" t="n">
        <v>28.6</v>
      </c>
      <c r="N10" s="500" t="n">
        <v>28.6</v>
      </c>
      <c r="O10" s="500" t="n">
        <v>28.6</v>
      </c>
      <c r="P10" s="500" t="n">
        <v>28.6</v>
      </c>
      <c r="Q10" s="500" t="n">
        <v>28.6</v>
      </c>
      <c r="R10" s="500" t="n">
        <v>28.6</v>
      </c>
      <c r="S10" s="500" t="n">
        <v>28.6</v>
      </c>
      <c r="T10" s="500" t="n">
        <v>28.6</v>
      </c>
      <c r="U10" s="500" t="n">
        <v>28.6</v>
      </c>
      <c r="V10" s="500" t="n">
        <v>28.6</v>
      </c>
      <c r="W10" s="500" t="n">
        <v>28.6</v>
      </c>
      <c r="X10" s="500" t="n">
        <v>28.6</v>
      </c>
      <c r="Y10" s="500" t="n">
        <v>28.6</v>
      </c>
      <c r="Z10" s="500" t="n">
        <v>28.6</v>
      </c>
      <c r="AA10" s="500" t="n">
        <v>28.6</v>
      </c>
      <c r="AB10" s="500" t="n">
        <v>28.6</v>
      </c>
      <c r="AC10" s="500" t="n">
        <v>28.6</v>
      </c>
      <c r="AD10" s="500" t="n">
        <v>28.6</v>
      </c>
      <c r="AE10" s="500" t="n">
        <v>28.6</v>
      </c>
      <c r="AF10" s="500" t="n">
        <v>28.6</v>
      </c>
      <c r="AG10" s="500" t="n">
        <v>28.6</v>
      </c>
      <c r="AH10" s="500" t="n">
        <v>28.6</v>
      </c>
      <c r="AI10" s="500" t="n">
        <v>28.6</v>
      </c>
      <c r="AJ10" s="77">
        <f>AI10-D10</f>
        <v/>
      </c>
    </row>
    <row r="11" ht="20.15" customHeight="1" s="488">
      <c r="A11" s="500" t="n">
        <v>3</v>
      </c>
      <c r="B11" s="500" t="inlineStr">
        <is>
          <t>3F</t>
        </is>
      </c>
      <c r="C11" s="500" t="inlineStr">
        <is>
          <t>SL No 540430038844 (EB Unit)</t>
        </is>
      </c>
      <c r="D11" s="79" t="n">
        <v>63982</v>
      </c>
      <c r="E11" s="500" t="n">
        <v>64304</v>
      </c>
      <c r="F11" s="500" t="n">
        <v>64662</v>
      </c>
      <c r="G11" s="500" t="n">
        <v>64937</v>
      </c>
      <c r="H11" s="500" t="n">
        <v>65202</v>
      </c>
      <c r="I11" s="500" t="n">
        <v>65567</v>
      </c>
      <c r="J11" s="500" t="n">
        <v>65911</v>
      </c>
      <c r="K11" s="500" t="n">
        <v>66298</v>
      </c>
      <c r="L11" s="500" t="n">
        <v>66669</v>
      </c>
      <c r="M11" s="500" t="n">
        <v>67003</v>
      </c>
      <c r="N11" s="500" t="n">
        <v>67211</v>
      </c>
      <c r="O11" s="500" t="n">
        <v>67499</v>
      </c>
      <c r="P11" s="500" t="n">
        <v>67852</v>
      </c>
      <c r="Q11" s="500" t="n">
        <v>68253</v>
      </c>
      <c r="R11" s="500" t="n">
        <v>68559</v>
      </c>
      <c r="S11" s="500" t="n">
        <v>68848</v>
      </c>
      <c r="T11" s="500" t="n">
        <v>69160</v>
      </c>
      <c r="U11" s="500" t="n">
        <v>69449</v>
      </c>
      <c r="V11" s="500" t="n">
        <v>69739</v>
      </c>
      <c r="W11" s="500" t="n">
        <v>70055</v>
      </c>
      <c r="X11" s="500" t="n">
        <v>70397</v>
      </c>
      <c r="Y11" s="500" t="n">
        <v>70708</v>
      </c>
      <c r="Z11" s="500" t="n">
        <v>71088</v>
      </c>
      <c r="AA11" s="500" t="n">
        <v>71457</v>
      </c>
      <c r="AB11" s="500" t="n">
        <v>71751</v>
      </c>
      <c r="AC11" s="500" t="n">
        <v>72031</v>
      </c>
      <c r="AD11" s="500" t="n">
        <v>72143</v>
      </c>
      <c r="AE11" s="49" t="n">
        <v>72563</v>
      </c>
      <c r="AF11" s="49" t="n">
        <v>72953</v>
      </c>
      <c r="AG11" s="49" t="n">
        <v>73330</v>
      </c>
      <c r="AH11" s="49" t="n">
        <v>73700</v>
      </c>
      <c r="AI11" s="49" t="n">
        <v>73860</v>
      </c>
      <c r="AJ11" s="77">
        <f>AI11-D11</f>
        <v/>
      </c>
    </row>
    <row r="12" ht="20.15" customHeight="1" s="488">
      <c r="A12" s="500" t="n"/>
      <c r="B12" s="500" t="n"/>
      <c r="C12" s="79" t="inlineStr">
        <is>
          <t>DG</t>
        </is>
      </c>
      <c r="D12" s="79" t="n">
        <v>3540</v>
      </c>
      <c r="E12" s="500" t="n">
        <v>3782</v>
      </c>
      <c r="F12" s="500" t="n">
        <v>3782</v>
      </c>
      <c r="G12" s="500" t="n">
        <v>3791</v>
      </c>
      <c r="H12" s="500" t="n">
        <v>3801</v>
      </c>
      <c r="I12" s="500" t="n">
        <v>3801</v>
      </c>
      <c r="J12" s="500" t="n">
        <v>3845</v>
      </c>
      <c r="K12" s="500" t="n">
        <v>3845</v>
      </c>
      <c r="L12" s="500" t="n">
        <v>3845</v>
      </c>
      <c r="M12" s="500" t="n">
        <v>3845</v>
      </c>
      <c r="N12" s="500" t="n">
        <v>3918</v>
      </c>
      <c r="O12" s="500" t="n">
        <v>3918</v>
      </c>
      <c r="P12" s="500" t="n">
        <v>3918</v>
      </c>
      <c r="Q12" s="500" t="n">
        <v>3918</v>
      </c>
      <c r="R12" s="500" t="n">
        <v>3971</v>
      </c>
      <c r="S12" s="500" t="n">
        <v>3971</v>
      </c>
      <c r="T12" s="500" t="n">
        <v>3971</v>
      </c>
      <c r="U12" s="500" t="n">
        <v>3971</v>
      </c>
      <c r="V12" s="500" t="n">
        <v>3971</v>
      </c>
      <c r="W12" s="500" t="n">
        <v>3971</v>
      </c>
      <c r="X12" s="500" t="n">
        <v>3996</v>
      </c>
      <c r="Y12" s="500" t="n">
        <v>4045</v>
      </c>
      <c r="Z12" s="500" t="n">
        <v>4045</v>
      </c>
      <c r="AA12" s="500" t="n">
        <v>4045</v>
      </c>
      <c r="AB12" s="500" t="n">
        <v>4045</v>
      </c>
      <c r="AC12" s="500" t="n">
        <v>4048</v>
      </c>
      <c r="AD12" s="500" t="n">
        <v>4287</v>
      </c>
      <c r="AE12" s="500" t="n">
        <v>4287</v>
      </c>
      <c r="AF12" s="500" t="n">
        <v>4287</v>
      </c>
      <c r="AG12" s="500" t="n">
        <v>4287</v>
      </c>
      <c r="AH12" s="500" t="n">
        <v>4287</v>
      </c>
      <c r="AI12" s="500" t="n">
        <v>4287</v>
      </c>
      <c r="AJ12" s="77">
        <f>AI12-D12</f>
        <v/>
      </c>
    </row>
    <row r="13" ht="20.15" customHeight="1" s="488">
      <c r="A13" s="500" t="n">
        <v>4</v>
      </c>
      <c r="B13" s="500" t="inlineStr">
        <is>
          <t>3F</t>
        </is>
      </c>
      <c r="C13" s="500" t="inlineStr">
        <is>
          <t>SL No 540430038821 (EB Unit)</t>
        </is>
      </c>
      <c r="D13" s="529" t="n">
        <v>0</v>
      </c>
      <c r="E13" s="500" t="n">
        <v>0</v>
      </c>
      <c r="F13" s="500" t="n">
        <v>0</v>
      </c>
      <c r="G13" s="500" t="n">
        <v>0</v>
      </c>
      <c r="H13" s="500" t="n">
        <v>0</v>
      </c>
      <c r="I13" s="500" t="n">
        <v>0</v>
      </c>
      <c r="J13" s="500" t="n">
        <v>0</v>
      </c>
      <c r="K13" s="500" t="n">
        <v>0</v>
      </c>
      <c r="L13" s="500" t="n">
        <v>0</v>
      </c>
      <c r="M13" s="500" t="n">
        <v>0</v>
      </c>
      <c r="N13" s="500" t="n">
        <v>0</v>
      </c>
      <c r="O13" s="500" t="n">
        <v>0</v>
      </c>
      <c r="P13" s="500" t="n">
        <v>0</v>
      </c>
      <c r="Q13" s="500" t="n">
        <v>0</v>
      </c>
      <c r="R13" s="500" t="n">
        <v>0</v>
      </c>
      <c r="S13" s="500" t="n">
        <v>0</v>
      </c>
      <c r="T13" s="500" t="n">
        <v>0</v>
      </c>
      <c r="U13" s="500" t="n">
        <v>0</v>
      </c>
      <c r="V13" s="500" t="n">
        <v>0</v>
      </c>
      <c r="W13" s="500" t="n">
        <v>0</v>
      </c>
      <c r="X13" s="500" t="n">
        <v>0</v>
      </c>
      <c r="Y13" s="500" t="n">
        <v>0</v>
      </c>
      <c r="Z13" s="500" t="n">
        <v>0</v>
      </c>
      <c r="AA13" s="500" t="n">
        <v>0</v>
      </c>
      <c r="AB13" s="500" t="n">
        <v>0</v>
      </c>
      <c r="AC13" s="500" t="n">
        <v>0</v>
      </c>
      <c r="AD13" s="500" t="n">
        <v>0</v>
      </c>
      <c r="AE13" s="500" t="n">
        <v>0</v>
      </c>
      <c r="AF13" s="500" t="n">
        <v>0</v>
      </c>
      <c r="AG13" s="500" t="n">
        <v>0</v>
      </c>
      <c r="AH13" s="500" t="n">
        <v>0</v>
      </c>
      <c r="AI13" s="500" t="n">
        <v>0</v>
      </c>
      <c r="AJ13" s="77">
        <f>AI13-D13</f>
        <v/>
      </c>
    </row>
    <row r="14" ht="20.15" customHeight="1" s="488">
      <c r="A14" s="500" t="n"/>
      <c r="B14" s="500" t="n"/>
      <c r="C14" s="79" t="inlineStr">
        <is>
          <t>DG</t>
        </is>
      </c>
      <c r="D14" s="79" t="n">
        <v>0</v>
      </c>
      <c r="E14" s="500" t="n">
        <v>0</v>
      </c>
      <c r="F14" s="500" t="n">
        <v>0</v>
      </c>
      <c r="G14" s="500" t="n">
        <v>0</v>
      </c>
      <c r="H14" s="500" t="n">
        <v>0</v>
      </c>
      <c r="I14" s="500" t="n">
        <v>0</v>
      </c>
      <c r="J14" s="500" t="n">
        <v>0</v>
      </c>
      <c r="K14" s="500" t="n">
        <v>0</v>
      </c>
      <c r="L14" s="500" t="n">
        <v>0</v>
      </c>
      <c r="M14" s="500" t="n">
        <v>0</v>
      </c>
      <c r="N14" s="500" t="n">
        <v>0</v>
      </c>
      <c r="O14" s="500" t="n">
        <v>0</v>
      </c>
      <c r="P14" s="500" t="n">
        <v>0</v>
      </c>
      <c r="Q14" s="500" t="n">
        <v>0</v>
      </c>
      <c r="R14" s="500" t="n">
        <v>0</v>
      </c>
      <c r="S14" s="500" t="n">
        <v>0</v>
      </c>
      <c r="T14" s="500" t="n">
        <v>0</v>
      </c>
      <c r="U14" s="500" t="n">
        <v>0</v>
      </c>
      <c r="V14" s="500" t="n">
        <v>0</v>
      </c>
      <c r="W14" s="500" t="n">
        <v>0</v>
      </c>
      <c r="X14" s="500" t="n">
        <v>0</v>
      </c>
      <c r="Y14" s="500" t="n">
        <v>0</v>
      </c>
      <c r="Z14" s="500" t="n">
        <v>0</v>
      </c>
      <c r="AA14" s="500" t="n">
        <v>0</v>
      </c>
      <c r="AB14" s="500" t="n">
        <v>0</v>
      </c>
      <c r="AC14" s="500" t="n">
        <v>0</v>
      </c>
      <c r="AD14" s="500" t="n">
        <v>0</v>
      </c>
      <c r="AE14" s="500" t="n">
        <v>0</v>
      </c>
      <c r="AF14" s="500" t="n">
        <v>0</v>
      </c>
      <c r="AG14" s="500" t="n">
        <v>0</v>
      </c>
      <c r="AH14" s="500" t="n">
        <v>0</v>
      </c>
      <c r="AI14" s="500" t="n">
        <v>0</v>
      </c>
      <c r="AJ14" s="77">
        <f>AI14-D14</f>
        <v/>
      </c>
    </row>
    <row r="15" ht="20.15" customHeight="1" s="488">
      <c r="A15" s="500" t="n">
        <v>5</v>
      </c>
      <c r="B15" s="500" t="inlineStr">
        <is>
          <t>3F</t>
        </is>
      </c>
      <c r="C15" s="500" t="inlineStr">
        <is>
          <t>SL No 540430038849 (EB Unit)</t>
        </is>
      </c>
      <c r="D15" s="79" t="n">
        <v>25219</v>
      </c>
      <c r="E15" s="500" t="n">
        <v>25390</v>
      </c>
      <c r="F15" s="500" t="n">
        <v>25572</v>
      </c>
      <c r="G15" s="75" t="n">
        <v>25672</v>
      </c>
      <c r="H15" s="75" t="n">
        <v>25772</v>
      </c>
      <c r="I15" s="500" t="n">
        <v>25965</v>
      </c>
      <c r="J15" s="500" t="n">
        <v>26141</v>
      </c>
      <c r="K15" s="500" t="n">
        <v>26340</v>
      </c>
      <c r="L15" s="500" t="n">
        <v>26534</v>
      </c>
      <c r="M15" s="500" t="n">
        <v>26716</v>
      </c>
      <c r="N15" s="500" t="n">
        <v>26799</v>
      </c>
      <c r="O15" s="500" t="n">
        <v>26922</v>
      </c>
      <c r="P15" s="500" t="n">
        <v>27180</v>
      </c>
      <c r="Q15" s="500" t="n">
        <v>27319</v>
      </c>
      <c r="R15" s="500" t="n">
        <v>27472</v>
      </c>
      <c r="S15" s="500" t="n">
        <v>27576</v>
      </c>
      <c r="T15" s="500" t="n">
        <v>27745</v>
      </c>
      <c r="U15" s="500" t="n">
        <v>27845</v>
      </c>
      <c r="V15" s="500" t="n">
        <v>27949</v>
      </c>
      <c r="W15" s="500" t="n">
        <v>28106</v>
      </c>
      <c r="X15" s="500" t="n">
        <v>28297</v>
      </c>
      <c r="Y15" s="41" t="n">
        <v>28458</v>
      </c>
      <c r="Z15" s="500" t="n">
        <v>28637</v>
      </c>
      <c r="AA15" s="500" t="n">
        <v>28817</v>
      </c>
      <c r="AB15" s="500" t="n">
        <v>28922</v>
      </c>
      <c r="AC15" s="500" t="n">
        <v>29025</v>
      </c>
      <c r="AD15" s="500" t="n">
        <v>29089</v>
      </c>
      <c r="AE15" s="49" t="n">
        <v>29290</v>
      </c>
      <c r="AF15" s="49" t="n">
        <v>29498</v>
      </c>
      <c r="AG15" s="49" t="n">
        <v>29699</v>
      </c>
      <c r="AH15" s="49" t="n">
        <v>29895</v>
      </c>
      <c r="AI15" s="49" t="n">
        <v>29957</v>
      </c>
      <c r="AJ15" s="77">
        <f>AI15-D15</f>
        <v/>
      </c>
    </row>
    <row r="16" ht="20.15" customHeight="1" s="488">
      <c r="A16" s="500" t="n"/>
      <c r="B16" s="500" t="n"/>
      <c r="C16" s="79" t="inlineStr">
        <is>
          <t>DG</t>
        </is>
      </c>
      <c r="D16" s="79" t="n">
        <v>1771</v>
      </c>
      <c r="E16" s="500" t="n">
        <v>1882</v>
      </c>
      <c r="F16" s="500" t="n">
        <v>1882</v>
      </c>
      <c r="G16" s="500" t="n">
        <v>1885</v>
      </c>
      <c r="H16" s="500" t="n">
        <v>1888</v>
      </c>
      <c r="I16" s="500" t="n">
        <v>1888</v>
      </c>
      <c r="J16" s="500" t="n">
        <v>1910</v>
      </c>
      <c r="K16" s="500" t="n">
        <v>1910</v>
      </c>
      <c r="L16" s="500" t="n">
        <v>1910</v>
      </c>
      <c r="M16" s="500" t="n">
        <v>1910</v>
      </c>
      <c r="N16" s="500" t="n">
        <v>1944</v>
      </c>
      <c r="O16" s="500" t="n">
        <v>1944</v>
      </c>
      <c r="P16" s="500" t="n">
        <v>1944</v>
      </c>
      <c r="Q16" s="500" t="n">
        <v>1944</v>
      </c>
      <c r="R16" s="500" t="n">
        <v>1971</v>
      </c>
      <c r="S16" s="500" t="n">
        <v>1971</v>
      </c>
      <c r="T16" s="500" t="n">
        <v>1971</v>
      </c>
      <c r="U16" s="500" t="n">
        <v>1971</v>
      </c>
      <c r="V16" s="500" t="n">
        <v>1971</v>
      </c>
      <c r="W16" s="500" t="n">
        <v>1971</v>
      </c>
      <c r="X16" s="67" t="n">
        <v>1982</v>
      </c>
      <c r="Y16" s="54" t="n">
        <v>2012</v>
      </c>
      <c r="Z16" s="68" t="n">
        <v>2012</v>
      </c>
      <c r="AA16" s="500" t="n">
        <v>2012</v>
      </c>
      <c r="AB16" s="81" t="n">
        <v>2012</v>
      </c>
      <c r="AC16" s="500" t="n">
        <v>2014</v>
      </c>
      <c r="AD16" s="500" t="n">
        <v>2151</v>
      </c>
      <c r="AE16" s="500" t="n">
        <v>2151</v>
      </c>
      <c r="AF16" s="500" t="n">
        <v>2151</v>
      </c>
      <c r="AG16" s="500" t="n">
        <v>2151</v>
      </c>
      <c r="AH16" s="500" t="n">
        <v>2151</v>
      </c>
      <c r="AI16" s="500" t="n">
        <v>2151</v>
      </c>
      <c r="AJ16" s="77">
        <f>AI16-D16</f>
        <v/>
      </c>
    </row>
    <row r="17" ht="20.15" customHeight="1" s="488">
      <c r="A17" s="500" t="n">
        <v>6</v>
      </c>
      <c r="B17" s="500" t="inlineStr">
        <is>
          <t>3F</t>
        </is>
      </c>
      <c r="C17" s="500" t="inlineStr">
        <is>
          <t>SL No 540430038646 (EB Unit)</t>
        </is>
      </c>
      <c r="D17" s="79" t="n">
        <v>37338</v>
      </c>
      <c r="E17" s="500" t="n">
        <v>37540</v>
      </c>
      <c r="F17" s="500" t="n">
        <v>37743</v>
      </c>
      <c r="G17" s="500" t="n">
        <v>37847</v>
      </c>
      <c r="H17" s="500" t="n">
        <v>37945</v>
      </c>
      <c r="I17" s="500" t="n">
        <v>38158</v>
      </c>
      <c r="J17" s="500" t="n">
        <v>38386</v>
      </c>
      <c r="K17" s="500" t="n">
        <v>38620</v>
      </c>
      <c r="L17" s="500" t="n">
        <v>38835</v>
      </c>
      <c r="M17" s="500" t="n">
        <v>39036</v>
      </c>
      <c r="N17" s="500" t="n">
        <v>39099</v>
      </c>
      <c r="O17" s="500" t="n">
        <v>39191</v>
      </c>
      <c r="P17" s="500" t="n">
        <v>39377</v>
      </c>
      <c r="Q17" s="500" t="n">
        <v>39601</v>
      </c>
      <c r="R17" s="500" t="n">
        <v>39768</v>
      </c>
      <c r="S17" s="500" t="n">
        <v>39866</v>
      </c>
      <c r="T17" s="500" t="n">
        <v>40049</v>
      </c>
      <c r="U17" s="500" t="n">
        <v>40185</v>
      </c>
      <c r="V17" s="500" t="n">
        <v>40310</v>
      </c>
      <c r="W17" s="500" t="n">
        <v>40531</v>
      </c>
      <c r="X17" s="500" t="n">
        <v>40742</v>
      </c>
      <c r="Y17" s="500" t="n">
        <v>40915</v>
      </c>
      <c r="Z17" s="500" t="n">
        <v>41138</v>
      </c>
      <c r="AA17" s="500" t="n">
        <v>41366</v>
      </c>
      <c r="AB17" s="500" t="n">
        <v>41483</v>
      </c>
      <c r="AC17" s="500" t="n">
        <v>41611</v>
      </c>
      <c r="AD17" s="500" t="n">
        <v>41663</v>
      </c>
      <c r="AE17" s="500" t="n">
        <v>41884</v>
      </c>
      <c r="AF17" s="49" t="n">
        <v>42089</v>
      </c>
      <c r="AG17" s="500" t="n">
        <v>42301</v>
      </c>
      <c r="AH17" s="49" t="n">
        <v>42507</v>
      </c>
      <c r="AI17" s="49" t="n">
        <v>42580</v>
      </c>
      <c r="AJ17" s="77">
        <f>AI17-D17</f>
        <v/>
      </c>
    </row>
    <row r="18" ht="20.15" customHeight="1" s="488">
      <c r="A18" s="500" t="n"/>
      <c r="B18" s="500" t="n"/>
      <c r="C18" s="79" t="inlineStr">
        <is>
          <t>DG</t>
        </is>
      </c>
      <c r="D18" s="79" t="n">
        <v>2510</v>
      </c>
      <c r="E18" s="500" t="n">
        <v>2624</v>
      </c>
      <c r="F18" s="500" t="n">
        <v>2624</v>
      </c>
      <c r="G18" s="500" t="n">
        <v>2625</v>
      </c>
      <c r="H18" s="500" t="n">
        <v>2633</v>
      </c>
      <c r="I18" s="500" t="n">
        <v>2633</v>
      </c>
      <c r="J18" s="500" t="n">
        <v>2665</v>
      </c>
      <c r="K18" s="500" t="n">
        <v>2665</v>
      </c>
      <c r="L18" s="500" t="n">
        <v>2665</v>
      </c>
      <c r="M18" s="500" t="n">
        <v>2665</v>
      </c>
      <c r="N18" s="500" t="n">
        <v>2700</v>
      </c>
      <c r="O18" s="500" t="n">
        <v>2700</v>
      </c>
      <c r="P18" s="500" t="n">
        <v>2700</v>
      </c>
      <c r="Q18" s="500" t="n">
        <v>2700</v>
      </c>
      <c r="R18" s="500" t="n">
        <v>2730</v>
      </c>
      <c r="S18" s="500" t="n">
        <v>2730</v>
      </c>
      <c r="T18" s="500" t="n">
        <v>2730</v>
      </c>
      <c r="U18" s="500" t="n">
        <v>2730</v>
      </c>
      <c r="V18" s="500" t="n">
        <v>2730</v>
      </c>
      <c r="W18" s="500" t="n">
        <v>2730</v>
      </c>
      <c r="X18" s="500" t="n">
        <v>2734</v>
      </c>
      <c r="Y18" s="500" t="n">
        <v>2767</v>
      </c>
      <c r="Z18" s="500" t="n">
        <v>2767</v>
      </c>
      <c r="AA18" s="500" t="n">
        <v>2767</v>
      </c>
      <c r="AB18" s="500" t="n">
        <v>2767</v>
      </c>
      <c r="AC18" s="54" t="n">
        <v>2768</v>
      </c>
      <c r="AD18" s="68" t="n">
        <v>2930</v>
      </c>
      <c r="AE18" s="68" t="n">
        <v>2930</v>
      </c>
      <c r="AF18" s="68" t="n">
        <v>2930</v>
      </c>
      <c r="AG18" s="68" t="n">
        <v>2930</v>
      </c>
      <c r="AH18" s="68" t="n">
        <v>2930</v>
      </c>
      <c r="AI18" s="68" t="n">
        <v>2930</v>
      </c>
      <c r="AJ18" s="77">
        <f>AI18-D18</f>
        <v/>
      </c>
    </row>
    <row r="19" ht="20.15" customHeight="1" s="488">
      <c r="A19" s="500" t="n">
        <v>7</v>
      </c>
      <c r="B19" s="500" t="inlineStr">
        <is>
          <t>3F</t>
        </is>
      </c>
      <c r="C19" s="500" t="inlineStr">
        <is>
          <t>SL No 540430038843 (EB Unit)</t>
        </is>
      </c>
      <c r="D19" s="79" t="n">
        <v>127802</v>
      </c>
      <c r="E19" s="500" t="n">
        <v>128427</v>
      </c>
      <c r="F19" s="500" t="n">
        <v>129091</v>
      </c>
      <c r="G19" s="75" t="n">
        <v>129579</v>
      </c>
      <c r="H19" s="75" t="n">
        <v>130035</v>
      </c>
      <c r="I19" s="500" t="n">
        <v>130676</v>
      </c>
      <c r="J19" s="500" t="n">
        <v>131286</v>
      </c>
      <c r="K19" s="500" t="n">
        <v>132012</v>
      </c>
      <c r="L19" s="500" t="n">
        <v>132712</v>
      </c>
      <c r="M19" s="500" t="n">
        <v>133384</v>
      </c>
      <c r="N19" s="500" t="n">
        <v>133764</v>
      </c>
      <c r="O19" s="500" t="n">
        <v>134284</v>
      </c>
      <c r="P19" s="500" t="n">
        <v>134875</v>
      </c>
      <c r="Q19" s="500" t="n">
        <v>135663</v>
      </c>
      <c r="R19" s="75" t="n">
        <v>136252</v>
      </c>
      <c r="S19" s="500" t="n">
        <v>136421</v>
      </c>
      <c r="T19" s="500" t="n">
        <v>136974</v>
      </c>
      <c r="U19" s="500" t="n">
        <v>137523</v>
      </c>
      <c r="V19" s="500" t="n">
        <v>138070</v>
      </c>
      <c r="W19" s="75" t="n">
        <v>138736</v>
      </c>
      <c r="X19" s="500" t="n">
        <v>139410</v>
      </c>
      <c r="Y19" s="500" t="n">
        <v>139972</v>
      </c>
      <c r="Z19" s="500" t="n">
        <v>140644</v>
      </c>
      <c r="AA19" s="500" t="n">
        <v>141324</v>
      </c>
      <c r="AB19" s="41" t="n">
        <v>141882</v>
      </c>
      <c r="AC19" s="500" t="n">
        <v>142364</v>
      </c>
      <c r="AD19" s="500" t="n">
        <v>142601</v>
      </c>
      <c r="AE19" s="49" t="n">
        <v>143300</v>
      </c>
      <c r="AF19" s="49" t="n">
        <v>143982</v>
      </c>
      <c r="AG19" s="49" t="n">
        <v>144684</v>
      </c>
      <c r="AH19" s="49" t="n">
        <v>145419</v>
      </c>
      <c r="AI19" s="49" t="n">
        <v>145691</v>
      </c>
      <c r="AJ19" s="77">
        <f>AI19-D19</f>
        <v/>
      </c>
    </row>
    <row r="20" ht="20.15" customHeight="1" s="488">
      <c r="A20" s="500" t="n"/>
      <c r="B20" s="500" t="n"/>
      <c r="C20" s="79" t="inlineStr">
        <is>
          <t>DG</t>
        </is>
      </c>
      <c r="D20" s="79" t="n">
        <v>6554</v>
      </c>
      <c r="E20" s="500" t="n">
        <v>7051</v>
      </c>
      <c r="F20" s="500" t="n">
        <v>7051</v>
      </c>
      <c r="G20" s="500" t="n">
        <v>7075</v>
      </c>
      <c r="H20" s="500" t="n">
        <v>7091</v>
      </c>
      <c r="I20" s="500" t="n">
        <v>7091</v>
      </c>
      <c r="J20" s="500" t="n">
        <v>7155</v>
      </c>
      <c r="K20" s="500" t="n">
        <v>7155</v>
      </c>
      <c r="L20" s="500" t="n">
        <v>7155</v>
      </c>
      <c r="M20" s="500" t="n">
        <v>7155</v>
      </c>
      <c r="N20" s="500" t="n">
        <v>7336</v>
      </c>
      <c r="O20" s="500" t="n">
        <v>7336</v>
      </c>
      <c r="P20" s="500" t="n">
        <v>7336</v>
      </c>
      <c r="Q20" s="500" t="n">
        <v>7336</v>
      </c>
      <c r="R20" s="75" t="n">
        <v>7421</v>
      </c>
      <c r="S20" s="75" t="n">
        <v>7421</v>
      </c>
      <c r="T20" s="75" t="n">
        <v>7421</v>
      </c>
      <c r="U20" s="75" t="n">
        <v>7421</v>
      </c>
      <c r="V20" s="75" t="n">
        <v>7421</v>
      </c>
      <c r="W20" s="75" t="n">
        <v>7421</v>
      </c>
      <c r="X20" s="500" t="n">
        <v>7452</v>
      </c>
      <c r="Y20" s="500" t="n">
        <v>7534</v>
      </c>
      <c r="Z20" s="500" t="n">
        <v>7534</v>
      </c>
      <c r="AA20" s="500" t="n">
        <v>7534</v>
      </c>
      <c r="AB20" s="500" t="n">
        <v>7534</v>
      </c>
      <c r="AC20" s="68" t="n">
        <v>7543</v>
      </c>
      <c r="AD20" s="500" t="n">
        <v>7987</v>
      </c>
      <c r="AE20" s="500" t="n">
        <v>7987</v>
      </c>
      <c r="AF20" s="500" t="n">
        <v>7987</v>
      </c>
      <c r="AG20" s="500" t="n">
        <v>7987</v>
      </c>
      <c r="AH20" s="500" t="n">
        <v>7987</v>
      </c>
      <c r="AI20" s="500" t="n">
        <v>7987</v>
      </c>
      <c r="AJ20" s="77">
        <f>AI20-D20</f>
        <v/>
      </c>
    </row>
    <row r="21" ht="20.15" customHeight="1" s="488">
      <c r="A21" s="500" t="n">
        <v>8</v>
      </c>
      <c r="B21" s="500" t="inlineStr">
        <is>
          <t>3F</t>
        </is>
      </c>
      <c r="C21" s="500" t="inlineStr">
        <is>
          <t>SL No 540430038848 (EB Unit)</t>
        </is>
      </c>
      <c r="D21" s="79" t="n">
        <v>27550</v>
      </c>
      <c r="E21" s="500" t="n">
        <v>27652</v>
      </c>
      <c r="F21" s="500" t="n">
        <v>27772</v>
      </c>
      <c r="G21" s="75" t="n">
        <v>27908</v>
      </c>
      <c r="H21" s="75" t="n">
        <v>28025</v>
      </c>
      <c r="I21" s="500" t="n">
        <v>28167</v>
      </c>
      <c r="J21" s="500" t="n">
        <v>28236</v>
      </c>
      <c r="K21" s="500" t="n">
        <v>28370</v>
      </c>
      <c r="L21" s="500" t="n">
        <v>28532</v>
      </c>
      <c r="M21" s="500" t="n">
        <v>28691</v>
      </c>
      <c r="N21" s="500" t="n">
        <v>28820</v>
      </c>
      <c r="O21" s="500" t="n">
        <v>28985</v>
      </c>
      <c r="P21" s="500" t="n">
        <v>29164</v>
      </c>
      <c r="Q21" s="500" t="n">
        <v>29312</v>
      </c>
      <c r="R21" s="500" t="n">
        <v>29455</v>
      </c>
      <c r="S21" s="500" t="n">
        <v>29585</v>
      </c>
      <c r="T21" s="500" t="n">
        <v>29759</v>
      </c>
      <c r="U21" s="500" t="n">
        <v>29873</v>
      </c>
      <c r="V21" s="500" t="n">
        <v>30035</v>
      </c>
      <c r="W21" s="500" t="n">
        <v>30187</v>
      </c>
      <c r="X21" s="500" t="n">
        <v>30335</v>
      </c>
      <c r="Y21" s="500" t="n">
        <v>30455</v>
      </c>
      <c r="Z21" s="500" t="n">
        <v>30619</v>
      </c>
      <c r="AA21" s="500" t="n">
        <v>30744</v>
      </c>
      <c r="AB21" s="500" t="n">
        <v>30901</v>
      </c>
      <c r="AC21" s="500" t="n">
        <v>31015</v>
      </c>
      <c r="AD21" s="500" t="n">
        <v>31118</v>
      </c>
      <c r="AE21" s="49" t="n">
        <v>31261</v>
      </c>
      <c r="AF21" s="49" t="n">
        <v>31452</v>
      </c>
      <c r="AG21" s="49" t="n">
        <v>31590</v>
      </c>
      <c r="AH21" s="49" t="n">
        <v>31792</v>
      </c>
      <c r="AI21" s="49" t="n">
        <v>31846</v>
      </c>
      <c r="AJ21" s="77">
        <f>AI21-D21</f>
        <v/>
      </c>
    </row>
    <row r="22" ht="20.15" customHeight="1" s="488">
      <c r="A22" s="500" t="n"/>
      <c r="B22" s="500" t="n"/>
      <c r="C22" s="79" t="inlineStr">
        <is>
          <t>DG</t>
        </is>
      </c>
      <c r="D22" s="79" t="n">
        <v>1261</v>
      </c>
      <c r="E22" s="500" t="n">
        <v>1360</v>
      </c>
      <c r="F22" s="500" t="n">
        <v>1360</v>
      </c>
      <c r="G22" s="500" t="n">
        <v>1366</v>
      </c>
      <c r="H22" s="500" t="n">
        <v>1368</v>
      </c>
      <c r="I22" s="500" t="n">
        <v>1368</v>
      </c>
      <c r="J22" s="500" t="n">
        <v>1376</v>
      </c>
      <c r="K22" s="500" t="n">
        <v>1376</v>
      </c>
      <c r="L22" s="500" t="n">
        <v>1376</v>
      </c>
      <c r="M22" s="500" t="n">
        <v>1376</v>
      </c>
      <c r="N22" s="500" t="n">
        <v>1433</v>
      </c>
      <c r="O22" s="500" t="n">
        <v>1433</v>
      </c>
      <c r="P22" s="500" t="n">
        <v>1433</v>
      </c>
      <c r="Q22" s="500" t="n">
        <v>1433</v>
      </c>
      <c r="R22" s="75" t="n">
        <v>1456</v>
      </c>
      <c r="S22" s="75" t="n">
        <v>1456</v>
      </c>
      <c r="T22" s="75" t="n">
        <v>1456</v>
      </c>
      <c r="U22" s="75" t="n">
        <v>1456</v>
      </c>
      <c r="V22" s="75" t="n">
        <v>1456</v>
      </c>
      <c r="W22" s="75" t="n">
        <v>1456</v>
      </c>
      <c r="X22" s="500" t="n">
        <v>1479</v>
      </c>
      <c r="Y22" s="500" t="n">
        <v>1489</v>
      </c>
      <c r="Z22" s="500" t="n">
        <v>1489</v>
      </c>
      <c r="AA22" s="500" t="n">
        <v>1489</v>
      </c>
      <c r="AB22" s="500" t="n">
        <v>1489</v>
      </c>
      <c r="AC22" s="500" t="n">
        <v>1491</v>
      </c>
      <c r="AD22" s="500" t="n">
        <v>1584</v>
      </c>
      <c r="AE22" s="500" t="n">
        <v>1584</v>
      </c>
      <c r="AF22" s="500" t="n">
        <v>1584</v>
      </c>
      <c r="AG22" s="500" t="n">
        <v>1584</v>
      </c>
      <c r="AH22" s="500" t="n">
        <v>1584</v>
      </c>
      <c r="AI22" s="500" t="n">
        <v>1584</v>
      </c>
      <c r="AJ22" s="77">
        <f>AI22-D22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20" t="n"/>
      <c r="AJ23" s="501" t="n"/>
    </row>
    <row r="24" ht="13" customHeight="1" s="488">
      <c r="A24" s="500" t="n">
        <v>1</v>
      </c>
      <c r="B24" s="500" t="inlineStr">
        <is>
          <t>3F</t>
        </is>
      </c>
      <c r="C24" s="500" t="inlineStr">
        <is>
          <t>AHU1</t>
        </is>
      </c>
      <c r="D24" s="79" t="n">
        <v>13170</v>
      </c>
      <c r="E24" s="500" t="n">
        <v>13266</v>
      </c>
      <c r="F24" s="500" t="n">
        <v>13367</v>
      </c>
      <c r="G24" s="500" t="n">
        <v>13418</v>
      </c>
      <c r="H24" s="500" t="n">
        <v>13418</v>
      </c>
      <c r="I24" s="500" t="n">
        <v>13532</v>
      </c>
      <c r="J24" s="500" t="n">
        <v>13630</v>
      </c>
      <c r="K24" s="500" t="n">
        <v>13734</v>
      </c>
      <c r="L24" s="500" t="n">
        <v>13836</v>
      </c>
      <c r="M24" s="500" t="n">
        <v>13933</v>
      </c>
      <c r="N24" s="500" t="n">
        <v>13951</v>
      </c>
      <c r="O24" s="500" t="n">
        <v>13951</v>
      </c>
      <c r="P24" s="500" t="n">
        <v>14051</v>
      </c>
      <c r="Q24" s="500" t="n">
        <v>14146</v>
      </c>
      <c r="R24" s="500" t="n">
        <v>14216</v>
      </c>
      <c r="S24" s="500" t="n">
        <v>14216</v>
      </c>
      <c r="T24" s="500" t="n">
        <v>14301</v>
      </c>
      <c r="U24" s="500" t="n">
        <v>14350</v>
      </c>
      <c r="V24" s="500" t="n">
        <v>14350</v>
      </c>
      <c r="W24" s="500" t="n">
        <v>14433</v>
      </c>
      <c r="X24" s="500" t="n">
        <v>14526</v>
      </c>
      <c r="Y24" s="500" t="n">
        <v>14595</v>
      </c>
      <c r="Z24" s="500" t="n">
        <v>14684</v>
      </c>
      <c r="AA24" s="500" t="n">
        <v>14770</v>
      </c>
      <c r="AB24" s="500" t="n">
        <v>14817</v>
      </c>
      <c r="AC24" s="500" t="n">
        <v>14817</v>
      </c>
      <c r="AD24" s="500" t="n">
        <v>14827</v>
      </c>
      <c r="AE24" s="500" t="n">
        <v>14920</v>
      </c>
      <c r="AF24" s="500" t="n">
        <v>15015</v>
      </c>
      <c r="AG24" s="500" t="n">
        <v>15110</v>
      </c>
      <c r="AH24" s="49" t="n">
        <v>15208</v>
      </c>
      <c r="AI24" s="49" t="n">
        <v>15229</v>
      </c>
      <c r="AJ24" s="82">
        <f>AI24-D24</f>
        <v/>
      </c>
    </row>
    <row r="25" ht="13" customHeight="1" s="488">
      <c r="A25" s="500" t="n"/>
      <c r="B25" s="500" t="n"/>
      <c r="C25" s="529" t="inlineStr">
        <is>
          <t>DG</t>
        </is>
      </c>
      <c r="D25" s="79" t="n">
        <v>1153</v>
      </c>
      <c r="E25" s="500" t="n">
        <v>1206</v>
      </c>
      <c r="F25" s="500" t="n">
        <v>1206</v>
      </c>
      <c r="G25" s="500" t="n">
        <v>1212</v>
      </c>
      <c r="H25" s="500" t="n">
        <v>1212</v>
      </c>
      <c r="I25" s="500" t="n">
        <v>1212</v>
      </c>
      <c r="J25" s="500" t="n">
        <v>1225</v>
      </c>
      <c r="K25" s="500" t="n">
        <v>1225</v>
      </c>
      <c r="L25" s="500" t="n">
        <v>1225</v>
      </c>
      <c r="M25" s="500" t="n">
        <v>1225</v>
      </c>
      <c r="N25" s="500" t="n">
        <v>1264</v>
      </c>
      <c r="O25" s="500" t="n">
        <v>1264</v>
      </c>
      <c r="P25" s="500" t="n">
        <v>1264</v>
      </c>
      <c r="Q25" s="500" t="n">
        <v>1264</v>
      </c>
      <c r="R25" s="500" t="n">
        <v>1282</v>
      </c>
      <c r="S25" s="500" t="n">
        <v>1282</v>
      </c>
      <c r="T25" s="500" t="n">
        <v>1282</v>
      </c>
      <c r="U25" s="500" t="n">
        <v>1282</v>
      </c>
      <c r="V25" s="500" t="n">
        <v>1282</v>
      </c>
      <c r="W25" s="500" t="n">
        <v>1282</v>
      </c>
      <c r="X25" s="500" t="n">
        <v>1282</v>
      </c>
      <c r="Y25" s="500" t="n">
        <v>1297</v>
      </c>
      <c r="Z25" s="500" t="n">
        <v>1297</v>
      </c>
      <c r="AA25" s="500" t="n">
        <v>1297</v>
      </c>
      <c r="AB25" s="500" t="n">
        <v>1297</v>
      </c>
      <c r="AC25" s="500" t="n">
        <v>1297</v>
      </c>
      <c r="AD25" s="500" t="n">
        <v>1394</v>
      </c>
      <c r="AE25" s="500" t="n">
        <v>1394</v>
      </c>
      <c r="AF25" s="500" t="n">
        <v>1394</v>
      </c>
      <c r="AG25" s="500" t="n">
        <v>1394</v>
      </c>
      <c r="AH25" s="500" t="n">
        <v>1394</v>
      </c>
      <c r="AI25" s="500" t="n">
        <v>1394</v>
      </c>
      <c r="AJ25" s="82">
        <f>AI25-D25</f>
        <v/>
      </c>
    </row>
    <row r="26" ht="13" customHeight="1" s="488">
      <c r="A26" s="500" t="n">
        <v>2</v>
      </c>
      <c r="B26" s="500" t="inlineStr">
        <is>
          <t>3F</t>
        </is>
      </c>
      <c r="C26" s="500" t="inlineStr">
        <is>
          <t>AHU2</t>
        </is>
      </c>
      <c r="D26" s="79" t="n">
        <v>12367</v>
      </c>
      <c r="E26" s="500" t="n">
        <v>12430</v>
      </c>
      <c r="F26" s="500" t="n">
        <v>12507</v>
      </c>
      <c r="G26" s="75" t="n">
        <v>12531</v>
      </c>
      <c r="H26" s="75" t="n">
        <v>12531</v>
      </c>
      <c r="I26" s="500" t="n">
        <v>12601</v>
      </c>
      <c r="J26" s="500" t="n">
        <v>12662</v>
      </c>
      <c r="K26" s="500" t="n">
        <v>12725</v>
      </c>
      <c r="L26" s="500" t="n">
        <v>12788</v>
      </c>
      <c r="M26" s="500" t="n">
        <v>12850</v>
      </c>
      <c r="N26" s="500" t="n">
        <v>12863</v>
      </c>
      <c r="O26" s="500" t="n">
        <v>12863</v>
      </c>
      <c r="P26" s="500" t="n">
        <v>12936</v>
      </c>
      <c r="Q26" s="500" t="n">
        <v>13001</v>
      </c>
      <c r="R26" s="500" t="n">
        <v>13050</v>
      </c>
      <c r="S26" s="500" t="n">
        <v>13050</v>
      </c>
      <c r="T26" s="500" t="n">
        <v>13107</v>
      </c>
      <c r="U26" s="500" t="n">
        <v>13140</v>
      </c>
      <c r="V26" s="500" t="n">
        <v>13140</v>
      </c>
      <c r="W26" s="500" t="n">
        <v>13223</v>
      </c>
      <c r="X26" s="500" t="n">
        <v>13316</v>
      </c>
      <c r="Y26" s="500" t="n">
        <v>13391</v>
      </c>
      <c r="Z26" s="500" t="n">
        <v>13480</v>
      </c>
      <c r="AA26" s="500" t="n">
        <v>13561</v>
      </c>
      <c r="AB26" s="500" t="n">
        <v>13595</v>
      </c>
      <c r="AC26" s="500" t="n">
        <v>13595</v>
      </c>
      <c r="AD26" s="500" t="n">
        <v>13605</v>
      </c>
      <c r="AE26" s="49" t="n">
        <v>13708</v>
      </c>
      <c r="AF26" s="49" t="n">
        <v>13812</v>
      </c>
      <c r="AG26" s="49" t="n">
        <v>13913</v>
      </c>
      <c r="AH26" s="49" t="n">
        <v>14015</v>
      </c>
      <c r="AI26" s="49" t="n">
        <v>14037</v>
      </c>
      <c r="AJ26" s="82">
        <f>AI26-D26</f>
        <v/>
      </c>
    </row>
    <row r="27" ht="13" customHeight="1" s="488">
      <c r="A27" s="500" t="n"/>
      <c r="B27" s="500" t="n"/>
      <c r="C27" s="529" t="inlineStr">
        <is>
          <t>DG</t>
        </is>
      </c>
      <c r="D27" s="79" t="n">
        <v>1175</v>
      </c>
      <c r="E27" s="500" t="n">
        <v>1211</v>
      </c>
      <c r="F27" s="500" t="n">
        <v>1211</v>
      </c>
      <c r="G27" s="500" t="n">
        <v>1214</v>
      </c>
      <c r="H27" s="500" t="n">
        <v>1214</v>
      </c>
      <c r="I27" s="500" t="n">
        <v>1214</v>
      </c>
      <c r="J27" s="500" t="n">
        <v>1222</v>
      </c>
      <c r="K27" s="500" t="n">
        <v>1222</v>
      </c>
      <c r="L27" s="500" t="n">
        <v>1222</v>
      </c>
      <c r="M27" s="500" t="n">
        <v>1222</v>
      </c>
      <c r="N27" s="500" t="n">
        <v>1247</v>
      </c>
      <c r="O27" s="500" t="n">
        <v>1247</v>
      </c>
      <c r="P27" s="500" t="n">
        <v>1247</v>
      </c>
      <c r="Q27" s="500" t="n">
        <v>1247</v>
      </c>
      <c r="R27" s="500" t="n">
        <v>1258</v>
      </c>
      <c r="S27" s="500" t="n">
        <v>1258</v>
      </c>
      <c r="T27" s="500" t="n">
        <v>1258</v>
      </c>
      <c r="U27" s="500" t="n">
        <v>1258</v>
      </c>
      <c r="V27" s="500" t="n">
        <v>1258</v>
      </c>
      <c r="W27" s="500" t="n">
        <v>1258</v>
      </c>
      <c r="X27" s="500" t="n">
        <v>1258</v>
      </c>
      <c r="Y27" s="500" t="n">
        <v>1275</v>
      </c>
      <c r="Z27" s="500" t="n">
        <v>1275</v>
      </c>
      <c r="AA27" s="500" t="n">
        <v>1275</v>
      </c>
      <c r="AB27" s="500" t="n">
        <v>1275</v>
      </c>
      <c r="AC27" s="500" t="n">
        <v>1275</v>
      </c>
      <c r="AD27" s="500" t="n">
        <v>1377</v>
      </c>
      <c r="AE27" s="500" t="n">
        <v>1377</v>
      </c>
      <c r="AF27" s="500" t="n">
        <v>1377</v>
      </c>
      <c r="AG27" s="49" t="n">
        <v>1377</v>
      </c>
      <c r="AH27" s="49" t="n">
        <v>1377</v>
      </c>
      <c r="AI27" s="49" t="n">
        <v>1377</v>
      </c>
      <c r="AJ27" s="82">
        <f>AI27-D27</f>
        <v/>
      </c>
    </row>
    <row r="28" ht="13" customHeight="1" s="488">
      <c r="A28" s="500" t="n">
        <v>3</v>
      </c>
      <c r="B28" s="500" t="inlineStr">
        <is>
          <t>3F</t>
        </is>
      </c>
      <c r="C28" s="500" t="inlineStr">
        <is>
          <t>AHU3</t>
        </is>
      </c>
      <c r="D28" s="529" t="n">
        <v>11346</v>
      </c>
      <c r="E28" s="500" t="n">
        <v>11456</v>
      </c>
      <c r="F28" s="500" t="n">
        <v>11539</v>
      </c>
      <c r="G28" s="500" t="n">
        <v>11616</v>
      </c>
      <c r="H28" s="500" t="n">
        <v>11616</v>
      </c>
      <c r="I28" s="500" t="n">
        <v>11732</v>
      </c>
      <c r="J28" s="500" t="n">
        <v>11834</v>
      </c>
      <c r="K28" s="500" t="n">
        <v>11942</v>
      </c>
      <c r="L28" s="500" t="n">
        <v>12052</v>
      </c>
      <c r="M28" s="500" t="n">
        <v>12164</v>
      </c>
      <c r="N28" s="500" t="n">
        <v>12185</v>
      </c>
      <c r="O28" s="500" t="n">
        <v>12185</v>
      </c>
      <c r="P28" s="500" t="n">
        <v>12300</v>
      </c>
      <c r="Q28" s="500" t="n">
        <v>12407</v>
      </c>
      <c r="R28" s="500" t="n">
        <v>12495</v>
      </c>
      <c r="S28" s="500" t="n">
        <v>12495</v>
      </c>
      <c r="T28" s="500" t="n">
        <v>12604</v>
      </c>
      <c r="U28" s="500" t="n">
        <v>12669</v>
      </c>
      <c r="V28" s="500" t="n">
        <v>12669</v>
      </c>
      <c r="W28" s="500" t="n">
        <v>12759</v>
      </c>
      <c r="X28" s="500" t="n">
        <v>12853</v>
      </c>
      <c r="Y28" s="500" t="n">
        <v>12928</v>
      </c>
      <c r="Z28" s="500" t="n">
        <v>13026</v>
      </c>
      <c r="AA28" s="500" t="n">
        <v>13122</v>
      </c>
      <c r="AB28" s="500" t="n">
        <v>13157</v>
      </c>
      <c r="AC28" s="500" t="n">
        <v>13157</v>
      </c>
      <c r="AD28" s="500" t="n">
        <v>13167</v>
      </c>
      <c r="AE28" s="500" t="n">
        <v>13264</v>
      </c>
      <c r="AF28" s="500" t="n">
        <v>13358</v>
      </c>
      <c r="AG28" s="500" t="n">
        <v>13455</v>
      </c>
      <c r="AH28" s="500" t="n">
        <v>13559</v>
      </c>
      <c r="AI28" s="500" t="n">
        <v>13582</v>
      </c>
      <c r="AJ28" s="82">
        <f>AI28-D28</f>
        <v/>
      </c>
    </row>
    <row r="29" ht="13" customHeight="1" s="488">
      <c r="A29" s="500" t="n"/>
      <c r="B29" s="500" t="n"/>
      <c r="C29" s="529" t="inlineStr">
        <is>
          <t>DG</t>
        </is>
      </c>
      <c r="D29" s="79" t="n">
        <v>1218</v>
      </c>
      <c r="E29" s="500" t="n">
        <v>1279</v>
      </c>
      <c r="F29" s="500" t="n">
        <v>1279</v>
      </c>
      <c r="G29" s="500" t="n">
        <v>1285</v>
      </c>
      <c r="H29" s="500" t="n">
        <v>1285</v>
      </c>
      <c r="I29" s="500" t="n">
        <v>1285</v>
      </c>
      <c r="J29" s="500" t="n">
        <v>1298</v>
      </c>
      <c r="K29" s="500" t="n">
        <v>1298</v>
      </c>
      <c r="L29" s="500" t="n">
        <v>1298</v>
      </c>
      <c r="M29" s="500" t="n">
        <v>1298</v>
      </c>
      <c r="N29" s="500" t="n">
        <v>1341</v>
      </c>
      <c r="O29" s="500" t="n">
        <v>1341</v>
      </c>
      <c r="P29" s="500" t="n">
        <v>1341</v>
      </c>
      <c r="Q29" s="500" t="n">
        <v>1341</v>
      </c>
      <c r="R29" s="500" t="n">
        <v>1362</v>
      </c>
      <c r="S29" s="500" t="n">
        <v>1362</v>
      </c>
      <c r="T29" s="500" t="n">
        <v>1362</v>
      </c>
      <c r="U29" s="500" t="n">
        <v>1362</v>
      </c>
      <c r="V29" s="500" t="n">
        <v>1362</v>
      </c>
      <c r="W29" s="500" t="n">
        <v>1362</v>
      </c>
      <c r="X29" s="500" t="n">
        <v>1362</v>
      </c>
      <c r="Y29" s="500" t="n">
        <v>1378</v>
      </c>
      <c r="Z29" s="500" t="n">
        <v>1378</v>
      </c>
      <c r="AA29" s="500" t="n">
        <v>1378</v>
      </c>
      <c r="AB29" s="500" t="n">
        <v>1378</v>
      </c>
      <c r="AC29" s="500" t="n">
        <v>1378</v>
      </c>
      <c r="AD29" s="500" t="n">
        <v>1472</v>
      </c>
      <c r="AE29" s="500" t="n">
        <v>1472</v>
      </c>
      <c r="AF29" s="500" t="n">
        <v>1472</v>
      </c>
      <c r="AG29" s="500" t="n">
        <v>1472</v>
      </c>
      <c r="AH29" s="49" t="n">
        <v>1472</v>
      </c>
      <c r="AI29" s="49" t="n">
        <v>1472</v>
      </c>
      <c r="AJ29" s="82">
        <f>AI29-D29</f>
        <v/>
      </c>
    </row>
    <row r="30" ht="13" customHeight="1" s="488">
      <c r="A30" s="500" t="n">
        <v>4</v>
      </c>
      <c r="B30" s="500" t="inlineStr">
        <is>
          <t>3F</t>
        </is>
      </c>
      <c r="C30" s="500" t="inlineStr">
        <is>
          <t>AHU4</t>
        </is>
      </c>
      <c r="D30" s="79" t="n">
        <v>10968</v>
      </c>
      <c r="E30" s="500" t="n">
        <v>11069</v>
      </c>
      <c r="F30" s="500" t="n">
        <v>11171</v>
      </c>
      <c r="G30" s="500" t="n">
        <v>11223</v>
      </c>
      <c r="H30" s="500" t="n">
        <v>11223</v>
      </c>
      <c r="I30" s="500" t="n">
        <v>11334</v>
      </c>
      <c r="J30" s="500" t="n">
        <v>11430</v>
      </c>
      <c r="K30" s="500" t="n">
        <v>11535</v>
      </c>
      <c r="L30" s="500" t="n">
        <v>11637</v>
      </c>
      <c r="M30" s="500" t="n">
        <v>11736</v>
      </c>
      <c r="N30" s="500" t="n">
        <v>11755</v>
      </c>
      <c r="O30" s="500" t="n">
        <v>11755</v>
      </c>
      <c r="P30" s="500" t="n">
        <v>11859</v>
      </c>
      <c r="Q30" s="500" t="n">
        <v>11960</v>
      </c>
      <c r="R30" s="500" t="n">
        <v>12040</v>
      </c>
      <c r="S30" s="500" t="n">
        <v>12040</v>
      </c>
      <c r="T30" s="500" t="n">
        <v>12147</v>
      </c>
      <c r="U30" s="500" t="n">
        <v>12202</v>
      </c>
      <c r="V30" s="500" t="n">
        <v>12202</v>
      </c>
      <c r="W30" s="500" t="n">
        <v>12287</v>
      </c>
      <c r="X30" s="500" t="n">
        <v>12387</v>
      </c>
      <c r="Y30" s="500" t="n">
        <v>12467</v>
      </c>
      <c r="Z30" s="500" t="n">
        <v>12564</v>
      </c>
      <c r="AA30" s="500" t="n">
        <v>12661</v>
      </c>
      <c r="AB30" s="500" t="n">
        <v>12711</v>
      </c>
      <c r="AC30" s="500" t="n">
        <v>12711</v>
      </c>
      <c r="AD30" s="500" t="n">
        <v>12718</v>
      </c>
      <c r="AE30" s="500" t="n">
        <v>12833</v>
      </c>
      <c r="AF30" s="500" t="n">
        <v>12914</v>
      </c>
      <c r="AG30" s="500" t="n">
        <v>12958</v>
      </c>
      <c r="AH30" s="49" t="n">
        <v>13007</v>
      </c>
      <c r="AI30" s="49" t="n">
        <v>13023</v>
      </c>
      <c r="AJ30" s="82">
        <f>AI30-D30</f>
        <v/>
      </c>
    </row>
    <row r="31" ht="13" customHeight="1" s="488">
      <c r="A31" s="500" t="n"/>
      <c r="B31" s="500" t="n"/>
      <c r="C31" s="529" t="inlineStr">
        <is>
          <t>DG</t>
        </is>
      </c>
      <c r="D31" s="79" t="n">
        <v>1038</v>
      </c>
      <c r="E31" s="500" t="n">
        <v>1096</v>
      </c>
      <c r="F31" s="500" t="n">
        <v>1096</v>
      </c>
      <c r="G31" s="500" t="n">
        <v>1102</v>
      </c>
      <c r="H31" s="500" t="n">
        <v>1102</v>
      </c>
      <c r="I31" s="500" t="n">
        <v>1102</v>
      </c>
      <c r="J31" s="500" t="n">
        <v>1118</v>
      </c>
      <c r="K31" s="500" t="n">
        <v>1118</v>
      </c>
      <c r="L31" s="500" t="n">
        <v>1118</v>
      </c>
      <c r="M31" s="500" t="n">
        <v>1118</v>
      </c>
      <c r="N31" s="500" t="n">
        <v>1157</v>
      </c>
      <c r="O31" s="500" t="n">
        <v>1157</v>
      </c>
      <c r="P31" s="500" t="n">
        <v>1157</v>
      </c>
      <c r="Q31" s="500" t="n">
        <v>1157</v>
      </c>
      <c r="R31" s="500" t="n">
        <v>1175</v>
      </c>
      <c r="S31" s="500" t="n">
        <v>1175</v>
      </c>
      <c r="T31" s="500" t="n">
        <v>1175</v>
      </c>
      <c r="U31" s="500" t="n">
        <v>1175</v>
      </c>
      <c r="V31" s="500" t="n">
        <v>1175</v>
      </c>
      <c r="W31" s="500" t="n">
        <v>1175</v>
      </c>
      <c r="X31" s="500" t="n">
        <v>1175</v>
      </c>
      <c r="Y31" s="500" t="n">
        <v>1192</v>
      </c>
      <c r="Z31" s="500" t="n">
        <v>1192</v>
      </c>
      <c r="AA31" s="500" t="n">
        <v>1192</v>
      </c>
      <c r="AB31" s="500" t="n">
        <v>1192</v>
      </c>
      <c r="AC31" s="500" t="n">
        <v>1192</v>
      </c>
      <c r="AD31" s="500" t="n">
        <v>1287</v>
      </c>
      <c r="AE31" s="500" t="n">
        <v>1287</v>
      </c>
      <c r="AF31" s="500" t="n">
        <v>1287</v>
      </c>
      <c r="AG31" s="500" t="n">
        <v>1287</v>
      </c>
      <c r="AH31" s="500" t="n">
        <v>1287</v>
      </c>
      <c r="AI31" s="500" t="n">
        <v>1287</v>
      </c>
      <c r="AJ31" s="82">
        <f>AI31-D31</f>
        <v/>
      </c>
    </row>
    <row r="32" ht="14.5" customHeight="1" s="488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20" t="n"/>
      <c r="AJ32" s="501" t="n"/>
    </row>
    <row r="33" ht="13" customHeight="1" s="488">
      <c r="A33" s="500" t="n">
        <v>1</v>
      </c>
      <c r="B33" s="500" t="inlineStr">
        <is>
          <t>3F</t>
        </is>
      </c>
      <c r="C33" s="500" t="inlineStr">
        <is>
          <t>AHU1 - BTU</t>
        </is>
      </c>
      <c r="D33" s="83" t="n">
        <v>105491.36</v>
      </c>
      <c r="E33" s="84" t="n">
        <v>106681.66</v>
      </c>
      <c r="F33" s="84" t="n">
        <v>107328.37</v>
      </c>
      <c r="G33" s="84" t="n">
        <v>107774.45</v>
      </c>
      <c r="H33" s="84" t="n">
        <v>107774.45</v>
      </c>
      <c r="I33" s="84" t="n">
        <v>108807.72</v>
      </c>
      <c r="J33" s="84" t="n">
        <v>109643.75</v>
      </c>
      <c r="K33" s="84" t="n">
        <v>110409.85</v>
      </c>
      <c r="L33" s="84" t="n">
        <v>111051.93</v>
      </c>
      <c r="M33" s="84" t="n">
        <v>111705.25</v>
      </c>
      <c r="N33" s="84" t="n">
        <v>112033.31</v>
      </c>
      <c r="O33" s="84" t="n">
        <v>112033.31</v>
      </c>
      <c r="P33" s="84" t="n">
        <v>113020.91</v>
      </c>
      <c r="Q33" s="84" t="n">
        <v>114019.42</v>
      </c>
      <c r="R33" s="85" t="n">
        <v>114932.74</v>
      </c>
      <c r="S33" s="85" t="n">
        <v>114932.74</v>
      </c>
      <c r="T33" s="85" t="n">
        <v>115860.72</v>
      </c>
      <c r="U33" s="85" t="n">
        <v>116271.87</v>
      </c>
      <c r="V33" s="85" t="n">
        <v>116271.87</v>
      </c>
      <c r="W33" s="85" t="n">
        <v>117228.87</v>
      </c>
      <c r="X33" s="85" t="n">
        <v>118297.95</v>
      </c>
      <c r="Y33" s="85" t="n">
        <v>119087.81</v>
      </c>
      <c r="Z33" s="85" t="n">
        <v>119872.3</v>
      </c>
      <c r="AA33" s="85" t="n">
        <v>120483.17</v>
      </c>
      <c r="AB33" s="85" t="n">
        <v>120915.77</v>
      </c>
      <c r="AC33" s="85" t="n">
        <v>120915.77</v>
      </c>
      <c r="AD33" s="85" t="n">
        <v>122207.02</v>
      </c>
      <c r="AE33" s="85" t="n">
        <v>123312.55</v>
      </c>
      <c r="AF33" s="85" t="n">
        <v>124219.4</v>
      </c>
      <c r="AG33" s="85" t="n">
        <v>124794.27</v>
      </c>
      <c r="AH33" s="86" t="n">
        <v>125476.67</v>
      </c>
      <c r="AI33" s="86" t="n">
        <v>125611</v>
      </c>
      <c r="AJ33" s="82">
        <f>AI33-D33</f>
        <v/>
      </c>
    </row>
    <row r="34" ht="13" customHeight="1" s="488">
      <c r="A34" s="500" t="n">
        <v>2</v>
      </c>
      <c r="B34" s="500" t="inlineStr">
        <is>
          <t>3F</t>
        </is>
      </c>
      <c r="C34" s="500" t="inlineStr">
        <is>
          <t>AHU2 - BTU</t>
        </is>
      </c>
      <c r="D34" s="83" t="n">
        <v>106652.85</v>
      </c>
      <c r="E34" s="87" t="n">
        <v>108172.67</v>
      </c>
      <c r="F34" s="87" t="n">
        <v>109044.47</v>
      </c>
      <c r="G34" s="88" t="n">
        <v>109623.23</v>
      </c>
      <c r="H34" s="84" t="n">
        <v>109623.23</v>
      </c>
      <c r="I34" s="84" t="n">
        <v>110705.24</v>
      </c>
      <c r="J34" s="84" t="n">
        <v>111558.07</v>
      </c>
      <c r="K34" s="84" t="n">
        <v>112478.65</v>
      </c>
      <c r="L34" s="84" t="n">
        <v>113126.42</v>
      </c>
      <c r="M34" s="84" t="n">
        <v>113851.7</v>
      </c>
      <c r="N34" s="84" t="n">
        <v>114346.31</v>
      </c>
      <c r="O34" s="84" t="n">
        <v>114346.31</v>
      </c>
      <c r="P34" s="84" t="n">
        <v>115248.36</v>
      </c>
      <c r="Q34" s="84" t="n">
        <v>116117.64</v>
      </c>
      <c r="R34" s="85" t="n">
        <v>116928.92</v>
      </c>
      <c r="S34" s="85" t="n">
        <v>116928.92</v>
      </c>
      <c r="T34" s="85" t="n">
        <v>118010.57</v>
      </c>
      <c r="U34" s="85" t="n">
        <v>118622.32</v>
      </c>
      <c r="V34" s="85" t="n">
        <v>118622.32</v>
      </c>
      <c r="W34" s="85" t="n">
        <v>119779.91</v>
      </c>
      <c r="X34" s="85" t="n">
        <v>120997.48</v>
      </c>
      <c r="Y34" s="85" t="n">
        <v>122224.54</v>
      </c>
      <c r="Z34" s="85" t="n">
        <v>123253.37</v>
      </c>
      <c r="AA34" s="85" t="n">
        <v>124618.44</v>
      </c>
      <c r="AB34" s="85" t="n">
        <v>125477.95</v>
      </c>
      <c r="AC34" s="85" t="n">
        <v>125477.95</v>
      </c>
      <c r="AD34" s="85" t="n">
        <v>125691.09</v>
      </c>
      <c r="AE34" s="85" t="n">
        <v>126529.22</v>
      </c>
      <c r="AF34" s="85" t="n">
        <v>127454.33</v>
      </c>
      <c r="AG34" s="85" t="n">
        <v>128290.49</v>
      </c>
      <c r="AH34" s="86" t="n">
        <v>129289.71</v>
      </c>
      <c r="AI34" s="86" t="n">
        <v>129491</v>
      </c>
      <c r="AJ34" s="82">
        <f>AI34-D34</f>
        <v/>
      </c>
    </row>
    <row r="35" ht="13" customHeight="1" s="488">
      <c r="A35" s="500" t="n">
        <v>3</v>
      </c>
      <c r="B35" s="500" t="inlineStr">
        <is>
          <t>3F</t>
        </is>
      </c>
      <c r="C35" s="500" t="inlineStr">
        <is>
          <t>AHU3 - BTU</t>
        </is>
      </c>
      <c r="D35" s="83" t="n">
        <v>113637.95</v>
      </c>
      <c r="E35" s="84" t="n">
        <v>115077.08</v>
      </c>
      <c r="F35" s="84" t="n">
        <v>115934.9</v>
      </c>
      <c r="G35" s="84" t="n">
        <v>116414.63</v>
      </c>
      <c r="H35" s="84" t="n">
        <v>116414.63</v>
      </c>
      <c r="I35" s="84" t="n">
        <v>117562.07</v>
      </c>
      <c r="J35" s="84" t="n">
        <v>118517.4</v>
      </c>
      <c r="K35" s="84" t="n">
        <v>119492.19</v>
      </c>
      <c r="L35" s="84" t="n">
        <v>120335.4</v>
      </c>
      <c r="M35" s="84" t="n">
        <v>121135.42</v>
      </c>
      <c r="N35" s="84" t="n">
        <v>121669.78</v>
      </c>
      <c r="O35" s="84" t="n">
        <v>121669.78</v>
      </c>
      <c r="P35" s="84" t="n">
        <v>122678.96</v>
      </c>
      <c r="Q35" s="84" t="n">
        <v>123637.49</v>
      </c>
      <c r="R35" s="84" t="n">
        <v>124450.24</v>
      </c>
      <c r="S35" s="85" t="n">
        <v>124450.24</v>
      </c>
      <c r="T35" s="85" t="n">
        <v>125384.11</v>
      </c>
      <c r="U35" s="85" t="n">
        <v>125869.23</v>
      </c>
      <c r="V35" s="85" t="n">
        <v>125869.23</v>
      </c>
      <c r="W35" s="85" t="n">
        <v>126955.12</v>
      </c>
      <c r="X35" s="85" t="n">
        <v>128117.06</v>
      </c>
      <c r="Y35" s="85" t="n">
        <v>129126.9</v>
      </c>
      <c r="Z35" s="85" t="n">
        <v>129977.56</v>
      </c>
      <c r="AA35" s="85" t="n">
        <v>130794.35</v>
      </c>
      <c r="AB35" s="85" t="n">
        <v>131206.81</v>
      </c>
      <c r="AC35" s="85" t="n">
        <v>131206.81</v>
      </c>
      <c r="AD35" s="85" t="n">
        <v>132399.57</v>
      </c>
      <c r="AE35" s="85" t="n">
        <v>133468.99</v>
      </c>
      <c r="AF35" s="85" t="n">
        <v>134564.2</v>
      </c>
      <c r="AG35" s="85" t="n">
        <v>135502.54</v>
      </c>
      <c r="AH35" s="86" t="n">
        <v>136412.24</v>
      </c>
      <c r="AI35" s="86" t="n">
        <v>136638</v>
      </c>
      <c r="AJ35" s="82">
        <f>AI35-D35</f>
        <v/>
      </c>
    </row>
    <row r="36" ht="13" customHeight="1" s="488">
      <c r="A36" s="500" t="n">
        <v>4</v>
      </c>
      <c r="B36" s="500" t="inlineStr">
        <is>
          <t>3F</t>
        </is>
      </c>
      <c r="C36" s="500" t="inlineStr">
        <is>
          <t>AHU4 - BTU</t>
        </is>
      </c>
      <c r="D36" s="83" t="n">
        <v>130737.1</v>
      </c>
      <c r="E36" s="84" t="n">
        <v>132032.14</v>
      </c>
      <c r="F36" s="84" t="n">
        <v>132902.89</v>
      </c>
      <c r="G36" s="84" t="n">
        <v>133355.68</v>
      </c>
      <c r="H36" s="84" t="n">
        <v>133355.68</v>
      </c>
      <c r="I36" s="84" t="n">
        <v>134790.24</v>
      </c>
      <c r="J36" s="84" t="n">
        <v>135822.31</v>
      </c>
      <c r="K36" s="84" t="n">
        <v>136733.19</v>
      </c>
      <c r="L36" s="84" t="n">
        <v>137604.6</v>
      </c>
      <c r="M36" s="84" t="n">
        <v>138436.45</v>
      </c>
      <c r="N36" s="84" t="n">
        <v>138949.33</v>
      </c>
      <c r="O36" s="84" t="n">
        <v>138949.33</v>
      </c>
      <c r="P36" s="84" t="n">
        <v>140202.45</v>
      </c>
      <c r="Q36" s="84" t="n">
        <v>141236.04</v>
      </c>
      <c r="R36" s="85" t="n">
        <v>142125.01</v>
      </c>
      <c r="S36" s="85" t="n">
        <v>142125.01</v>
      </c>
      <c r="T36" s="85" t="n">
        <v>143166.62</v>
      </c>
      <c r="U36" s="85" t="n">
        <v>143517.28</v>
      </c>
      <c r="V36" s="85" t="n">
        <v>143517.28</v>
      </c>
      <c r="W36" s="85" t="n">
        <v>144693.45</v>
      </c>
      <c r="X36" s="85" t="n">
        <v>145910.46</v>
      </c>
      <c r="Y36" s="85" t="n">
        <v>146900.61</v>
      </c>
      <c r="Z36" s="85" t="n">
        <v>147911.42</v>
      </c>
      <c r="AA36" s="85" t="n">
        <v>148890.74</v>
      </c>
      <c r="AB36" s="85" t="n">
        <v>149419.9</v>
      </c>
      <c r="AC36" s="85" t="n">
        <v>149419.9</v>
      </c>
      <c r="AD36" s="85" t="n">
        <v>150780.46</v>
      </c>
      <c r="AE36" s="85" t="n">
        <v>151765.21</v>
      </c>
      <c r="AF36" s="85" t="n">
        <v>152990.8</v>
      </c>
      <c r="AG36" s="85" t="n">
        <v>153819.54</v>
      </c>
      <c r="AH36" s="86" t="n">
        <v>154837.29</v>
      </c>
      <c r="AI36" s="86" t="n">
        <v>155000</v>
      </c>
      <c r="AJ36" s="82">
        <f>AI36-D36</f>
        <v/>
      </c>
    </row>
    <row r="37">
      <c r="D37" s="90" t="n"/>
      <c r="E37" s="90" t="n"/>
      <c r="AD37" s="76" t="n"/>
    </row>
    <row r="38" ht="13" customHeight="1" s="488">
      <c r="A38" s="91" t="n"/>
      <c r="B38" s="92" t="n"/>
      <c r="C38" s="92" t="n"/>
      <c r="D38" s="92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  <c r="AB38" s="91" t="n"/>
      <c r="AC38" s="91" t="n"/>
      <c r="AD38" s="91" t="n"/>
      <c r="AE38" s="91" t="n"/>
      <c r="AF38" s="91" t="n"/>
      <c r="AG38" s="91" t="n"/>
      <c r="AH38" s="91" t="n"/>
      <c r="AI38" s="91" t="n"/>
      <c r="AJ38" s="91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  <c r="AJ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95">
        <f>AG3</f>
        <v/>
      </c>
      <c r="AH41" s="95">
        <f>AH3</f>
        <v/>
      </c>
      <c r="AI41" s="95">
        <f>AI3</f>
        <v/>
      </c>
      <c r="AJ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96">
        <f>AG4</f>
        <v/>
      </c>
      <c r="AH42" s="96">
        <f>AH4</f>
        <v/>
      </c>
      <c r="AI42" s="96">
        <f>AI4</f>
        <v/>
      </c>
      <c r="AJ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97" t="inlineStr">
        <is>
          <t>Time</t>
        </is>
      </c>
      <c r="AH43" s="97" t="inlineStr">
        <is>
          <t>Time</t>
        </is>
      </c>
      <c r="AI43" s="97" t="inlineStr">
        <is>
          <t>Time</t>
        </is>
      </c>
      <c r="AJ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98" t="n">
        <v>0.3333333333333333</v>
      </c>
      <c r="AH44" s="98" t="n">
        <v>0.3333333333333333</v>
      </c>
      <c r="AI44" s="98" t="n">
        <v>0.3333333333333333</v>
      </c>
      <c r="AJ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105">
        <f>SUM(E54:AI54)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105">
        <f>SUM(E55:AI55)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105">
        <f>SUM(E56:AI56)</f>
        <v/>
      </c>
      <c r="AK56" s="113" t="inlineStr">
        <is>
          <t>EB</t>
        </is>
      </c>
      <c r="AL56" s="114">
        <f>AJ61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21">
        <f>SUM(E57:AI57)</f>
        <v/>
      </c>
      <c r="AK57" s="114" t="inlineStr">
        <is>
          <t>AHU</t>
        </is>
      </c>
      <c r="AL57" s="114">
        <f>AJ74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  <c r="AK58" s="113" t="inlineStr">
        <is>
          <t>BTU</t>
        </is>
      </c>
      <c r="AL58" s="113">
        <f>AJ80*40%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  <c r="AK59" s="113" t="inlineStr">
        <is>
          <t>DG</t>
        </is>
      </c>
      <c r="AL59" s="114">
        <f>AJ62+AJ75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20">
        <f>AI22-AH22</f>
        <v/>
      </c>
      <c r="AJ60" s="105">
        <f>SUM(E60:AI60)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23">
        <f>SUM(AI59,AI57,AI55,AI53,AI51,AI49,AI47,AI45)</f>
        <v/>
      </c>
      <c r="AJ61" s="111">
        <f>SUM(E61:AI61)</f>
        <v/>
      </c>
    </row>
    <row r="62" ht="15" customHeight="1" s="488">
      <c r="A62" s="99" t="n"/>
      <c r="B62" s="99" t="n"/>
      <c r="C62" s="63" t="inlineStr">
        <is>
          <t>Total Power- DG</t>
        </is>
      </c>
      <c r="D62" s="100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23">
        <f>SUM(AI46,AI48,AI50,AI52,AI54,AI56,AI58,AI60)</f>
        <v/>
      </c>
      <c r="AJ62" s="111">
        <f>SUM(E62:AI62)</f>
        <v/>
      </c>
      <c r="AL62" s="78" t="n"/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E63+F61</f>
        <v/>
      </c>
      <c r="G63" s="102">
        <f>F63+G61</f>
        <v/>
      </c>
      <c r="H63" s="102">
        <f>G63+H61</f>
        <v/>
      </c>
      <c r="I63" s="102">
        <f>H63+I61</f>
        <v/>
      </c>
      <c r="J63" s="102">
        <f>I63+J61</f>
        <v/>
      </c>
      <c r="K63" s="102">
        <f>J63+K61</f>
        <v/>
      </c>
      <c r="L63" s="102">
        <f>K63+L61</f>
        <v/>
      </c>
      <c r="M63" s="102">
        <f>L63+M61</f>
        <v/>
      </c>
      <c r="N63" s="102">
        <f>M63+N61</f>
        <v/>
      </c>
      <c r="O63" s="102">
        <f>N63+O61</f>
        <v/>
      </c>
      <c r="P63" s="102">
        <f>O63+P61</f>
        <v/>
      </c>
      <c r="Q63" s="102">
        <f>P63+Q61</f>
        <v/>
      </c>
      <c r="R63" s="102">
        <f>Q63+R61</f>
        <v/>
      </c>
      <c r="S63" s="102">
        <f>R63+S61</f>
        <v/>
      </c>
      <c r="T63" s="102">
        <f>S63+T61</f>
        <v/>
      </c>
      <c r="U63" s="102">
        <f>T63+U61</f>
        <v/>
      </c>
      <c r="V63" s="102">
        <f>U63+V61</f>
        <v/>
      </c>
      <c r="W63" s="102">
        <f>V63+W61</f>
        <v/>
      </c>
      <c r="X63" s="102">
        <f>W63+X61</f>
        <v/>
      </c>
      <c r="Y63" s="102">
        <f>X63+Y61</f>
        <v/>
      </c>
      <c r="Z63" s="102">
        <f>Y63+Z61</f>
        <v/>
      </c>
      <c r="AA63" s="102">
        <f>Z63+AA61</f>
        <v/>
      </c>
      <c r="AB63" s="102">
        <f>AA63+AB61</f>
        <v/>
      </c>
      <c r="AC63" s="102">
        <f>AB63+AC61</f>
        <v/>
      </c>
      <c r="AD63" s="102">
        <f>AC63+AD61</f>
        <v/>
      </c>
      <c r="AE63" s="102">
        <f>AD63+AE61</f>
        <v/>
      </c>
      <c r="AF63" s="102">
        <f>AE63+AF61</f>
        <v/>
      </c>
      <c r="AG63" s="102">
        <f>AF63+AG61</f>
        <v/>
      </c>
      <c r="AH63" s="102">
        <f>AG63+AH61</f>
        <v/>
      </c>
      <c r="AI63" s="102">
        <f>AH63+AI61</f>
        <v/>
      </c>
      <c r="AJ63" s="112">
        <f>AG63+AJ61</f>
        <v/>
      </c>
    </row>
    <row r="64" ht="13" customHeight="1" s="488">
      <c r="A64" s="94" t="n"/>
      <c r="B64" s="534" t="n"/>
      <c r="C64" s="53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  <c r="AJ64" s="94" t="n"/>
    </row>
    <row r="65" ht="52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AI24-AH24</f>
        <v/>
      </c>
      <c r="AJ66" s="30">
        <f>SUM(E66:AI66)</f>
        <v/>
      </c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AI25-AH25</f>
        <v/>
      </c>
      <c r="AJ67" s="30">
        <f>SUM(E67:AI67)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AI26-AH26</f>
        <v/>
      </c>
      <c r="AJ68" s="30">
        <f>SUM(E68:AI68)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AI27-AH27</f>
        <v/>
      </c>
      <c r="AJ69" s="30">
        <f>SUM(E69:AI69)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AI28-AH28</f>
        <v/>
      </c>
      <c r="AJ70" s="30">
        <f>SUM(E70:AI70)</f>
        <v/>
      </c>
      <c r="AK70" s="78" t="n"/>
      <c r="AL70" s="78" t="n"/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AI29-AH29</f>
        <v/>
      </c>
      <c r="AJ71" s="30">
        <f>SUM(E71:AI71)</f>
        <v/>
      </c>
      <c r="AK71" s="78" t="n"/>
      <c r="AL71" s="78" t="n"/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AI30-AH30</f>
        <v/>
      </c>
      <c r="AJ72" s="30">
        <f>SUM(E72:AI72)</f>
        <v/>
      </c>
      <c r="AL72" s="78" t="n"/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AI31-AH31</f>
        <v/>
      </c>
      <c r="AJ73" s="30">
        <f>SUM(E73:AI73)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3">
        <f>SUM(AI67,AI69,AI71,AI73)</f>
        <v/>
      </c>
      <c r="AJ75" s="24">
        <f>SUM(E75:AI75)</f>
        <v/>
      </c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AI33-AH33</f>
        <v/>
      </c>
      <c r="AJ76" s="30">
        <f>SUM(E76:AI76)</f>
        <v/>
      </c>
      <c r="AK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AI34-AH34</f>
        <v/>
      </c>
      <c r="AJ77" s="30">
        <f>SUM(E77:AI77)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AI35-AH35</f>
        <v/>
      </c>
      <c r="AJ78" s="30">
        <f>SUM(E78:AI78)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AI36-AH36</f>
        <v/>
      </c>
      <c r="AJ79" s="30">
        <f>SUM(E79:AI79)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3">
        <f>SUM(AI76:AI79)</f>
        <v/>
      </c>
      <c r="AJ80" s="24">
        <f>SUM(AJ76:AJ79)</f>
        <v/>
      </c>
    </row>
  </sheetData>
  <mergeCells count="49">
    <mergeCell ref="C77:D77"/>
    <mergeCell ref="C68:D68"/>
    <mergeCell ref="E2:AI2"/>
    <mergeCell ref="C58:D58"/>
    <mergeCell ref="B3:B6"/>
    <mergeCell ref="C45:D45"/>
    <mergeCell ref="C74:D74"/>
    <mergeCell ref="C79:D79"/>
    <mergeCell ref="C73:D73"/>
    <mergeCell ref="C47:D47"/>
    <mergeCell ref="C54:D54"/>
    <mergeCell ref="C63:D63"/>
    <mergeCell ref="C65:D65"/>
    <mergeCell ref="C55:D55"/>
    <mergeCell ref="A41:A44"/>
    <mergeCell ref="A3:A6"/>
    <mergeCell ref="C50:D50"/>
    <mergeCell ref="AJ3:AJ6"/>
    <mergeCell ref="C75:D75"/>
    <mergeCell ref="B40:D40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D3:D6"/>
    <mergeCell ref="C61:D61"/>
    <mergeCell ref="C52:D52"/>
    <mergeCell ref="C70:D70"/>
    <mergeCell ref="C48:D48"/>
    <mergeCell ref="B41:B44"/>
    <mergeCell ref="C72:D72"/>
    <mergeCell ref="C67:D67"/>
    <mergeCell ref="C57:D57"/>
    <mergeCell ref="C3:C6"/>
    <mergeCell ref="C66:D66"/>
    <mergeCell ref="C41:D44"/>
    <mergeCell ref="A2:D2"/>
    <mergeCell ref="C53:D53"/>
    <mergeCell ref="B39:D39"/>
    <mergeCell ref="C78:D78"/>
    <mergeCell ref="C69:D69"/>
    <mergeCell ref="C49:D49"/>
  </mergeCells>
  <pageMargins left="0.7" right="0.7" top="0.75" bottom="0.75" header="0.3" footer="0.3"/>
  <pageSetup orientation="portrait" paperSize="9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K80"/>
  <sheetViews>
    <sheetView topLeftCell="L40" workbookViewId="0">
      <selection activeCell="A22" sqref="A22:AJ22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89" min="3" max="3"/>
    <col width="20" bestFit="1" customWidth="1" style="110" min="4" max="4"/>
    <col width="23" bestFit="1" customWidth="1" style="70" min="5" max="5"/>
    <col width="23" customWidth="1" style="488" min="6" max="32"/>
    <col width="23" bestFit="1" customWidth="1" style="70" min="33" max="34"/>
    <col width="18" bestFit="1" customWidth="1" style="70" min="35" max="35"/>
    <col width="14" customWidth="1" style="70" min="36" max="36"/>
    <col width="18" customWidth="1" style="70" min="37" max="38"/>
    <col width="18" customWidth="1" style="70" min="39" max="16384"/>
  </cols>
  <sheetData>
    <row r="2" ht="16.5" customHeight="1" s="488">
      <c r="A2" s="538" t="n"/>
      <c r="B2" s="505" t="n"/>
      <c r="C2" s="505" t="n"/>
      <c r="D2" s="506" t="n"/>
      <c r="E2" s="535" t="inlineStr">
        <is>
          <t>September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6" t="n"/>
      <c r="AI2" s="69" t="n"/>
    </row>
    <row r="3" ht="13" customHeight="1" s="488">
      <c r="A3" s="530" t="inlineStr">
        <is>
          <t>Sr.No</t>
        </is>
      </c>
      <c r="B3" s="530" t="inlineStr">
        <is>
          <t>Location</t>
        </is>
      </c>
      <c r="C3" s="530" t="inlineStr">
        <is>
          <t>Meter</t>
        </is>
      </c>
      <c r="D3" s="536" t="inlineStr">
        <is>
          <t>Previous Reading</t>
        </is>
      </c>
      <c r="E3" s="71" t="n">
        <v>45536</v>
      </c>
      <c r="F3" s="71" t="n">
        <v>45537</v>
      </c>
      <c r="G3" s="71" t="n">
        <v>45538</v>
      </c>
      <c r="H3" s="71" t="n">
        <v>45539</v>
      </c>
      <c r="I3" s="71" t="n">
        <v>45540</v>
      </c>
      <c r="J3" s="71" t="n">
        <v>45541</v>
      </c>
      <c r="K3" s="71" t="n">
        <v>45542</v>
      </c>
      <c r="L3" s="71" t="n">
        <v>45543</v>
      </c>
      <c r="M3" s="71" t="n">
        <v>45544</v>
      </c>
      <c r="N3" s="71" t="n">
        <v>45545</v>
      </c>
      <c r="O3" s="71" t="n">
        <v>45546</v>
      </c>
      <c r="P3" s="71" t="n">
        <v>45547</v>
      </c>
      <c r="Q3" s="71" t="n">
        <v>45548</v>
      </c>
      <c r="R3" s="71" t="n">
        <v>45549</v>
      </c>
      <c r="S3" s="71" t="n">
        <v>45550</v>
      </c>
      <c r="T3" s="71" t="n">
        <v>45551</v>
      </c>
      <c r="U3" s="71" t="n">
        <v>45552</v>
      </c>
      <c r="V3" s="71" t="n">
        <v>45553</v>
      </c>
      <c r="W3" s="71" t="n">
        <v>45554</v>
      </c>
      <c r="X3" s="71" t="n">
        <v>45555</v>
      </c>
      <c r="Y3" s="71" t="n">
        <v>45556</v>
      </c>
      <c r="Z3" s="71" t="n">
        <v>45557</v>
      </c>
      <c r="AA3" s="71" t="n">
        <v>45558</v>
      </c>
      <c r="AB3" s="71" t="n">
        <v>45559</v>
      </c>
      <c r="AC3" s="71" t="n">
        <v>45560</v>
      </c>
      <c r="AD3" s="71" t="n">
        <v>45561</v>
      </c>
      <c r="AE3" s="71" t="n">
        <v>45562</v>
      </c>
      <c r="AF3" s="71" t="n">
        <v>45563</v>
      </c>
      <c r="AG3" s="71" t="n">
        <v>45564</v>
      </c>
      <c r="AH3" s="71" t="n">
        <v>45565</v>
      </c>
      <c r="AI3" s="537" t="inlineStr">
        <is>
          <t>Consumption</t>
        </is>
      </c>
    </row>
    <row r="4" ht="13" customHeight="1" s="488">
      <c r="A4" s="509" t="n"/>
      <c r="B4" s="509" t="n"/>
      <c r="C4" s="509" t="n"/>
      <c r="D4" s="509" t="n"/>
      <c r="E4" s="72" t="inlineStr">
        <is>
          <t>Thu</t>
        </is>
      </c>
      <c r="F4" s="72" t="inlineStr">
        <is>
          <t>Fri</t>
        </is>
      </c>
      <c r="G4" s="72" t="inlineStr">
        <is>
          <t>Sat</t>
        </is>
      </c>
      <c r="H4" s="72" t="inlineStr">
        <is>
          <t>Sun</t>
        </is>
      </c>
      <c r="I4" s="72" t="inlineStr">
        <is>
          <t>Mon</t>
        </is>
      </c>
      <c r="J4" s="72" t="inlineStr">
        <is>
          <t>Tue</t>
        </is>
      </c>
      <c r="K4" s="72" t="inlineStr">
        <is>
          <t>Wed</t>
        </is>
      </c>
      <c r="L4" s="72" t="inlineStr">
        <is>
          <t>Thu</t>
        </is>
      </c>
      <c r="M4" s="72" t="inlineStr">
        <is>
          <t>Fri</t>
        </is>
      </c>
      <c r="N4" s="72" t="inlineStr">
        <is>
          <t>Sat</t>
        </is>
      </c>
      <c r="O4" s="72" t="inlineStr">
        <is>
          <t>Sun</t>
        </is>
      </c>
      <c r="P4" s="72" t="inlineStr">
        <is>
          <t>Mon</t>
        </is>
      </c>
      <c r="Q4" s="72" t="inlineStr">
        <is>
          <t>Tue</t>
        </is>
      </c>
      <c r="R4" s="72" t="inlineStr">
        <is>
          <t>Wed</t>
        </is>
      </c>
      <c r="S4" s="72" t="inlineStr">
        <is>
          <t>Thu</t>
        </is>
      </c>
      <c r="T4" s="72" t="inlineStr">
        <is>
          <t>Fri</t>
        </is>
      </c>
      <c r="U4" s="72" t="inlineStr">
        <is>
          <t>Sat</t>
        </is>
      </c>
      <c r="V4" s="72" t="inlineStr">
        <is>
          <t>Sun</t>
        </is>
      </c>
      <c r="W4" s="72" t="inlineStr">
        <is>
          <t>Mon</t>
        </is>
      </c>
      <c r="X4" s="72" t="inlineStr">
        <is>
          <t>Tue</t>
        </is>
      </c>
      <c r="Y4" s="72" t="inlineStr">
        <is>
          <t>Wed</t>
        </is>
      </c>
      <c r="Z4" s="72" t="inlineStr">
        <is>
          <t>Thu</t>
        </is>
      </c>
      <c r="AA4" s="72" t="inlineStr">
        <is>
          <t>Fri</t>
        </is>
      </c>
      <c r="AB4" s="72" t="inlineStr">
        <is>
          <t>Sat</t>
        </is>
      </c>
      <c r="AC4" s="72" t="inlineStr">
        <is>
          <t>Sun</t>
        </is>
      </c>
      <c r="AD4" s="72" t="inlineStr">
        <is>
          <t>Mon</t>
        </is>
      </c>
      <c r="AE4" s="72" t="inlineStr">
        <is>
          <t>Tue</t>
        </is>
      </c>
      <c r="AF4" s="72" t="inlineStr">
        <is>
          <t>Wed</t>
        </is>
      </c>
      <c r="AG4" s="72" t="inlineStr">
        <is>
          <t>Thu</t>
        </is>
      </c>
      <c r="AH4" s="72" t="inlineStr">
        <is>
          <t>Fri</t>
        </is>
      </c>
      <c r="AI4" s="509" t="n"/>
    </row>
    <row r="5" ht="13" customHeight="1" s="488">
      <c r="A5" s="509" t="n"/>
      <c r="B5" s="509" t="n"/>
      <c r="C5" s="509" t="n"/>
      <c r="D5" s="509" t="n"/>
      <c r="E5" s="72" t="inlineStr">
        <is>
          <t>Time</t>
        </is>
      </c>
      <c r="F5" s="72" t="inlineStr">
        <is>
          <t>Time</t>
        </is>
      </c>
      <c r="G5" s="72" t="inlineStr">
        <is>
          <t>Time</t>
        </is>
      </c>
      <c r="H5" s="72" t="inlineStr">
        <is>
          <t>Time</t>
        </is>
      </c>
      <c r="I5" s="72" t="inlineStr">
        <is>
          <t>Time</t>
        </is>
      </c>
      <c r="J5" s="72" t="inlineStr">
        <is>
          <t>Time</t>
        </is>
      </c>
      <c r="K5" s="72" t="inlineStr">
        <is>
          <t>Time</t>
        </is>
      </c>
      <c r="L5" s="72" t="inlineStr">
        <is>
          <t>Time</t>
        </is>
      </c>
      <c r="M5" s="72" t="inlineStr">
        <is>
          <t>Time</t>
        </is>
      </c>
      <c r="N5" s="72" t="inlineStr">
        <is>
          <t>Time</t>
        </is>
      </c>
      <c r="O5" s="72" t="inlineStr">
        <is>
          <t>Time</t>
        </is>
      </c>
      <c r="P5" s="72" t="inlineStr">
        <is>
          <t>Time</t>
        </is>
      </c>
      <c r="Q5" s="72" t="inlineStr">
        <is>
          <t>Time</t>
        </is>
      </c>
      <c r="R5" s="72" t="inlineStr">
        <is>
          <t>Time</t>
        </is>
      </c>
      <c r="S5" s="72" t="inlineStr">
        <is>
          <t>Time</t>
        </is>
      </c>
      <c r="T5" s="72" t="inlineStr">
        <is>
          <t>Time</t>
        </is>
      </c>
      <c r="U5" s="72" t="inlineStr">
        <is>
          <t>Time</t>
        </is>
      </c>
      <c r="V5" s="72" t="inlineStr">
        <is>
          <t>Time</t>
        </is>
      </c>
      <c r="W5" s="72" t="inlineStr">
        <is>
          <t>Time</t>
        </is>
      </c>
      <c r="X5" s="72" t="inlineStr">
        <is>
          <t>Time</t>
        </is>
      </c>
      <c r="Y5" s="72" t="inlineStr">
        <is>
          <t>Time</t>
        </is>
      </c>
      <c r="Z5" s="72" t="inlineStr">
        <is>
          <t>Time</t>
        </is>
      </c>
      <c r="AA5" s="72" t="inlineStr">
        <is>
          <t>Time</t>
        </is>
      </c>
      <c r="AB5" s="72" t="inlineStr">
        <is>
          <t>Time</t>
        </is>
      </c>
      <c r="AC5" s="72" t="inlineStr">
        <is>
          <t>Time</t>
        </is>
      </c>
      <c r="AD5" s="72" t="inlineStr">
        <is>
          <t>Time</t>
        </is>
      </c>
      <c r="AE5" s="72" t="inlineStr">
        <is>
          <t>Time</t>
        </is>
      </c>
      <c r="AF5" s="72" t="inlineStr">
        <is>
          <t>Time</t>
        </is>
      </c>
      <c r="AG5" s="72" t="inlineStr">
        <is>
          <t>Time</t>
        </is>
      </c>
      <c r="AH5" s="72" t="inlineStr">
        <is>
          <t>Time</t>
        </is>
      </c>
      <c r="AI5" s="509" t="n"/>
    </row>
    <row r="6" ht="13" customHeight="1" s="488">
      <c r="A6" s="510" t="n"/>
      <c r="B6" s="510" t="n"/>
      <c r="C6" s="510" t="n"/>
      <c r="D6" s="510" t="n"/>
      <c r="E6" s="73" t="n">
        <v>0.3333333333333333</v>
      </c>
      <c r="F6" s="73" t="n">
        <v>0.3333333333333333</v>
      </c>
      <c r="G6" s="73" t="n">
        <v>0.3333333333333333</v>
      </c>
      <c r="H6" s="73" t="n">
        <v>0.3333333333333333</v>
      </c>
      <c r="I6" s="73" t="n">
        <v>0.3333333333333333</v>
      </c>
      <c r="J6" s="73" t="n">
        <v>0.3333333333333333</v>
      </c>
      <c r="K6" s="73" t="n">
        <v>0.3333333333333333</v>
      </c>
      <c r="L6" s="73" t="n">
        <v>0.3333333333333333</v>
      </c>
      <c r="M6" s="73" t="n">
        <v>0.3333333333333333</v>
      </c>
      <c r="N6" s="73" t="n">
        <v>0.3333333333333333</v>
      </c>
      <c r="O6" s="73" t="n">
        <v>0.3333333333333333</v>
      </c>
      <c r="P6" s="73" t="n">
        <v>0.3333333333333333</v>
      </c>
      <c r="Q6" s="73" t="n">
        <v>0.3333333333333333</v>
      </c>
      <c r="R6" s="73" t="n">
        <v>0.3333333333333333</v>
      </c>
      <c r="S6" s="73" t="n">
        <v>0.3333333333333333</v>
      </c>
      <c r="T6" s="73" t="n">
        <v>0.3333333333333333</v>
      </c>
      <c r="U6" s="73" t="n">
        <v>0.3333333333333333</v>
      </c>
      <c r="V6" s="73" t="n">
        <v>0.3333333333333333</v>
      </c>
      <c r="W6" s="73" t="n">
        <v>0.3333333333333333</v>
      </c>
      <c r="X6" s="73" t="n">
        <v>0.3333333333333333</v>
      </c>
      <c r="Y6" s="73" t="n">
        <v>0.3333333333333333</v>
      </c>
      <c r="Z6" s="73" t="n">
        <v>0.3333333333333333</v>
      </c>
      <c r="AA6" s="73" t="n">
        <v>0.3333333333333333</v>
      </c>
      <c r="AB6" s="73" t="n">
        <v>0.3333333333333333</v>
      </c>
      <c r="AC6" s="73" t="n">
        <v>0.3333333333333333</v>
      </c>
      <c r="AD6" s="73" t="n">
        <v>0.3333333333333333</v>
      </c>
      <c r="AE6" s="73" t="n">
        <v>0.3333333333333333</v>
      </c>
      <c r="AF6" s="73" t="n">
        <v>0.3333333333333333</v>
      </c>
      <c r="AG6" s="73" t="n">
        <v>0.3333333333333333</v>
      </c>
      <c r="AH6" s="73" t="n">
        <v>0.3333333333333333</v>
      </c>
      <c r="AI6" s="510" t="n"/>
    </row>
    <row r="7" ht="20.15" customHeight="1" s="488">
      <c r="A7" s="54" t="n">
        <v>1</v>
      </c>
      <c r="B7" s="54" t="inlineStr">
        <is>
          <t>3F</t>
        </is>
      </c>
      <c r="C7" s="54" t="inlineStr">
        <is>
          <t>SL No 540430038840 (EB Unit)</t>
        </is>
      </c>
      <c r="D7" s="74" t="n">
        <v>48175</v>
      </c>
      <c r="E7" s="561" t="n">
        <v>48505</v>
      </c>
      <c r="F7" s="561" t="n">
        <v>48730</v>
      </c>
      <c r="G7" s="5" t="n">
        <v>48941</v>
      </c>
      <c r="H7" s="5" t="n">
        <v>49158</v>
      </c>
      <c r="I7" s="561" t="n">
        <v>49424</v>
      </c>
      <c r="J7" s="561" t="n">
        <v>49652</v>
      </c>
      <c r="K7" s="561" t="n">
        <v>49880</v>
      </c>
      <c r="L7" s="561" t="n">
        <v>50103</v>
      </c>
      <c r="M7" s="6" t="n">
        <v>50366</v>
      </c>
      <c r="N7" s="561" t="n">
        <v>50607</v>
      </c>
      <c r="O7" s="561" t="n">
        <v>50838</v>
      </c>
      <c r="P7" s="561" t="n">
        <v>51097</v>
      </c>
      <c r="Q7" s="6" t="n">
        <v>51289</v>
      </c>
      <c r="R7" s="561" t="n">
        <v>51489</v>
      </c>
      <c r="S7" s="561" t="n">
        <v>51705</v>
      </c>
      <c r="T7" s="561" t="n">
        <v>51968</v>
      </c>
      <c r="U7" s="561" t="n">
        <v>52229</v>
      </c>
      <c r="V7" s="6" t="n">
        <v>52492</v>
      </c>
      <c r="W7" s="561" t="n">
        <v>52750</v>
      </c>
      <c r="X7" s="561" t="n">
        <v>53005</v>
      </c>
      <c r="Y7" s="561" t="n">
        <v>53216</v>
      </c>
      <c r="Z7" s="561" t="n">
        <v>53426</v>
      </c>
      <c r="AA7" s="561" t="n">
        <v>53606</v>
      </c>
      <c r="AB7" s="561" t="n">
        <v>53799</v>
      </c>
      <c r="AC7" s="561" t="n">
        <v>54074</v>
      </c>
      <c r="AD7" s="561" t="n">
        <v>54248</v>
      </c>
      <c r="AE7" s="500" t="n">
        <v>54282</v>
      </c>
      <c r="AF7" s="500" t="n">
        <v>54484</v>
      </c>
      <c r="AG7" s="54" t="n">
        <v>54690</v>
      </c>
      <c r="AH7" s="54" t="n">
        <v>54816</v>
      </c>
      <c r="AI7" s="77">
        <f>AH7-D7</f>
        <v/>
      </c>
      <c r="AJ7" s="78" t="n"/>
    </row>
    <row r="8" ht="20.15" customHeight="1" s="488">
      <c r="A8" s="49" t="n"/>
      <c r="B8" s="49" t="n"/>
      <c r="C8" s="79" t="inlineStr">
        <is>
          <t>DG</t>
        </is>
      </c>
      <c r="D8" s="79" t="n">
        <v>2836</v>
      </c>
      <c r="E8" s="49" t="n">
        <v>2836</v>
      </c>
      <c r="F8" s="49" t="n">
        <v>2881</v>
      </c>
      <c r="G8" s="49" t="n">
        <v>2954</v>
      </c>
      <c r="H8" s="49" t="n">
        <v>2999</v>
      </c>
      <c r="I8" s="49" t="n">
        <v>2999</v>
      </c>
      <c r="J8" s="49" t="n">
        <v>2999</v>
      </c>
      <c r="K8" s="49" t="n">
        <v>2999</v>
      </c>
      <c r="L8" s="49" t="n">
        <v>2999</v>
      </c>
      <c r="M8" s="76" t="n">
        <v>2999</v>
      </c>
      <c r="N8" s="49" t="n">
        <v>3020</v>
      </c>
      <c r="O8" s="49" t="n">
        <v>3047</v>
      </c>
      <c r="P8" s="49" t="n">
        <v>3054</v>
      </c>
      <c r="Q8" s="49" t="n">
        <v>3117</v>
      </c>
      <c r="R8" s="49" t="n">
        <v>3117</v>
      </c>
      <c r="S8" s="49" t="n">
        <v>3117</v>
      </c>
      <c r="T8" s="49" t="n">
        <v>3117</v>
      </c>
      <c r="U8" s="49" t="n">
        <v>3117</v>
      </c>
      <c r="V8" s="49" t="n">
        <v>3117</v>
      </c>
      <c r="W8" s="49" t="n">
        <v>3117</v>
      </c>
      <c r="X8" s="49" t="n">
        <v>3117</v>
      </c>
      <c r="Y8" s="49" t="n">
        <v>3117</v>
      </c>
      <c r="Z8" s="49" t="n">
        <v>3117</v>
      </c>
      <c r="AA8" s="49" t="n">
        <v>3203</v>
      </c>
      <c r="AB8" s="49" t="n">
        <v>3217</v>
      </c>
      <c r="AC8" s="49" t="n">
        <v>3276</v>
      </c>
      <c r="AD8" s="49" t="n">
        <v>3357</v>
      </c>
      <c r="AE8" s="49" t="n">
        <v>3571</v>
      </c>
      <c r="AF8" s="49" t="n">
        <v>3571</v>
      </c>
      <c r="AG8" s="49" t="n">
        <v>3578</v>
      </c>
      <c r="AH8" s="49" t="n">
        <v>3578</v>
      </c>
      <c r="AI8" s="77">
        <f>AH8-D8</f>
        <v/>
      </c>
      <c r="AJ8" s="78" t="n"/>
    </row>
    <row r="9" ht="20.15" customHeight="1" s="488">
      <c r="A9" s="500" t="n">
        <v>2</v>
      </c>
      <c r="B9" s="500" t="inlineStr">
        <is>
          <t>3F</t>
        </is>
      </c>
      <c r="C9" s="500" t="inlineStr">
        <is>
          <t>SL No 540430038845 (EB Unit)</t>
        </is>
      </c>
      <c r="D9" s="529" t="n">
        <v>1956</v>
      </c>
      <c r="E9" s="500" t="n">
        <v>1956</v>
      </c>
      <c r="F9" s="500" t="n">
        <v>1956</v>
      </c>
      <c r="G9" s="500" t="n">
        <v>1956</v>
      </c>
      <c r="H9" s="500" t="n">
        <v>1956</v>
      </c>
      <c r="I9" s="500" t="n">
        <v>1956</v>
      </c>
      <c r="J9" s="500" t="n">
        <v>1956</v>
      </c>
      <c r="K9" s="500" t="n">
        <v>1956</v>
      </c>
      <c r="L9" s="500" t="n">
        <v>1956</v>
      </c>
      <c r="M9" s="500" t="n">
        <v>1956</v>
      </c>
      <c r="N9" s="500" t="n">
        <v>1956</v>
      </c>
      <c r="O9" s="500" t="n">
        <v>1956</v>
      </c>
      <c r="P9" s="500" t="n">
        <v>1956</v>
      </c>
      <c r="Q9" s="500" t="n">
        <v>1956</v>
      </c>
      <c r="R9" s="500" t="n">
        <v>1956</v>
      </c>
      <c r="S9" s="500" t="n">
        <v>1956</v>
      </c>
      <c r="T9" s="500" t="n">
        <v>1956</v>
      </c>
      <c r="U9" s="500" t="n">
        <v>1956</v>
      </c>
      <c r="V9" s="500" t="n">
        <v>1956</v>
      </c>
      <c r="W9" s="500" t="n">
        <v>1956</v>
      </c>
      <c r="X9" s="500" t="n">
        <v>1956</v>
      </c>
      <c r="Y9" s="500" t="n">
        <v>1956</v>
      </c>
      <c r="Z9" s="500" t="n">
        <v>1956</v>
      </c>
      <c r="AA9" s="500" t="n">
        <v>1956</v>
      </c>
      <c r="AB9" s="500" t="n">
        <v>1956</v>
      </c>
      <c r="AC9" s="500" t="n">
        <v>1956</v>
      </c>
      <c r="AD9" s="500" t="n">
        <v>1956</v>
      </c>
      <c r="AE9" s="500" t="n">
        <v>1956</v>
      </c>
      <c r="AF9" s="500" t="n">
        <v>1956</v>
      </c>
      <c r="AG9" s="500" t="n">
        <v>1956</v>
      </c>
      <c r="AH9" s="500" t="n">
        <v>1956</v>
      </c>
      <c r="AI9" s="77">
        <f>AH9-D9</f>
        <v/>
      </c>
    </row>
    <row r="10" ht="20.15" customHeight="1" s="488">
      <c r="A10" s="500" t="n"/>
      <c r="B10" s="500" t="n"/>
      <c r="C10" s="79" t="inlineStr">
        <is>
          <t>DG</t>
        </is>
      </c>
      <c r="D10" s="529" t="n">
        <v>28.6</v>
      </c>
      <c r="E10" s="500" t="n">
        <v>28.6</v>
      </c>
      <c r="F10" s="500" t="n">
        <v>28.6</v>
      </c>
      <c r="G10" s="500" t="n">
        <v>28.6</v>
      </c>
      <c r="H10" s="500" t="n">
        <v>28.6</v>
      </c>
      <c r="I10" s="500" t="n">
        <v>28.6</v>
      </c>
      <c r="J10" s="500" t="n">
        <v>28.6</v>
      </c>
      <c r="K10" s="500" t="n">
        <v>28.6</v>
      </c>
      <c r="L10" s="500" t="n">
        <v>28.6</v>
      </c>
      <c r="M10" s="500" t="n">
        <v>28.6</v>
      </c>
      <c r="N10" s="500" t="n">
        <v>28.6</v>
      </c>
      <c r="O10" s="500" t="n">
        <v>28.6</v>
      </c>
      <c r="P10" s="500" t="n">
        <v>28.6</v>
      </c>
      <c r="Q10" s="500" t="n">
        <v>28.6</v>
      </c>
      <c r="R10" s="500" t="n">
        <v>28.6</v>
      </c>
      <c r="S10" s="500" t="n">
        <v>28.6</v>
      </c>
      <c r="T10" s="500" t="n">
        <v>28.6</v>
      </c>
      <c r="U10" s="500" t="n">
        <v>28.6</v>
      </c>
      <c r="V10" s="500" t="n">
        <v>28.6</v>
      </c>
      <c r="W10" s="500" t="n">
        <v>28.6</v>
      </c>
      <c r="X10" s="500" t="n">
        <v>28.6</v>
      </c>
      <c r="Y10" s="500" t="n">
        <v>28.6</v>
      </c>
      <c r="Z10" s="500" t="n">
        <v>28.6</v>
      </c>
      <c r="AA10" s="500" t="n">
        <v>28.6</v>
      </c>
      <c r="AB10" s="500" t="n">
        <v>28.6</v>
      </c>
      <c r="AC10" s="500" t="n">
        <v>28.6</v>
      </c>
      <c r="AD10" s="500" t="n">
        <v>28.6</v>
      </c>
      <c r="AE10" s="500" t="n">
        <v>28.6</v>
      </c>
      <c r="AF10" s="500" t="n">
        <v>28.6</v>
      </c>
      <c r="AG10" s="500" t="n">
        <v>28.6</v>
      </c>
      <c r="AH10" s="500" t="n">
        <v>28.6</v>
      </c>
      <c r="AI10" s="77">
        <f>AH10-D10</f>
        <v/>
      </c>
    </row>
    <row r="11" ht="20.15" customHeight="1" s="488">
      <c r="A11" s="500" t="n">
        <v>3</v>
      </c>
      <c r="B11" s="500" t="inlineStr">
        <is>
          <t>3F</t>
        </is>
      </c>
      <c r="C11" s="500" t="inlineStr">
        <is>
          <t>SL No 540430038844 (EB Unit)</t>
        </is>
      </c>
      <c r="D11" s="79" t="n">
        <v>73860</v>
      </c>
      <c r="E11" s="561" t="n">
        <v>74300</v>
      </c>
      <c r="F11" s="561" t="n">
        <v>74623</v>
      </c>
      <c r="G11" s="561" t="n">
        <v>74921</v>
      </c>
      <c r="H11" s="561" t="n">
        <v>75233</v>
      </c>
      <c r="I11" s="561" t="n">
        <v>75614</v>
      </c>
      <c r="J11" s="561" t="n">
        <v>75928</v>
      </c>
      <c r="K11" s="561" t="n">
        <v>76238</v>
      </c>
      <c r="L11" s="561" t="n">
        <v>76531</v>
      </c>
      <c r="M11" s="561" t="n">
        <v>76911</v>
      </c>
      <c r="N11" s="561" t="n">
        <v>77256</v>
      </c>
      <c r="O11" s="561" t="n">
        <v>77586</v>
      </c>
      <c r="P11" s="561" t="n">
        <v>77954</v>
      </c>
      <c r="Q11" s="561" t="n">
        <v>78218</v>
      </c>
      <c r="R11" s="561" t="n">
        <v>78483</v>
      </c>
      <c r="S11" s="561" t="n">
        <v>78768</v>
      </c>
      <c r="T11" s="561" t="n">
        <v>79146</v>
      </c>
      <c r="U11" s="561" t="n">
        <v>79519</v>
      </c>
      <c r="V11" s="561" t="n">
        <v>79895</v>
      </c>
      <c r="W11" s="561" t="n">
        <v>80265</v>
      </c>
      <c r="X11" s="561" t="n">
        <v>80626</v>
      </c>
      <c r="Y11" s="561" t="n">
        <v>80901</v>
      </c>
      <c r="Z11" s="561" t="n">
        <v>81175</v>
      </c>
      <c r="AA11" s="561" t="n">
        <v>81421</v>
      </c>
      <c r="AB11" s="561" t="n">
        <v>81691</v>
      </c>
      <c r="AC11" s="561" t="n">
        <v>82088</v>
      </c>
      <c r="AD11" s="561" t="n">
        <v>82333</v>
      </c>
      <c r="AE11" s="49" t="n">
        <v>82378</v>
      </c>
      <c r="AF11" s="49" t="n">
        <v>82678</v>
      </c>
      <c r="AG11" s="49" t="n">
        <v>82910</v>
      </c>
      <c r="AH11" s="49" t="n">
        <v>83064</v>
      </c>
      <c r="AI11" s="77">
        <f>AH11-D11</f>
        <v/>
      </c>
    </row>
    <row r="12" ht="20.15" customHeight="1" s="488">
      <c r="A12" s="500" t="n"/>
      <c r="B12" s="500" t="n"/>
      <c r="C12" s="79" t="inlineStr">
        <is>
          <t>DG</t>
        </is>
      </c>
      <c r="D12" s="529" t="n">
        <v>4287</v>
      </c>
      <c r="E12" s="500" t="n">
        <v>4287</v>
      </c>
      <c r="F12" s="500" t="n">
        <v>4359</v>
      </c>
      <c r="G12" s="500" t="n">
        <v>4475</v>
      </c>
      <c r="H12" s="500" t="n">
        <v>4541</v>
      </c>
      <c r="I12" s="500" t="n">
        <v>4541</v>
      </c>
      <c r="J12" s="500" t="n">
        <v>4541</v>
      </c>
      <c r="K12" s="500" t="n">
        <v>4541</v>
      </c>
      <c r="L12" s="500" t="n">
        <v>4541</v>
      </c>
      <c r="M12" s="500" t="n">
        <v>4541</v>
      </c>
      <c r="N12" s="500" t="n">
        <v>4575</v>
      </c>
      <c r="O12" s="500" t="n">
        <v>4617</v>
      </c>
      <c r="P12" s="500" t="n">
        <v>4626</v>
      </c>
      <c r="Q12" s="500" t="n">
        <v>4717</v>
      </c>
      <c r="R12" s="500" t="n">
        <v>4717</v>
      </c>
      <c r="S12" s="500" t="n">
        <v>4717</v>
      </c>
      <c r="T12" s="500" t="n">
        <v>4717</v>
      </c>
      <c r="U12" s="500" t="n">
        <v>4717</v>
      </c>
      <c r="V12" s="500" t="n">
        <v>4717</v>
      </c>
      <c r="W12" s="500" t="n">
        <v>4717</v>
      </c>
      <c r="X12" s="500" t="n">
        <v>4717</v>
      </c>
      <c r="Y12" s="500" t="n">
        <v>4717</v>
      </c>
      <c r="Z12" s="500" t="n">
        <v>4717</v>
      </c>
      <c r="AA12" s="500" t="n">
        <v>4853</v>
      </c>
      <c r="AB12" s="500" t="n">
        <v>4958</v>
      </c>
      <c r="AC12" s="500" t="n">
        <v>4964</v>
      </c>
      <c r="AD12" s="500" t="n">
        <v>5086</v>
      </c>
      <c r="AE12" s="500" t="n">
        <v>5387</v>
      </c>
      <c r="AF12" s="500" t="n">
        <v>5387</v>
      </c>
      <c r="AG12" s="500" t="n">
        <v>5395</v>
      </c>
      <c r="AH12" s="500" t="n">
        <v>5395</v>
      </c>
      <c r="AI12" s="77">
        <f>AH12-D12</f>
        <v/>
      </c>
    </row>
    <row r="13" ht="20.15" customHeight="1" s="488">
      <c r="A13" s="500" t="n">
        <v>4</v>
      </c>
      <c r="B13" s="500" t="inlineStr">
        <is>
          <t>3F</t>
        </is>
      </c>
      <c r="C13" s="500" t="inlineStr">
        <is>
          <t>SL No 540430038821 (EB Unit)</t>
        </is>
      </c>
      <c r="D13" s="529" t="n">
        <v>0</v>
      </c>
      <c r="E13" s="500" t="n">
        <v>0</v>
      </c>
      <c r="F13" s="500" t="n">
        <v>0</v>
      </c>
      <c r="G13" s="500" t="n">
        <v>0</v>
      </c>
      <c r="H13" s="500" t="n">
        <v>0</v>
      </c>
      <c r="I13" s="500" t="n">
        <v>0</v>
      </c>
      <c r="J13" s="500" t="n">
        <v>0</v>
      </c>
      <c r="K13" s="500" t="n">
        <v>0</v>
      </c>
      <c r="L13" s="500" t="n">
        <v>0</v>
      </c>
      <c r="M13" s="500" t="n">
        <v>0</v>
      </c>
      <c r="N13" s="500" t="n">
        <v>0</v>
      </c>
      <c r="O13" s="500" t="n">
        <v>0</v>
      </c>
      <c r="P13" s="500" t="n">
        <v>0</v>
      </c>
      <c r="Q13" s="500" t="n">
        <v>0</v>
      </c>
      <c r="R13" s="500" t="n">
        <v>0</v>
      </c>
      <c r="S13" s="500" t="n">
        <v>0</v>
      </c>
      <c r="T13" s="500" t="n">
        <v>0</v>
      </c>
      <c r="U13" s="500" t="n">
        <v>0</v>
      </c>
      <c r="V13" s="500" t="n">
        <v>0</v>
      </c>
      <c r="W13" s="500" t="n">
        <v>0</v>
      </c>
      <c r="X13" s="500" t="n">
        <v>0</v>
      </c>
      <c r="Y13" s="500" t="n">
        <v>0</v>
      </c>
      <c r="Z13" s="500" t="n">
        <v>0</v>
      </c>
      <c r="AA13" s="500" t="n">
        <v>0</v>
      </c>
      <c r="AB13" s="500" t="n">
        <v>0</v>
      </c>
      <c r="AC13" s="500" t="n">
        <v>0</v>
      </c>
      <c r="AD13" s="500" t="n">
        <v>0</v>
      </c>
      <c r="AE13" s="500" t="n">
        <v>0</v>
      </c>
      <c r="AF13" s="500" t="n">
        <v>0</v>
      </c>
      <c r="AG13" s="500" t="n">
        <v>0</v>
      </c>
      <c r="AH13" s="500" t="n">
        <v>0</v>
      </c>
      <c r="AI13" s="77">
        <f>AH13-D13</f>
        <v/>
      </c>
    </row>
    <row r="14" ht="20.15" customHeight="1" s="488">
      <c r="A14" s="500" t="n"/>
      <c r="B14" s="500" t="n"/>
      <c r="C14" s="79" t="inlineStr">
        <is>
          <t>DG</t>
        </is>
      </c>
      <c r="D14" s="529" t="n">
        <v>0</v>
      </c>
      <c r="E14" s="500" t="n">
        <v>0</v>
      </c>
      <c r="F14" s="500" t="n">
        <v>0</v>
      </c>
      <c r="G14" s="500" t="n">
        <v>0</v>
      </c>
      <c r="H14" s="500" t="n">
        <v>0</v>
      </c>
      <c r="I14" s="500" t="n">
        <v>0</v>
      </c>
      <c r="J14" s="500" t="n">
        <v>0</v>
      </c>
      <c r="K14" s="500" t="n">
        <v>0</v>
      </c>
      <c r="L14" s="500" t="n">
        <v>0</v>
      </c>
      <c r="M14" s="500" t="n">
        <v>0</v>
      </c>
      <c r="N14" s="500" t="n">
        <v>0</v>
      </c>
      <c r="O14" s="500" t="n">
        <v>0</v>
      </c>
      <c r="P14" s="500" t="n">
        <v>0</v>
      </c>
      <c r="Q14" s="500" t="n">
        <v>0</v>
      </c>
      <c r="R14" s="500" t="n">
        <v>0</v>
      </c>
      <c r="S14" s="500" t="n">
        <v>0</v>
      </c>
      <c r="T14" s="500" t="n">
        <v>0</v>
      </c>
      <c r="U14" s="500" t="n">
        <v>0</v>
      </c>
      <c r="V14" s="500" t="n">
        <v>0</v>
      </c>
      <c r="W14" s="500" t="n">
        <v>0</v>
      </c>
      <c r="X14" s="500" t="n">
        <v>0</v>
      </c>
      <c r="Y14" s="500" t="n">
        <v>0</v>
      </c>
      <c r="Z14" s="500" t="n">
        <v>0</v>
      </c>
      <c r="AA14" s="500" t="n">
        <v>0</v>
      </c>
      <c r="AB14" s="500" t="n">
        <v>0</v>
      </c>
      <c r="AC14" s="500" t="n">
        <v>0</v>
      </c>
      <c r="AD14" s="500" t="n">
        <v>0</v>
      </c>
      <c r="AE14" s="500" t="n">
        <v>0</v>
      </c>
      <c r="AF14" s="500" t="n">
        <v>0</v>
      </c>
      <c r="AG14" s="500" t="n">
        <v>0</v>
      </c>
      <c r="AH14" s="500" t="n">
        <v>0</v>
      </c>
      <c r="AI14" s="77">
        <f>AH14-D14</f>
        <v/>
      </c>
    </row>
    <row r="15" ht="20.15" customHeight="1" s="488">
      <c r="A15" s="500" t="n">
        <v>5</v>
      </c>
      <c r="B15" s="500" t="inlineStr">
        <is>
          <t>3F</t>
        </is>
      </c>
      <c r="C15" s="500" t="inlineStr">
        <is>
          <t>SL No 540430038849 (EB Unit)</t>
        </is>
      </c>
      <c r="D15" s="79" t="n">
        <v>29957</v>
      </c>
      <c r="E15" s="561" t="n">
        <v>30123</v>
      </c>
      <c r="F15" s="561" t="n">
        <v>30302</v>
      </c>
      <c r="G15" s="5" t="n">
        <v>30436</v>
      </c>
      <c r="H15" s="5" t="n">
        <v>30592</v>
      </c>
      <c r="I15" s="561" t="n">
        <v>30793</v>
      </c>
      <c r="J15" s="561" t="n">
        <v>30965</v>
      </c>
      <c r="K15" s="561" t="n">
        <v>31071</v>
      </c>
      <c r="L15" s="561" t="n">
        <v>31177</v>
      </c>
      <c r="M15" s="561" t="n">
        <v>31366</v>
      </c>
      <c r="N15" s="561" t="n">
        <v>31545</v>
      </c>
      <c r="O15" s="561" t="n">
        <v>31709</v>
      </c>
      <c r="P15" s="561" t="n">
        <v>31910</v>
      </c>
      <c r="Q15" s="561" t="n">
        <v>32050</v>
      </c>
      <c r="R15" s="561" t="n">
        <v>32153</v>
      </c>
      <c r="S15" s="561" t="n">
        <v>32258</v>
      </c>
      <c r="T15" s="561" t="n">
        <v>32466</v>
      </c>
      <c r="U15" s="561" t="n">
        <v>32668</v>
      </c>
      <c r="V15" s="561" t="n">
        <v>32861</v>
      </c>
      <c r="W15" s="561" t="n">
        <v>33057</v>
      </c>
      <c r="X15" s="561" t="n">
        <v>33248</v>
      </c>
      <c r="Y15" s="33" t="n">
        <v>33351</v>
      </c>
      <c r="Z15" s="561" t="n">
        <v>33461</v>
      </c>
      <c r="AA15" s="561" t="n">
        <v>33595</v>
      </c>
      <c r="AB15" s="561" t="n">
        <v>33738</v>
      </c>
      <c r="AC15" s="561" t="n">
        <v>33943</v>
      </c>
      <c r="AD15" s="561" t="n">
        <v>34068</v>
      </c>
      <c r="AE15" s="49" t="n">
        <v>34088</v>
      </c>
      <c r="AF15" s="49" t="n">
        <v>34213</v>
      </c>
      <c r="AG15" s="49" t="n">
        <v>34330</v>
      </c>
      <c r="AH15" s="49" t="n">
        <v>34422</v>
      </c>
      <c r="AI15" s="77">
        <f>AH15-D15</f>
        <v/>
      </c>
    </row>
    <row r="16" ht="20.15" customHeight="1" s="488">
      <c r="A16" s="500" t="n"/>
      <c r="B16" s="500" t="n"/>
      <c r="C16" s="79" t="inlineStr">
        <is>
          <t>DG</t>
        </is>
      </c>
      <c r="D16" s="529" t="n">
        <v>2151</v>
      </c>
      <c r="E16" s="500" t="n">
        <v>2151</v>
      </c>
      <c r="F16" s="500" t="n">
        <v>2190</v>
      </c>
      <c r="G16" s="500" t="n">
        <v>2241</v>
      </c>
      <c r="H16" s="500" t="n">
        <v>2281</v>
      </c>
      <c r="I16" s="500" t="n">
        <v>2281</v>
      </c>
      <c r="J16" s="500" t="n">
        <v>2281</v>
      </c>
      <c r="K16" s="500" t="n">
        <v>2281</v>
      </c>
      <c r="L16" s="500" t="n">
        <v>2281</v>
      </c>
      <c r="M16" s="500" t="n">
        <v>2281</v>
      </c>
      <c r="N16" s="500" t="n">
        <v>2295</v>
      </c>
      <c r="O16" s="500" t="n">
        <v>2317</v>
      </c>
      <c r="P16" s="500" t="n">
        <v>2321</v>
      </c>
      <c r="Q16" s="500" t="n">
        <v>2369</v>
      </c>
      <c r="R16" s="500" t="n">
        <v>2369</v>
      </c>
      <c r="S16" s="500" t="n">
        <v>2369</v>
      </c>
      <c r="T16" s="500" t="n">
        <v>2369</v>
      </c>
      <c r="U16" s="500" t="n">
        <v>2369</v>
      </c>
      <c r="V16" s="500" t="n">
        <v>2369</v>
      </c>
      <c r="W16" s="500" t="n">
        <v>2369</v>
      </c>
      <c r="X16" s="500" t="n">
        <v>2369</v>
      </c>
      <c r="Y16" s="500" t="n">
        <v>2369</v>
      </c>
      <c r="Z16" s="500" t="n">
        <v>2369</v>
      </c>
      <c r="AA16" s="500" t="n">
        <v>2446</v>
      </c>
      <c r="AB16" s="81" t="n">
        <v>2508</v>
      </c>
      <c r="AC16" s="500" t="n">
        <v>2511</v>
      </c>
      <c r="AD16" s="500" t="n">
        <v>2582</v>
      </c>
      <c r="AE16" s="500" t="n">
        <v>2747</v>
      </c>
      <c r="AF16" s="500" t="n">
        <v>2747</v>
      </c>
      <c r="AG16" s="500" t="n">
        <v>2751</v>
      </c>
      <c r="AH16" s="500" t="n">
        <v>2751</v>
      </c>
      <c r="AI16" s="77">
        <f>AH16-D16</f>
        <v/>
      </c>
    </row>
    <row r="17" ht="20.15" customHeight="1" s="488">
      <c r="A17" s="500" t="n">
        <v>6</v>
      </c>
      <c r="B17" s="500" t="inlineStr">
        <is>
          <t>3F</t>
        </is>
      </c>
      <c r="C17" s="500" t="inlineStr">
        <is>
          <t>SL No 540430038646 (EB Unit)</t>
        </is>
      </c>
      <c r="D17" s="79" t="n">
        <v>42580</v>
      </c>
      <c r="E17" s="561" t="n">
        <v>42724</v>
      </c>
      <c r="F17" s="561" t="n">
        <v>42926</v>
      </c>
      <c r="G17" s="561" t="n">
        <v>43086</v>
      </c>
      <c r="H17" s="561" t="n">
        <v>43286</v>
      </c>
      <c r="I17" s="561" t="n">
        <v>43496</v>
      </c>
      <c r="J17" s="561" t="n">
        <v>43701</v>
      </c>
      <c r="K17" s="561" t="n">
        <v>43833</v>
      </c>
      <c r="L17" s="561" t="n">
        <v>43955</v>
      </c>
      <c r="M17" s="561" t="n">
        <v>44197</v>
      </c>
      <c r="N17" s="561" t="n">
        <v>44392</v>
      </c>
      <c r="O17" s="561" t="n">
        <v>44579</v>
      </c>
      <c r="P17" s="561" t="n">
        <v>44782</v>
      </c>
      <c r="Q17" s="561" t="n">
        <v>44923</v>
      </c>
      <c r="R17" s="561" t="n">
        <v>45012</v>
      </c>
      <c r="S17" s="561" t="n">
        <v>45124</v>
      </c>
      <c r="T17" s="561" t="n">
        <v>45343</v>
      </c>
      <c r="U17" s="561" t="n">
        <v>45571</v>
      </c>
      <c r="V17" s="561" t="n">
        <v>45785</v>
      </c>
      <c r="W17" s="561" t="n">
        <v>46014</v>
      </c>
      <c r="X17" s="561" t="n">
        <v>46211</v>
      </c>
      <c r="Y17" s="561" t="n">
        <v>46331</v>
      </c>
      <c r="Z17" s="561" t="n">
        <v>46443</v>
      </c>
      <c r="AA17" s="561" t="n">
        <v>46596</v>
      </c>
      <c r="AB17" s="561" t="n">
        <v>46748</v>
      </c>
      <c r="AC17" s="561" t="n">
        <v>47010</v>
      </c>
      <c r="AD17" s="561" t="n">
        <v>47157</v>
      </c>
      <c r="AE17" s="500" t="n">
        <v>47173</v>
      </c>
      <c r="AF17" s="49" t="n">
        <v>47272</v>
      </c>
      <c r="AG17" s="500" t="n">
        <v>47384</v>
      </c>
      <c r="AH17" s="49" t="n">
        <v>47463</v>
      </c>
      <c r="AI17" s="77">
        <f>AH17-D17</f>
        <v/>
      </c>
    </row>
    <row r="18" ht="20.15" customHeight="1" s="488">
      <c r="A18" s="500" t="n"/>
      <c r="B18" s="500" t="n"/>
      <c r="C18" s="79" t="inlineStr">
        <is>
          <t>DG</t>
        </is>
      </c>
      <c r="D18" s="104" t="n">
        <v>2930</v>
      </c>
      <c r="E18" s="500" t="n">
        <v>2930</v>
      </c>
      <c r="F18" s="500" t="n">
        <v>2972</v>
      </c>
      <c r="G18" s="500" t="n">
        <v>3027</v>
      </c>
      <c r="H18" s="500" t="n">
        <v>3072</v>
      </c>
      <c r="I18" s="500" t="n">
        <v>3072</v>
      </c>
      <c r="J18" s="500" t="n">
        <v>3072</v>
      </c>
      <c r="K18" s="500" t="n">
        <v>3072</v>
      </c>
      <c r="L18" s="500" t="n">
        <v>3072</v>
      </c>
      <c r="M18" s="500" t="n">
        <v>3072</v>
      </c>
      <c r="N18" s="500" t="n">
        <v>3093</v>
      </c>
      <c r="O18" s="500" t="n">
        <v>3126</v>
      </c>
      <c r="P18" s="500" t="n">
        <v>3129</v>
      </c>
      <c r="Q18" s="500" t="n">
        <v>3185</v>
      </c>
      <c r="R18" s="500" t="n">
        <v>3185</v>
      </c>
      <c r="S18" s="500" t="n">
        <v>3185</v>
      </c>
      <c r="T18" s="500" t="n">
        <v>3185</v>
      </c>
      <c r="U18" s="500" t="n">
        <v>3185</v>
      </c>
      <c r="V18" s="500" t="n">
        <v>3185</v>
      </c>
      <c r="W18" s="500" t="n">
        <v>3185</v>
      </c>
      <c r="X18" s="500" t="n">
        <v>3185</v>
      </c>
      <c r="Y18" s="500" t="n">
        <v>3185</v>
      </c>
      <c r="Z18" s="500" t="n">
        <v>3185</v>
      </c>
      <c r="AA18" s="500" t="n">
        <v>3285</v>
      </c>
      <c r="AB18" s="500" t="n">
        <v>3326</v>
      </c>
      <c r="AC18" s="54" t="n">
        <v>3364</v>
      </c>
      <c r="AD18" s="68" t="n">
        <v>3454</v>
      </c>
      <c r="AE18" s="68" t="n">
        <v>3661</v>
      </c>
      <c r="AF18" s="68" t="n">
        <v>3661</v>
      </c>
      <c r="AG18" s="68" t="n">
        <v>3663</v>
      </c>
      <c r="AH18" s="68" t="n">
        <v>3663</v>
      </c>
      <c r="AI18" s="77">
        <f>AH18-D18</f>
        <v/>
      </c>
    </row>
    <row r="19" ht="20.15" customHeight="1" s="488">
      <c r="A19" s="500" t="n">
        <v>7</v>
      </c>
      <c r="B19" s="500" t="inlineStr">
        <is>
          <t>3F</t>
        </is>
      </c>
      <c r="C19" s="500" t="inlineStr">
        <is>
          <t>SL No 540430038843 (EB Unit)</t>
        </is>
      </c>
      <c r="D19" s="79" t="n">
        <v>145691</v>
      </c>
      <c r="E19" s="561" t="n">
        <v>146683</v>
      </c>
      <c r="F19" s="561" t="n">
        <v>147335</v>
      </c>
      <c r="G19" s="5" t="n">
        <v>147965</v>
      </c>
      <c r="H19" s="5" t="n">
        <v>148490</v>
      </c>
      <c r="I19" s="561" t="n">
        <v>149183</v>
      </c>
      <c r="J19" s="561" t="n">
        <v>149830</v>
      </c>
      <c r="K19" s="561" t="n">
        <v>150432</v>
      </c>
      <c r="L19" s="561" t="n">
        <v>150891</v>
      </c>
      <c r="M19" s="561" t="n">
        <v>151614</v>
      </c>
      <c r="N19" s="561" t="n">
        <v>152256</v>
      </c>
      <c r="O19" s="561" t="n">
        <v>152879</v>
      </c>
      <c r="P19" s="561" t="n">
        <v>153572</v>
      </c>
      <c r="Q19" s="561" t="n">
        <v>154141</v>
      </c>
      <c r="R19" s="5" t="n">
        <v>154584</v>
      </c>
      <c r="S19" s="561" t="n">
        <v>154925</v>
      </c>
      <c r="T19" s="561" t="n">
        <v>155591</v>
      </c>
      <c r="U19" s="561" t="n">
        <v>156230</v>
      </c>
      <c r="V19" s="561" t="n">
        <v>156896</v>
      </c>
      <c r="W19" s="5" t="n">
        <v>157576</v>
      </c>
      <c r="X19" s="561" t="n">
        <v>158236</v>
      </c>
      <c r="Y19" s="561" t="n">
        <v>158666</v>
      </c>
      <c r="Z19" s="561" t="n">
        <v>159019</v>
      </c>
      <c r="AA19" s="33" t="n">
        <v>159471</v>
      </c>
      <c r="AB19" s="561" t="n">
        <v>159967</v>
      </c>
      <c r="AC19" s="561" t="n">
        <v>160659</v>
      </c>
      <c r="AD19" s="561" t="n">
        <v>161087</v>
      </c>
      <c r="AE19" s="49" t="n">
        <v>161182</v>
      </c>
      <c r="AF19" s="49" t="n">
        <v>161595</v>
      </c>
      <c r="AG19" s="49" t="n">
        <v>161927</v>
      </c>
      <c r="AH19" s="49" t="n">
        <v>162234</v>
      </c>
      <c r="AI19" s="77">
        <f>AH19-D19</f>
        <v/>
      </c>
    </row>
    <row r="20" ht="20.15" customHeight="1" s="488">
      <c r="A20" s="500" t="n"/>
      <c r="B20" s="500" t="n"/>
      <c r="C20" s="79" t="inlineStr">
        <is>
          <t>DG</t>
        </is>
      </c>
      <c r="D20" s="529" t="n">
        <v>7987</v>
      </c>
      <c r="E20" s="500" t="n">
        <v>7987</v>
      </c>
      <c r="F20" s="500" t="n">
        <v>8100</v>
      </c>
      <c r="G20" s="500" t="n">
        <v>8282</v>
      </c>
      <c r="H20" s="500" t="n">
        <v>8426</v>
      </c>
      <c r="I20" s="500" t="n">
        <v>8426</v>
      </c>
      <c r="J20" s="500" t="n">
        <v>8426</v>
      </c>
      <c r="K20" s="500" t="n">
        <v>8426</v>
      </c>
      <c r="L20" s="500" t="n">
        <v>8426</v>
      </c>
      <c r="M20" s="500" t="n">
        <v>8426</v>
      </c>
      <c r="N20" s="500" t="n">
        <v>8479</v>
      </c>
      <c r="O20" s="500" t="n">
        <v>8552</v>
      </c>
      <c r="P20" s="500" t="n">
        <v>8577</v>
      </c>
      <c r="Q20" s="500" t="n">
        <v>8717</v>
      </c>
      <c r="R20" s="500" t="n">
        <v>8717</v>
      </c>
      <c r="S20" s="500" t="n">
        <v>8717</v>
      </c>
      <c r="T20" s="500" t="n">
        <v>8717</v>
      </c>
      <c r="U20" s="500" t="n">
        <v>8717</v>
      </c>
      <c r="V20" s="500" t="n">
        <v>8717</v>
      </c>
      <c r="W20" s="500" t="n">
        <v>8717</v>
      </c>
      <c r="X20" s="500" t="n">
        <v>8717</v>
      </c>
      <c r="Y20" s="500" t="n">
        <v>8717</v>
      </c>
      <c r="Z20" s="500" t="n">
        <v>8717</v>
      </c>
      <c r="AA20" s="500" t="n">
        <v>8940</v>
      </c>
      <c r="AB20" s="500" t="n">
        <v>9121</v>
      </c>
      <c r="AC20" s="68" t="n">
        <v>9137</v>
      </c>
      <c r="AD20" s="500" t="n">
        <v>9372</v>
      </c>
      <c r="AE20" s="500" t="n">
        <v>9929</v>
      </c>
      <c r="AF20" s="500" t="n">
        <v>9929</v>
      </c>
      <c r="AG20" s="500" t="n">
        <v>9950</v>
      </c>
      <c r="AH20" s="500" t="n">
        <v>9950</v>
      </c>
      <c r="AI20" s="77">
        <f>AH20-D20</f>
        <v/>
      </c>
    </row>
    <row r="21" ht="20.15" customHeight="1" s="488">
      <c r="A21" s="500" t="n">
        <v>8</v>
      </c>
      <c r="B21" s="500" t="inlineStr">
        <is>
          <t>3F</t>
        </is>
      </c>
      <c r="C21" s="500" t="inlineStr">
        <is>
          <t>SL No 540430038848 (EB Unit)</t>
        </is>
      </c>
      <c r="D21" s="79" t="n">
        <v>31846</v>
      </c>
      <c r="E21" s="561" t="n">
        <v>32184</v>
      </c>
      <c r="F21" s="561" t="n">
        <v>32334</v>
      </c>
      <c r="G21" s="5" t="n">
        <v>32509</v>
      </c>
      <c r="H21" s="5" t="n">
        <v>32592</v>
      </c>
      <c r="I21" s="561" t="n">
        <v>32733</v>
      </c>
      <c r="J21" s="561" t="n">
        <v>32873</v>
      </c>
      <c r="K21" s="561" t="n">
        <v>32992</v>
      </c>
      <c r="L21" s="561" t="n">
        <v>33136</v>
      </c>
      <c r="M21" s="561" t="n">
        <v>33267</v>
      </c>
      <c r="N21" s="561" t="n">
        <v>33409</v>
      </c>
      <c r="O21" s="561" t="n">
        <v>33536</v>
      </c>
      <c r="P21" s="561" t="n">
        <v>33710</v>
      </c>
      <c r="Q21" s="561" t="n">
        <v>33831</v>
      </c>
      <c r="R21" s="561" t="n">
        <v>33963</v>
      </c>
      <c r="S21" s="561" t="n">
        <v>34094</v>
      </c>
      <c r="T21" s="561" t="n">
        <v>34255</v>
      </c>
      <c r="U21" s="561" t="n">
        <v>34381</v>
      </c>
      <c r="V21" s="561" t="n">
        <v>34540</v>
      </c>
      <c r="W21" s="561" t="n">
        <v>34654</v>
      </c>
      <c r="X21" s="561" t="n">
        <v>34814</v>
      </c>
      <c r="Y21" s="561" t="n">
        <v>34934</v>
      </c>
      <c r="Z21" s="561" t="n">
        <v>35090</v>
      </c>
      <c r="AA21" s="561" t="n">
        <v>35196</v>
      </c>
      <c r="AB21" s="561" t="n">
        <v>35337</v>
      </c>
      <c r="AC21" s="561" t="n">
        <v>35445</v>
      </c>
      <c r="AD21" s="561" t="n">
        <v>35559</v>
      </c>
      <c r="AE21" s="49" t="n">
        <v>35594</v>
      </c>
      <c r="AF21" s="49" t="n">
        <v>35738</v>
      </c>
      <c r="AG21" s="49" t="n">
        <v>35851</v>
      </c>
      <c r="AH21" s="49" t="n">
        <v>35970</v>
      </c>
      <c r="AI21" s="77">
        <f>AH21-D21</f>
        <v/>
      </c>
    </row>
    <row r="22" ht="20.15" customHeight="1" s="488">
      <c r="A22" s="500" t="n"/>
      <c r="B22" s="500" t="n"/>
      <c r="C22" s="79" t="inlineStr">
        <is>
          <t>DG</t>
        </is>
      </c>
      <c r="D22" s="529" t="n">
        <v>1584</v>
      </c>
      <c r="E22" s="500" t="n">
        <v>1584</v>
      </c>
      <c r="F22" s="500" t="n">
        <v>1609</v>
      </c>
      <c r="G22" s="500" t="n">
        <v>1651</v>
      </c>
      <c r="H22" s="500" t="n">
        <v>1661</v>
      </c>
      <c r="I22" s="500" t="n">
        <v>1661</v>
      </c>
      <c r="J22" s="500" t="n">
        <v>1661</v>
      </c>
      <c r="K22" s="500" t="n">
        <v>1661</v>
      </c>
      <c r="L22" s="500" t="n">
        <v>1661</v>
      </c>
      <c r="M22" s="500" t="n">
        <v>1661</v>
      </c>
      <c r="N22" s="500" t="n">
        <v>1674</v>
      </c>
      <c r="O22" s="500" t="n">
        <v>1684</v>
      </c>
      <c r="P22" s="500" t="n">
        <v>1686</v>
      </c>
      <c r="Q22" s="500" t="n">
        <v>1707</v>
      </c>
      <c r="R22" s="500" t="n">
        <v>1707</v>
      </c>
      <c r="S22" s="500" t="n">
        <v>1707</v>
      </c>
      <c r="T22" s="500" t="n">
        <v>1707</v>
      </c>
      <c r="U22" s="500" t="n">
        <v>1707</v>
      </c>
      <c r="V22" s="500" t="n">
        <v>1707</v>
      </c>
      <c r="W22" s="500" t="n">
        <v>1707</v>
      </c>
      <c r="X22" s="500" t="n">
        <v>1707</v>
      </c>
      <c r="Y22" s="500" t="n">
        <v>1707</v>
      </c>
      <c r="Z22" s="500" t="n">
        <v>1707</v>
      </c>
      <c r="AA22" s="500" t="n">
        <v>1740</v>
      </c>
      <c r="AB22" s="500" t="n">
        <v>1761</v>
      </c>
      <c r="AC22" s="500" t="n">
        <v>1765</v>
      </c>
      <c r="AD22" s="500" t="n">
        <v>1783</v>
      </c>
      <c r="AE22" s="500" t="n">
        <v>1882</v>
      </c>
      <c r="AF22" s="500" t="n">
        <v>1882</v>
      </c>
      <c r="AG22" s="500" t="n">
        <v>1887</v>
      </c>
      <c r="AH22" s="500" t="n">
        <v>1887</v>
      </c>
      <c r="AI22" s="77">
        <f>AH22-D22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01" t="n"/>
    </row>
    <row r="24" ht="14.5" customHeight="1" s="488">
      <c r="A24" s="500" t="n">
        <v>1</v>
      </c>
      <c r="B24" s="500" t="inlineStr">
        <is>
          <t>3F</t>
        </is>
      </c>
      <c r="C24" s="500" t="inlineStr">
        <is>
          <t>AHU1</t>
        </is>
      </c>
      <c r="D24" s="79" t="n">
        <v>15229</v>
      </c>
      <c r="E24" s="561" t="n">
        <v>15284</v>
      </c>
      <c r="F24" s="561" t="n">
        <v>15385</v>
      </c>
      <c r="G24" s="561" t="n">
        <v>15470</v>
      </c>
      <c r="H24" s="561" t="n">
        <v>15470</v>
      </c>
      <c r="I24" s="561" t="n">
        <v>15638</v>
      </c>
      <c r="J24" s="561" t="n">
        <v>15745</v>
      </c>
      <c r="K24" s="561" t="n">
        <v>15828</v>
      </c>
      <c r="L24" s="561" t="n">
        <v>15828</v>
      </c>
      <c r="M24" s="561" t="n">
        <v>15932</v>
      </c>
      <c r="N24" s="561" t="n">
        <v>16013</v>
      </c>
      <c r="O24" s="561" t="n">
        <v>16088</v>
      </c>
      <c r="P24" s="561" t="n">
        <v>16171</v>
      </c>
      <c r="Q24" s="561" t="n">
        <v>16233</v>
      </c>
      <c r="R24" s="561" t="n">
        <v>16299</v>
      </c>
      <c r="S24" s="561" t="n">
        <v>16299</v>
      </c>
      <c r="T24" s="561" t="n">
        <v>16390</v>
      </c>
      <c r="U24" s="561" t="n">
        <v>16469</v>
      </c>
      <c r="V24" s="561" t="n">
        <v>16553</v>
      </c>
      <c r="W24" s="561" t="n">
        <v>16647</v>
      </c>
      <c r="X24" s="561" t="n">
        <v>16745</v>
      </c>
      <c r="Y24" s="561" t="n">
        <v>16801</v>
      </c>
      <c r="Z24" s="561" t="n">
        <v>16801</v>
      </c>
      <c r="AA24" s="561" t="n">
        <v>16855</v>
      </c>
      <c r="AB24" s="561" t="n">
        <v>16909</v>
      </c>
      <c r="AC24" s="561" t="n">
        <v>17008</v>
      </c>
      <c r="AD24" s="561" t="n">
        <v>17053</v>
      </c>
      <c r="AE24" s="500" t="n">
        <v>17053</v>
      </c>
      <c r="AF24" s="500" t="n">
        <v>17115</v>
      </c>
      <c r="AG24" s="500" t="n">
        <v>17115</v>
      </c>
      <c r="AH24" s="49" t="n">
        <v>17175</v>
      </c>
      <c r="AI24" s="82">
        <f>AH24-D24</f>
        <v/>
      </c>
    </row>
    <row r="25" ht="13" customHeight="1" s="488">
      <c r="A25" s="500" t="n"/>
      <c r="B25" s="500" t="n"/>
      <c r="C25" s="529" t="inlineStr">
        <is>
          <t>DG</t>
        </is>
      </c>
      <c r="D25" s="529" t="n">
        <v>1394</v>
      </c>
      <c r="E25" s="500" t="n">
        <v>1394</v>
      </c>
      <c r="F25" s="500" t="n">
        <v>1420</v>
      </c>
      <c r="G25" s="500" t="n">
        <v>1467</v>
      </c>
      <c r="H25" s="500" t="n">
        <v>1498</v>
      </c>
      <c r="I25" s="500" t="n">
        <v>1498</v>
      </c>
      <c r="J25" s="500" t="n">
        <v>1498</v>
      </c>
      <c r="K25" s="500" t="n">
        <v>1498</v>
      </c>
      <c r="L25" s="500" t="n">
        <v>1498</v>
      </c>
      <c r="M25" s="500" t="n">
        <v>1498</v>
      </c>
      <c r="N25" s="500" t="n">
        <v>1510</v>
      </c>
      <c r="O25" s="500" t="n">
        <v>1523</v>
      </c>
      <c r="P25" s="500" t="n">
        <v>1523</v>
      </c>
      <c r="Q25" s="500" t="n">
        <v>1546</v>
      </c>
      <c r="R25" s="500" t="n">
        <v>1546</v>
      </c>
      <c r="S25" s="500" t="n">
        <v>1546</v>
      </c>
      <c r="T25" s="500" t="n">
        <v>1546</v>
      </c>
      <c r="U25" s="500" t="n">
        <v>1546</v>
      </c>
      <c r="V25" s="500" t="n">
        <v>1546</v>
      </c>
      <c r="W25" s="500" t="n">
        <v>1546</v>
      </c>
      <c r="X25" s="500" t="n">
        <v>1546</v>
      </c>
      <c r="Y25" s="500" t="n">
        <v>1546</v>
      </c>
      <c r="Z25" s="500" t="n">
        <v>1546</v>
      </c>
      <c r="AA25" s="500" t="n">
        <v>1597</v>
      </c>
      <c r="AB25" s="500" t="n">
        <v>1638</v>
      </c>
      <c r="AC25" s="500" t="n">
        <v>1639</v>
      </c>
      <c r="AD25" s="500" t="n">
        <v>1686</v>
      </c>
      <c r="AE25" s="500" t="n">
        <v>1779</v>
      </c>
      <c r="AF25" s="500" t="n">
        <v>1779</v>
      </c>
      <c r="AG25" s="500" t="n">
        <v>1779</v>
      </c>
      <c r="AH25" s="500" t="n">
        <v>1779</v>
      </c>
      <c r="AI25" s="82">
        <f>AH25-D25</f>
        <v/>
      </c>
    </row>
    <row r="26" ht="14.5" customHeight="1" s="488">
      <c r="A26" s="500" t="n">
        <v>2</v>
      </c>
      <c r="B26" s="500" t="inlineStr">
        <is>
          <t>3F</t>
        </is>
      </c>
      <c r="C26" s="500" t="inlineStr">
        <is>
          <t>AHU2</t>
        </is>
      </c>
      <c r="D26" s="79" t="n">
        <v>14037</v>
      </c>
      <c r="E26" s="561" t="n">
        <v>14104</v>
      </c>
      <c r="F26" s="561" t="n">
        <v>14214</v>
      </c>
      <c r="G26" s="5" t="n">
        <v>14294</v>
      </c>
      <c r="H26" s="5" t="n">
        <v>14362</v>
      </c>
      <c r="I26" s="561" t="n">
        <v>14462</v>
      </c>
      <c r="J26" s="561" t="n">
        <v>14564</v>
      </c>
      <c r="K26" s="561" t="n">
        <v>14645</v>
      </c>
      <c r="L26" s="561" t="n">
        <v>14646</v>
      </c>
      <c r="M26" s="561" t="n">
        <v>14753</v>
      </c>
      <c r="N26" s="561" t="n">
        <v>14829</v>
      </c>
      <c r="O26" s="561" t="n">
        <v>14900</v>
      </c>
      <c r="P26" s="561" t="n">
        <v>14987</v>
      </c>
      <c r="Q26" s="561" t="n">
        <v>15061</v>
      </c>
      <c r="R26" s="561" t="n">
        <v>15107</v>
      </c>
      <c r="S26" s="561" t="n">
        <v>15107</v>
      </c>
      <c r="T26" s="561" t="n">
        <v>15208</v>
      </c>
      <c r="U26" s="561" t="n">
        <v>15316</v>
      </c>
      <c r="V26" s="561" t="n">
        <v>15402</v>
      </c>
      <c r="W26" s="561" t="n">
        <v>15492</v>
      </c>
      <c r="X26" s="561" t="n">
        <v>15585</v>
      </c>
      <c r="Y26" s="561" t="n">
        <v>15628</v>
      </c>
      <c r="Z26" s="561" t="n">
        <v>15628</v>
      </c>
      <c r="AA26" s="561" t="n">
        <v>15690</v>
      </c>
      <c r="AB26" s="561" t="n">
        <v>15742</v>
      </c>
      <c r="AC26" s="561" t="n">
        <v>15840</v>
      </c>
      <c r="AD26" s="561" t="n">
        <v>15884</v>
      </c>
      <c r="AE26" s="49" t="n">
        <v>15884</v>
      </c>
      <c r="AF26" s="49" t="n">
        <v>15957</v>
      </c>
      <c r="AG26" s="49" t="n">
        <v>15957</v>
      </c>
      <c r="AH26" s="49" t="n">
        <v>16020</v>
      </c>
      <c r="AI26" s="82">
        <f>AH26-D26</f>
        <v/>
      </c>
    </row>
    <row r="27" ht="13" customHeight="1" s="488">
      <c r="A27" s="500" t="n"/>
      <c r="B27" s="500" t="n"/>
      <c r="C27" s="529" t="inlineStr">
        <is>
          <t>DG</t>
        </is>
      </c>
      <c r="D27" s="79" t="n">
        <v>1377</v>
      </c>
      <c r="E27" s="500" t="n">
        <v>1377</v>
      </c>
      <c r="F27" s="500" t="n">
        <v>1404</v>
      </c>
      <c r="G27" s="500" t="n">
        <v>1445</v>
      </c>
      <c r="H27" s="500" t="n">
        <v>1476</v>
      </c>
      <c r="I27" s="500" t="n">
        <v>1476</v>
      </c>
      <c r="J27" s="500" t="n">
        <v>1476</v>
      </c>
      <c r="K27" s="500" t="n">
        <v>1476</v>
      </c>
      <c r="L27" s="500" t="n">
        <v>1476</v>
      </c>
      <c r="M27" s="500" t="n">
        <v>1476</v>
      </c>
      <c r="N27" s="500" t="n">
        <v>1484</v>
      </c>
      <c r="O27" s="500" t="n">
        <v>1497</v>
      </c>
      <c r="P27" s="500" t="n">
        <v>1497</v>
      </c>
      <c r="Q27" s="500" t="n">
        <v>1518</v>
      </c>
      <c r="R27" s="500" t="n">
        <v>1518</v>
      </c>
      <c r="S27" s="500" t="n">
        <v>1518</v>
      </c>
      <c r="T27" s="500" t="n">
        <v>1518</v>
      </c>
      <c r="U27" s="500" t="n">
        <v>1518</v>
      </c>
      <c r="V27" s="500" t="n">
        <v>1518</v>
      </c>
      <c r="W27" s="500" t="n">
        <v>1518</v>
      </c>
      <c r="X27" s="500" t="n">
        <v>1518</v>
      </c>
      <c r="Y27" s="500" t="n">
        <v>1518</v>
      </c>
      <c r="Z27" s="500" t="n">
        <v>1518</v>
      </c>
      <c r="AA27" s="500" t="n">
        <v>1564</v>
      </c>
      <c r="AB27" s="500" t="n">
        <v>1606</v>
      </c>
      <c r="AC27" s="500" t="n">
        <v>1610</v>
      </c>
      <c r="AD27" s="500" t="n">
        <v>1655</v>
      </c>
      <c r="AE27" s="500" t="n">
        <v>1735</v>
      </c>
      <c r="AF27" s="500" t="n">
        <v>1735</v>
      </c>
      <c r="AG27" s="500" t="n">
        <v>1735</v>
      </c>
      <c r="AH27" s="500" t="n">
        <v>1735</v>
      </c>
      <c r="AI27" s="82">
        <f>AH27-D27</f>
        <v/>
      </c>
    </row>
    <row r="28" ht="14.5" customHeight="1" s="488">
      <c r="A28" s="500" t="n">
        <v>3</v>
      </c>
      <c r="B28" s="500" t="inlineStr">
        <is>
          <t>3F</t>
        </is>
      </c>
      <c r="C28" s="500" t="inlineStr">
        <is>
          <t>AHU3</t>
        </is>
      </c>
      <c r="D28" s="529" t="n">
        <v>13582</v>
      </c>
      <c r="E28" s="561" t="n">
        <v>13637</v>
      </c>
      <c r="F28" s="561" t="n">
        <v>13738</v>
      </c>
      <c r="G28" s="561" t="n">
        <v>13811</v>
      </c>
      <c r="H28" s="561" t="n">
        <v>13883</v>
      </c>
      <c r="I28" s="561" t="n">
        <v>13974</v>
      </c>
      <c r="J28" s="561" t="n">
        <v>14068</v>
      </c>
      <c r="K28" s="561" t="n">
        <v>14144</v>
      </c>
      <c r="L28" s="561" t="n">
        <v>14144</v>
      </c>
      <c r="M28" s="561" t="n">
        <v>14243</v>
      </c>
      <c r="N28" s="561" t="n">
        <v>14333</v>
      </c>
      <c r="O28" s="561" t="n">
        <v>14413</v>
      </c>
      <c r="P28" s="561" t="n">
        <v>14505</v>
      </c>
      <c r="Q28" s="561" t="n">
        <v>14576</v>
      </c>
      <c r="R28" s="561" t="n">
        <v>14625</v>
      </c>
      <c r="S28" s="561" t="n">
        <v>14625</v>
      </c>
      <c r="T28" s="561" t="n">
        <v>14694</v>
      </c>
      <c r="U28" s="561" t="n">
        <v>14820</v>
      </c>
      <c r="V28" s="561" t="n">
        <v>14913</v>
      </c>
      <c r="W28" s="561" t="n">
        <v>15001</v>
      </c>
      <c r="X28" s="561" t="n">
        <v>15094</v>
      </c>
      <c r="Y28" s="561" t="n">
        <v>15144</v>
      </c>
      <c r="Z28" s="561" t="n">
        <v>15144</v>
      </c>
      <c r="AA28" s="561" t="n">
        <v>15196</v>
      </c>
      <c r="AB28" s="561" t="n">
        <v>15247</v>
      </c>
      <c r="AC28" s="561" t="n">
        <v>15350</v>
      </c>
      <c r="AD28" s="561" t="n">
        <v>15393</v>
      </c>
      <c r="AE28" s="500" t="n">
        <v>15393</v>
      </c>
      <c r="AF28" s="500" t="n">
        <v>15465</v>
      </c>
      <c r="AG28" s="500" t="n">
        <v>15465</v>
      </c>
      <c r="AH28" s="500" t="n">
        <v>15531</v>
      </c>
      <c r="AI28" s="82">
        <f>AH28-D28</f>
        <v/>
      </c>
    </row>
    <row r="29" ht="13" customHeight="1" s="488">
      <c r="A29" s="500" t="n"/>
      <c r="B29" s="500" t="n"/>
      <c r="C29" s="529" t="inlineStr">
        <is>
          <t>DG</t>
        </is>
      </c>
      <c r="D29" s="79" t="n">
        <v>1472</v>
      </c>
      <c r="E29" s="500" t="n">
        <v>1472</v>
      </c>
      <c r="F29" s="500" t="n">
        <v>1496</v>
      </c>
      <c r="G29" s="500" t="n">
        <v>1534</v>
      </c>
      <c r="H29" s="500" t="n">
        <v>1566</v>
      </c>
      <c r="I29" s="500" t="n">
        <v>1566</v>
      </c>
      <c r="J29" s="500" t="n">
        <v>1566</v>
      </c>
      <c r="K29" s="500" t="n">
        <v>1566</v>
      </c>
      <c r="L29" s="500" t="n">
        <v>1566</v>
      </c>
      <c r="M29" s="500" t="n">
        <v>1566</v>
      </c>
      <c r="N29" s="500" t="n">
        <v>1578</v>
      </c>
      <c r="O29" s="500" t="n">
        <v>1593</v>
      </c>
      <c r="P29" s="500" t="n">
        <v>1593</v>
      </c>
      <c r="Q29" s="500" t="n">
        <v>1615</v>
      </c>
      <c r="R29" s="500" t="n">
        <v>1615</v>
      </c>
      <c r="S29" s="500" t="n">
        <v>1615</v>
      </c>
      <c r="T29" s="500" t="n">
        <v>1615</v>
      </c>
      <c r="U29" s="500" t="n">
        <v>1615</v>
      </c>
      <c r="V29" s="500" t="n">
        <v>1615</v>
      </c>
      <c r="W29" s="500" t="n">
        <v>1615</v>
      </c>
      <c r="X29" s="500" t="n">
        <v>1615</v>
      </c>
      <c r="Y29" s="500" t="n">
        <v>1615</v>
      </c>
      <c r="Z29" s="500" t="n">
        <v>1615</v>
      </c>
      <c r="AA29" s="500" t="n">
        <v>1663</v>
      </c>
      <c r="AB29" s="500" t="n">
        <v>1704</v>
      </c>
      <c r="AC29" s="500" t="n">
        <v>1704</v>
      </c>
      <c r="AD29" s="500" t="n">
        <v>1751</v>
      </c>
      <c r="AE29" s="500" t="n">
        <v>1826</v>
      </c>
      <c r="AF29" s="500" t="n">
        <v>1826</v>
      </c>
      <c r="AG29" s="500" t="n">
        <v>1826</v>
      </c>
      <c r="AH29" s="500" t="n">
        <v>1826</v>
      </c>
      <c r="AI29" s="82">
        <f>AH29-D29</f>
        <v/>
      </c>
    </row>
    <row r="30" ht="14.5" customHeight="1" s="488">
      <c r="A30" s="500" t="n">
        <v>4</v>
      </c>
      <c r="B30" s="500" t="inlineStr">
        <is>
          <t>3F</t>
        </is>
      </c>
      <c r="C30" s="500" t="inlineStr">
        <is>
          <t>AHU4</t>
        </is>
      </c>
      <c r="D30" s="79" t="n">
        <v>13023</v>
      </c>
      <c r="E30" s="561" t="n">
        <v>13049</v>
      </c>
      <c r="F30" s="561" t="n">
        <v>13149</v>
      </c>
      <c r="G30" s="561" t="n">
        <v>13223</v>
      </c>
      <c r="H30" s="561" t="n">
        <v>13289</v>
      </c>
      <c r="I30" s="561" t="n">
        <v>13378</v>
      </c>
      <c r="J30" s="561" t="n">
        <v>13461</v>
      </c>
      <c r="K30" s="561" t="n">
        <v>13545</v>
      </c>
      <c r="L30" s="561" t="n">
        <v>13546</v>
      </c>
      <c r="M30" s="561" t="n">
        <v>13642</v>
      </c>
      <c r="N30" s="561" t="n">
        <v>13713</v>
      </c>
      <c r="O30" s="561" t="n">
        <v>13796</v>
      </c>
      <c r="P30" s="561" t="n">
        <v>13884</v>
      </c>
      <c r="Q30" s="561" t="n">
        <v>13949</v>
      </c>
      <c r="R30" s="561" t="n">
        <v>14017</v>
      </c>
      <c r="S30" s="561" t="n">
        <v>14017</v>
      </c>
      <c r="T30" s="561" t="n">
        <v>14103</v>
      </c>
      <c r="U30" s="561" t="n">
        <v>14192</v>
      </c>
      <c r="V30" s="561" t="n">
        <v>14274</v>
      </c>
      <c r="W30" s="561" t="n">
        <v>14353</v>
      </c>
      <c r="X30" s="561" t="n">
        <v>14436</v>
      </c>
      <c r="Y30" s="561" t="n">
        <v>14483</v>
      </c>
      <c r="Z30" s="561" t="n">
        <v>14483</v>
      </c>
      <c r="AA30" s="561" t="n">
        <v>14528</v>
      </c>
      <c r="AB30" s="561" t="n">
        <v>14578</v>
      </c>
      <c r="AC30" s="561" t="n">
        <v>14666</v>
      </c>
      <c r="AD30" s="561" t="n">
        <v>14707</v>
      </c>
      <c r="AE30" s="500" t="n">
        <v>14707</v>
      </c>
      <c r="AF30" s="500" t="n">
        <v>14776</v>
      </c>
      <c r="AG30" s="500" t="n">
        <v>14776</v>
      </c>
      <c r="AH30" s="49" t="n">
        <v>14836</v>
      </c>
      <c r="AI30" s="82">
        <f>AH30-D30</f>
        <v/>
      </c>
    </row>
    <row r="31" ht="13" customHeight="1" s="488">
      <c r="A31" s="500" t="n"/>
      <c r="B31" s="500" t="n"/>
      <c r="C31" s="529" t="inlineStr">
        <is>
          <t>DG</t>
        </is>
      </c>
      <c r="D31" s="529" t="n">
        <v>1287</v>
      </c>
      <c r="E31" s="500" t="n">
        <v>1287</v>
      </c>
      <c r="F31" s="500" t="n">
        <v>1307</v>
      </c>
      <c r="G31" s="500" t="n">
        <v>1345</v>
      </c>
      <c r="H31" s="500" t="n">
        <v>1374</v>
      </c>
      <c r="I31" s="500" t="n">
        <v>1374</v>
      </c>
      <c r="J31" s="500" t="n">
        <v>1374</v>
      </c>
      <c r="K31" s="500" t="n">
        <v>1374</v>
      </c>
      <c r="L31" s="500" t="n">
        <v>1374</v>
      </c>
      <c r="M31" s="500" t="n">
        <v>1374</v>
      </c>
      <c r="N31" s="500" t="n">
        <v>1382</v>
      </c>
      <c r="O31" s="500" t="n">
        <v>1399</v>
      </c>
      <c r="P31" s="500" t="n">
        <v>1399</v>
      </c>
      <c r="Q31" s="500" t="n">
        <v>1421</v>
      </c>
      <c r="R31" s="500" t="n">
        <v>1421</v>
      </c>
      <c r="S31" s="500" t="n">
        <v>1421</v>
      </c>
      <c r="T31" s="500" t="n">
        <v>1421</v>
      </c>
      <c r="U31" s="500" t="n">
        <v>1421</v>
      </c>
      <c r="V31" s="500" t="n">
        <v>1421</v>
      </c>
      <c r="W31" s="500" t="n">
        <v>1421</v>
      </c>
      <c r="X31" s="500" t="n">
        <v>1421</v>
      </c>
      <c r="Y31" s="500" t="n">
        <v>1421</v>
      </c>
      <c r="Z31" s="500" t="n">
        <v>1421</v>
      </c>
      <c r="AA31" s="500" t="n">
        <v>1461</v>
      </c>
      <c r="AB31" s="500" t="n">
        <v>1494</v>
      </c>
      <c r="AC31" s="500" t="n">
        <v>1495</v>
      </c>
      <c r="AD31" s="500" t="n">
        <v>1539</v>
      </c>
      <c r="AE31" s="500" t="n">
        <v>1637</v>
      </c>
      <c r="AF31" s="500" t="n">
        <v>1637</v>
      </c>
      <c r="AG31" s="500" t="n">
        <v>1637</v>
      </c>
      <c r="AH31" s="500" t="n">
        <v>1637</v>
      </c>
      <c r="AI31" s="82">
        <f>AH31-D31</f>
        <v/>
      </c>
    </row>
    <row r="32" ht="14.5" customHeight="1" s="488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01" t="n"/>
    </row>
    <row r="33" ht="14.5" customHeight="1" s="488">
      <c r="A33" s="500" t="n">
        <v>1</v>
      </c>
      <c r="B33" s="500" t="inlineStr">
        <is>
          <t>3F</t>
        </is>
      </c>
      <c r="C33" s="500" t="inlineStr">
        <is>
          <t>AHU1 - BTU</t>
        </is>
      </c>
      <c r="D33" s="83" t="n">
        <v>125611</v>
      </c>
      <c r="E33" s="10" t="n">
        <v>126471.66</v>
      </c>
      <c r="F33" s="10" t="n">
        <v>127754.19</v>
      </c>
      <c r="G33" s="10" t="n">
        <v>129122.9</v>
      </c>
      <c r="H33" s="10" t="n">
        <v>129709.71</v>
      </c>
      <c r="I33" s="10" t="n">
        <v>130224.85</v>
      </c>
      <c r="J33" s="10" t="n">
        <v>130635</v>
      </c>
      <c r="K33" s="10" t="n">
        <v>131044.39</v>
      </c>
      <c r="L33" s="10" t="n">
        <v>131044.39</v>
      </c>
      <c r="M33" s="10" t="n">
        <v>132026.45</v>
      </c>
      <c r="N33" s="10" t="n">
        <v>132742.04</v>
      </c>
      <c r="O33" s="10" t="n">
        <v>133382.29</v>
      </c>
      <c r="P33" s="10" t="n">
        <v>133937</v>
      </c>
      <c r="Q33" s="10" t="n">
        <v>134411.74</v>
      </c>
      <c r="R33" s="11" t="n">
        <v>134671.54</v>
      </c>
      <c r="S33" s="11" t="n">
        <v>134671.54</v>
      </c>
      <c r="T33" s="11" t="n">
        <v>135657.67</v>
      </c>
      <c r="U33" s="11" t="n">
        <v>136371.57</v>
      </c>
      <c r="V33" s="11" t="n">
        <v>137076</v>
      </c>
      <c r="W33" s="11" t="n">
        <v>137671.9</v>
      </c>
      <c r="X33" s="11" t="n">
        <v>138290.86</v>
      </c>
      <c r="Y33" s="11" t="n">
        <v>138573.36</v>
      </c>
      <c r="Z33" s="11" t="n">
        <v>138573.36</v>
      </c>
      <c r="AA33" s="11" t="n">
        <v>139677.43</v>
      </c>
      <c r="AB33" s="11" t="n">
        <v>140629.32</v>
      </c>
      <c r="AC33" s="11" t="n">
        <v>141348.66</v>
      </c>
      <c r="AD33" s="11" t="n">
        <v>142078.1</v>
      </c>
      <c r="AE33" s="85" t="n">
        <v>142800</v>
      </c>
      <c r="AF33" s="85" t="n">
        <v>143217</v>
      </c>
      <c r="AG33" s="85" t="n">
        <v>143217</v>
      </c>
      <c r="AH33" s="86" t="n">
        <v>144022</v>
      </c>
      <c r="AI33" s="82">
        <f>AH33-D33</f>
        <v/>
      </c>
    </row>
    <row r="34" ht="14.5" customHeight="1" s="488">
      <c r="A34" s="500" t="n">
        <v>2</v>
      </c>
      <c r="B34" s="500" t="inlineStr">
        <is>
          <t>3F</t>
        </is>
      </c>
      <c r="C34" s="500" t="inlineStr">
        <is>
          <t>AHU2 - BTU</t>
        </is>
      </c>
      <c r="D34" s="83" t="n">
        <v>129491</v>
      </c>
      <c r="E34" s="36" t="n">
        <v>130355.97</v>
      </c>
      <c r="F34" s="36" t="n">
        <v>131676.42</v>
      </c>
      <c r="G34" s="37" t="n">
        <v>133022.7</v>
      </c>
      <c r="H34" s="10" t="n">
        <v>133836.77</v>
      </c>
      <c r="I34" s="10" t="n">
        <v>134714.57</v>
      </c>
      <c r="J34" s="10" t="n">
        <v>135559.49</v>
      </c>
      <c r="K34" s="10" t="n">
        <v>136281.36</v>
      </c>
      <c r="L34" s="10" t="n">
        <v>136281.36</v>
      </c>
      <c r="M34" s="10" t="n">
        <v>137423.44</v>
      </c>
      <c r="N34" s="10" t="n">
        <v>138363.48</v>
      </c>
      <c r="O34" s="10" t="n">
        <v>139122.62</v>
      </c>
      <c r="P34" s="10" t="n">
        <v>139817.36</v>
      </c>
      <c r="Q34" s="10" t="n">
        <v>140285.49</v>
      </c>
      <c r="R34" s="11" t="n">
        <v>140883.1</v>
      </c>
      <c r="S34" s="11" t="n">
        <v>140883.1</v>
      </c>
      <c r="T34" s="11" t="n">
        <v>141898.31</v>
      </c>
      <c r="U34" s="11" t="n">
        <v>142727.09</v>
      </c>
      <c r="V34" s="11" t="n">
        <v>143345.65</v>
      </c>
      <c r="W34" s="11" t="n">
        <v>144143.17</v>
      </c>
      <c r="X34" s="11" t="n">
        <v>144878.86</v>
      </c>
      <c r="Y34" s="11" t="n">
        <v>145360.85</v>
      </c>
      <c r="Z34" s="11" t="n">
        <v>145360.85</v>
      </c>
      <c r="AA34" s="11" t="n">
        <v>146563.58</v>
      </c>
      <c r="AB34" s="11" t="n">
        <v>147606.7</v>
      </c>
      <c r="AC34" s="11" t="n">
        <v>148697.44</v>
      </c>
      <c r="AD34" s="11" t="n">
        <v>149650</v>
      </c>
      <c r="AE34" s="85" t="n">
        <v>150488</v>
      </c>
      <c r="AF34" s="85" t="n">
        <v>151292</v>
      </c>
      <c r="AG34" s="85" t="n">
        <v>151292</v>
      </c>
      <c r="AH34" s="86" t="n">
        <v>152135</v>
      </c>
      <c r="AI34" s="82">
        <f>AH34-D34</f>
        <v/>
      </c>
    </row>
    <row r="35" ht="14.5" customHeight="1" s="488">
      <c r="A35" s="500" t="n">
        <v>3</v>
      </c>
      <c r="B35" s="500" t="inlineStr">
        <is>
          <t>3F</t>
        </is>
      </c>
      <c r="C35" s="500" t="inlineStr">
        <is>
          <t>AHU3 - BTU</t>
        </is>
      </c>
      <c r="D35" s="83" t="n">
        <v>136638</v>
      </c>
      <c r="E35" s="10" t="n">
        <v>137390.83</v>
      </c>
      <c r="F35" s="10" t="n">
        <v>138727.26</v>
      </c>
      <c r="G35" s="10" t="n">
        <v>139995.68</v>
      </c>
      <c r="H35" s="10" t="n">
        <v>140801.53</v>
      </c>
      <c r="I35" s="10" t="n">
        <v>141552.19</v>
      </c>
      <c r="J35" s="10" t="n">
        <v>142280.01</v>
      </c>
      <c r="K35" s="10" t="n">
        <v>142962.73</v>
      </c>
      <c r="L35" s="10" t="n">
        <v>142962.73</v>
      </c>
      <c r="M35" s="10" t="n">
        <v>144162.84</v>
      </c>
      <c r="N35" s="10" t="n">
        <v>145116.13</v>
      </c>
      <c r="O35" s="10" t="n">
        <v>145963.67</v>
      </c>
      <c r="P35" s="10" t="n">
        <v>146772.08</v>
      </c>
      <c r="Q35" s="10" t="n">
        <v>147515.64</v>
      </c>
      <c r="R35" s="10" t="n">
        <v>148090.03</v>
      </c>
      <c r="S35" s="11" t="n">
        <v>148090.03</v>
      </c>
      <c r="T35" s="11" t="n">
        <v>149078.09</v>
      </c>
      <c r="U35" s="11" t="n">
        <v>149895.74</v>
      </c>
      <c r="V35" s="11" t="n">
        <v>150653.02</v>
      </c>
      <c r="W35" s="11" t="n">
        <v>151456.63</v>
      </c>
      <c r="X35" s="11" t="n">
        <v>152262.66</v>
      </c>
      <c r="Y35" s="11" t="n">
        <v>152631.66</v>
      </c>
      <c r="Z35" s="11" t="n">
        <v>152631.66</v>
      </c>
      <c r="AA35" s="11" t="n">
        <v>153722.11</v>
      </c>
      <c r="AB35" s="11" t="n">
        <v>154787.1</v>
      </c>
      <c r="AC35" s="11" t="n">
        <v>155703.13</v>
      </c>
      <c r="AD35" s="11" t="n">
        <v>156625.1</v>
      </c>
      <c r="AE35" s="85" t="n">
        <v>157471</v>
      </c>
      <c r="AF35" s="85" t="n">
        <v>158134</v>
      </c>
      <c r="AG35" s="85" t="n">
        <v>158134</v>
      </c>
      <c r="AH35" s="86" t="n">
        <v>158977</v>
      </c>
      <c r="AI35" s="82">
        <f>AH35-D35</f>
        <v/>
      </c>
    </row>
    <row r="36" ht="14.5" customHeight="1" s="488">
      <c r="A36" s="500" t="n">
        <v>4</v>
      </c>
      <c r="B36" s="500" t="inlineStr">
        <is>
          <t>3F</t>
        </is>
      </c>
      <c r="C36" s="500" t="inlineStr">
        <is>
          <t>AHU4 - BTU</t>
        </is>
      </c>
      <c r="D36" s="83" t="n">
        <v>155000</v>
      </c>
      <c r="E36" s="10" t="n">
        <v>155795.12</v>
      </c>
      <c r="F36" s="10" t="n">
        <v>157212.97</v>
      </c>
      <c r="G36" s="10" t="n">
        <v>158688.59</v>
      </c>
      <c r="H36" s="10" t="n">
        <v>159546.78</v>
      </c>
      <c r="I36" s="10" t="n">
        <v>160293.8</v>
      </c>
      <c r="J36" s="10" t="n">
        <v>160982.11</v>
      </c>
      <c r="K36" s="10" t="n">
        <v>161569.39</v>
      </c>
      <c r="L36" s="10" t="n">
        <v>161569.39</v>
      </c>
      <c r="M36" s="10" t="n">
        <v>162934.99</v>
      </c>
      <c r="N36" s="10" t="n">
        <v>163953.28</v>
      </c>
      <c r="O36" s="10" t="n">
        <v>164844.37</v>
      </c>
      <c r="P36" s="10" t="n">
        <v>165688.03</v>
      </c>
      <c r="Q36" s="10" t="n">
        <v>166343.24</v>
      </c>
      <c r="R36" s="11" t="n">
        <v>166732.37</v>
      </c>
      <c r="S36" s="11" t="n">
        <v>166732.37</v>
      </c>
      <c r="T36" s="11" t="n">
        <v>167769.8</v>
      </c>
      <c r="U36" s="11" t="n">
        <v>168562.83</v>
      </c>
      <c r="V36" s="11" t="n">
        <v>169302.76</v>
      </c>
      <c r="W36" s="11" t="n">
        <v>170110.65</v>
      </c>
      <c r="X36" s="11" t="n">
        <v>170875.49</v>
      </c>
      <c r="Y36" s="11" t="n">
        <v>171200.27</v>
      </c>
      <c r="Z36" s="11" t="n">
        <v>171200.27</v>
      </c>
      <c r="AA36" s="11" t="n">
        <v>172410.61</v>
      </c>
      <c r="AB36" s="11" t="n">
        <v>173441.05</v>
      </c>
      <c r="AC36" s="11" t="n">
        <v>174318.53</v>
      </c>
      <c r="AD36" s="11" t="n">
        <v>175487.87</v>
      </c>
      <c r="AE36" s="85" t="n">
        <v>176384</v>
      </c>
      <c r="AF36" s="85" t="n">
        <v>176899</v>
      </c>
      <c r="AG36" s="85" t="n">
        <v>176899</v>
      </c>
      <c r="AH36" s="86" t="n">
        <v>177713</v>
      </c>
      <c r="AI36" s="82">
        <f>AH36-D36</f>
        <v/>
      </c>
    </row>
    <row r="37">
      <c r="D37" s="106" t="n"/>
      <c r="E37" s="90" t="n"/>
      <c r="AD37" s="76" t="n"/>
    </row>
    <row r="38" ht="13" customHeight="1" s="488">
      <c r="A38" s="91" t="n"/>
      <c r="B38" s="92" t="n"/>
      <c r="C38" s="92" t="n"/>
      <c r="D38" s="107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  <c r="AB38" s="91" t="n"/>
      <c r="AC38" s="91" t="n"/>
      <c r="AD38" s="91" t="n"/>
      <c r="AE38" s="91" t="n"/>
      <c r="AF38" s="91" t="n"/>
      <c r="AG38" s="91" t="n"/>
      <c r="AH38" s="91" t="n"/>
      <c r="AI38" s="91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95">
        <f>AG3</f>
        <v/>
      </c>
      <c r="AH41" s="95">
        <f>AH3</f>
        <v/>
      </c>
      <c r="AI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96">
        <f>AG4</f>
        <v/>
      </c>
      <c r="AH42" s="96">
        <f>AH4</f>
        <v/>
      </c>
      <c r="AI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97" t="inlineStr">
        <is>
          <t>Time</t>
        </is>
      </c>
      <c r="AH43" s="97" t="inlineStr">
        <is>
          <t>Time</t>
        </is>
      </c>
      <c r="AI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98" t="n">
        <v>0.3333333333333333</v>
      </c>
      <c r="AH44" s="98" t="n">
        <v>0.3333333333333333</v>
      </c>
      <c r="AI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1">
        <f>SUM(E45:AH45)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1">
        <f>SUM(E46:AH46)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1">
        <f>SUM(E47:AH47)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1">
        <f>SUM(E48:AH48)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1">
        <f>SUM(E49:AH49)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1">
        <f>SUM(E50:AH50)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1">
        <f>SUM(E51:AH51)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1">
        <f>SUM(E52:AH52)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1">
        <f>SUM(E53:AH53)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105">
        <f>SUM(E54:AH54)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105">
        <f>SUM(E55:AH55)</f>
        <v/>
      </c>
      <c r="AJ55" s="115" t="inlineStr">
        <is>
          <t>EB</t>
        </is>
      </c>
      <c r="AK55" s="116">
        <f>AI61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105">
        <f>SUM(E56:AH56)</f>
        <v/>
      </c>
      <c r="AJ56" s="115" t="inlineStr">
        <is>
          <t>AHU</t>
        </is>
      </c>
      <c r="AK56" s="116">
        <f>AI74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1">
        <f>SUM(E57:AH57)</f>
        <v/>
      </c>
      <c r="AJ57" s="116" t="inlineStr">
        <is>
          <t>BTU</t>
        </is>
      </c>
      <c r="AK57" s="115">
        <f>AI80/2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1">
        <f>SUM(E58:AH58)</f>
        <v/>
      </c>
      <c r="AJ58" s="115" t="inlineStr">
        <is>
          <t>DG</t>
        </is>
      </c>
      <c r="AK58" s="116">
        <f>AI62+AI75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105">
        <f>SUM(E59:AH59)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105">
        <f>SUM(E60:AH60)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111">
        <f>SUM(E61:AH61)</f>
        <v/>
      </c>
    </row>
    <row r="62" ht="15" customHeight="1" s="488">
      <c r="A62" s="99" t="n"/>
      <c r="B62" s="99" t="n"/>
      <c r="C62" s="63" t="inlineStr">
        <is>
          <t>Total Power- DG</t>
        </is>
      </c>
      <c r="D62" s="108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111">
        <f>SUM(E62:AH62)</f>
        <v/>
      </c>
      <c r="AK62" s="78" t="n"/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E63+F61</f>
        <v/>
      </c>
      <c r="G63" s="102">
        <f>F63+G61</f>
        <v/>
      </c>
      <c r="H63" s="102">
        <f>G63+H61</f>
        <v/>
      </c>
      <c r="I63" s="102">
        <f>H63+I61</f>
        <v/>
      </c>
      <c r="J63" s="102">
        <f>I63+J61</f>
        <v/>
      </c>
      <c r="K63" s="102">
        <f>J63+K61</f>
        <v/>
      </c>
      <c r="L63" s="102">
        <f>K63+L61</f>
        <v/>
      </c>
      <c r="M63" s="102">
        <f>L63+M61</f>
        <v/>
      </c>
      <c r="N63" s="102">
        <f>M63+N61</f>
        <v/>
      </c>
      <c r="O63" s="102">
        <f>N63+O61</f>
        <v/>
      </c>
      <c r="P63" s="102">
        <f>O63+P61</f>
        <v/>
      </c>
      <c r="Q63" s="102">
        <f>P63+Q61</f>
        <v/>
      </c>
      <c r="R63" s="102">
        <f>Q63+R61</f>
        <v/>
      </c>
      <c r="S63" s="102">
        <f>R63+S61</f>
        <v/>
      </c>
      <c r="T63" s="102">
        <f>S63+T61</f>
        <v/>
      </c>
      <c r="U63" s="102">
        <f>T63+U61</f>
        <v/>
      </c>
      <c r="V63" s="102">
        <f>U63+V61</f>
        <v/>
      </c>
      <c r="W63" s="102">
        <f>V63+W61</f>
        <v/>
      </c>
      <c r="X63" s="102">
        <f>W63+X61</f>
        <v/>
      </c>
      <c r="Y63" s="102">
        <f>X63+Y61</f>
        <v/>
      </c>
      <c r="Z63" s="102">
        <f>Y63+Z61</f>
        <v/>
      </c>
      <c r="AA63" s="102">
        <f>Z63+AA61</f>
        <v/>
      </c>
      <c r="AB63" s="102">
        <f>AA63+AB61</f>
        <v/>
      </c>
      <c r="AC63" s="102">
        <f>AB63+AC61</f>
        <v/>
      </c>
      <c r="AD63" s="102">
        <f>AC63+AD61</f>
        <v/>
      </c>
      <c r="AE63" s="102">
        <f>AD63+AE61</f>
        <v/>
      </c>
      <c r="AF63" s="102">
        <f>AE63+AF61</f>
        <v/>
      </c>
      <c r="AG63" s="102">
        <f>AF63+AG61</f>
        <v/>
      </c>
      <c r="AH63" s="102">
        <f>AG63+AH61</f>
        <v/>
      </c>
      <c r="AI63" s="102">
        <f>AG63+AI61</f>
        <v/>
      </c>
    </row>
    <row r="64" ht="13" customHeight="1" s="488">
      <c r="A64" s="94" t="n"/>
      <c r="B64" s="534" t="n"/>
      <c r="C64" s="534" t="n"/>
      <c r="D64" s="109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</row>
    <row r="65" ht="14.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SUM(E66:AH66)</f>
        <v/>
      </c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SUM(E67:AH67)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SUM(E68:AH68)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SUM(E69:AH69)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SUM(E70:AH70)</f>
        <v/>
      </c>
      <c r="AJ70" s="78" t="n"/>
      <c r="AK70" s="78" t="n"/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SUM(E71:AH71)</f>
        <v/>
      </c>
      <c r="AJ71" s="78" t="n"/>
      <c r="AK71" s="78" t="n"/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SUM(E72:AH72)</f>
        <v/>
      </c>
      <c r="AK72" s="78" t="n"/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SUM(E73:AH73)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4">
        <f>SUM(E74:AH74)</f>
        <v/>
      </c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4">
        <f>SUM(E75:AH75)</f>
        <v/>
      </c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SUM(E76:AH76)</f>
        <v/>
      </c>
      <c r="AJ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SUM(E77:AH77)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SUM(E78:AH78)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SUM(E79:AH79)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4">
        <f>SUM(AI76:AI79)</f>
        <v/>
      </c>
    </row>
  </sheetData>
  <mergeCells count="49">
    <mergeCell ref="C77:D77"/>
    <mergeCell ref="C68:D68"/>
    <mergeCell ref="C58:D58"/>
    <mergeCell ref="B3:B6"/>
    <mergeCell ref="C45:D45"/>
    <mergeCell ref="C74:D74"/>
    <mergeCell ref="B39:D39"/>
    <mergeCell ref="C79:D79"/>
    <mergeCell ref="C73:D73"/>
    <mergeCell ref="C47:D47"/>
    <mergeCell ref="C54:D54"/>
    <mergeCell ref="C63:D63"/>
    <mergeCell ref="C65:D65"/>
    <mergeCell ref="B40:D40"/>
    <mergeCell ref="A41:A44"/>
    <mergeCell ref="A3:A6"/>
    <mergeCell ref="C75:D75"/>
    <mergeCell ref="C50:D50"/>
    <mergeCell ref="C55:D55"/>
    <mergeCell ref="C80:D80"/>
    <mergeCell ref="E2:AH2"/>
    <mergeCell ref="C56:D56"/>
    <mergeCell ref="C59:D59"/>
    <mergeCell ref="C46:D46"/>
    <mergeCell ref="C60:D60"/>
    <mergeCell ref="C51:D51"/>
    <mergeCell ref="C76:D76"/>
    <mergeCell ref="C71:D71"/>
    <mergeCell ref="D3:D6"/>
    <mergeCell ref="C61:D61"/>
    <mergeCell ref="AI3:AI6"/>
    <mergeCell ref="AI41:AI44"/>
    <mergeCell ref="C70:D70"/>
    <mergeCell ref="C52:D52"/>
    <mergeCell ref="C48:D48"/>
    <mergeCell ref="A32:AI32"/>
    <mergeCell ref="C67:D67"/>
    <mergeCell ref="C72:D72"/>
    <mergeCell ref="C57:D57"/>
    <mergeCell ref="A23:AI23"/>
    <mergeCell ref="C3:C6"/>
    <mergeCell ref="C66:D66"/>
    <mergeCell ref="C41:D44"/>
    <mergeCell ref="A2:D2"/>
    <mergeCell ref="C53:D53"/>
    <mergeCell ref="B41:B44"/>
    <mergeCell ref="C78:D78"/>
    <mergeCell ref="C69:D69"/>
    <mergeCell ref="C49:D49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L80"/>
  <sheetViews>
    <sheetView topLeftCell="G9" zoomScale="99" workbookViewId="0">
      <selection activeCell="A22" sqref="A22:AJ22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89" min="3" max="3"/>
    <col width="20" bestFit="1" customWidth="1" style="110" min="4" max="4"/>
    <col width="23" bestFit="1" customWidth="1" style="70" min="5" max="5"/>
    <col width="23" customWidth="1" style="488" min="6" max="32"/>
    <col width="23" bestFit="1" customWidth="1" style="70" min="33" max="33"/>
    <col width="23" customWidth="1" style="70" min="34" max="34"/>
    <col width="23" bestFit="1" customWidth="1" style="70" min="35" max="35"/>
    <col width="18" bestFit="1" customWidth="1" style="70" min="36" max="36"/>
    <col width="14" customWidth="1" style="70" min="37" max="37"/>
    <col width="18" customWidth="1" style="70" min="38" max="39"/>
    <col width="18" customWidth="1" style="70" min="40" max="16384"/>
  </cols>
  <sheetData>
    <row r="2" ht="16.5" customHeight="1" s="488">
      <c r="A2" s="538" t="n"/>
      <c r="B2" s="505" t="n"/>
      <c r="C2" s="505" t="n"/>
      <c r="D2" s="506" t="n"/>
      <c r="E2" s="535" t="inlineStr">
        <is>
          <t>October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5" t="n"/>
      <c r="AI2" s="506" t="n"/>
      <c r="AJ2" s="69" t="n"/>
    </row>
    <row r="3" ht="13" customHeight="1" s="488">
      <c r="A3" s="530" t="inlineStr">
        <is>
          <t>Sr.No</t>
        </is>
      </c>
      <c r="B3" s="530" t="inlineStr">
        <is>
          <t>Location</t>
        </is>
      </c>
      <c r="C3" s="530" t="inlineStr">
        <is>
          <t>Meter</t>
        </is>
      </c>
      <c r="D3" s="536" t="inlineStr">
        <is>
          <t>Previous Reading</t>
        </is>
      </c>
      <c r="E3" s="71" t="n">
        <v>45566</v>
      </c>
      <c r="F3" s="71" t="n">
        <v>45567</v>
      </c>
      <c r="G3" s="71" t="n">
        <v>45568</v>
      </c>
      <c r="H3" s="71" t="n">
        <v>45569</v>
      </c>
      <c r="I3" s="71" t="n">
        <v>45570</v>
      </c>
      <c r="J3" s="71" t="n">
        <v>45571</v>
      </c>
      <c r="K3" s="71" t="n">
        <v>45572</v>
      </c>
      <c r="L3" s="71" t="n">
        <v>45573</v>
      </c>
      <c r="M3" s="71" t="n">
        <v>45574</v>
      </c>
      <c r="N3" s="71" t="n">
        <v>45575</v>
      </c>
      <c r="O3" s="71" t="n">
        <v>45576</v>
      </c>
      <c r="P3" s="71" t="n">
        <v>45577</v>
      </c>
      <c r="Q3" s="71" t="n">
        <v>45578</v>
      </c>
      <c r="R3" s="71" t="n">
        <v>45579</v>
      </c>
      <c r="S3" s="71" t="n">
        <v>45580</v>
      </c>
      <c r="T3" s="71" t="n">
        <v>45581</v>
      </c>
      <c r="U3" s="71" t="n">
        <v>45582</v>
      </c>
      <c r="V3" s="71" t="n">
        <v>45583</v>
      </c>
      <c r="W3" s="71" t="n">
        <v>45584</v>
      </c>
      <c r="X3" s="71" t="n">
        <v>45585</v>
      </c>
      <c r="Y3" s="71" t="n">
        <v>45586</v>
      </c>
      <c r="Z3" s="71" t="n">
        <v>45587</v>
      </c>
      <c r="AA3" s="71" t="n">
        <v>45588</v>
      </c>
      <c r="AB3" s="71" t="n">
        <v>45589</v>
      </c>
      <c r="AC3" s="71" t="n">
        <v>45590</v>
      </c>
      <c r="AD3" s="71" t="n">
        <v>45591</v>
      </c>
      <c r="AE3" s="71" t="n">
        <v>45592</v>
      </c>
      <c r="AF3" s="71" t="n">
        <v>45593</v>
      </c>
      <c r="AG3" s="71" t="n">
        <v>45594</v>
      </c>
      <c r="AH3" s="71" t="n">
        <v>45595</v>
      </c>
      <c r="AI3" s="71" t="n">
        <v>45596</v>
      </c>
      <c r="AJ3" s="537" t="inlineStr">
        <is>
          <t>Consumption</t>
        </is>
      </c>
    </row>
    <row r="4" ht="13" customHeight="1" s="488">
      <c r="A4" s="509" t="n"/>
      <c r="B4" s="509" t="n"/>
      <c r="C4" s="509" t="n"/>
      <c r="D4" s="509" t="n"/>
      <c r="E4" s="72" t="inlineStr">
        <is>
          <t>Tue</t>
        </is>
      </c>
      <c r="F4" s="72" t="inlineStr">
        <is>
          <t>Wed</t>
        </is>
      </c>
      <c r="G4" s="72" t="inlineStr">
        <is>
          <t>Thu</t>
        </is>
      </c>
      <c r="H4" s="72" t="inlineStr">
        <is>
          <t>Fri</t>
        </is>
      </c>
      <c r="I4" s="72" t="inlineStr">
        <is>
          <t>Sat</t>
        </is>
      </c>
      <c r="J4" s="72" t="inlineStr">
        <is>
          <t>Sun</t>
        </is>
      </c>
      <c r="K4" s="72" t="inlineStr">
        <is>
          <t>Mon</t>
        </is>
      </c>
      <c r="L4" s="72" t="inlineStr">
        <is>
          <t>Tue</t>
        </is>
      </c>
      <c r="M4" s="72" t="inlineStr">
        <is>
          <t>Wed</t>
        </is>
      </c>
      <c r="N4" s="72" t="inlineStr">
        <is>
          <t>Thu</t>
        </is>
      </c>
      <c r="O4" s="72" t="inlineStr">
        <is>
          <t>Fri</t>
        </is>
      </c>
      <c r="P4" s="72" t="inlineStr">
        <is>
          <t>Sat</t>
        </is>
      </c>
      <c r="Q4" s="72" t="inlineStr">
        <is>
          <t>Sun</t>
        </is>
      </c>
      <c r="R4" s="72" t="inlineStr">
        <is>
          <t>Mon</t>
        </is>
      </c>
      <c r="S4" s="72" t="inlineStr">
        <is>
          <t>Tue</t>
        </is>
      </c>
      <c r="T4" s="72" t="inlineStr">
        <is>
          <t>Wed</t>
        </is>
      </c>
      <c r="U4" s="72" t="inlineStr">
        <is>
          <t>Thu</t>
        </is>
      </c>
      <c r="V4" s="72" t="inlineStr">
        <is>
          <t>Fri</t>
        </is>
      </c>
      <c r="W4" s="72" t="inlineStr">
        <is>
          <t>Sat</t>
        </is>
      </c>
      <c r="X4" s="72" t="inlineStr">
        <is>
          <t>Sun</t>
        </is>
      </c>
      <c r="Y4" s="72" t="inlineStr">
        <is>
          <t>Mon</t>
        </is>
      </c>
      <c r="Z4" s="72" t="inlineStr">
        <is>
          <t>Tue</t>
        </is>
      </c>
      <c r="AA4" s="72" t="inlineStr">
        <is>
          <t>Wed</t>
        </is>
      </c>
      <c r="AB4" s="72" t="inlineStr">
        <is>
          <t>Thu</t>
        </is>
      </c>
      <c r="AC4" s="72" t="inlineStr">
        <is>
          <t>Fri</t>
        </is>
      </c>
      <c r="AD4" s="72" t="inlineStr">
        <is>
          <t>Sat</t>
        </is>
      </c>
      <c r="AE4" s="72" t="inlineStr">
        <is>
          <t>Sun</t>
        </is>
      </c>
      <c r="AF4" s="72" t="inlineStr">
        <is>
          <t>Mon</t>
        </is>
      </c>
      <c r="AG4" s="72" t="inlineStr">
        <is>
          <t>Tue</t>
        </is>
      </c>
      <c r="AH4" s="72" t="inlineStr">
        <is>
          <t>Wed</t>
        </is>
      </c>
      <c r="AI4" s="72" t="inlineStr">
        <is>
          <t>Thu</t>
        </is>
      </c>
      <c r="AJ4" s="509" t="n"/>
    </row>
    <row r="5" ht="13" customHeight="1" s="488">
      <c r="A5" s="509" t="n"/>
      <c r="B5" s="509" t="n"/>
      <c r="C5" s="509" t="n"/>
      <c r="D5" s="509" t="n"/>
      <c r="E5" s="72" t="inlineStr">
        <is>
          <t>Time</t>
        </is>
      </c>
      <c r="F5" s="72" t="inlineStr">
        <is>
          <t>Time</t>
        </is>
      </c>
      <c r="G5" s="72" t="inlineStr">
        <is>
          <t>Time</t>
        </is>
      </c>
      <c r="H5" s="72" t="inlineStr">
        <is>
          <t>Time</t>
        </is>
      </c>
      <c r="I5" s="72" t="inlineStr">
        <is>
          <t>Time</t>
        </is>
      </c>
      <c r="J5" s="72" t="inlineStr">
        <is>
          <t>Time</t>
        </is>
      </c>
      <c r="K5" s="72" t="inlineStr">
        <is>
          <t>Time</t>
        </is>
      </c>
      <c r="L5" s="72" t="inlineStr">
        <is>
          <t>Time</t>
        </is>
      </c>
      <c r="M5" s="72" t="inlineStr">
        <is>
          <t>Time</t>
        </is>
      </c>
      <c r="N5" s="72" t="inlineStr">
        <is>
          <t>Time</t>
        </is>
      </c>
      <c r="O5" s="72" t="inlineStr">
        <is>
          <t>Time</t>
        </is>
      </c>
      <c r="P5" s="72" t="inlineStr">
        <is>
          <t>Time</t>
        </is>
      </c>
      <c r="Q5" s="72" t="inlineStr">
        <is>
          <t>Time</t>
        </is>
      </c>
      <c r="R5" s="72" t="inlineStr">
        <is>
          <t>Time</t>
        </is>
      </c>
      <c r="S5" s="72" t="inlineStr">
        <is>
          <t>Time</t>
        </is>
      </c>
      <c r="T5" s="72" t="inlineStr">
        <is>
          <t>Time</t>
        </is>
      </c>
      <c r="U5" s="72" t="inlineStr">
        <is>
          <t>Time</t>
        </is>
      </c>
      <c r="V5" s="72" t="inlineStr">
        <is>
          <t>Time</t>
        </is>
      </c>
      <c r="W5" s="72" t="inlineStr">
        <is>
          <t>Time</t>
        </is>
      </c>
      <c r="X5" s="72" t="inlineStr">
        <is>
          <t>Time</t>
        </is>
      </c>
      <c r="Y5" s="72" t="inlineStr">
        <is>
          <t>Time</t>
        </is>
      </c>
      <c r="Z5" s="72" t="inlineStr">
        <is>
          <t>Time</t>
        </is>
      </c>
      <c r="AA5" s="72" t="inlineStr">
        <is>
          <t>Time</t>
        </is>
      </c>
      <c r="AB5" s="72" t="inlineStr">
        <is>
          <t>Time</t>
        </is>
      </c>
      <c r="AC5" s="72" t="inlineStr">
        <is>
          <t>Time</t>
        </is>
      </c>
      <c r="AD5" s="72" t="inlineStr">
        <is>
          <t>Time</t>
        </is>
      </c>
      <c r="AE5" s="72" t="inlineStr">
        <is>
          <t>Time</t>
        </is>
      </c>
      <c r="AF5" s="72" t="inlineStr">
        <is>
          <t>Time</t>
        </is>
      </c>
      <c r="AG5" s="72" t="inlineStr">
        <is>
          <t>Time</t>
        </is>
      </c>
      <c r="AH5" s="72" t="inlineStr">
        <is>
          <t>Time</t>
        </is>
      </c>
      <c r="AI5" s="72" t="inlineStr">
        <is>
          <t>Time</t>
        </is>
      </c>
      <c r="AJ5" s="509" t="n"/>
    </row>
    <row r="6" ht="13" customHeight="1" s="488">
      <c r="A6" s="510" t="n"/>
      <c r="B6" s="510" t="n"/>
      <c r="C6" s="510" t="n"/>
      <c r="D6" s="510" t="n"/>
      <c r="E6" s="73" t="n">
        <v>0.3333333333333333</v>
      </c>
      <c r="F6" s="73" t="n">
        <v>0.3333333333333333</v>
      </c>
      <c r="G6" s="73" t="n">
        <v>0.3333333333333333</v>
      </c>
      <c r="H6" s="73" t="n">
        <v>0.3333333333333333</v>
      </c>
      <c r="I6" s="73" t="n">
        <v>0.3333333333333333</v>
      </c>
      <c r="J6" s="73" t="n">
        <v>0.3333333333333333</v>
      </c>
      <c r="K6" s="73" t="n">
        <v>0.3333333333333333</v>
      </c>
      <c r="L6" s="73" t="n">
        <v>0.3333333333333333</v>
      </c>
      <c r="M6" s="73" t="n">
        <v>0.3333333333333333</v>
      </c>
      <c r="N6" s="73" t="n">
        <v>0.3333333333333333</v>
      </c>
      <c r="O6" s="73" t="n">
        <v>0.3333333333333333</v>
      </c>
      <c r="P6" s="73" t="n">
        <v>0.3333333333333333</v>
      </c>
      <c r="Q6" s="73" t="n">
        <v>0.3333333333333333</v>
      </c>
      <c r="R6" s="73" t="n">
        <v>0.3333333333333333</v>
      </c>
      <c r="S6" s="73" t="n">
        <v>0.3333333333333333</v>
      </c>
      <c r="T6" s="73" t="n">
        <v>0.3333333333333333</v>
      </c>
      <c r="U6" s="73" t="n">
        <v>0.3333333333333333</v>
      </c>
      <c r="V6" s="73" t="n">
        <v>0.3333333333333333</v>
      </c>
      <c r="W6" s="73" t="n">
        <v>0.3333333333333333</v>
      </c>
      <c r="X6" s="73" t="n">
        <v>0.3333333333333333</v>
      </c>
      <c r="Y6" s="73" t="n">
        <v>0.3333333333333333</v>
      </c>
      <c r="Z6" s="73" t="n">
        <v>0.3333333333333333</v>
      </c>
      <c r="AA6" s="73" t="n">
        <v>0.3333333333333333</v>
      </c>
      <c r="AB6" s="73" t="n">
        <v>0.3333333333333333</v>
      </c>
      <c r="AC6" s="73" t="n">
        <v>0.3333333333333333</v>
      </c>
      <c r="AD6" s="73" t="n">
        <v>0.3333333333333333</v>
      </c>
      <c r="AE6" s="73" t="n">
        <v>0.3333333333333333</v>
      </c>
      <c r="AF6" s="73" t="n">
        <v>0.3333333333333333</v>
      </c>
      <c r="AG6" s="73" t="n">
        <v>0.3333333333333333</v>
      </c>
      <c r="AH6" s="73" t="n">
        <v>0.3333333333333333</v>
      </c>
      <c r="AI6" s="73" t="n">
        <v>0.3333333333333333</v>
      </c>
      <c r="AJ6" s="510" t="n"/>
    </row>
    <row r="7" ht="20.15" customHeight="1" s="488">
      <c r="A7" s="54" t="n">
        <v>1</v>
      </c>
      <c r="B7" s="54" t="inlineStr">
        <is>
          <t>3F</t>
        </is>
      </c>
      <c r="C7" s="54" t="inlineStr">
        <is>
          <t>SL No 540430038840 (EB Unit)</t>
        </is>
      </c>
      <c r="D7" s="74" t="n">
        <v>54816</v>
      </c>
      <c r="E7" s="561" t="n">
        <v>55183</v>
      </c>
      <c r="F7" s="561" t="n">
        <v>55389</v>
      </c>
      <c r="G7" s="5" t="n">
        <v>55661</v>
      </c>
      <c r="H7" s="5" t="n">
        <v>55913</v>
      </c>
      <c r="I7" s="561" t="n">
        <v>56117</v>
      </c>
      <c r="J7" s="561" t="n">
        <v>56319</v>
      </c>
      <c r="K7" s="561" t="n">
        <v>56597</v>
      </c>
      <c r="L7" s="561" t="n">
        <v>56862</v>
      </c>
      <c r="M7" s="6" t="n">
        <v>57081</v>
      </c>
      <c r="N7" s="561" t="n">
        <v>57327</v>
      </c>
      <c r="O7" s="561" t="n">
        <v>57583</v>
      </c>
      <c r="P7" s="58" t="n">
        <v>57795</v>
      </c>
      <c r="Q7" s="48" t="n">
        <v>58004</v>
      </c>
      <c r="R7" s="59" t="n">
        <v>58270</v>
      </c>
      <c r="S7" s="561" t="n">
        <v>58557</v>
      </c>
      <c r="T7" s="561" t="n">
        <v>58807</v>
      </c>
      <c r="U7" s="561" t="n">
        <v>59081</v>
      </c>
      <c r="V7" s="6" t="n">
        <v>59318</v>
      </c>
      <c r="W7" s="561" t="n">
        <v>59521</v>
      </c>
      <c r="X7" s="561" t="n">
        <v>59731</v>
      </c>
      <c r="Y7" s="561" t="n">
        <v>60021</v>
      </c>
      <c r="Z7" s="561" t="n">
        <v>60266</v>
      </c>
      <c r="AA7" s="561" t="n">
        <v>60534</v>
      </c>
      <c r="AB7" s="561" t="n">
        <v>60798</v>
      </c>
      <c r="AC7" s="561" t="n">
        <v>61043</v>
      </c>
      <c r="AD7" s="561" t="n">
        <v>61254</v>
      </c>
      <c r="AE7" s="500" t="n">
        <v>61469</v>
      </c>
      <c r="AF7" s="500" t="n">
        <v>61709</v>
      </c>
      <c r="AG7" s="54" t="n">
        <v>61953</v>
      </c>
      <c r="AH7" s="54" t="n">
        <v>62161</v>
      </c>
      <c r="AI7" s="54" t="n">
        <v>62276</v>
      </c>
      <c r="AJ7" s="77">
        <f>AI7-D7</f>
        <v/>
      </c>
      <c r="AK7" s="78" t="n"/>
    </row>
    <row r="8" ht="20.15" customHeight="1" s="488">
      <c r="A8" s="49" t="n"/>
      <c r="B8" s="49" t="n"/>
      <c r="C8" s="79" t="inlineStr">
        <is>
          <t>DG</t>
        </is>
      </c>
      <c r="D8" s="79" t="n">
        <v>3578</v>
      </c>
      <c r="E8" s="49" t="n">
        <v>3626</v>
      </c>
      <c r="F8" s="49" t="n">
        <v>3630</v>
      </c>
      <c r="G8" s="49" t="n">
        <v>3630</v>
      </c>
      <c r="H8" s="49" t="n">
        <v>3630</v>
      </c>
      <c r="I8" s="49" t="n">
        <v>3630</v>
      </c>
      <c r="J8" s="49" t="n">
        <v>3630</v>
      </c>
      <c r="K8" s="49" t="n">
        <v>3630</v>
      </c>
      <c r="L8" s="49" t="n">
        <v>3631</v>
      </c>
      <c r="M8" s="76" t="n">
        <v>3663</v>
      </c>
      <c r="N8" s="49" t="n">
        <v>3663</v>
      </c>
      <c r="O8" s="49" t="n">
        <v>3665</v>
      </c>
      <c r="P8" s="49" t="n">
        <v>3665</v>
      </c>
      <c r="Q8" s="49" t="n">
        <v>3665</v>
      </c>
      <c r="R8" s="49" t="n">
        <v>3665</v>
      </c>
      <c r="S8" s="49" t="n">
        <v>3665</v>
      </c>
      <c r="T8" s="49" t="n">
        <v>3665</v>
      </c>
      <c r="U8" s="49" t="n">
        <v>3665</v>
      </c>
      <c r="V8" s="49" t="n">
        <v>3678</v>
      </c>
      <c r="W8" s="49" t="n">
        <v>3678</v>
      </c>
      <c r="X8" s="49" t="n">
        <v>3678</v>
      </c>
      <c r="Y8" s="49" t="n">
        <v>3678</v>
      </c>
      <c r="Z8" s="49" t="n">
        <v>3678</v>
      </c>
      <c r="AA8" s="49" t="n">
        <v>3678</v>
      </c>
      <c r="AB8" s="49" t="n">
        <v>3678</v>
      </c>
      <c r="AC8" s="49" t="n">
        <v>3678</v>
      </c>
      <c r="AD8" s="49" t="n">
        <v>3678</v>
      </c>
      <c r="AE8" s="49" t="n">
        <v>3678</v>
      </c>
      <c r="AF8" s="49" t="n">
        <v>3678</v>
      </c>
      <c r="AG8" s="49" t="n">
        <v>3678</v>
      </c>
      <c r="AH8" s="49" t="n">
        <v>3678</v>
      </c>
      <c r="AI8" s="49" t="n">
        <v>3678</v>
      </c>
      <c r="AJ8" s="77">
        <f>AI8-D8</f>
        <v/>
      </c>
      <c r="AK8" s="78" t="n"/>
    </row>
    <row r="9" ht="20.15" customHeight="1" s="488">
      <c r="A9" s="500" t="n">
        <v>2</v>
      </c>
      <c r="B9" s="500" t="inlineStr">
        <is>
          <t>3F</t>
        </is>
      </c>
      <c r="C9" s="500" t="inlineStr">
        <is>
          <t>SL No 540430038845 (EB Unit)</t>
        </is>
      </c>
      <c r="D9" s="529" t="n">
        <v>1956</v>
      </c>
      <c r="E9" s="500" t="n">
        <v>1956</v>
      </c>
      <c r="F9" s="500" t="n">
        <v>1956</v>
      </c>
      <c r="G9" s="500" t="n">
        <v>1956</v>
      </c>
      <c r="H9" s="500" t="n">
        <v>1956</v>
      </c>
      <c r="I9" s="500" t="n">
        <v>1956</v>
      </c>
      <c r="J9" s="500" t="n">
        <v>1956</v>
      </c>
      <c r="K9" s="500" t="n">
        <v>1956</v>
      </c>
      <c r="L9" s="500" t="n">
        <v>1956</v>
      </c>
      <c r="M9" s="500" t="n">
        <v>1956</v>
      </c>
      <c r="N9" s="500" t="n">
        <v>1956</v>
      </c>
      <c r="O9" s="500" t="n">
        <v>1956</v>
      </c>
      <c r="P9" s="500" t="n">
        <v>1956</v>
      </c>
      <c r="Q9" s="500" t="n">
        <v>1956</v>
      </c>
      <c r="R9" s="500" t="n">
        <v>1956</v>
      </c>
      <c r="S9" s="500" t="n">
        <v>1956</v>
      </c>
      <c r="T9" s="500" t="n">
        <v>1956</v>
      </c>
      <c r="U9" s="500" t="n">
        <v>1956</v>
      </c>
      <c r="V9" s="500" t="n">
        <v>1956</v>
      </c>
      <c r="W9" s="500" t="n">
        <v>1956</v>
      </c>
      <c r="X9" s="500" t="n">
        <v>1956</v>
      </c>
      <c r="Y9" s="500" t="n">
        <v>1956</v>
      </c>
      <c r="Z9" s="500" t="n">
        <v>1956</v>
      </c>
      <c r="AA9" s="500" t="n">
        <v>1956</v>
      </c>
      <c r="AB9" s="500" t="n">
        <v>1956</v>
      </c>
      <c r="AC9" s="500" t="n">
        <v>1956</v>
      </c>
      <c r="AD9" s="500" t="n">
        <v>1956</v>
      </c>
      <c r="AE9" s="500" t="n">
        <v>1956</v>
      </c>
      <c r="AF9" s="500" t="n">
        <v>1956</v>
      </c>
      <c r="AG9" s="500" t="n">
        <v>1956</v>
      </c>
      <c r="AH9" s="500" t="n">
        <v>1956</v>
      </c>
      <c r="AI9" s="500" t="n">
        <v>1956</v>
      </c>
      <c r="AJ9" s="77">
        <f>AI9-D9</f>
        <v/>
      </c>
    </row>
    <row r="10" ht="20.15" customHeight="1" s="488">
      <c r="A10" s="500" t="n"/>
      <c r="B10" s="500" t="n"/>
      <c r="C10" s="79" t="inlineStr">
        <is>
          <t>DG</t>
        </is>
      </c>
      <c r="D10" s="529" t="n">
        <v>28.6</v>
      </c>
      <c r="E10" s="500" t="n">
        <v>28.6</v>
      </c>
      <c r="F10" s="500" t="n">
        <v>28.6</v>
      </c>
      <c r="G10" s="500" t="n">
        <v>28.6</v>
      </c>
      <c r="H10" s="500" t="n">
        <v>28.6</v>
      </c>
      <c r="I10" s="500" t="n">
        <v>28.6</v>
      </c>
      <c r="J10" s="500" t="n">
        <v>28.6</v>
      </c>
      <c r="K10" s="500" t="n">
        <v>28.6</v>
      </c>
      <c r="L10" s="500" t="n">
        <v>28.6</v>
      </c>
      <c r="M10" s="500" t="n">
        <v>28.6</v>
      </c>
      <c r="N10" s="500" t="n">
        <v>28.6</v>
      </c>
      <c r="O10" s="500" t="n">
        <v>28.6</v>
      </c>
      <c r="P10" s="500" t="n">
        <v>28.6</v>
      </c>
      <c r="Q10" s="500" t="n">
        <v>28.6</v>
      </c>
      <c r="R10" s="500" t="n">
        <v>28.6</v>
      </c>
      <c r="S10" s="500" t="n">
        <v>28.6</v>
      </c>
      <c r="T10" s="500" t="n">
        <v>28.6</v>
      </c>
      <c r="U10" s="500" t="n">
        <v>28.6</v>
      </c>
      <c r="V10" s="500" t="n">
        <v>28.6</v>
      </c>
      <c r="W10" s="500" t="n">
        <v>28.6</v>
      </c>
      <c r="X10" s="500" t="n">
        <v>28.6</v>
      </c>
      <c r="Y10" s="500" t="n">
        <v>28.6</v>
      </c>
      <c r="Z10" s="500" t="n">
        <v>28.6</v>
      </c>
      <c r="AA10" s="500" t="n">
        <v>28.6</v>
      </c>
      <c r="AB10" s="500" t="n">
        <v>28.6</v>
      </c>
      <c r="AC10" s="500" t="n">
        <v>28.6</v>
      </c>
      <c r="AD10" s="500" t="n">
        <v>28.6</v>
      </c>
      <c r="AE10" s="500" t="n">
        <v>28.6</v>
      </c>
      <c r="AF10" s="500" t="n">
        <v>28.6</v>
      </c>
      <c r="AG10" s="500" t="n">
        <v>28.6</v>
      </c>
      <c r="AH10" s="500" t="n">
        <v>28.6</v>
      </c>
      <c r="AI10" s="500" t="n">
        <v>28.6</v>
      </c>
      <c r="AJ10" s="77">
        <f>AI10-D10</f>
        <v/>
      </c>
    </row>
    <row r="11" ht="20.15" customHeight="1" s="488">
      <c r="A11" s="500" t="n">
        <v>3</v>
      </c>
      <c r="B11" s="500" t="inlineStr">
        <is>
          <t>3F</t>
        </is>
      </c>
      <c r="C11" s="500" t="inlineStr">
        <is>
          <t>SL No 540430038844 (EB Unit)</t>
        </is>
      </c>
      <c r="D11" s="79" t="n">
        <v>83064</v>
      </c>
      <c r="E11" s="561" t="n">
        <v>83574</v>
      </c>
      <c r="F11" s="561" t="n">
        <v>83846</v>
      </c>
      <c r="G11" s="561" t="n">
        <v>84233</v>
      </c>
      <c r="H11" s="561" t="n">
        <v>84587</v>
      </c>
      <c r="I11" s="561" t="n">
        <v>84854</v>
      </c>
      <c r="J11" s="561" t="n">
        <v>85127</v>
      </c>
      <c r="K11" s="561" t="n">
        <v>85517</v>
      </c>
      <c r="L11" s="561" t="n">
        <v>85896</v>
      </c>
      <c r="M11" s="561" t="n">
        <v>86225</v>
      </c>
      <c r="N11" s="561" t="n">
        <v>86592</v>
      </c>
      <c r="O11" s="561" t="n">
        <v>86919</v>
      </c>
      <c r="P11" s="561" t="n">
        <v>87197</v>
      </c>
      <c r="Q11" s="561" t="n">
        <v>87471</v>
      </c>
      <c r="R11" s="561" t="n">
        <v>87844</v>
      </c>
      <c r="S11" s="561" t="n">
        <v>88255</v>
      </c>
      <c r="T11" s="561" t="n">
        <v>88627</v>
      </c>
      <c r="U11" s="561" t="n">
        <v>89017</v>
      </c>
      <c r="V11" s="561" t="n">
        <v>89356</v>
      </c>
      <c r="W11" s="561" t="n">
        <v>89622</v>
      </c>
      <c r="X11" s="561" t="n">
        <v>89877</v>
      </c>
      <c r="Y11" s="561" t="n">
        <v>90313</v>
      </c>
      <c r="Z11" s="561" t="n">
        <v>90670</v>
      </c>
      <c r="AA11" s="49" t="n">
        <v>91053</v>
      </c>
      <c r="AB11" s="49" t="n">
        <v>91431</v>
      </c>
      <c r="AC11" s="561" t="n">
        <v>91774</v>
      </c>
      <c r="AD11" s="561" t="n">
        <v>92050</v>
      </c>
      <c r="AE11" s="49" t="n">
        <v>92332</v>
      </c>
      <c r="AF11" s="49" t="n">
        <v>92667</v>
      </c>
      <c r="AG11" s="49" t="n">
        <v>93000</v>
      </c>
      <c r="AH11" s="49" t="n">
        <v>93280</v>
      </c>
      <c r="AI11" s="49" t="n">
        <v>93430</v>
      </c>
      <c r="AJ11" s="77">
        <f>AI11-D11</f>
        <v/>
      </c>
    </row>
    <row r="12" ht="20.15" customHeight="1" s="488">
      <c r="A12" s="500" t="n"/>
      <c r="B12" s="500" t="n"/>
      <c r="C12" s="79" t="inlineStr">
        <is>
          <t>DG</t>
        </is>
      </c>
      <c r="D12" s="529" t="n">
        <v>5395</v>
      </c>
      <c r="E12" s="500" t="n">
        <v>5468</v>
      </c>
      <c r="F12" s="500" t="n">
        <v>5474</v>
      </c>
      <c r="G12" s="500" t="n">
        <v>5474</v>
      </c>
      <c r="H12" s="500" t="n">
        <v>5474</v>
      </c>
      <c r="I12" s="500" t="n">
        <v>5474</v>
      </c>
      <c r="J12" s="500" t="n">
        <v>5474</v>
      </c>
      <c r="K12" s="500" t="n">
        <v>5474</v>
      </c>
      <c r="L12" s="500" t="n">
        <v>5476</v>
      </c>
      <c r="M12" s="500" t="n">
        <v>5517</v>
      </c>
      <c r="N12" s="500" t="n">
        <v>5517</v>
      </c>
      <c r="O12" s="500" t="n">
        <v>5519</v>
      </c>
      <c r="P12" s="500" t="n">
        <v>5519</v>
      </c>
      <c r="Q12" s="500" t="n">
        <v>5519</v>
      </c>
      <c r="R12" s="500" t="n">
        <v>5519</v>
      </c>
      <c r="S12" s="500" t="n">
        <v>5519</v>
      </c>
      <c r="T12" s="500" t="n">
        <v>5519</v>
      </c>
      <c r="U12" s="500" t="n">
        <v>5519</v>
      </c>
      <c r="V12" s="500" t="n">
        <v>5538</v>
      </c>
      <c r="W12" s="500" t="n">
        <v>5538</v>
      </c>
      <c r="X12" s="500" t="n">
        <v>5538</v>
      </c>
      <c r="Y12" s="500" t="n">
        <v>5538</v>
      </c>
      <c r="Z12" s="500" t="n">
        <v>5538</v>
      </c>
      <c r="AA12" s="500" t="n">
        <v>5538</v>
      </c>
      <c r="AB12" s="500" t="n">
        <v>5538</v>
      </c>
      <c r="AC12" s="500" t="n">
        <v>5538</v>
      </c>
      <c r="AD12" s="500" t="n">
        <v>5538</v>
      </c>
      <c r="AE12" s="500" t="n">
        <v>5538</v>
      </c>
      <c r="AF12" s="500" t="n">
        <v>5538</v>
      </c>
      <c r="AG12" s="500" t="n">
        <v>5538</v>
      </c>
      <c r="AH12" s="500" t="n">
        <v>5538</v>
      </c>
      <c r="AI12" s="500" t="n">
        <v>5538</v>
      </c>
      <c r="AJ12" s="77">
        <f>AI12-D12</f>
        <v/>
      </c>
    </row>
    <row r="13" ht="20.15" customHeight="1" s="488">
      <c r="A13" s="500" t="n">
        <v>4</v>
      </c>
      <c r="B13" s="500" t="inlineStr">
        <is>
          <t>3F</t>
        </is>
      </c>
      <c r="C13" s="500" t="inlineStr">
        <is>
          <t>SL No 540430038821 (EB Unit)</t>
        </is>
      </c>
      <c r="D13" s="529" t="n">
        <v>0</v>
      </c>
      <c r="E13" s="500" t="n">
        <v>0</v>
      </c>
      <c r="F13" s="500" t="n">
        <v>0</v>
      </c>
      <c r="G13" s="500" t="n">
        <v>0</v>
      </c>
      <c r="H13" s="500" t="n">
        <v>0</v>
      </c>
      <c r="I13" s="500" t="n">
        <v>0</v>
      </c>
      <c r="J13" s="500" t="n">
        <v>0</v>
      </c>
      <c r="K13" s="500" t="n">
        <v>0</v>
      </c>
      <c r="L13" s="500" t="n">
        <v>0</v>
      </c>
      <c r="M13" s="500" t="n">
        <v>0</v>
      </c>
      <c r="N13" s="500" t="n">
        <v>0</v>
      </c>
      <c r="O13" s="500" t="n">
        <v>0</v>
      </c>
      <c r="P13" s="500" t="n">
        <v>0</v>
      </c>
      <c r="Q13" s="500" t="n">
        <v>0</v>
      </c>
      <c r="R13" s="500" t="n">
        <v>0</v>
      </c>
      <c r="S13" s="500" t="n">
        <v>0</v>
      </c>
      <c r="T13" s="500" t="n">
        <v>0</v>
      </c>
      <c r="U13" s="500" t="n">
        <v>0</v>
      </c>
      <c r="V13" s="500" t="n">
        <v>0</v>
      </c>
      <c r="W13" s="500" t="n">
        <v>0</v>
      </c>
      <c r="X13" s="500" t="n">
        <v>0</v>
      </c>
      <c r="Y13" s="500" t="n">
        <v>0</v>
      </c>
      <c r="Z13" s="500" t="n">
        <v>0</v>
      </c>
      <c r="AA13" s="500" t="n">
        <v>0</v>
      </c>
      <c r="AB13" s="500" t="n">
        <v>0</v>
      </c>
      <c r="AC13" s="500" t="n">
        <v>0</v>
      </c>
      <c r="AD13" s="500" t="n">
        <v>0</v>
      </c>
      <c r="AE13" s="500" t="n">
        <v>0</v>
      </c>
      <c r="AF13" s="500" t="n">
        <v>0</v>
      </c>
      <c r="AG13" s="500" t="n">
        <v>0</v>
      </c>
      <c r="AH13" s="500" t="n">
        <v>0</v>
      </c>
      <c r="AI13" s="500" t="n">
        <v>0</v>
      </c>
      <c r="AJ13" s="77">
        <f>AI13-D13</f>
        <v/>
      </c>
    </row>
    <row r="14" ht="20.15" customHeight="1" s="488">
      <c r="A14" s="500" t="n"/>
      <c r="B14" s="500" t="n"/>
      <c r="C14" s="79" t="inlineStr">
        <is>
          <t>DG</t>
        </is>
      </c>
      <c r="D14" s="529" t="n">
        <v>0</v>
      </c>
      <c r="E14" s="500" t="n">
        <v>0</v>
      </c>
      <c r="F14" s="500" t="n">
        <v>0</v>
      </c>
      <c r="G14" s="500" t="n">
        <v>0</v>
      </c>
      <c r="H14" s="500" t="n">
        <v>0</v>
      </c>
      <c r="I14" s="500" t="n">
        <v>0</v>
      </c>
      <c r="J14" s="500" t="n">
        <v>0</v>
      </c>
      <c r="K14" s="500" t="n">
        <v>0</v>
      </c>
      <c r="L14" s="500" t="n">
        <v>0</v>
      </c>
      <c r="M14" s="500" t="n">
        <v>0</v>
      </c>
      <c r="N14" s="500" t="n">
        <v>0</v>
      </c>
      <c r="O14" s="500" t="n">
        <v>0</v>
      </c>
      <c r="P14" s="500" t="n">
        <v>0</v>
      </c>
      <c r="Q14" s="500" t="n">
        <v>0</v>
      </c>
      <c r="R14" s="500" t="n">
        <v>0</v>
      </c>
      <c r="S14" s="500" t="n">
        <v>0</v>
      </c>
      <c r="T14" s="500" t="n">
        <v>0</v>
      </c>
      <c r="U14" s="500" t="n">
        <v>0</v>
      </c>
      <c r="V14" s="500" t="n">
        <v>0</v>
      </c>
      <c r="W14" s="500" t="n">
        <v>0</v>
      </c>
      <c r="X14" s="500" t="n">
        <v>0</v>
      </c>
      <c r="Y14" s="500" t="n">
        <v>0</v>
      </c>
      <c r="Z14" s="500" t="n">
        <v>0</v>
      </c>
      <c r="AA14" s="500" t="n">
        <v>0</v>
      </c>
      <c r="AB14" s="500" t="n">
        <v>0</v>
      </c>
      <c r="AC14" s="500" t="n">
        <v>0</v>
      </c>
      <c r="AD14" s="500" t="n">
        <v>0</v>
      </c>
      <c r="AE14" s="500" t="n">
        <v>0</v>
      </c>
      <c r="AF14" s="500" t="n">
        <v>0</v>
      </c>
      <c r="AG14" s="500" t="n">
        <v>0</v>
      </c>
      <c r="AH14" s="500" t="n">
        <v>0</v>
      </c>
      <c r="AI14" s="500" t="n">
        <v>0</v>
      </c>
      <c r="AJ14" s="77">
        <f>AI14-D14</f>
        <v/>
      </c>
    </row>
    <row r="15" ht="20.15" customHeight="1" s="488">
      <c r="A15" s="500" t="n">
        <v>5</v>
      </c>
      <c r="B15" s="500" t="inlineStr">
        <is>
          <t>3F</t>
        </is>
      </c>
      <c r="C15" s="500" t="inlineStr">
        <is>
          <t>SL No 540430038849 (EB Unit)</t>
        </is>
      </c>
      <c r="D15" s="79" t="n">
        <v>34422</v>
      </c>
      <c r="E15" s="561" t="n">
        <v>34691</v>
      </c>
      <c r="F15" s="561" t="n">
        <v>34790</v>
      </c>
      <c r="G15" s="561" t="n">
        <v>34985</v>
      </c>
      <c r="H15" s="561" t="n">
        <v>35169</v>
      </c>
      <c r="I15" s="561" t="n">
        <v>35267</v>
      </c>
      <c r="J15" s="561" t="n">
        <v>35377</v>
      </c>
      <c r="K15" s="561" t="n">
        <v>35596</v>
      </c>
      <c r="L15" s="561" t="n">
        <v>35802</v>
      </c>
      <c r="M15" s="561" t="n">
        <v>35990</v>
      </c>
      <c r="N15" s="561" t="n">
        <v>36187</v>
      </c>
      <c r="O15" s="561" t="n">
        <v>36335</v>
      </c>
      <c r="P15" s="561" t="n">
        <v>36453</v>
      </c>
      <c r="Q15" s="561" t="n">
        <v>36561</v>
      </c>
      <c r="R15" s="561" t="n">
        <v>36785</v>
      </c>
      <c r="S15" s="561" t="n">
        <v>37020</v>
      </c>
      <c r="T15" s="561" t="n">
        <v>37228</v>
      </c>
      <c r="U15" s="33" t="n">
        <v>37441</v>
      </c>
      <c r="V15" s="561" t="n">
        <v>37634</v>
      </c>
      <c r="W15" s="561" t="n">
        <v>37731</v>
      </c>
      <c r="X15" s="561" t="n">
        <v>37834</v>
      </c>
      <c r="Y15" s="561" t="n">
        <v>38063</v>
      </c>
      <c r="Z15" s="561" t="n">
        <v>38259</v>
      </c>
      <c r="AA15" s="49" t="n">
        <v>38475</v>
      </c>
      <c r="AB15" s="49" t="n">
        <v>38680</v>
      </c>
      <c r="AC15" s="561" t="n">
        <v>38872</v>
      </c>
      <c r="AD15" s="561" t="n">
        <v>38991</v>
      </c>
      <c r="AE15" s="49" t="n">
        <v>39112</v>
      </c>
      <c r="AF15" s="49" t="n">
        <v>39307</v>
      </c>
      <c r="AG15" s="49" t="n">
        <v>39491</v>
      </c>
      <c r="AH15" s="49" t="n">
        <v>39608</v>
      </c>
      <c r="AI15" s="49" t="n">
        <v>39703</v>
      </c>
      <c r="AJ15" s="77">
        <f>AI15-D15</f>
        <v/>
      </c>
    </row>
    <row r="16" ht="20.15" customHeight="1" s="488">
      <c r="A16" s="500" t="n"/>
      <c r="B16" s="500" t="n"/>
      <c r="C16" s="79" t="inlineStr">
        <is>
          <t>DG</t>
        </is>
      </c>
      <c r="D16" s="529" t="n">
        <v>2751</v>
      </c>
      <c r="E16" s="500" t="n">
        <v>2790</v>
      </c>
      <c r="F16" s="500" t="n">
        <v>2792</v>
      </c>
      <c r="G16" s="500" t="n">
        <v>2792</v>
      </c>
      <c r="H16" s="500" t="n">
        <v>2792</v>
      </c>
      <c r="I16" s="500" t="n">
        <v>2792</v>
      </c>
      <c r="J16" s="500" t="n">
        <v>2792</v>
      </c>
      <c r="K16" s="500" t="n">
        <v>2792</v>
      </c>
      <c r="L16" s="500" t="n">
        <v>2793</v>
      </c>
      <c r="M16" s="500" t="n">
        <v>2814</v>
      </c>
      <c r="N16" s="500" t="n">
        <v>2814</v>
      </c>
      <c r="O16" s="500" t="n">
        <v>2815</v>
      </c>
      <c r="P16" s="500" t="n">
        <v>2815</v>
      </c>
      <c r="Q16" s="500" t="n">
        <v>2815</v>
      </c>
      <c r="R16" s="500" t="n">
        <v>2815</v>
      </c>
      <c r="S16" s="500" t="n">
        <v>2815</v>
      </c>
      <c r="T16" s="500" t="n">
        <v>2815</v>
      </c>
      <c r="U16" s="500" t="n">
        <v>2815</v>
      </c>
      <c r="V16" s="500" t="n">
        <v>2826</v>
      </c>
      <c r="W16" s="500" t="n">
        <v>2826</v>
      </c>
      <c r="X16" s="500" t="n">
        <v>2826</v>
      </c>
      <c r="Y16" s="500" t="n">
        <v>2826</v>
      </c>
      <c r="Z16" s="500" t="n">
        <v>2826</v>
      </c>
      <c r="AA16" s="500" t="n">
        <v>2826</v>
      </c>
      <c r="AB16" s="500" t="n">
        <v>2826</v>
      </c>
      <c r="AC16" s="500" t="n">
        <v>2826</v>
      </c>
      <c r="AD16" s="500" t="n">
        <v>2826</v>
      </c>
      <c r="AE16" s="500" t="n">
        <v>2826</v>
      </c>
      <c r="AF16" s="500" t="n">
        <v>2826</v>
      </c>
      <c r="AG16" s="500" t="n">
        <v>2826</v>
      </c>
      <c r="AH16" s="500" t="n">
        <v>2826</v>
      </c>
      <c r="AI16" s="500" t="n">
        <v>2826</v>
      </c>
      <c r="AJ16" s="77">
        <f>AI16-D16</f>
        <v/>
      </c>
    </row>
    <row r="17" ht="20.15" customHeight="1" s="488">
      <c r="A17" s="500" t="n">
        <v>6</v>
      </c>
      <c r="B17" s="500" t="inlineStr">
        <is>
          <t>3F</t>
        </is>
      </c>
      <c r="C17" s="500" t="inlineStr">
        <is>
          <t>SL No 540430038646 (EB Unit)</t>
        </is>
      </c>
      <c r="D17" s="79" t="n">
        <v>47463</v>
      </c>
      <c r="E17" s="561" t="n">
        <v>47762</v>
      </c>
      <c r="F17" s="561" t="n">
        <v>47894</v>
      </c>
      <c r="G17" s="561" t="n">
        <v>48144</v>
      </c>
      <c r="H17" s="561" t="n">
        <v>48376</v>
      </c>
      <c r="I17" s="561" t="n">
        <v>48496</v>
      </c>
      <c r="J17" s="561" t="n">
        <v>48608</v>
      </c>
      <c r="K17" s="561" t="n">
        <v>48853</v>
      </c>
      <c r="L17" s="561" t="n">
        <v>49071</v>
      </c>
      <c r="M17" s="561" t="n">
        <v>49282</v>
      </c>
      <c r="N17" s="561" t="n">
        <v>49480</v>
      </c>
      <c r="O17" s="561" t="n">
        <v>49680</v>
      </c>
      <c r="P17" s="561" t="n">
        <v>49785</v>
      </c>
      <c r="Q17" s="561" t="n">
        <v>49898</v>
      </c>
      <c r="R17" s="561" t="n">
        <v>50144</v>
      </c>
      <c r="S17" s="561" t="n">
        <v>50412</v>
      </c>
      <c r="T17" s="561" t="n">
        <v>50653</v>
      </c>
      <c r="U17" s="561" t="n">
        <v>50894</v>
      </c>
      <c r="V17" s="561" t="n">
        <v>51102</v>
      </c>
      <c r="W17" s="561" t="n">
        <v>51201</v>
      </c>
      <c r="X17" s="561" t="n">
        <v>51319</v>
      </c>
      <c r="Y17" s="561" t="n">
        <v>51545</v>
      </c>
      <c r="Z17" s="561" t="n">
        <v>51761</v>
      </c>
      <c r="AA17" s="500" t="n">
        <v>51907</v>
      </c>
      <c r="AB17" s="49" t="n">
        <v>52225</v>
      </c>
      <c r="AC17" s="561" t="n">
        <v>52456</v>
      </c>
      <c r="AD17" s="561" t="n">
        <v>52596</v>
      </c>
      <c r="AE17" s="500" t="n">
        <v>52740</v>
      </c>
      <c r="AF17" s="49" t="n">
        <v>52976</v>
      </c>
      <c r="AG17" s="500" t="n">
        <v>53204</v>
      </c>
      <c r="AH17" s="49" t="n">
        <v>53397</v>
      </c>
      <c r="AI17" s="49" t="n">
        <v>53462</v>
      </c>
      <c r="AJ17" s="77">
        <f>AI17-D17</f>
        <v/>
      </c>
    </row>
    <row r="18" ht="20.15" customHeight="1" s="488">
      <c r="A18" s="500" t="n"/>
      <c r="B18" s="500" t="n"/>
      <c r="C18" s="79" t="inlineStr">
        <is>
          <t>DG</t>
        </is>
      </c>
      <c r="D18" s="104" t="n">
        <v>3663</v>
      </c>
      <c r="E18" s="500" t="n">
        <v>3694</v>
      </c>
      <c r="F18" s="500" t="n">
        <v>3696</v>
      </c>
      <c r="G18" s="500" t="n">
        <v>3696</v>
      </c>
      <c r="H18" s="500" t="n">
        <v>3696</v>
      </c>
      <c r="I18" s="500" t="n">
        <v>3696</v>
      </c>
      <c r="J18" s="500" t="n">
        <v>3696</v>
      </c>
      <c r="K18" s="500" t="n">
        <v>3696</v>
      </c>
      <c r="L18" s="500" t="n">
        <v>3698</v>
      </c>
      <c r="M18" s="500" t="n">
        <v>3721</v>
      </c>
      <c r="N18" s="500" t="n">
        <v>3721</v>
      </c>
      <c r="O18" s="500" t="n">
        <v>3723</v>
      </c>
      <c r="P18" s="500" t="n">
        <v>3723</v>
      </c>
      <c r="Q18" s="500" t="n">
        <v>3723</v>
      </c>
      <c r="R18" s="500" t="n">
        <v>3723</v>
      </c>
      <c r="S18" s="500" t="n">
        <v>3723</v>
      </c>
      <c r="T18" s="500" t="n">
        <v>3723</v>
      </c>
      <c r="U18" s="500" t="n">
        <v>3723</v>
      </c>
      <c r="V18" s="500" t="n">
        <v>3732</v>
      </c>
      <c r="W18" s="500" t="n">
        <v>3732</v>
      </c>
      <c r="X18" s="500" t="n">
        <v>3732</v>
      </c>
      <c r="Y18" s="500" t="n">
        <v>3732</v>
      </c>
      <c r="Z18" s="500" t="n">
        <v>3732</v>
      </c>
      <c r="AA18" s="500" t="n">
        <v>3732</v>
      </c>
      <c r="AB18" s="500" t="n">
        <v>3732</v>
      </c>
      <c r="AC18" s="500" t="n">
        <v>3732</v>
      </c>
      <c r="AD18" s="500" t="n">
        <v>3732</v>
      </c>
      <c r="AE18" s="500" t="n">
        <v>3732</v>
      </c>
      <c r="AF18" s="500" t="n">
        <v>3732</v>
      </c>
      <c r="AG18" s="500" t="n">
        <v>3732</v>
      </c>
      <c r="AH18" s="500" t="n">
        <v>3732</v>
      </c>
      <c r="AI18" s="68" t="n">
        <v>3732</v>
      </c>
      <c r="AJ18" s="77">
        <f>AI18-D18</f>
        <v/>
      </c>
    </row>
    <row r="19" ht="20.15" customHeight="1" s="488">
      <c r="A19" s="500" t="n">
        <v>7</v>
      </c>
      <c r="B19" s="500" t="inlineStr">
        <is>
          <t>3F</t>
        </is>
      </c>
      <c r="C19" s="500" t="inlineStr">
        <is>
          <t>SL No 540430038843 (EB Unit)</t>
        </is>
      </c>
      <c r="D19" s="79" t="n">
        <v>162234</v>
      </c>
      <c r="E19" s="561" t="n">
        <v>163299</v>
      </c>
      <c r="F19" s="561" t="n">
        <v>163637</v>
      </c>
      <c r="G19" s="561" t="n">
        <v>164268</v>
      </c>
      <c r="H19" s="561" t="n">
        <v>164940</v>
      </c>
      <c r="I19" s="561" t="n">
        <v>165419</v>
      </c>
      <c r="J19" s="561" t="n">
        <v>165683</v>
      </c>
      <c r="K19" s="561" t="n">
        <v>166345</v>
      </c>
      <c r="L19" s="561" t="n">
        <v>166980</v>
      </c>
      <c r="M19" s="561" t="n">
        <v>167553</v>
      </c>
      <c r="N19" s="5" t="n">
        <v>168192</v>
      </c>
      <c r="O19" s="561" t="n">
        <v>168822</v>
      </c>
      <c r="P19" s="561" t="n">
        <v>169242</v>
      </c>
      <c r="Q19" s="561" t="n">
        <v>169505</v>
      </c>
      <c r="R19" s="561" t="n">
        <v>170408</v>
      </c>
      <c r="S19" s="5" t="n">
        <v>171106</v>
      </c>
      <c r="T19" s="561" t="n">
        <v>171801</v>
      </c>
      <c r="U19" s="561" t="n">
        <v>172532</v>
      </c>
      <c r="V19" s="561" t="n">
        <v>173162</v>
      </c>
      <c r="W19" s="561" t="n">
        <v>173540</v>
      </c>
      <c r="X19" s="33" t="n">
        <v>174122</v>
      </c>
      <c r="Y19" s="561" t="n">
        <v>174826</v>
      </c>
      <c r="Z19" s="561" t="n">
        <v>175475</v>
      </c>
      <c r="AA19" s="49" t="n">
        <v>176173</v>
      </c>
      <c r="AB19" s="49" t="n">
        <v>176892</v>
      </c>
      <c r="AC19" s="561" t="n">
        <v>177515</v>
      </c>
      <c r="AD19" s="561" t="n">
        <v>177923</v>
      </c>
      <c r="AE19" s="49" t="n">
        <v>178381</v>
      </c>
      <c r="AF19" s="49" t="n">
        <v>179046</v>
      </c>
      <c r="AG19" s="49" t="n">
        <v>179757</v>
      </c>
      <c r="AH19" s="49" t="n">
        <v>180328</v>
      </c>
      <c r="AI19" s="49" t="n">
        <v>180492</v>
      </c>
      <c r="AJ19" s="77">
        <f>AI19-D19</f>
        <v/>
      </c>
    </row>
    <row r="20" ht="20.15" customHeight="1" s="488">
      <c r="A20" s="500" t="n"/>
      <c r="B20" s="500" t="n"/>
      <c r="C20" s="79" t="inlineStr">
        <is>
          <t>DG</t>
        </is>
      </c>
      <c r="D20" s="529" t="n">
        <v>9950</v>
      </c>
      <c r="E20" s="500" t="n">
        <v>10045</v>
      </c>
      <c r="F20" s="500" t="n">
        <v>10054</v>
      </c>
      <c r="G20" s="500" t="n">
        <v>10054</v>
      </c>
      <c r="H20" s="500" t="n">
        <v>10054</v>
      </c>
      <c r="I20" s="500" t="n">
        <v>10054</v>
      </c>
      <c r="J20" s="500" t="n">
        <v>10054</v>
      </c>
      <c r="K20" s="500" t="n">
        <v>10054</v>
      </c>
      <c r="L20" s="500" t="n">
        <v>10060</v>
      </c>
      <c r="M20" s="500" t="n">
        <v>10100</v>
      </c>
      <c r="N20" s="500" t="n">
        <v>10100</v>
      </c>
      <c r="O20" s="500" t="n">
        <v>10104</v>
      </c>
      <c r="P20" s="500" t="n">
        <v>10104</v>
      </c>
      <c r="Q20" s="500" t="n">
        <v>10104</v>
      </c>
      <c r="R20" s="500" t="n">
        <v>10104</v>
      </c>
      <c r="S20" s="500" t="n">
        <v>10104</v>
      </c>
      <c r="T20" s="500" t="n">
        <v>10104</v>
      </c>
      <c r="U20" s="500" t="n">
        <v>10104</v>
      </c>
      <c r="V20" s="500" t="n">
        <v>10150</v>
      </c>
      <c r="W20" s="500" t="n">
        <v>10150</v>
      </c>
      <c r="X20" s="500" t="n">
        <v>10150</v>
      </c>
      <c r="Y20" s="500" t="n">
        <v>10150</v>
      </c>
      <c r="Z20" s="500" t="n">
        <v>10150</v>
      </c>
      <c r="AA20" s="500" t="n">
        <v>10150</v>
      </c>
      <c r="AB20" s="500" t="n">
        <v>10150</v>
      </c>
      <c r="AC20" s="500" t="n">
        <v>10150</v>
      </c>
      <c r="AD20" s="500" t="n">
        <v>10150</v>
      </c>
      <c r="AE20" s="500" t="n">
        <v>10150</v>
      </c>
      <c r="AF20" s="500" t="n">
        <v>10150</v>
      </c>
      <c r="AG20" s="500" t="n">
        <v>10150</v>
      </c>
      <c r="AH20" s="500" t="n">
        <v>10150</v>
      </c>
      <c r="AI20" s="500" t="n">
        <v>10150</v>
      </c>
      <c r="AJ20" s="77">
        <f>AI20-D20</f>
        <v/>
      </c>
    </row>
    <row r="21" ht="20.15" customHeight="1" s="488">
      <c r="A21" s="500" t="n">
        <v>8</v>
      </c>
      <c r="B21" s="500" t="inlineStr">
        <is>
          <t>3F</t>
        </is>
      </c>
      <c r="C21" s="500" t="inlineStr">
        <is>
          <t>SL No 540430038848 (EB Unit)</t>
        </is>
      </c>
      <c r="D21" s="79" t="n">
        <v>35970</v>
      </c>
      <c r="E21" s="561" t="n">
        <v>36232</v>
      </c>
      <c r="F21" s="561" t="n">
        <v>36292</v>
      </c>
      <c r="G21" s="561" t="n">
        <v>36444</v>
      </c>
      <c r="H21" s="561" t="n">
        <v>36607</v>
      </c>
      <c r="I21" s="561" t="n">
        <v>36742</v>
      </c>
      <c r="J21" s="561" t="n">
        <v>36914</v>
      </c>
      <c r="K21" s="561" t="n">
        <v>37059</v>
      </c>
      <c r="L21" s="561" t="n">
        <v>37234</v>
      </c>
      <c r="M21" s="561" t="n">
        <v>37328</v>
      </c>
      <c r="N21" s="561" t="n">
        <v>37509</v>
      </c>
      <c r="O21" s="561" t="n">
        <v>37650</v>
      </c>
      <c r="P21" s="561" t="n">
        <v>37791</v>
      </c>
      <c r="Q21" s="561" t="n">
        <v>37917</v>
      </c>
      <c r="R21" s="561" t="n">
        <v>38012</v>
      </c>
      <c r="S21" s="561" t="n">
        <v>38082</v>
      </c>
      <c r="T21" s="561" t="n">
        <v>38185</v>
      </c>
      <c r="U21" s="561" t="n">
        <v>38295</v>
      </c>
      <c r="V21" s="561" t="n">
        <v>38424</v>
      </c>
      <c r="W21" s="561" t="n">
        <v>38551</v>
      </c>
      <c r="X21" s="561" t="n">
        <v>38669</v>
      </c>
      <c r="Y21" s="561" t="n">
        <v>38858</v>
      </c>
      <c r="Z21" s="561" t="n">
        <v>38994</v>
      </c>
      <c r="AA21" s="49" t="n">
        <v>39157</v>
      </c>
      <c r="AB21" s="49" t="n">
        <v>39247</v>
      </c>
      <c r="AC21" s="561" t="n">
        <v>39319</v>
      </c>
      <c r="AD21" s="561" t="n">
        <v>39386</v>
      </c>
      <c r="AE21" s="49" t="n">
        <v>39453</v>
      </c>
      <c r="AF21" s="49" t="n">
        <v>39533</v>
      </c>
      <c r="AG21" s="49" t="n">
        <v>39613</v>
      </c>
      <c r="AH21" s="49" t="n">
        <v>39686</v>
      </c>
      <c r="AI21" s="49" t="n">
        <v>39721</v>
      </c>
      <c r="AJ21" s="77">
        <f>AI21-D21</f>
        <v/>
      </c>
    </row>
    <row r="22" ht="20.15" customHeight="1" s="488">
      <c r="A22" s="500" t="n"/>
      <c r="B22" s="500" t="n"/>
      <c r="C22" s="79" t="inlineStr">
        <is>
          <t>DG</t>
        </is>
      </c>
      <c r="D22" s="529" t="n">
        <v>1887</v>
      </c>
      <c r="E22" s="500" t="n">
        <v>1925</v>
      </c>
      <c r="F22" s="500" t="n">
        <v>1927</v>
      </c>
      <c r="G22" s="500" t="n">
        <v>1927</v>
      </c>
      <c r="H22" s="500" t="n">
        <v>1927</v>
      </c>
      <c r="I22" s="500" t="n">
        <v>1927</v>
      </c>
      <c r="J22" s="500" t="n">
        <v>1927</v>
      </c>
      <c r="K22" s="500" t="n">
        <v>1927</v>
      </c>
      <c r="L22" s="500" t="n">
        <v>1927</v>
      </c>
      <c r="M22" s="500" t="n">
        <v>1933</v>
      </c>
      <c r="N22" s="500" t="n">
        <v>1933</v>
      </c>
      <c r="O22" s="500" t="n">
        <v>1933</v>
      </c>
      <c r="P22" s="500" t="n">
        <v>1933</v>
      </c>
      <c r="Q22" s="500" t="n">
        <v>1933</v>
      </c>
      <c r="R22" s="500" t="n">
        <v>1933</v>
      </c>
      <c r="S22" s="500" t="n">
        <v>1933</v>
      </c>
      <c r="T22" s="500" t="n">
        <v>1933</v>
      </c>
      <c r="U22" s="500" t="n">
        <v>1933</v>
      </c>
      <c r="V22" s="500" t="n">
        <v>1945</v>
      </c>
      <c r="W22" s="500" t="n">
        <v>1945</v>
      </c>
      <c r="X22" s="500" t="n">
        <v>1945</v>
      </c>
      <c r="Y22" s="500" t="n">
        <v>1945</v>
      </c>
      <c r="Z22" s="500" t="n">
        <v>1945</v>
      </c>
      <c r="AA22" s="500" t="n">
        <v>1945</v>
      </c>
      <c r="AB22" s="500" t="n">
        <v>1945</v>
      </c>
      <c r="AC22" s="500" t="n">
        <v>1945</v>
      </c>
      <c r="AD22" s="500" t="n">
        <v>1945</v>
      </c>
      <c r="AE22" s="500" t="n">
        <v>1945</v>
      </c>
      <c r="AF22" s="500" t="n">
        <v>1945</v>
      </c>
      <c r="AG22" s="500" t="n">
        <v>1945</v>
      </c>
      <c r="AH22" s="500" t="n">
        <v>1945</v>
      </c>
      <c r="AI22" s="500" t="n">
        <v>1945</v>
      </c>
      <c r="AJ22" s="77">
        <f>AI22-D22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20" t="n"/>
      <c r="AJ23" s="501" t="n"/>
    </row>
    <row r="24" ht="14.5" customHeight="1" s="488">
      <c r="A24" s="500" t="n">
        <v>1</v>
      </c>
      <c r="B24" s="500" t="inlineStr">
        <is>
          <t>3F</t>
        </is>
      </c>
      <c r="C24" s="500" t="inlineStr">
        <is>
          <t>AHU1</t>
        </is>
      </c>
      <c r="D24" s="79" t="n">
        <v>17175</v>
      </c>
      <c r="E24" s="561" t="n">
        <v>17313</v>
      </c>
      <c r="F24" s="561" t="n">
        <v>17315</v>
      </c>
      <c r="G24" s="561" t="n">
        <v>17410</v>
      </c>
      <c r="H24" s="561" t="n">
        <v>17499</v>
      </c>
      <c r="I24" s="561" t="n">
        <v>17499</v>
      </c>
      <c r="J24" s="561" t="n">
        <v>17499</v>
      </c>
      <c r="K24" s="561" t="n">
        <v>17598</v>
      </c>
      <c r="L24" s="561" t="n">
        <v>17682</v>
      </c>
      <c r="M24" s="561" t="n">
        <v>17771</v>
      </c>
      <c r="N24" s="561" t="n">
        <v>17850</v>
      </c>
      <c r="O24" s="561" t="n">
        <v>17932</v>
      </c>
      <c r="P24" s="561" t="n">
        <v>17932</v>
      </c>
      <c r="Q24" s="561" t="n">
        <v>17932</v>
      </c>
      <c r="R24" s="561" t="n">
        <v>18022</v>
      </c>
      <c r="S24" s="561" t="n">
        <v>18098</v>
      </c>
      <c r="T24" s="561" t="n">
        <v>18183</v>
      </c>
      <c r="U24" s="561" t="n">
        <v>18266</v>
      </c>
      <c r="V24" s="561" t="n">
        <v>18335</v>
      </c>
      <c r="W24" s="561" t="n">
        <v>18383</v>
      </c>
      <c r="X24" s="561" t="n">
        <v>18383</v>
      </c>
      <c r="Y24" s="561" t="n">
        <v>18469</v>
      </c>
      <c r="Z24" s="561" t="n">
        <v>18557</v>
      </c>
      <c r="AA24" s="500" t="n">
        <v>18650</v>
      </c>
      <c r="AB24" s="500" t="n">
        <v>18731</v>
      </c>
      <c r="AC24" s="561" t="n">
        <v>18819</v>
      </c>
      <c r="AD24" s="561" t="n">
        <v>18875</v>
      </c>
      <c r="AE24" s="500" t="n">
        <v>18875</v>
      </c>
      <c r="AF24" s="500" t="n">
        <v>18952</v>
      </c>
      <c r="AG24" s="500" t="n">
        <v>19026</v>
      </c>
      <c r="AH24" s="49" t="n">
        <v>19096</v>
      </c>
      <c r="AI24" s="49" t="n">
        <v>19096</v>
      </c>
      <c r="AJ24" s="82">
        <f>AI24-D24</f>
        <v/>
      </c>
    </row>
    <row r="25" ht="13" customHeight="1" s="488">
      <c r="A25" s="500" t="n"/>
      <c r="B25" s="500" t="n"/>
      <c r="C25" s="529" t="inlineStr">
        <is>
          <t>DG</t>
        </is>
      </c>
      <c r="D25" s="529" t="n">
        <v>1779</v>
      </c>
      <c r="E25" s="500" t="n">
        <v>1792</v>
      </c>
      <c r="F25" s="500" t="n">
        <v>1792</v>
      </c>
      <c r="G25" s="500" t="n">
        <v>1792</v>
      </c>
      <c r="H25" s="500" t="n">
        <v>1792</v>
      </c>
      <c r="I25" s="500" t="n">
        <v>1792</v>
      </c>
      <c r="J25" s="500" t="n">
        <v>1792</v>
      </c>
      <c r="K25" s="500" t="n">
        <v>1792</v>
      </c>
      <c r="L25" s="500" t="n">
        <v>1793</v>
      </c>
      <c r="M25" s="500" t="n">
        <v>1795</v>
      </c>
      <c r="N25" s="500" t="n">
        <v>1795</v>
      </c>
      <c r="O25" s="500" t="n">
        <v>1796</v>
      </c>
      <c r="P25" s="500" t="n">
        <v>1796</v>
      </c>
      <c r="Q25" s="500" t="n">
        <v>1796</v>
      </c>
      <c r="R25" s="500" t="n">
        <v>1796</v>
      </c>
      <c r="S25" s="500" t="n">
        <v>1796</v>
      </c>
      <c r="T25" s="500" t="n">
        <v>1796</v>
      </c>
      <c r="U25" s="500" t="n">
        <v>1796</v>
      </c>
      <c r="V25" s="500" t="n">
        <v>1804</v>
      </c>
      <c r="W25" s="500" t="n">
        <v>1804</v>
      </c>
      <c r="X25" s="500" t="n">
        <v>1804</v>
      </c>
      <c r="Y25" s="500" t="n">
        <v>1804</v>
      </c>
      <c r="Z25" s="500" t="n">
        <v>1804</v>
      </c>
      <c r="AA25" s="500" t="n">
        <v>1804</v>
      </c>
      <c r="AB25" s="500" t="n">
        <v>1804</v>
      </c>
      <c r="AC25" s="500" t="n">
        <v>1804</v>
      </c>
      <c r="AD25" s="500" t="n">
        <v>1804</v>
      </c>
      <c r="AE25" s="500" t="n">
        <v>1804</v>
      </c>
      <c r="AF25" s="500" t="n">
        <v>1804</v>
      </c>
      <c r="AG25" s="500" t="n">
        <v>1804</v>
      </c>
      <c r="AH25" s="500" t="n">
        <v>1804</v>
      </c>
      <c r="AI25" s="500" t="n">
        <v>1804</v>
      </c>
      <c r="AJ25" s="82">
        <f>AI25-D25</f>
        <v/>
      </c>
    </row>
    <row r="26" ht="14.5" customHeight="1" s="488">
      <c r="A26" s="500" t="n">
        <v>2</v>
      </c>
      <c r="B26" s="500" t="inlineStr">
        <is>
          <t>3F</t>
        </is>
      </c>
      <c r="C26" s="500" t="inlineStr">
        <is>
          <t>AHU2</t>
        </is>
      </c>
      <c r="D26" s="79" t="n">
        <v>16020</v>
      </c>
      <c r="E26" s="561" t="n">
        <v>16154</v>
      </c>
      <c r="F26" s="561" t="n">
        <v>16155</v>
      </c>
      <c r="G26" s="561" t="n">
        <v>16256</v>
      </c>
      <c r="H26" s="561" t="n">
        <v>16336</v>
      </c>
      <c r="I26" s="561" t="n">
        <v>16336</v>
      </c>
      <c r="J26" s="561" t="n">
        <v>16336</v>
      </c>
      <c r="K26" s="561" t="n">
        <v>16442</v>
      </c>
      <c r="L26" s="561" t="n">
        <v>16515</v>
      </c>
      <c r="M26" s="561" t="n">
        <v>16598</v>
      </c>
      <c r="N26" s="561" t="n">
        <v>16682</v>
      </c>
      <c r="O26" s="561" t="n">
        <v>16774</v>
      </c>
      <c r="P26" s="561" t="n">
        <v>16774</v>
      </c>
      <c r="Q26" s="561" t="n">
        <v>16774</v>
      </c>
      <c r="R26" s="561" t="n">
        <v>16880</v>
      </c>
      <c r="S26" s="561" t="n">
        <v>16978</v>
      </c>
      <c r="T26" s="561" t="n">
        <v>17067</v>
      </c>
      <c r="U26" s="561" t="n">
        <v>17149</v>
      </c>
      <c r="V26" s="561" t="n">
        <v>17233</v>
      </c>
      <c r="W26" s="561" t="n">
        <v>17263</v>
      </c>
      <c r="X26" s="561" t="n">
        <v>17263</v>
      </c>
      <c r="Y26" s="561" t="n">
        <v>17361</v>
      </c>
      <c r="Z26" s="561" t="n">
        <v>17459</v>
      </c>
      <c r="AA26" s="49" t="n">
        <v>17556</v>
      </c>
      <c r="AB26" s="49" t="n">
        <v>17649</v>
      </c>
      <c r="AC26" s="561" t="n">
        <v>17738</v>
      </c>
      <c r="AD26" s="561" t="n">
        <v>17791</v>
      </c>
      <c r="AE26" s="49" t="n">
        <v>17791</v>
      </c>
      <c r="AF26" s="49" t="n">
        <v>17895</v>
      </c>
      <c r="AG26" s="49" t="n">
        <v>17997</v>
      </c>
      <c r="AH26" s="49" t="n">
        <v>18091</v>
      </c>
      <c r="AI26" s="49" t="n">
        <v>18091</v>
      </c>
      <c r="AJ26" s="82">
        <f>AI26-D26</f>
        <v/>
      </c>
    </row>
    <row r="27" ht="13" customHeight="1" s="488">
      <c r="A27" s="500" t="n"/>
      <c r="B27" s="500" t="n"/>
      <c r="C27" s="529" t="inlineStr">
        <is>
          <t>DG</t>
        </is>
      </c>
      <c r="D27" s="529" t="n">
        <v>1735</v>
      </c>
      <c r="E27" s="500" t="n">
        <v>1745</v>
      </c>
      <c r="F27" s="500" t="n">
        <v>1745</v>
      </c>
      <c r="G27" s="500" t="n">
        <v>1745</v>
      </c>
      <c r="H27" s="500" t="n">
        <v>1745</v>
      </c>
      <c r="I27" s="500" t="n">
        <v>1745</v>
      </c>
      <c r="J27" s="500" t="n">
        <v>1745</v>
      </c>
      <c r="K27" s="500" t="n">
        <v>1745</v>
      </c>
      <c r="L27" s="500" t="n">
        <v>1746</v>
      </c>
      <c r="M27" s="500" t="n">
        <v>1748</v>
      </c>
      <c r="N27" s="500" t="n">
        <v>1748</v>
      </c>
      <c r="O27" s="500" t="n">
        <v>1748</v>
      </c>
      <c r="P27" s="500" t="n">
        <v>1748</v>
      </c>
      <c r="Q27" s="500" t="n">
        <v>1748</v>
      </c>
      <c r="R27" s="500" t="n">
        <v>1749</v>
      </c>
      <c r="S27" s="500" t="n">
        <v>1749</v>
      </c>
      <c r="T27" s="500" t="n">
        <v>1749</v>
      </c>
      <c r="U27" s="500" t="n">
        <v>1749</v>
      </c>
      <c r="V27" s="500" t="n">
        <v>1758</v>
      </c>
      <c r="W27" s="500" t="n">
        <v>1758</v>
      </c>
      <c r="X27" s="500" t="n">
        <v>1758</v>
      </c>
      <c r="Y27" s="500" t="n">
        <v>1758</v>
      </c>
      <c r="Z27" s="500" t="n">
        <v>1758</v>
      </c>
      <c r="AA27" s="500" t="n">
        <v>1758</v>
      </c>
      <c r="AB27" s="500" t="n">
        <v>1758</v>
      </c>
      <c r="AC27" s="500" t="n">
        <v>1758</v>
      </c>
      <c r="AD27" s="500" t="n">
        <v>1758</v>
      </c>
      <c r="AE27" s="500" t="n">
        <v>1758</v>
      </c>
      <c r="AF27" s="500" t="n">
        <v>1758</v>
      </c>
      <c r="AG27" s="500" t="n">
        <v>1758</v>
      </c>
      <c r="AH27" s="500" t="n">
        <v>1758</v>
      </c>
      <c r="AI27" s="500" t="n">
        <v>1758</v>
      </c>
      <c r="AJ27" s="82">
        <f>AI27-D27</f>
        <v/>
      </c>
    </row>
    <row r="28" ht="14.5" customHeight="1" s="488">
      <c r="A28" s="500" t="n">
        <v>3</v>
      </c>
      <c r="B28" s="500" t="inlineStr">
        <is>
          <t>3F</t>
        </is>
      </c>
      <c r="C28" s="500" t="inlineStr">
        <is>
          <t>AHU3</t>
        </is>
      </c>
      <c r="D28" s="529" t="n">
        <v>15531</v>
      </c>
      <c r="E28" s="561" t="n">
        <v>15678</v>
      </c>
      <c r="F28" s="561" t="n">
        <v>15678</v>
      </c>
      <c r="G28" s="561" t="n">
        <v>15777</v>
      </c>
      <c r="H28" s="561" t="n">
        <v>15865</v>
      </c>
      <c r="I28" s="561" t="n">
        <v>15865</v>
      </c>
      <c r="J28" s="561" t="n">
        <v>15865</v>
      </c>
      <c r="K28" s="561" t="n">
        <v>15963</v>
      </c>
      <c r="L28" s="561" t="n">
        <v>16058</v>
      </c>
      <c r="M28" s="561" t="n">
        <v>16155</v>
      </c>
      <c r="N28" s="561" t="n">
        <v>16248</v>
      </c>
      <c r="O28" s="561" t="n">
        <v>16343</v>
      </c>
      <c r="P28" s="561" t="n">
        <v>16343</v>
      </c>
      <c r="Q28" s="561" t="n">
        <v>16343</v>
      </c>
      <c r="R28" s="561" t="n">
        <v>16432</v>
      </c>
      <c r="S28" s="561" t="n">
        <v>16526</v>
      </c>
      <c r="T28" s="561" t="n">
        <v>16631</v>
      </c>
      <c r="U28" s="561" t="n">
        <v>16735</v>
      </c>
      <c r="V28" s="561" t="n">
        <v>16822</v>
      </c>
      <c r="W28" s="561" t="n">
        <v>16856</v>
      </c>
      <c r="X28" s="561" t="n">
        <v>16856</v>
      </c>
      <c r="Y28" s="561" t="n">
        <v>16962</v>
      </c>
      <c r="Z28" s="561" t="n">
        <v>17067</v>
      </c>
      <c r="AA28" s="500" t="n">
        <v>17176</v>
      </c>
      <c r="AB28" s="500" t="n">
        <v>17277</v>
      </c>
      <c r="AC28" s="561" t="n">
        <v>17375</v>
      </c>
      <c r="AD28" s="561" t="n">
        <v>17392</v>
      </c>
      <c r="AE28" s="500" t="n">
        <v>17392</v>
      </c>
      <c r="AF28" s="500" t="n">
        <v>17475</v>
      </c>
      <c r="AG28" s="500" t="n">
        <v>17538</v>
      </c>
      <c r="AH28" s="500" t="n">
        <v>17608</v>
      </c>
      <c r="AI28" s="500" t="n">
        <v>17608</v>
      </c>
      <c r="AJ28" s="82">
        <f>AI28-D28</f>
        <v/>
      </c>
    </row>
    <row r="29" ht="13" customHeight="1" s="488">
      <c r="A29" s="500" t="n"/>
      <c r="B29" s="500" t="n"/>
      <c r="C29" s="529" t="inlineStr">
        <is>
          <t>DG</t>
        </is>
      </c>
      <c r="D29" s="529" t="n">
        <v>1826</v>
      </c>
      <c r="E29" s="500" t="n">
        <v>1840</v>
      </c>
      <c r="F29" s="500" t="n">
        <v>1840</v>
      </c>
      <c r="G29" s="500" t="n">
        <v>1840</v>
      </c>
      <c r="H29" s="500" t="n">
        <v>1840</v>
      </c>
      <c r="I29" s="500" t="n">
        <v>1840</v>
      </c>
      <c r="J29" s="500" t="n">
        <v>1840</v>
      </c>
      <c r="K29" s="500" t="n">
        <v>1840</v>
      </c>
      <c r="L29" s="500" t="n">
        <v>1841</v>
      </c>
      <c r="M29" s="500" t="n">
        <v>1842</v>
      </c>
      <c r="N29" s="500" t="n">
        <v>1842</v>
      </c>
      <c r="O29" s="500" t="n">
        <v>1843</v>
      </c>
      <c r="P29" s="500" t="n">
        <v>1843</v>
      </c>
      <c r="Q29" s="500" t="n">
        <v>1843</v>
      </c>
      <c r="R29" s="500" t="n">
        <v>1843</v>
      </c>
      <c r="S29" s="500" t="n">
        <v>1843</v>
      </c>
      <c r="T29" s="500" t="n">
        <v>1843</v>
      </c>
      <c r="U29" s="500" t="n">
        <v>1843</v>
      </c>
      <c r="V29" s="500" t="n">
        <v>1854</v>
      </c>
      <c r="W29" s="500" t="n">
        <v>1854</v>
      </c>
      <c r="X29" s="500" t="n">
        <v>1854</v>
      </c>
      <c r="Y29" s="500" t="n">
        <v>1854</v>
      </c>
      <c r="Z29" s="500" t="n">
        <v>1854</v>
      </c>
      <c r="AA29" s="500" t="n">
        <v>1854</v>
      </c>
      <c r="AB29" s="500" t="n">
        <v>1854</v>
      </c>
      <c r="AC29" s="500" t="n">
        <v>1854</v>
      </c>
      <c r="AD29" s="500" t="n">
        <v>1854</v>
      </c>
      <c r="AE29" s="500" t="n">
        <v>1854</v>
      </c>
      <c r="AF29" s="500" t="n">
        <v>1854</v>
      </c>
      <c r="AG29" s="500" t="n">
        <v>1854</v>
      </c>
      <c r="AH29" s="500" t="n">
        <v>1854</v>
      </c>
      <c r="AI29" s="500" t="n">
        <v>1854</v>
      </c>
      <c r="AJ29" s="82">
        <f>AI29-D29</f>
        <v/>
      </c>
    </row>
    <row r="30" ht="14.5" customHeight="1" s="488">
      <c r="A30" s="500" t="n">
        <v>4</v>
      </c>
      <c r="B30" s="500" t="inlineStr">
        <is>
          <t>3F</t>
        </is>
      </c>
      <c r="C30" s="500" t="inlineStr">
        <is>
          <t>AHU4</t>
        </is>
      </c>
      <c r="D30" s="79" t="n">
        <v>14836</v>
      </c>
      <c r="E30" s="561" t="n">
        <v>14970</v>
      </c>
      <c r="F30" s="561" t="n">
        <v>14971</v>
      </c>
      <c r="G30" s="561" t="n">
        <v>15058</v>
      </c>
      <c r="H30" s="561" t="n">
        <v>15145</v>
      </c>
      <c r="I30" s="561" t="n">
        <v>15145</v>
      </c>
      <c r="J30" s="561" t="n">
        <v>15145</v>
      </c>
      <c r="K30" s="561" t="n">
        <v>15237</v>
      </c>
      <c r="L30" s="561" t="n">
        <v>15322</v>
      </c>
      <c r="M30" s="561" t="n">
        <v>15417</v>
      </c>
      <c r="N30" s="561" t="n">
        <v>15505</v>
      </c>
      <c r="O30" s="561" t="n">
        <v>15590</v>
      </c>
      <c r="P30" s="561" t="n">
        <v>15590</v>
      </c>
      <c r="Q30" s="561" t="n">
        <v>15590</v>
      </c>
      <c r="R30" s="561" t="n">
        <v>15685</v>
      </c>
      <c r="S30" s="561" t="n">
        <v>15770</v>
      </c>
      <c r="T30" s="561" t="n">
        <v>15859</v>
      </c>
      <c r="U30" s="561" t="n">
        <v>15942</v>
      </c>
      <c r="V30" s="561" t="n">
        <v>16016</v>
      </c>
      <c r="W30" s="561" t="n">
        <v>16066</v>
      </c>
      <c r="X30" s="561" t="n">
        <v>16066</v>
      </c>
      <c r="Y30" s="561" t="n">
        <v>16154</v>
      </c>
      <c r="Z30" s="561" t="n">
        <v>16238</v>
      </c>
      <c r="AA30" s="500" t="n">
        <v>16329</v>
      </c>
      <c r="AB30" s="500" t="n">
        <v>16380</v>
      </c>
      <c r="AC30" s="561" t="n">
        <v>16444</v>
      </c>
      <c r="AD30" s="561" t="n">
        <v>16488</v>
      </c>
      <c r="AE30" s="500" t="n">
        <v>16488</v>
      </c>
      <c r="AF30" s="500" t="n">
        <v>16555</v>
      </c>
      <c r="AG30" s="500" t="n">
        <v>16627</v>
      </c>
      <c r="AH30" s="49" t="n">
        <v>16687</v>
      </c>
      <c r="AI30" s="49" t="n">
        <v>16687</v>
      </c>
      <c r="AJ30" s="82">
        <f>AI30-D30</f>
        <v/>
      </c>
    </row>
    <row r="31" ht="13" customHeight="1" s="488">
      <c r="A31" s="500" t="n"/>
      <c r="B31" s="500" t="n"/>
      <c r="C31" s="529" t="inlineStr">
        <is>
          <t>DG</t>
        </is>
      </c>
      <c r="D31" s="529" t="n">
        <v>1637</v>
      </c>
      <c r="E31" s="500" t="n">
        <v>1649</v>
      </c>
      <c r="F31" s="500" t="n">
        <v>1649</v>
      </c>
      <c r="G31" s="500" t="n">
        <v>1649</v>
      </c>
      <c r="H31" s="500" t="n">
        <v>1649</v>
      </c>
      <c r="I31" s="500" t="n">
        <v>1649</v>
      </c>
      <c r="J31" s="500" t="n">
        <v>1649</v>
      </c>
      <c r="K31" s="500" t="n">
        <v>1649</v>
      </c>
      <c r="L31" s="500" t="n">
        <v>1650</v>
      </c>
      <c r="M31" s="500" t="n">
        <v>1651</v>
      </c>
      <c r="N31" s="500" t="n">
        <v>1651</v>
      </c>
      <c r="O31" s="500" t="n">
        <v>1652</v>
      </c>
      <c r="P31" s="500" t="n">
        <v>1652</v>
      </c>
      <c r="Q31" s="500" t="n">
        <v>1652</v>
      </c>
      <c r="R31" s="500" t="n">
        <v>1652</v>
      </c>
      <c r="S31" s="500" t="n">
        <v>1652</v>
      </c>
      <c r="T31" s="500" t="n">
        <v>1652</v>
      </c>
      <c r="U31" s="500" t="n">
        <v>1652</v>
      </c>
      <c r="V31" s="500" t="n">
        <v>1662</v>
      </c>
      <c r="W31" s="500" t="n">
        <v>1662</v>
      </c>
      <c r="X31" s="500" t="n">
        <v>1662</v>
      </c>
      <c r="Y31" s="500" t="n">
        <v>1662</v>
      </c>
      <c r="Z31" s="500" t="n">
        <v>1662</v>
      </c>
      <c r="AA31" s="500" t="n">
        <v>1662</v>
      </c>
      <c r="AB31" s="500" t="n">
        <v>1662</v>
      </c>
      <c r="AC31" s="500" t="n">
        <v>1662</v>
      </c>
      <c r="AD31" s="500" t="n">
        <v>1662</v>
      </c>
      <c r="AE31" s="500" t="n">
        <v>1662</v>
      </c>
      <c r="AF31" s="500" t="n">
        <v>1662</v>
      </c>
      <c r="AG31" s="500" t="n">
        <v>1662</v>
      </c>
      <c r="AH31" s="500" t="n">
        <v>1662</v>
      </c>
      <c r="AI31" s="500" t="n">
        <v>1662</v>
      </c>
      <c r="AJ31" s="82">
        <f>AI31-D31</f>
        <v/>
      </c>
    </row>
    <row r="32" ht="14.5" customHeight="1" s="488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20" t="n"/>
      <c r="AJ32" s="501" t="n"/>
    </row>
    <row r="33" ht="14.5" customHeight="1" s="488">
      <c r="A33" s="500" t="n">
        <v>1</v>
      </c>
      <c r="B33" s="500" t="inlineStr">
        <is>
          <t>3F</t>
        </is>
      </c>
      <c r="C33" s="500" t="inlineStr">
        <is>
          <t>AHU1 - BTU</t>
        </is>
      </c>
      <c r="D33" s="83" t="n">
        <v>144022</v>
      </c>
      <c r="E33" s="10" t="n">
        <v>145162</v>
      </c>
      <c r="F33" s="10" t="n">
        <v>145162</v>
      </c>
      <c r="G33" s="10" t="n">
        <v>146079</v>
      </c>
      <c r="H33" s="10" t="n">
        <v>146791</v>
      </c>
      <c r="I33" s="10" t="n">
        <v>146791</v>
      </c>
      <c r="J33" s="10" t="n">
        <v>146791</v>
      </c>
      <c r="K33" s="10" t="n">
        <v>147973</v>
      </c>
      <c r="L33" s="10" t="n">
        <v>148799</v>
      </c>
      <c r="M33" s="10" t="n">
        <v>149410</v>
      </c>
      <c r="N33" s="11" t="n">
        <v>150220</v>
      </c>
      <c r="O33" s="11" t="n">
        <v>150681</v>
      </c>
      <c r="P33" s="11" t="n">
        <v>150681</v>
      </c>
      <c r="Q33" s="11" t="n">
        <v>150681</v>
      </c>
      <c r="R33" s="11" t="n">
        <v>151582</v>
      </c>
      <c r="S33" s="11" t="n">
        <v>152340</v>
      </c>
      <c r="T33" s="11" t="n">
        <v>152905</v>
      </c>
      <c r="U33" s="11" t="n">
        <v>153489</v>
      </c>
      <c r="V33" s="11" t="n">
        <v>154078</v>
      </c>
      <c r="W33" s="11" t="n">
        <v>154247</v>
      </c>
      <c r="X33" s="11" t="n">
        <v>154247</v>
      </c>
      <c r="Y33" s="11" t="n">
        <v>155098</v>
      </c>
      <c r="Z33" s="11" t="n">
        <v>155829</v>
      </c>
      <c r="AA33" s="85" t="n">
        <v>156539</v>
      </c>
      <c r="AB33" s="85" t="n">
        <v>157223</v>
      </c>
      <c r="AC33" s="11" t="n">
        <v>157718</v>
      </c>
      <c r="AD33" s="11" t="n">
        <v>157890</v>
      </c>
      <c r="AE33" s="85" t="n">
        <v>157890</v>
      </c>
      <c r="AF33" s="85" t="n">
        <v>158769</v>
      </c>
      <c r="AG33" s="85" t="n">
        <v>159403</v>
      </c>
      <c r="AH33" s="86" t="n">
        <v>159746</v>
      </c>
      <c r="AI33" s="86" t="n">
        <v>159746</v>
      </c>
      <c r="AJ33" s="82">
        <f>AI33-D33</f>
        <v/>
      </c>
    </row>
    <row r="34" ht="14.5" customHeight="1" s="488">
      <c r="A34" s="500" t="n">
        <v>2</v>
      </c>
      <c r="B34" s="500" t="inlineStr">
        <is>
          <t>3F</t>
        </is>
      </c>
      <c r="C34" s="500" t="inlineStr">
        <is>
          <t>AHU2 - BTU</t>
        </is>
      </c>
      <c r="D34" s="83" t="n">
        <v>152135</v>
      </c>
      <c r="E34" s="10" t="n">
        <v>153457</v>
      </c>
      <c r="F34" s="10" t="n">
        <v>153457</v>
      </c>
      <c r="G34" s="10" t="n">
        <v>154462</v>
      </c>
      <c r="H34" s="10" t="n">
        <v>155360</v>
      </c>
      <c r="I34" s="10" t="n">
        <v>155360</v>
      </c>
      <c r="J34" s="10" t="n">
        <v>155360</v>
      </c>
      <c r="K34" s="10" t="n">
        <v>156580</v>
      </c>
      <c r="L34" s="10" t="n">
        <v>157655</v>
      </c>
      <c r="M34" s="10" t="n">
        <v>158594</v>
      </c>
      <c r="N34" s="11" t="n">
        <v>159508</v>
      </c>
      <c r="O34" s="11" t="n">
        <v>160104</v>
      </c>
      <c r="P34" s="11" t="n">
        <v>160104</v>
      </c>
      <c r="Q34" s="11" t="n">
        <v>160104</v>
      </c>
      <c r="R34" s="11" t="n">
        <v>161197</v>
      </c>
      <c r="S34" s="11" t="n">
        <v>162059</v>
      </c>
      <c r="T34" s="11" t="n">
        <v>162767</v>
      </c>
      <c r="U34" s="11" t="n">
        <v>163447</v>
      </c>
      <c r="V34" s="11" t="n">
        <v>164140</v>
      </c>
      <c r="W34" s="11" t="n">
        <v>164461</v>
      </c>
      <c r="X34" s="11" t="n">
        <v>164461</v>
      </c>
      <c r="Y34" s="11" t="n">
        <v>165397</v>
      </c>
      <c r="Z34" s="11" t="n">
        <v>166283</v>
      </c>
      <c r="AA34" s="85" t="n">
        <v>167091</v>
      </c>
      <c r="AB34" s="85" t="n">
        <v>167972</v>
      </c>
      <c r="AC34" s="11" t="n">
        <v>168620</v>
      </c>
      <c r="AD34" s="11" t="n">
        <v>168942</v>
      </c>
      <c r="AE34" s="11" t="n">
        <v>168942</v>
      </c>
      <c r="AF34" s="85" t="n">
        <v>169980</v>
      </c>
      <c r="AG34" s="85" t="n">
        <v>170712</v>
      </c>
      <c r="AH34" s="86" t="n">
        <v>171381</v>
      </c>
      <c r="AI34" s="86" t="n">
        <v>171381</v>
      </c>
      <c r="AJ34" s="82">
        <f>AI34-D34</f>
        <v/>
      </c>
    </row>
    <row r="35" ht="14.5" customHeight="1" s="488">
      <c r="A35" s="500" t="n">
        <v>3</v>
      </c>
      <c r="B35" s="500" t="inlineStr">
        <is>
          <t>3F</t>
        </is>
      </c>
      <c r="C35" s="500" t="inlineStr">
        <is>
          <t>AHU3 - BTU</t>
        </is>
      </c>
      <c r="D35" s="83" t="n">
        <v>158977</v>
      </c>
      <c r="E35" s="10" t="n">
        <v>160207</v>
      </c>
      <c r="F35" s="10" t="n">
        <v>160207</v>
      </c>
      <c r="G35" s="10" t="n">
        <v>161129</v>
      </c>
      <c r="H35" s="10" t="n">
        <v>161902</v>
      </c>
      <c r="I35" s="10" t="n">
        <v>161902</v>
      </c>
      <c r="J35" s="10" t="n">
        <v>161902</v>
      </c>
      <c r="K35" s="10" t="n">
        <v>163111</v>
      </c>
      <c r="L35" s="10" t="n">
        <v>163853</v>
      </c>
      <c r="M35" s="10" t="n">
        <v>164571</v>
      </c>
      <c r="N35" s="10" t="n">
        <v>165358</v>
      </c>
      <c r="O35" s="11" t="n">
        <v>166035</v>
      </c>
      <c r="P35" s="11" t="n">
        <v>166035</v>
      </c>
      <c r="Q35" s="11" t="n">
        <v>166035</v>
      </c>
      <c r="R35" s="11" t="n">
        <v>167031</v>
      </c>
      <c r="S35" s="11" t="n">
        <v>167751</v>
      </c>
      <c r="T35" s="11" t="n">
        <v>168516</v>
      </c>
      <c r="U35" s="11" t="n">
        <v>169242</v>
      </c>
      <c r="V35" s="11" t="n">
        <v>169919</v>
      </c>
      <c r="W35" s="11" t="n">
        <v>170287</v>
      </c>
      <c r="X35" s="11" t="n">
        <v>170287</v>
      </c>
      <c r="Y35" s="11" t="n">
        <v>171209</v>
      </c>
      <c r="Z35" s="11" t="n">
        <v>172020</v>
      </c>
      <c r="AA35" s="85" t="n">
        <v>172774</v>
      </c>
      <c r="AB35" s="85" t="n">
        <v>173480</v>
      </c>
      <c r="AC35" s="11" t="n">
        <v>174061</v>
      </c>
      <c r="AD35" s="11" t="n">
        <v>174252</v>
      </c>
      <c r="AE35" s="11" t="n">
        <v>174252</v>
      </c>
      <c r="AF35" s="85" t="n">
        <v>174996</v>
      </c>
      <c r="AG35" s="85" t="n">
        <v>175623</v>
      </c>
      <c r="AH35" s="86" t="n">
        <v>176009</v>
      </c>
      <c r="AI35" s="86" t="n">
        <v>176009</v>
      </c>
      <c r="AJ35" s="82">
        <f>AI35-D35</f>
        <v/>
      </c>
    </row>
    <row r="36" ht="14.5" customHeight="1" s="488">
      <c r="A36" s="500" t="n">
        <v>4</v>
      </c>
      <c r="B36" s="500" t="inlineStr">
        <is>
          <t>3F</t>
        </is>
      </c>
      <c r="C36" s="500" t="inlineStr">
        <is>
          <t>AHU4 - BTU</t>
        </is>
      </c>
      <c r="D36" s="83" t="n">
        <v>177713</v>
      </c>
      <c r="E36" s="10" t="n">
        <v>178761</v>
      </c>
      <c r="F36" s="10" t="n">
        <v>178761</v>
      </c>
      <c r="G36" s="10" t="n">
        <v>179823</v>
      </c>
      <c r="H36" s="10" t="n">
        <v>180662</v>
      </c>
      <c r="I36" s="10" t="n">
        <v>180662</v>
      </c>
      <c r="J36" s="10" t="n">
        <v>180662</v>
      </c>
      <c r="K36" s="10" t="n">
        <v>182063</v>
      </c>
      <c r="L36" s="10" t="n">
        <v>183045</v>
      </c>
      <c r="M36" s="10" t="n">
        <v>183857</v>
      </c>
      <c r="N36" s="11" t="n">
        <v>184556</v>
      </c>
      <c r="O36" s="11" t="n">
        <v>185147</v>
      </c>
      <c r="P36" s="11" t="n">
        <v>185147</v>
      </c>
      <c r="Q36" s="11" t="n">
        <v>185147</v>
      </c>
      <c r="R36" s="11" t="n">
        <v>186276</v>
      </c>
      <c r="S36" s="11" t="n">
        <v>187028</v>
      </c>
      <c r="T36" s="11" t="n">
        <v>187842</v>
      </c>
      <c r="U36" s="11" t="n">
        <v>188513</v>
      </c>
      <c r="V36" s="11" t="n">
        <v>189110</v>
      </c>
      <c r="W36" s="11" t="n">
        <v>189312</v>
      </c>
      <c r="X36" s="11" t="n">
        <v>189312</v>
      </c>
      <c r="Y36" s="11" t="n">
        <v>190291</v>
      </c>
      <c r="Z36" s="11" t="n">
        <v>191013</v>
      </c>
      <c r="AA36" s="85" t="n">
        <v>191751</v>
      </c>
      <c r="AB36" s="85" t="n">
        <v>192384</v>
      </c>
      <c r="AC36" s="11" t="n">
        <v>192817</v>
      </c>
      <c r="AD36" s="11" t="n">
        <v>192973</v>
      </c>
      <c r="AE36" s="11" t="n">
        <v>192973</v>
      </c>
      <c r="AF36" s="85" t="n">
        <v>193671</v>
      </c>
      <c r="AG36" s="85" t="n">
        <v>194009</v>
      </c>
      <c r="AH36" s="86" t="n">
        <v>194290</v>
      </c>
      <c r="AI36" s="86" t="n">
        <v>194290</v>
      </c>
      <c r="AJ36" s="82">
        <f>AI36-D36</f>
        <v/>
      </c>
    </row>
    <row r="37">
      <c r="D37" s="106" t="n"/>
      <c r="E37" s="90" t="n"/>
      <c r="AD37" s="76" t="n"/>
      <c r="AJ37" s="78" t="n"/>
    </row>
    <row r="38" ht="13" customHeight="1" s="488">
      <c r="A38" s="91" t="n"/>
      <c r="B38" s="92" t="n"/>
      <c r="C38" s="92" t="n"/>
      <c r="D38" s="107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  <c r="AB38" s="91" t="n"/>
      <c r="AC38" s="91" t="n"/>
      <c r="AD38" s="91" t="n"/>
      <c r="AE38" s="91" t="n"/>
      <c r="AF38" s="91" t="n"/>
      <c r="AG38" s="91" t="n"/>
      <c r="AH38" s="91" t="n"/>
      <c r="AI38" s="91" t="n"/>
      <c r="AJ38" s="91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  <c r="AJ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95">
        <f>AG3</f>
        <v/>
      </c>
      <c r="AH41" s="95">
        <f>AH3</f>
        <v/>
      </c>
      <c r="AI41" s="95">
        <f>AI3</f>
        <v/>
      </c>
      <c r="AJ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96">
        <f>AG4</f>
        <v/>
      </c>
      <c r="AH42" s="95">
        <f>AH4</f>
        <v/>
      </c>
      <c r="AI42" s="96">
        <f>AI4</f>
        <v/>
      </c>
      <c r="AJ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97" t="inlineStr">
        <is>
          <t>Time</t>
        </is>
      </c>
      <c r="AH43" s="95">
        <f>AH5</f>
        <v/>
      </c>
      <c r="AI43" s="97" t="inlineStr">
        <is>
          <t>Time</t>
        </is>
      </c>
      <c r="AJ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98" t="n">
        <v>0.3333333333333333</v>
      </c>
      <c r="AH44" s="98" t="n">
        <v>0.3333333333333333</v>
      </c>
      <c r="AI44" s="98" t="n">
        <v>0.3333333333333333</v>
      </c>
      <c r="AJ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105">
        <f>SUM(E54:AI54)</f>
        <v/>
      </c>
      <c r="AK54" s="115" t="inlineStr">
        <is>
          <t>EB</t>
        </is>
      </c>
      <c r="AL54" s="116">
        <f>SUM(AJ7,AJ9,AJ11,AJ13,AJ15,AJ17,AJ19,AJ21)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105">
        <f>SUM(E55:AI55)</f>
        <v/>
      </c>
      <c r="AK55" s="115" t="inlineStr">
        <is>
          <t>AHU</t>
        </is>
      </c>
      <c r="AL55" s="116">
        <f>SUM(AJ24,AJ26,AJ28,AJ30)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105">
        <f>SUM(E56:AI56)</f>
        <v/>
      </c>
      <c r="AK56" s="115" t="inlineStr">
        <is>
          <t>BTU</t>
        </is>
      </c>
      <c r="AL56" s="116">
        <f>SUM(AJ33,AJ34,AJ35,AJ36)/2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105">
        <f>SUM(E57:AI57)</f>
        <v/>
      </c>
      <c r="AK57" s="117" t="inlineStr">
        <is>
          <t>DG</t>
        </is>
      </c>
      <c r="AL57" s="118">
        <f>SUM(AJ8,AJ10,AJ12,AJ14,AJ16,AJ18,AJ20,AJ22,AJ25,AJ27,AJ29,AJ31)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20">
        <f>AI22-AH22</f>
        <v/>
      </c>
      <c r="AJ60" s="21">
        <f>SUM(E60:AI60)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23">
        <f>SUM(AI59,AI57,AI55,AI53,AI51,AI49,AI47,AI45)</f>
        <v/>
      </c>
      <c r="AJ61" s="24">
        <f>SUM(E61:AI61)</f>
        <v/>
      </c>
      <c r="AK61" s="78" t="n"/>
    </row>
    <row r="62" ht="15" customHeight="1" s="488">
      <c r="A62" s="99" t="n"/>
      <c r="B62" s="99" t="n"/>
      <c r="C62" s="63" t="inlineStr">
        <is>
          <t>Total Power- DG</t>
        </is>
      </c>
      <c r="D62" s="108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23">
        <f>SUM(AI46,AI48,AI50,AI52,AI54,AI56,AI58,AI60)</f>
        <v/>
      </c>
      <c r="AJ62" s="24">
        <f>SUM(E62:AI62)</f>
        <v/>
      </c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F61</f>
        <v/>
      </c>
      <c r="G63" s="102">
        <f>G61</f>
        <v/>
      </c>
      <c r="H63" s="102">
        <f>H61</f>
        <v/>
      </c>
      <c r="I63" s="102">
        <f>I61</f>
        <v/>
      </c>
      <c r="J63" s="102">
        <f>J61</f>
        <v/>
      </c>
      <c r="K63" s="102">
        <f>K61</f>
        <v/>
      </c>
      <c r="L63" s="102">
        <f>L61</f>
        <v/>
      </c>
      <c r="M63" s="102">
        <f>M61</f>
        <v/>
      </c>
      <c r="N63" s="102">
        <f>N61</f>
        <v/>
      </c>
      <c r="O63" s="102">
        <f>O61</f>
        <v/>
      </c>
      <c r="P63" s="102">
        <f>P61</f>
        <v/>
      </c>
      <c r="Q63" s="102">
        <f>Q61</f>
        <v/>
      </c>
      <c r="R63" s="102">
        <f>R61</f>
        <v/>
      </c>
      <c r="S63" s="102">
        <f>S61</f>
        <v/>
      </c>
      <c r="T63" s="102">
        <f>T61</f>
        <v/>
      </c>
      <c r="U63" s="102">
        <f>U61</f>
        <v/>
      </c>
      <c r="V63" s="102">
        <f>V61</f>
        <v/>
      </c>
      <c r="W63" s="102">
        <f>W61</f>
        <v/>
      </c>
      <c r="X63" s="102">
        <f>X61</f>
        <v/>
      </c>
      <c r="Y63" s="102">
        <f>Y61</f>
        <v/>
      </c>
      <c r="Z63" s="102">
        <f>Z61</f>
        <v/>
      </c>
      <c r="AA63" s="102">
        <f>AA61</f>
        <v/>
      </c>
      <c r="AB63" s="102">
        <f>AB61</f>
        <v/>
      </c>
      <c r="AC63" s="102">
        <f>AC61</f>
        <v/>
      </c>
      <c r="AD63" s="102">
        <f>AD61</f>
        <v/>
      </c>
      <c r="AE63" s="102">
        <f>AE61</f>
        <v/>
      </c>
      <c r="AF63" s="102">
        <f>AF61</f>
        <v/>
      </c>
      <c r="AG63" s="102">
        <f>AG61</f>
        <v/>
      </c>
      <c r="AH63" s="102">
        <f>AH61</f>
        <v/>
      </c>
      <c r="AI63" s="102">
        <f>AI61</f>
        <v/>
      </c>
      <c r="AJ63" s="102">
        <f>AJ61</f>
        <v/>
      </c>
    </row>
    <row r="64" ht="13" customHeight="1" s="488">
      <c r="A64" s="94" t="n"/>
      <c r="B64" s="534" t="n"/>
      <c r="C64" s="534" t="n"/>
      <c r="D64" s="109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  <c r="AJ64" s="94" t="n"/>
    </row>
    <row r="65" ht="14.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AI24-AH24</f>
        <v/>
      </c>
      <c r="AJ66" s="30">
        <f>SUM(E66:AI66)</f>
        <v/>
      </c>
      <c r="AL66" s="78" t="n"/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AI25-AH25</f>
        <v/>
      </c>
      <c r="AJ67" s="30">
        <f>SUM(E67:AI67)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AI26-AH26</f>
        <v/>
      </c>
      <c r="AJ68" s="30">
        <f>SUM(E68:AI68)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AI27-AH27</f>
        <v/>
      </c>
      <c r="AJ69" s="30">
        <f>SUM(E69:AI69)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AI28-AH28</f>
        <v/>
      </c>
      <c r="AJ70" s="30">
        <f>SUM(E70:AI70)</f>
        <v/>
      </c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AI29-AH29</f>
        <v/>
      </c>
      <c r="AJ71" s="30">
        <f>SUM(E71:AI71)</f>
        <v/>
      </c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AI30-AH30</f>
        <v/>
      </c>
      <c r="AJ72" s="30">
        <f>SUM(E72:AI72)</f>
        <v/>
      </c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AI31-AH31</f>
        <v/>
      </c>
      <c r="AJ73" s="30">
        <f>SUM(E73:AI73)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  <c r="AK74" s="78" t="n"/>
      <c r="AL74" s="78" t="n"/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3">
        <f>SUM(AI67,AI69,AI71,AI73)</f>
        <v/>
      </c>
      <c r="AJ75" s="24">
        <f>SUM(E75:AI75)</f>
        <v/>
      </c>
      <c r="AK75" s="78" t="n"/>
      <c r="AL75" s="78" t="n"/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AI33-AH33</f>
        <v/>
      </c>
      <c r="AJ76" s="30">
        <f>SUM(E76:AI76)</f>
        <v/>
      </c>
      <c r="AL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AI34-AH34</f>
        <v/>
      </c>
      <c r="AJ77" s="30">
        <f>SUM(E77:AI77)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AI35-AH35</f>
        <v/>
      </c>
      <c r="AJ78" s="30">
        <f>SUM(E78:AI78)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AI36-AH36</f>
        <v/>
      </c>
      <c r="AJ79" s="30">
        <f>SUM(E79:AI79)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3">
        <f>SUM(AI76:AI79)</f>
        <v/>
      </c>
      <c r="AJ80" s="24">
        <f>SUM(AJ76:AJ79)</f>
        <v/>
      </c>
      <c r="AK80" s="78" t="n"/>
    </row>
  </sheetData>
  <mergeCells count="49">
    <mergeCell ref="C77:D77"/>
    <mergeCell ref="C68:D68"/>
    <mergeCell ref="E2:AI2"/>
    <mergeCell ref="C58:D58"/>
    <mergeCell ref="B3:B6"/>
    <mergeCell ref="C45:D45"/>
    <mergeCell ref="C74:D74"/>
    <mergeCell ref="C79:D79"/>
    <mergeCell ref="C73:D73"/>
    <mergeCell ref="C47:D47"/>
    <mergeCell ref="C54:D54"/>
    <mergeCell ref="C63:D63"/>
    <mergeCell ref="C65:D65"/>
    <mergeCell ref="C55:D55"/>
    <mergeCell ref="A41:A44"/>
    <mergeCell ref="A3:A6"/>
    <mergeCell ref="C50:D50"/>
    <mergeCell ref="AJ3:AJ6"/>
    <mergeCell ref="C75:D75"/>
    <mergeCell ref="B40:D40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D3:D6"/>
    <mergeCell ref="C61:D61"/>
    <mergeCell ref="C52:D52"/>
    <mergeCell ref="C70:D70"/>
    <mergeCell ref="C48:D48"/>
    <mergeCell ref="B41:B44"/>
    <mergeCell ref="C72:D72"/>
    <mergeCell ref="C67:D67"/>
    <mergeCell ref="C57:D57"/>
    <mergeCell ref="C3:C6"/>
    <mergeCell ref="C66:D66"/>
    <mergeCell ref="C41:D44"/>
    <mergeCell ref="A2:D2"/>
    <mergeCell ref="C53:D53"/>
    <mergeCell ref="B39:D39"/>
    <mergeCell ref="C78:D78"/>
    <mergeCell ref="C69:D69"/>
    <mergeCell ref="C49:D49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K80"/>
  <sheetViews>
    <sheetView topLeftCell="L52" zoomScaleNormal="100" workbookViewId="0">
      <selection activeCell="A22" sqref="A22:AJ22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89" min="3" max="3"/>
    <col width="20" bestFit="1" customWidth="1" style="110" min="4" max="4"/>
    <col width="23" bestFit="1" customWidth="1" style="70" min="5" max="5"/>
    <col width="23" customWidth="1" style="488" min="6" max="19"/>
    <col width="23" bestFit="1" customWidth="1" style="70" min="20" max="22"/>
    <col width="23" customWidth="1" style="488" min="23" max="26"/>
    <col width="23" bestFit="1" customWidth="1" style="70" min="27" max="28"/>
    <col width="23" customWidth="1" style="488" min="29" max="29"/>
    <col width="23" bestFit="1" customWidth="1" style="70" min="30" max="32"/>
    <col width="23" customWidth="1" style="70" min="33" max="33"/>
    <col width="23" bestFit="1" customWidth="1" style="70" min="34" max="34"/>
    <col width="18" bestFit="1" customWidth="1" style="70" min="35" max="35"/>
    <col width="14" customWidth="1" style="70" min="36" max="36"/>
    <col width="18" customWidth="1" style="70" min="37" max="38"/>
    <col width="18" customWidth="1" style="70" min="39" max="16384"/>
  </cols>
  <sheetData>
    <row r="2" ht="16.5" customHeight="1" s="488">
      <c r="A2" s="538" t="n"/>
      <c r="B2" s="505" t="n"/>
      <c r="C2" s="505" t="n"/>
      <c r="D2" s="506" t="n"/>
      <c r="E2" s="535" t="inlineStr">
        <is>
          <t>November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6" t="n"/>
      <c r="AI2" s="69" t="n"/>
    </row>
    <row r="3" ht="13" customHeight="1" s="488">
      <c r="A3" s="530" t="inlineStr">
        <is>
          <t>Sr.No</t>
        </is>
      </c>
      <c r="B3" s="530" t="inlineStr">
        <is>
          <t>Location</t>
        </is>
      </c>
      <c r="C3" s="530" t="inlineStr">
        <is>
          <t>Meter</t>
        </is>
      </c>
      <c r="D3" s="536" t="inlineStr">
        <is>
          <t>Previous Reading</t>
        </is>
      </c>
      <c r="E3" s="71" t="n">
        <v>45597</v>
      </c>
      <c r="F3" s="71" t="n">
        <v>45598</v>
      </c>
      <c r="G3" s="71" t="n">
        <v>45599</v>
      </c>
      <c r="H3" s="71" t="n">
        <v>45600</v>
      </c>
      <c r="I3" s="71" t="n">
        <v>45601</v>
      </c>
      <c r="J3" s="71" t="n">
        <v>45602</v>
      </c>
      <c r="K3" s="71" t="n">
        <v>45603</v>
      </c>
      <c r="L3" s="71" t="n">
        <v>45604</v>
      </c>
      <c r="M3" s="71" t="n">
        <v>45605</v>
      </c>
      <c r="N3" s="71" t="n">
        <v>45606</v>
      </c>
      <c r="O3" s="71" t="n">
        <v>45607</v>
      </c>
      <c r="P3" s="71" t="n">
        <v>45608</v>
      </c>
      <c r="Q3" s="71" t="n">
        <v>45609</v>
      </c>
      <c r="R3" s="71" t="n">
        <v>45610</v>
      </c>
      <c r="S3" s="71" t="n">
        <v>45611</v>
      </c>
      <c r="T3" s="71" t="n">
        <v>45612</v>
      </c>
      <c r="U3" s="71" t="n">
        <v>45613</v>
      </c>
      <c r="V3" s="71" t="n">
        <v>45614</v>
      </c>
      <c r="W3" s="71" t="n">
        <v>45615</v>
      </c>
      <c r="X3" s="71" t="n">
        <v>45616</v>
      </c>
      <c r="Y3" s="71" t="n">
        <v>45617</v>
      </c>
      <c r="Z3" s="71" t="n">
        <v>45618</v>
      </c>
      <c r="AA3" s="71" t="n">
        <v>45619</v>
      </c>
      <c r="AB3" s="71" t="n">
        <v>45620</v>
      </c>
      <c r="AC3" s="71" t="n">
        <v>45621</v>
      </c>
      <c r="AD3" s="71" t="n">
        <v>45622</v>
      </c>
      <c r="AE3" s="71" t="n">
        <v>45623</v>
      </c>
      <c r="AF3" s="71" t="n">
        <v>45624</v>
      </c>
      <c r="AG3" s="71" t="n">
        <v>45625</v>
      </c>
      <c r="AH3" s="71" t="n">
        <v>45626</v>
      </c>
      <c r="AI3" s="537" t="inlineStr">
        <is>
          <t>Consumption</t>
        </is>
      </c>
    </row>
    <row r="4" ht="13" customHeight="1" s="488">
      <c r="A4" s="509" t="n"/>
      <c r="B4" s="509" t="n"/>
      <c r="C4" s="509" t="n"/>
      <c r="D4" s="509" t="n"/>
      <c r="E4" s="72" t="inlineStr">
        <is>
          <t>Fri</t>
        </is>
      </c>
      <c r="F4" s="72" t="inlineStr">
        <is>
          <t>Sat</t>
        </is>
      </c>
      <c r="G4" s="72" t="inlineStr">
        <is>
          <t>Sun</t>
        </is>
      </c>
      <c r="H4" s="72" t="inlineStr">
        <is>
          <t>Mon</t>
        </is>
      </c>
      <c r="I4" s="72" t="inlineStr">
        <is>
          <t>Tue</t>
        </is>
      </c>
      <c r="J4" s="72" t="inlineStr">
        <is>
          <t>Wed</t>
        </is>
      </c>
      <c r="K4" s="72" t="inlineStr">
        <is>
          <t>Thu</t>
        </is>
      </c>
      <c r="L4" s="72" t="inlineStr">
        <is>
          <t>Fri</t>
        </is>
      </c>
      <c r="M4" s="72" t="inlineStr">
        <is>
          <t>Sat</t>
        </is>
      </c>
      <c r="N4" s="72" t="inlineStr">
        <is>
          <t>Sun</t>
        </is>
      </c>
      <c r="O4" s="72" t="inlineStr">
        <is>
          <t>Mon</t>
        </is>
      </c>
      <c r="P4" s="72" t="inlineStr">
        <is>
          <t>Tue</t>
        </is>
      </c>
      <c r="Q4" s="72" t="inlineStr">
        <is>
          <t>Wed</t>
        </is>
      </c>
      <c r="R4" s="72" t="inlineStr">
        <is>
          <t>Thu</t>
        </is>
      </c>
      <c r="S4" s="72" t="inlineStr">
        <is>
          <t>Fri</t>
        </is>
      </c>
      <c r="T4" s="72" t="inlineStr">
        <is>
          <t>Sat</t>
        </is>
      </c>
      <c r="U4" s="72" t="inlineStr">
        <is>
          <t>Sun</t>
        </is>
      </c>
      <c r="V4" s="72" t="inlineStr">
        <is>
          <t>Mon</t>
        </is>
      </c>
      <c r="W4" s="72" t="inlineStr">
        <is>
          <t>Tue</t>
        </is>
      </c>
      <c r="X4" s="72" t="inlineStr">
        <is>
          <t>Wed</t>
        </is>
      </c>
      <c r="Y4" s="72" t="inlineStr">
        <is>
          <t>Thu</t>
        </is>
      </c>
      <c r="Z4" s="72" t="inlineStr">
        <is>
          <t>Fri</t>
        </is>
      </c>
      <c r="AA4" s="72" t="inlineStr">
        <is>
          <t>Sat</t>
        </is>
      </c>
      <c r="AB4" s="72" t="inlineStr">
        <is>
          <t>Sun</t>
        </is>
      </c>
      <c r="AC4" s="72" t="inlineStr">
        <is>
          <t>Mon</t>
        </is>
      </c>
      <c r="AD4" s="72" t="inlineStr">
        <is>
          <t>Tue</t>
        </is>
      </c>
      <c r="AE4" s="72" t="inlineStr">
        <is>
          <t>Wed</t>
        </is>
      </c>
      <c r="AF4" s="72" t="inlineStr">
        <is>
          <t>Thu</t>
        </is>
      </c>
      <c r="AG4" s="72" t="inlineStr">
        <is>
          <t>Fri</t>
        </is>
      </c>
      <c r="AH4" s="72" t="inlineStr">
        <is>
          <t>Sat</t>
        </is>
      </c>
      <c r="AI4" s="509" t="n"/>
    </row>
    <row r="5" ht="13" customHeight="1" s="488">
      <c r="A5" s="509" t="n"/>
      <c r="B5" s="509" t="n"/>
      <c r="C5" s="509" t="n"/>
      <c r="D5" s="509" t="n"/>
      <c r="E5" s="72" t="inlineStr">
        <is>
          <t>Time</t>
        </is>
      </c>
      <c r="F5" s="72" t="inlineStr">
        <is>
          <t>Time</t>
        </is>
      </c>
      <c r="G5" s="72" t="inlineStr">
        <is>
          <t>Time</t>
        </is>
      </c>
      <c r="H5" s="72" t="inlineStr">
        <is>
          <t>Time</t>
        </is>
      </c>
      <c r="I5" s="72" t="inlineStr">
        <is>
          <t>Time</t>
        </is>
      </c>
      <c r="J5" s="72" t="inlineStr">
        <is>
          <t>Time</t>
        </is>
      </c>
      <c r="K5" s="72" t="inlineStr">
        <is>
          <t>Time</t>
        </is>
      </c>
      <c r="L5" s="72" t="inlineStr">
        <is>
          <t>Time</t>
        </is>
      </c>
      <c r="M5" s="72" t="inlineStr">
        <is>
          <t>Time</t>
        </is>
      </c>
      <c r="N5" s="72" t="inlineStr">
        <is>
          <t>Time</t>
        </is>
      </c>
      <c r="O5" s="72" t="inlineStr">
        <is>
          <t>Time</t>
        </is>
      </c>
      <c r="P5" s="72" t="inlineStr">
        <is>
          <t>Time</t>
        </is>
      </c>
      <c r="Q5" s="72" t="inlineStr">
        <is>
          <t>Time</t>
        </is>
      </c>
      <c r="R5" s="72" t="inlineStr">
        <is>
          <t>Time</t>
        </is>
      </c>
      <c r="S5" s="72" t="inlineStr">
        <is>
          <t>Time</t>
        </is>
      </c>
      <c r="T5" s="72" t="inlineStr">
        <is>
          <t>Time</t>
        </is>
      </c>
      <c r="U5" s="72" t="inlineStr">
        <is>
          <t>Time</t>
        </is>
      </c>
      <c r="V5" s="72" t="inlineStr">
        <is>
          <t>Time</t>
        </is>
      </c>
      <c r="W5" s="72" t="inlineStr">
        <is>
          <t>Time</t>
        </is>
      </c>
      <c r="X5" s="72" t="inlineStr">
        <is>
          <t>Time</t>
        </is>
      </c>
      <c r="Y5" s="72" t="inlineStr">
        <is>
          <t>Time</t>
        </is>
      </c>
      <c r="Z5" s="72" t="inlineStr">
        <is>
          <t>Time</t>
        </is>
      </c>
      <c r="AA5" s="72" t="inlineStr">
        <is>
          <t>Time</t>
        </is>
      </c>
      <c r="AB5" s="72" t="inlineStr">
        <is>
          <t>Time</t>
        </is>
      </c>
      <c r="AC5" s="72" t="inlineStr">
        <is>
          <t>Time</t>
        </is>
      </c>
      <c r="AD5" s="72" t="inlineStr">
        <is>
          <t>Time</t>
        </is>
      </c>
      <c r="AE5" s="72" t="inlineStr">
        <is>
          <t>Time</t>
        </is>
      </c>
      <c r="AF5" s="72" t="inlineStr">
        <is>
          <t>Time</t>
        </is>
      </c>
      <c r="AG5" s="72" t="inlineStr">
        <is>
          <t>Time</t>
        </is>
      </c>
      <c r="AH5" s="72" t="inlineStr">
        <is>
          <t>Time</t>
        </is>
      </c>
      <c r="AI5" s="509" t="n"/>
    </row>
    <row r="6" ht="13" customHeight="1" s="488">
      <c r="A6" s="510" t="n"/>
      <c r="B6" s="510" t="n"/>
      <c r="C6" s="510" t="n"/>
      <c r="D6" s="510" t="n"/>
      <c r="E6" s="73" t="n">
        <v>0.3333333333333333</v>
      </c>
      <c r="F6" s="73" t="n">
        <v>0.3333333333333333</v>
      </c>
      <c r="G6" s="73" t="n">
        <v>0.3333333333333333</v>
      </c>
      <c r="H6" s="73" t="n">
        <v>0.3333333333333333</v>
      </c>
      <c r="I6" s="73" t="n">
        <v>0.3333333333333333</v>
      </c>
      <c r="J6" s="73" t="n">
        <v>0.3333333333333333</v>
      </c>
      <c r="K6" s="73" t="n">
        <v>0.3333333333333333</v>
      </c>
      <c r="L6" s="73" t="n">
        <v>0.3333333333333333</v>
      </c>
      <c r="M6" s="73" t="n">
        <v>0.3333333333333333</v>
      </c>
      <c r="N6" s="73" t="n">
        <v>0.3333333333333333</v>
      </c>
      <c r="O6" s="73" t="n">
        <v>0.3333333333333333</v>
      </c>
      <c r="P6" s="73" t="n">
        <v>0.3333333333333333</v>
      </c>
      <c r="Q6" s="73" t="n">
        <v>0.3333333333333333</v>
      </c>
      <c r="R6" s="73" t="n">
        <v>0.3333333333333333</v>
      </c>
      <c r="S6" s="73" t="n">
        <v>0.3333333333333333</v>
      </c>
      <c r="T6" s="73" t="n">
        <v>0.3333333333333333</v>
      </c>
      <c r="U6" s="73" t="n">
        <v>0.3333333333333333</v>
      </c>
      <c r="V6" s="73" t="n">
        <v>0.3333333333333333</v>
      </c>
      <c r="W6" s="73" t="n">
        <v>0.3333333333333333</v>
      </c>
      <c r="X6" s="73" t="n">
        <v>0.3333333333333333</v>
      </c>
      <c r="Y6" s="73" t="n">
        <v>0.3333333333333333</v>
      </c>
      <c r="Z6" s="73" t="n">
        <v>0.3333333333333333</v>
      </c>
      <c r="AA6" s="73" t="n">
        <v>0.3333333333333333</v>
      </c>
      <c r="AB6" s="73" t="n">
        <v>0.3333333333333333</v>
      </c>
      <c r="AC6" s="73" t="n">
        <v>0.3333333333333333</v>
      </c>
      <c r="AD6" s="73" t="n">
        <v>0.3333333333333333</v>
      </c>
      <c r="AE6" s="73" t="n">
        <v>0.3333333333333333</v>
      </c>
      <c r="AF6" s="73" t="n">
        <v>0.3333333333333333</v>
      </c>
      <c r="AG6" s="73" t="n">
        <v>0.3333333333333333</v>
      </c>
      <c r="AH6" s="73" t="n">
        <v>0.3333333333333333</v>
      </c>
      <c r="AI6" s="510" t="n"/>
    </row>
    <row r="7" ht="20.15" customHeight="1" s="488">
      <c r="A7" s="54" t="n">
        <v>1</v>
      </c>
      <c r="B7" s="54" t="inlineStr">
        <is>
          <t>3F</t>
        </is>
      </c>
      <c r="C7" s="54" t="inlineStr">
        <is>
          <t>SL No 540430038840 (EB Unit)</t>
        </is>
      </c>
      <c r="D7" s="74" t="n">
        <v>62276</v>
      </c>
      <c r="E7" s="561" t="n">
        <v>62591</v>
      </c>
      <c r="F7" s="561" t="n">
        <v>62802</v>
      </c>
      <c r="G7" s="49" t="n">
        <v>63034</v>
      </c>
      <c r="H7" s="5" t="n">
        <v>63289</v>
      </c>
      <c r="I7" s="561" t="n">
        <v>63523</v>
      </c>
      <c r="J7" s="561" t="n">
        <v>63788</v>
      </c>
      <c r="K7" s="561" t="n">
        <v>64044</v>
      </c>
      <c r="L7" s="58" t="n">
        <v>64300</v>
      </c>
      <c r="M7" s="48" t="n">
        <v>64518</v>
      </c>
      <c r="N7" s="59" t="n">
        <v>64730</v>
      </c>
      <c r="O7" s="561" t="n">
        <v>64968</v>
      </c>
      <c r="P7" s="58" t="n">
        <v>65239</v>
      </c>
      <c r="Q7" s="48" t="n">
        <v>65508</v>
      </c>
      <c r="R7" s="59" t="n">
        <v>65746</v>
      </c>
      <c r="S7" s="561" t="n">
        <v>66001</v>
      </c>
      <c r="T7" s="561" t="n">
        <v>66173</v>
      </c>
      <c r="U7" s="561" t="n">
        <v>66383</v>
      </c>
      <c r="V7" s="125" t="n">
        <v>66645</v>
      </c>
      <c r="W7" s="561" t="n">
        <v>66927</v>
      </c>
      <c r="X7" s="561" t="n">
        <v>67179</v>
      </c>
      <c r="Y7" s="561" t="n">
        <v>67433</v>
      </c>
      <c r="Z7" s="561" t="n">
        <v>67688</v>
      </c>
      <c r="AA7" s="561" t="n">
        <v>67894</v>
      </c>
      <c r="AB7" s="561" t="n">
        <v>68118</v>
      </c>
      <c r="AC7" s="561" t="n">
        <v>68368</v>
      </c>
      <c r="AD7" s="500" t="n">
        <v>68628</v>
      </c>
      <c r="AE7" s="500" t="n">
        <v>68907</v>
      </c>
      <c r="AF7" s="54" t="n">
        <v>69171</v>
      </c>
      <c r="AG7" s="54" t="n">
        <v>69415</v>
      </c>
      <c r="AH7" s="54" t="n">
        <v>69543</v>
      </c>
      <c r="AI7" s="77">
        <f>AH7-D7</f>
        <v/>
      </c>
      <c r="AJ7" s="78" t="n"/>
    </row>
    <row r="8" ht="20.15" customHeight="1" s="488">
      <c r="A8" s="49" t="n"/>
      <c r="B8" s="49" t="n"/>
      <c r="C8" s="79" t="inlineStr">
        <is>
          <t>DG</t>
        </is>
      </c>
      <c r="D8" s="79" t="n">
        <v>3678</v>
      </c>
      <c r="E8" s="49" t="n">
        <v>3678</v>
      </c>
      <c r="F8" s="49" t="n">
        <v>3678</v>
      </c>
      <c r="G8" s="49" t="n">
        <v>3678</v>
      </c>
      <c r="H8" s="49" t="n">
        <v>3678</v>
      </c>
      <c r="I8" s="49" t="n">
        <v>3682</v>
      </c>
      <c r="J8" s="49" t="n">
        <v>3682</v>
      </c>
      <c r="K8" s="49" t="n">
        <v>3682</v>
      </c>
      <c r="L8" s="49" t="n">
        <v>3682</v>
      </c>
      <c r="M8" s="54" t="n">
        <v>3684</v>
      </c>
      <c r="N8" s="54" t="n">
        <v>3684</v>
      </c>
      <c r="O8" s="49" t="n">
        <v>3718</v>
      </c>
      <c r="P8" s="49" t="n">
        <v>3718</v>
      </c>
      <c r="Q8" s="49" t="n">
        <v>3718</v>
      </c>
      <c r="R8" s="49" t="n">
        <v>3737</v>
      </c>
      <c r="S8" s="49" t="n">
        <v>3737</v>
      </c>
      <c r="T8" s="49" t="n">
        <v>3775</v>
      </c>
      <c r="U8" s="49" t="n">
        <v>3775</v>
      </c>
      <c r="V8" s="49" t="n">
        <v>3775</v>
      </c>
      <c r="W8" s="49" t="n">
        <v>3775</v>
      </c>
      <c r="X8" s="49" t="n">
        <v>3775</v>
      </c>
      <c r="Y8" s="49" t="n">
        <v>3775</v>
      </c>
      <c r="Z8" s="49" t="n">
        <v>3775</v>
      </c>
      <c r="AA8" s="49" t="n">
        <v>3775</v>
      </c>
      <c r="AB8" s="49" t="n">
        <v>3775</v>
      </c>
      <c r="AC8" s="49" t="n">
        <v>3790</v>
      </c>
      <c r="AD8" s="49" t="n">
        <v>3790</v>
      </c>
      <c r="AE8" s="49" t="n">
        <v>3790</v>
      </c>
      <c r="AF8" s="49" t="n">
        <v>3790</v>
      </c>
      <c r="AG8" s="49" t="n">
        <v>3790</v>
      </c>
      <c r="AH8" s="49" t="n">
        <v>3790</v>
      </c>
      <c r="AI8" s="77">
        <f>AH8-D8</f>
        <v/>
      </c>
      <c r="AJ8" s="78" t="n"/>
    </row>
    <row r="9" ht="20.15" customHeight="1" s="488">
      <c r="A9" s="500" t="n">
        <v>2</v>
      </c>
      <c r="B9" s="500" t="inlineStr">
        <is>
          <t>3F</t>
        </is>
      </c>
      <c r="C9" s="500" t="inlineStr">
        <is>
          <t>SL No 540430038845 (EB Unit)</t>
        </is>
      </c>
      <c r="D9" s="529" t="n">
        <v>1956</v>
      </c>
      <c r="E9" s="500" t="n">
        <v>1956</v>
      </c>
      <c r="F9" s="500" t="n">
        <v>1956</v>
      </c>
      <c r="G9" s="500" t="n">
        <v>1956</v>
      </c>
      <c r="H9" s="500" t="n">
        <v>1956</v>
      </c>
      <c r="I9" s="500" t="n">
        <v>1956</v>
      </c>
      <c r="J9" s="500" t="n">
        <v>1956</v>
      </c>
      <c r="K9" s="500" t="n">
        <v>1956</v>
      </c>
      <c r="L9" s="500" t="n">
        <v>1956</v>
      </c>
      <c r="M9" s="500" t="n">
        <v>1956</v>
      </c>
      <c r="N9" s="500" t="n">
        <v>1956</v>
      </c>
      <c r="O9" s="500" t="n">
        <v>1956</v>
      </c>
      <c r="P9" s="500" t="n">
        <v>1956</v>
      </c>
      <c r="Q9" s="500" t="n">
        <v>1956</v>
      </c>
      <c r="R9" s="500" t="n">
        <v>1956</v>
      </c>
      <c r="S9" s="500" t="n">
        <v>1956</v>
      </c>
      <c r="T9" s="500" t="n">
        <v>1956</v>
      </c>
      <c r="U9" s="500" t="n">
        <v>1956</v>
      </c>
      <c r="V9" s="500" t="n">
        <v>1956</v>
      </c>
      <c r="W9" s="500" t="n">
        <v>1956</v>
      </c>
      <c r="X9" s="500" t="n">
        <v>1956</v>
      </c>
      <c r="Y9" s="500" t="n">
        <v>1956</v>
      </c>
      <c r="Z9" s="500" t="n">
        <v>1956</v>
      </c>
      <c r="AA9" s="500" t="n">
        <v>1956</v>
      </c>
      <c r="AB9" s="500" t="n">
        <v>1956</v>
      </c>
      <c r="AC9" s="500" t="n">
        <v>1956</v>
      </c>
      <c r="AD9" s="500" t="n">
        <v>1956</v>
      </c>
      <c r="AE9" s="500" t="n">
        <v>1956</v>
      </c>
      <c r="AF9" s="500" t="n">
        <v>1956</v>
      </c>
      <c r="AG9" s="500" t="n">
        <v>1956</v>
      </c>
      <c r="AH9" s="500" t="n">
        <v>1956</v>
      </c>
      <c r="AI9" s="77">
        <f>AH9-D9</f>
        <v/>
      </c>
    </row>
    <row r="10" ht="20.15" customHeight="1" s="488">
      <c r="A10" s="500" t="n"/>
      <c r="B10" s="500" t="n"/>
      <c r="C10" s="79" t="inlineStr">
        <is>
          <t>DG</t>
        </is>
      </c>
      <c r="D10" s="529" t="n">
        <v>28.6</v>
      </c>
      <c r="E10" s="500" t="n">
        <v>28.6</v>
      </c>
      <c r="F10" s="500" t="n">
        <v>28.6</v>
      </c>
      <c r="G10" s="500" t="n">
        <v>28.6</v>
      </c>
      <c r="H10" s="500" t="n">
        <v>28.6</v>
      </c>
      <c r="I10" s="500" t="n">
        <v>28.6</v>
      </c>
      <c r="J10" s="500" t="n">
        <v>28.6</v>
      </c>
      <c r="K10" s="500" t="n">
        <v>28.6</v>
      </c>
      <c r="L10" s="500" t="n">
        <v>28.6</v>
      </c>
      <c r="M10" s="500" t="n">
        <v>28.6</v>
      </c>
      <c r="N10" s="500" t="n">
        <v>28.6</v>
      </c>
      <c r="O10" s="500" t="n">
        <v>28.6</v>
      </c>
      <c r="P10" s="500" t="n">
        <v>28.6</v>
      </c>
      <c r="Q10" s="500" t="n">
        <v>28.6</v>
      </c>
      <c r="R10" s="500" t="n">
        <v>28.6</v>
      </c>
      <c r="S10" s="500" t="n">
        <v>28.6</v>
      </c>
      <c r="T10" s="500" t="n">
        <v>28.6</v>
      </c>
      <c r="U10" s="500" t="n">
        <v>28.6</v>
      </c>
      <c r="V10" s="500" t="n">
        <v>28.6</v>
      </c>
      <c r="W10" s="500" t="n">
        <v>28.6</v>
      </c>
      <c r="X10" s="500" t="n">
        <v>28.6</v>
      </c>
      <c r="Y10" s="500" t="n">
        <v>28.6</v>
      </c>
      <c r="Z10" s="500" t="n">
        <v>28.6</v>
      </c>
      <c r="AA10" s="500" t="n">
        <v>28.6</v>
      </c>
      <c r="AB10" s="500" t="n">
        <v>28.6</v>
      </c>
      <c r="AC10" s="500" t="n">
        <v>28.6</v>
      </c>
      <c r="AD10" s="500" t="n">
        <v>28.6</v>
      </c>
      <c r="AE10" s="500" t="n">
        <v>28.6</v>
      </c>
      <c r="AF10" s="500" t="n">
        <v>28.6</v>
      </c>
      <c r="AG10" s="500" t="n">
        <v>28.6</v>
      </c>
      <c r="AH10" s="500" t="n">
        <v>28.6</v>
      </c>
      <c r="AI10" s="77">
        <f>AH10-D10</f>
        <v/>
      </c>
    </row>
    <row r="11" ht="20.15" customHeight="1" s="488">
      <c r="A11" s="500" t="n">
        <v>3</v>
      </c>
      <c r="B11" s="500" t="inlineStr">
        <is>
          <t>3F</t>
        </is>
      </c>
      <c r="C11" s="500" t="inlineStr">
        <is>
          <t>SL No 540430038844 (EB Unit)</t>
        </is>
      </c>
      <c r="D11" s="79" t="n">
        <v>93430</v>
      </c>
      <c r="E11" s="561" t="n">
        <v>93829</v>
      </c>
      <c r="F11" s="561" t="n">
        <v>94127</v>
      </c>
      <c r="G11" s="561" t="n">
        <v>94430</v>
      </c>
      <c r="H11" s="561" t="n">
        <v>94789</v>
      </c>
      <c r="I11" s="561" t="n">
        <v>95105</v>
      </c>
      <c r="J11" s="561" t="n">
        <v>95495</v>
      </c>
      <c r="K11" s="561" t="n">
        <v>95867</v>
      </c>
      <c r="L11" s="561" t="n">
        <v>96230</v>
      </c>
      <c r="M11" s="561" t="n">
        <v>96520</v>
      </c>
      <c r="N11" s="561" t="n">
        <v>96800</v>
      </c>
      <c r="O11" s="561" t="n">
        <v>97145</v>
      </c>
      <c r="P11" s="561" t="n">
        <v>97502</v>
      </c>
      <c r="Q11" s="561" t="n">
        <v>97931</v>
      </c>
      <c r="R11" s="561" t="n">
        <v>98268</v>
      </c>
      <c r="S11" s="561" t="n">
        <v>98634</v>
      </c>
      <c r="T11" s="561" t="n">
        <v>98860</v>
      </c>
      <c r="U11" s="561" t="n">
        <v>99135</v>
      </c>
      <c r="V11" s="561" t="n">
        <v>99511</v>
      </c>
      <c r="W11" s="561" t="n">
        <v>99915</v>
      </c>
      <c r="X11" s="561" t="n">
        <v>100274</v>
      </c>
      <c r="Y11" s="561" t="n">
        <v>100643</v>
      </c>
      <c r="Z11" s="49" t="n">
        <v>100989</v>
      </c>
      <c r="AA11" s="49" t="n">
        <v>101274</v>
      </c>
      <c r="AB11" s="561" t="n">
        <v>101565</v>
      </c>
      <c r="AC11" s="561" t="n">
        <v>101922</v>
      </c>
      <c r="AD11" s="49" t="n">
        <v>102295</v>
      </c>
      <c r="AE11" s="49" t="n">
        <v>102695</v>
      </c>
      <c r="AF11" s="49" t="n">
        <v>103072</v>
      </c>
      <c r="AG11" s="49" t="n">
        <v>103421</v>
      </c>
      <c r="AH11" s="49" t="n">
        <v>103577</v>
      </c>
      <c r="AI11" s="77">
        <f>AH11-D11</f>
        <v/>
      </c>
    </row>
    <row r="12" ht="20.15" customHeight="1" s="488">
      <c r="A12" s="500" t="n"/>
      <c r="B12" s="500" t="n"/>
      <c r="C12" s="79" t="inlineStr">
        <is>
          <t>DG</t>
        </is>
      </c>
      <c r="D12" s="529" t="n">
        <v>5538</v>
      </c>
      <c r="E12" s="500" t="n">
        <v>5538</v>
      </c>
      <c r="F12" s="500" t="n">
        <v>5538</v>
      </c>
      <c r="G12" s="500" t="n">
        <v>5538</v>
      </c>
      <c r="H12" s="500" t="n">
        <v>5538</v>
      </c>
      <c r="I12" s="500" t="n">
        <v>5543</v>
      </c>
      <c r="J12" s="500" t="n">
        <v>5543</v>
      </c>
      <c r="K12" s="500" t="n">
        <v>5543</v>
      </c>
      <c r="L12" s="500" t="n">
        <v>5543</v>
      </c>
      <c r="M12" s="500" t="n">
        <v>5547</v>
      </c>
      <c r="N12" s="500" t="n">
        <v>5547</v>
      </c>
      <c r="O12" s="500" t="n">
        <v>5591</v>
      </c>
      <c r="P12" s="500" t="n">
        <v>5591</v>
      </c>
      <c r="Q12" s="500" t="n">
        <v>5591</v>
      </c>
      <c r="R12" s="500" t="n">
        <v>5615</v>
      </c>
      <c r="S12" s="500" t="n">
        <v>5615</v>
      </c>
      <c r="T12" s="500" t="n">
        <v>5667</v>
      </c>
      <c r="U12" s="500" t="n">
        <v>5667</v>
      </c>
      <c r="V12" s="500" t="n">
        <v>5667</v>
      </c>
      <c r="W12" s="500" t="n">
        <v>5667</v>
      </c>
      <c r="X12" s="500" t="n">
        <v>5667</v>
      </c>
      <c r="Y12" s="500" t="n">
        <v>5667</v>
      </c>
      <c r="Z12" s="500" t="n">
        <v>5667</v>
      </c>
      <c r="AA12" s="500" t="n">
        <v>5667</v>
      </c>
      <c r="AB12" s="500" t="n">
        <v>5667</v>
      </c>
      <c r="AC12" s="500" t="n">
        <v>5686</v>
      </c>
      <c r="AD12" s="500" t="n">
        <v>5686</v>
      </c>
      <c r="AE12" s="500" t="n">
        <v>5686</v>
      </c>
      <c r="AF12" s="500" t="n">
        <v>5686</v>
      </c>
      <c r="AG12" s="500" t="n">
        <v>5686</v>
      </c>
      <c r="AH12" s="500" t="n">
        <v>5686</v>
      </c>
      <c r="AI12" s="77">
        <f>AH12-D12</f>
        <v/>
      </c>
    </row>
    <row r="13" ht="20.15" customHeight="1" s="488">
      <c r="A13" s="500" t="n">
        <v>4</v>
      </c>
      <c r="B13" s="500" t="inlineStr">
        <is>
          <t>3F</t>
        </is>
      </c>
      <c r="C13" s="500" t="inlineStr">
        <is>
          <t>SL No 540430038821 (EB Unit)</t>
        </is>
      </c>
      <c r="D13" s="529" t="n">
        <v>0</v>
      </c>
      <c r="E13" s="500" t="n">
        <v>0</v>
      </c>
      <c r="F13" s="500" t="n">
        <v>0</v>
      </c>
      <c r="G13" s="500" t="n">
        <v>0</v>
      </c>
      <c r="H13" s="500" t="n">
        <v>0</v>
      </c>
      <c r="I13" s="500" t="n">
        <v>0</v>
      </c>
      <c r="J13" s="500" t="n">
        <v>0</v>
      </c>
      <c r="K13" s="500" t="n">
        <v>0</v>
      </c>
      <c r="L13" s="500" t="n">
        <v>0</v>
      </c>
      <c r="M13" s="500" t="n">
        <v>0</v>
      </c>
      <c r="N13" s="500" t="n">
        <v>0</v>
      </c>
      <c r="O13" s="500" t="n">
        <v>0</v>
      </c>
      <c r="P13" s="500" t="n">
        <v>0</v>
      </c>
      <c r="Q13" s="500" t="n">
        <v>0</v>
      </c>
      <c r="R13" s="500" t="n">
        <v>0</v>
      </c>
      <c r="S13" s="500" t="n">
        <v>0</v>
      </c>
      <c r="T13" s="500" t="n">
        <v>0</v>
      </c>
      <c r="U13" s="500" t="n">
        <v>0</v>
      </c>
      <c r="V13" s="500" t="n">
        <v>0</v>
      </c>
      <c r="W13" s="500" t="n">
        <v>0</v>
      </c>
      <c r="X13" s="500" t="n">
        <v>0</v>
      </c>
      <c r="Y13" s="500" t="n">
        <v>0</v>
      </c>
      <c r="Z13" s="500" t="n">
        <v>0</v>
      </c>
      <c r="AA13" s="500" t="n">
        <v>0</v>
      </c>
      <c r="AB13" s="500" t="n">
        <v>0</v>
      </c>
      <c r="AC13" s="500" t="n">
        <v>0</v>
      </c>
      <c r="AD13" s="500" t="n">
        <v>0</v>
      </c>
      <c r="AE13" s="500" t="n">
        <v>0</v>
      </c>
      <c r="AF13" s="500" t="n">
        <v>0</v>
      </c>
      <c r="AG13" s="500" t="n">
        <v>0</v>
      </c>
      <c r="AH13" s="500" t="n">
        <v>0</v>
      </c>
      <c r="AI13" s="77">
        <f>AH13-D13</f>
        <v/>
      </c>
    </row>
    <row r="14" ht="20.15" customHeight="1" s="488">
      <c r="A14" s="500" t="n"/>
      <c r="B14" s="500" t="n"/>
      <c r="C14" s="79" t="inlineStr">
        <is>
          <t>DG</t>
        </is>
      </c>
      <c r="D14" s="529" t="n">
        <v>0</v>
      </c>
      <c r="E14" s="500" t="n">
        <v>0</v>
      </c>
      <c r="F14" s="500" t="n">
        <v>0</v>
      </c>
      <c r="G14" s="500" t="n">
        <v>0</v>
      </c>
      <c r="H14" s="500" t="n">
        <v>0</v>
      </c>
      <c r="I14" s="500" t="n">
        <v>0</v>
      </c>
      <c r="J14" s="500" t="n">
        <v>0</v>
      </c>
      <c r="K14" s="500" t="n">
        <v>0</v>
      </c>
      <c r="L14" s="500" t="n">
        <v>0</v>
      </c>
      <c r="M14" s="500" t="n">
        <v>0</v>
      </c>
      <c r="N14" s="500" t="n">
        <v>0</v>
      </c>
      <c r="O14" s="500" t="n">
        <v>0</v>
      </c>
      <c r="P14" s="500" t="n">
        <v>0</v>
      </c>
      <c r="Q14" s="500" t="n">
        <v>0</v>
      </c>
      <c r="R14" s="500" t="n">
        <v>0</v>
      </c>
      <c r="S14" s="500" t="n">
        <v>0</v>
      </c>
      <c r="T14" s="500" t="n">
        <v>0</v>
      </c>
      <c r="U14" s="500" t="n">
        <v>0</v>
      </c>
      <c r="V14" s="500" t="n">
        <v>0</v>
      </c>
      <c r="W14" s="500" t="n">
        <v>0</v>
      </c>
      <c r="X14" s="500" t="n">
        <v>0</v>
      </c>
      <c r="Y14" s="500" t="n">
        <v>0</v>
      </c>
      <c r="Z14" s="500" t="n">
        <v>0</v>
      </c>
      <c r="AA14" s="500" t="n">
        <v>0</v>
      </c>
      <c r="AB14" s="500" t="n">
        <v>0</v>
      </c>
      <c r="AC14" s="500" t="n">
        <v>0</v>
      </c>
      <c r="AD14" s="500" t="n">
        <v>0</v>
      </c>
      <c r="AE14" s="500" t="n">
        <v>0</v>
      </c>
      <c r="AF14" s="500" t="n">
        <v>0</v>
      </c>
      <c r="AG14" s="500" t="n">
        <v>0</v>
      </c>
      <c r="AH14" s="500" t="n">
        <v>0</v>
      </c>
      <c r="AI14" s="77">
        <f>AH14-D14</f>
        <v/>
      </c>
    </row>
    <row r="15" ht="20.15" customHeight="1" s="488">
      <c r="A15" s="500" t="n">
        <v>5</v>
      </c>
      <c r="B15" s="500" t="inlineStr">
        <is>
          <t>3F</t>
        </is>
      </c>
      <c r="C15" s="500" t="inlineStr">
        <is>
          <t>SL No 540430038849 (EB Unit)</t>
        </is>
      </c>
      <c r="D15" s="79" t="n">
        <v>39703</v>
      </c>
      <c r="E15" s="561" t="n">
        <v>39862</v>
      </c>
      <c r="F15" s="561" t="n">
        <v>39901</v>
      </c>
      <c r="G15" s="561" t="n">
        <v>40106</v>
      </c>
      <c r="H15" s="561" t="n">
        <v>40302</v>
      </c>
      <c r="I15" s="561" t="n">
        <v>40476</v>
      </c>
      <c r="J15" s="561" t="n">
        <v>40696</v>
      </c>
      <c r="K15" s="561" t="n">
        <v>40890</v>
      </c>
      <c r="L15" s="561" t="n">
        <v>41078</v>
      </c>
      <c r="M15" s="561" t="n">
        <v>41179</v>
      </c>
      <c r="N15" s="561" t="n">
        <v>41306</v>
      </c>
      <c r="O15" s="561" t="n">
        <v>41492</v>
      </c>
      <c r="P15" s="561" t="n">
        <v>41699</v>
      </c>
      <c r="Q15" s="561" t="n">
        <v>41899</v>
      </c>
      <c r="R15" s="561" t="n">
        <v>42073</v>
      </c>
      <c r="S15" s="561" t="n">
        <v>42256</v>
      </c>
      <c r="T15" s="561" t="n">
        <v>42354</v>
      </c>
      <c r="U15" s="33" t="n">
        <v>42459</v>
      </c>
      <c r="V15" s="561" t="n">
        <v>42670</v>
      </c>
      <c r="W15" s="561" t="n">
        <v>42889</v>
      </c>
      <c r="X15" s="561" t="n">
        <v>43089</v>
      </c>
      <c r="Y15" s="561" t="n">
        <v>43302</v>
      </c>
      <c r="Z15" s="49" t="n">
        <v>43503</v>
      </c>
      <c r="AA15" s="49" t="n">
        <v>43626</v>
      </c>
      <c r="AB15" s="561" t="n">
        <v>43741</v>
      </c>
      <c r="AC15" s="561" t="n">
        <v>43943</v>
      </c>
      <c r="AD15" s="49" t="n">
        <v>44162</v>
      </c>
      <c r="AE15" s="49" t="n">
        <v>44392</v>
      </c>
      <c r="AF15" s="49" t="n">
        <v>44616</v>
      </c>
      <c r="AG15" s="49" t="n">
        <v>44820</v>
      </c>
      <c r="AH15" s="49" t="n">
        <v>44885</v>
      </c>
      <c r="AI15" s="77">
        <f>AH15-D15</f>
        <v/>
      </c>
    </row>
    <row r="16" ht="20.15" customHeight="1" s="488">
      <c r="A16" s="500" t="n"/>
      <c r="B16" s="500" t="n"/>
      <c r="C16" s="79" t="inlineStr">
        <is>
          <t>DG</t>
        </is>
      </c>
      <c r="D16" s="529" t="n">
        <v>2826</v>
      </c>
      <c r="E16" s="500" t="n">
        <v>2826</v>
      </c>
      <c r="F16" s="500" t="n">
        <v>2826</v>
      </c>
      <c r="G16" s="500" t="n">
        <v>2826</v>
      </c>
      <c r="H16" s="500" t="n">
        <v>2826</v>
      </c>
      <c r="I16" s="500" t="n">
        <v>2829</v>
      </c>
      <c r="J16" s="500" t="n">
        <v>2829</v>
      </c>
      <c r="K16" s="500" t="n">
        <v>2829</v>
      </c>
      <c r="L16" s="500" t="n">
        <v>2829</v>
      </c>
      <c r="M16" s="500" t="n">
        <v>2831</v>
      </c>
      <c r="N16" s="500" t="n">
        <v>2831</v>
      </c>
      <c r="O16" s="500" t="n">
        <v>2848</v>
      </c>
      <c r="P16" s="500" t="n">
        <v>2848</v>
      </c>
      <c r="Q16" s="500" t="n">
        <v>2848</v>
      </c>
      <c r="R16" s="500" t="n">
        <v>2859</v>
      </c>
      <c r="S16" s="500" t="n">
        <v>2859</v>
      </c>
      <c r="T16" s="500" t="n">
        <v>2878</v>
      </c>
      <c r="U16" s="500" t="n">
        <v>2878</v>
      </c>
      <c r="V16" s="500" t="n">
        <v>2878</v>
      </c>
      <c r="W16" s="500" t="n">
        <v>2878</v>
      </c>
      <c r="X16" s="500" t="n">
        <v>2878</v>
      </c>
      <c r="Y16" s="500" t="n">
        <v>2878</v>
      </c>
      <c r="Z16" s="500" t="n">
        <v>2878</v>
      </c>
      <c r="AA16" s="500" t="n">
        <v>2878</v>
      </c>
      <c r="AB16" s="500" t="n">
        <v>2878</v>
      </c>
      <c r="AC16" s="500" t="n">
        <v>2886</v>
      </c>
      <c r="AD16" s="500" t="n">
        <v>2886</v>
      </c>
      <c r="AE16" s="500" t="n">
        <v>2886</v>
      </c>
      <c r="AF16" s="500" t="n">
        <v>2886</v>
      </c>
      <c r="AG16" s="500" t="n">
        <v>2886</v>
      </c>
      <c r="AH16" s="500" t="n">
        <v>2886</v>
      </c>
      <c r="AI16" s="77">
        <f>AH16-D16</f>
        <v/>
      </c>
    </row>
    <row r="17" ht="20.15" customHeight="1" s="488">
      <c r="A17" s="500" t="n">
        <v>6</v>
      </c>
      <c r="B17" s="500" t="inlineStr">
        <is>
          <t>3F</t>
        </is>
      </c>
      <c r="C17" s="500" t="inlineStr">
        <is>
          <t>SL No 540430038646 (EB Unit)</t>
        </is>
      </c>
      <c r="D17" s="79" t="n">
        <v>53462</v>
      </c>
      <c r="E17" s="561" t="n">
        <v>53637</v>
      </c>
      <c r="F17" s="561" t="n">
        <v>53768</v>
      </c>
      <c r="G17" s="561" t="n">
        <v>53894</v>
      </c>
      <c r="H17" s="561" t="n">
        <v>54130</v>
      </c>
      <c r="I17" s="561" t="n">
        <v>54364</v>
      </c>
      <c r="J17" s="561" t="n">
        <v>54575</v>
      </c>
      <c r="K17" s="561" t="n">
        <v>54840</v>
      </c>
      <c r="L17" s="561" t="n">
        <v>55064</v>
      </c>
      <c r="M17" s="561" t="n">
        <v>55207</v>
      </c>
      <c r="N17" s="561" t="n">
        <v>55307</v>
      </c>
      <c r="O17" s="561" t="n">
        <v>55546</v>
      </c>
      <c r="P17" s="561" t="n">
        <v>55788</v>
      </c>
      <c r="Q17" s="561" t="n">
        <v>56022</v>
      </c>
      <c r="R17" s="561" t="n">
        <v>56230</v>
      </c>
      <c r="S17" s="561" t="n">
        <v>56426</v>
      </c>
      <c r="T17" s="561" t="n">
        <v>56512</v>
      </c>
      <c r="U17" s="561" t="n">
        <v>56600</v>
      </c>
      <c r="V17" s="561" t="n">
        <v>56816</v>
      </c>
      <c r="W17" s="561" t="n">
        <v>57025</v>
      </c>
      <c r="X17" s="561" t="n">
        <v>57260</v>
      </c>
      <c r="Y17" s="561" t="n">
        <v>57467</v>
      </c>
      <c r="Z17" s="500" t="n">
        <v>57690</v>
      </c>
      <c r="AA17" s="49" t="n">
        <v>57785</v>
      </c>
      <c r="AB17" s="561" t="n">
        <v>57807</v>
      </c>
      <c r="AC17" s="561" t="n">
        <v>58110</v>
      </c>
      <c r="AD17" s="500" t="n">
        <v>58338</v>
      </c>
      <c r="AE17" s="49" t="n">
        <v>58589</v>
      </c>
      <c r="AF17" s="500" t="n">
        <v>58813</v>
      </c>
      <c r="AG17" s="49" t="n">
        <v>59036</v>
      </c>
      <c r="AH17" s="49" t="n">
        <v>59104</v>
      </c>
      <c r="AI17" s="77">
        <f>AH17-D17</f>
        <v/>
      </c>
    </row>
    <row r="18" ht="20.15" customHeight="1" s="488">
      <c r="A18" s="500" t="n"/>
      <c r="B18" s="500" t="n"/>
      <c r="C18" s="79" t="inlineStr">
        <is>
          <t>DG</t>
        </is>
      </c>
      <c r="D18" s="104" t="n">
        <v>3732</v>
      </c>
      <c r="E18" s="104" t="n">
        <v>3732</v>
      </c>
      <c r="F18" s="104" t="n">
        <v>3732</v>
      </c>
      <c r="G18" s="104" t="n">
        <v>3732</v>
      </c>
      <c r="H18" s="104" t="n">
        <v>3732</v>
      </c>
      <c r="I18" s="500" t="n">
        <v>3735</v>
      </c>
      <c r="J18" s="500" t="n">
        <v>3735</v>
      </c>
      <c r="K18" s="500" t="n">
        <v>3735</v>
      </c>
      <c r="L18" s="500" t="n">
        <v>3735</v>
      </c>
      <c r="M18" s="500" t="n">
        <v>3740</v>
      </c>
      <c r="N18" s="500" t="n">
        <v>3740</v>
      </c>
      <c r="O18" s="500" t="n">
        <v>3757</v>
      </c>
      <c r="P18" s="500" t="n">
        <v>3757</v>
      </c>
      <c r="Q18" s="500" t="n">
        <v>3757</v>
      </c>
      <c r="R18" s="500" t="n">
        <v>3766</v>
      </c>
      <c r="S18" s="500" t="n">
        <v>3766</v>
      </c>
      <c r="T18" s="500" t="n">
        <v>3785</v>
      </c>
      <c r="U18" s="500" t="n">
        <v>3785</v>
      </c>
      <c r="V18" s="500" t="n">
        <v>3785</v>
      </c>
      <c r="W18" s="500" t="n">
        <v>3785</v>
      </c>
      <c r="X18" s="500" t="n">
        <v>3785</v>
      </c>
      <c r="Y18" s="500" t="n">
        <v>3785</v>
      </c>
      <c r="Z18" s="500" t="n">
        <v>3785</v>
      </c>
      <c r="AA18" s="500" t="n">
        <v>3785</v>
      </c>
      <c r="AB18" s="500" t="n">
        <v>3785</v>
      </c>
      <c r="AC18" s="500" t="n">
        <v>3794</v>
      </c>
      <c r="AD18" s="500" t="n">
        <v>3794</v>
      </c>
      <c r="AE18" s="500" t="n">
        <v>3794</v>
      </c>
      <c r="AF18" s="500" t="n">
        <v>3794</v>
      </c>
      <c r="AG18" s="500" t="n">
        <v>3794</v>
      </c>
      <c r="AH18" s="500" t="n">
        <v>3794</v>
      </c>
      <c r="AI18" s="77">
        <f>AH18-D18</f>
        <v/>
      </c>
    </row>
    <row r="19" ht="20.15" customHeight="1" s="488">
      <c r="A19" s="500" t="n">
        <v>7</v>
      </c>
      <c r="B19" s="500" t="inlineStr">
        <is>
          <t>3F</t>
        </is>
      </c>
      <c r="C19" s="500" t="inlineStr">
        <is>
          <t>SL No 540430038843 (EB Unit)</t>
        </is>
      </c>
      <c r="D19" s="79" t="n">
        <v>180492</v>
      </c>
      <c r="E19" s="561" t="n">
        <v>180679</v>
      </c>
      <c r="F19" s="561" t="n">
        <v>181067</v>
      </c>
      <c r="G19" s="561" t="n">
        <v>181462</v>
      </c>
      <c r="H19" s="561" t="n">
        <v>182065</v>
      </c>
      <c r="I19" s="561" t="n">
        <v>182586</v>
      </c>
      <c r="J19" s="561" t="n">
        <v>183366</v>
      </c>
      <c r="K19" s="561" t="n">
        <v>183961</v>
      </c>
      <c r="L19" s="561" t="n">
        <v>184660</v>
      </c>
      <c r="M19" s="561" t="n">
        <v>185152</v>
      </c>
      <c r="N19" s="5" t="n">
        <v>185503</v>
      </c>
      <c r="O19" s="561" t="n">
        <v>186137</v>
      </c>
      <c r="P19" s="561" t="n">
        <v>186836</v>
      </c>
      <c r="Q19" s="561" t="n">
        <v>187547</v>
      </c>
      <c r="R19" s="561" t="n">
        <v>188196</v>
      </c>
      <c r="S19" s="5" t="n">
        <v>188899</v>
      </c>
      <c r="T19" s="561" t="n">
        <v>189404</v>
      </c>
      <c r="U19" s="561" t="n">
        <v>189880</v>
      </c>
      <c r="V19" s="561" t="n">
        <v>190523</v>
      </c>
      <c r="W19" s="561" t="n">
        <v>191238</v>
      </c>
      <c r="X19" s="561" t="n">
        <v>191944</v>
      </c>
      <c r="Y19" s="561" t="n">
        <v>192607</v>
      </c>
      <c r="Z19" s="49" t="n">
        <v>193262</v>
      </c>
      <c r="AA19" s="49" t="n">
        <v>193823</v>
      </c>
      <c r="AB19" s="561" t="n">
        <v>194191</v>
      </c>
      <c r="AC19" s="561" t="n">
        <v>194862</v>
      </c>
      <c r="AD19" s="49" t="n">
        <v>195542</v>
      </c>
      <c r="AE19" s="49" t="n">
        <v>196247</v>
      </c>
      <c r="AF19" s="49" t="n">
        <v>196907</v>
      </c>
      <c r="AG19" s="49" t="n">
        <v>197525</v>
      </c>
      <c r="AH19" s="49" t="n">
        <v>197767</v>
      </c>
      <c r="AI19" s="77">
        <f>AH19-D19</f>
        <v/>
      </c>
    </row>
    <row r="20" ht="20.15" customHeight="1" s="488">
      <c r="A20" s="500" t="n"/>
      <c r="B20" s="500" t="n"/>
      <c r="C20" s="79" t="inlineStr">
        <is>
          <t>DG</t>
        </is>
      </c>
      <c r="D20" s="529" t="n">
        <v>10150</v>
      </c>
      <c r="E20" s="500" t="n">
        <v>10150</v>
      </c>
      <c r="F20" s="500" t="n">
        <v>10150</v>
      </c>
      <c r="G20" s="500" t="n">
        <v>10150</v>
      </c>
      <c r="H20" s="500" t="n">
        <v>10150</v>
      </c>
      <c r="I20" s="500" t="n">
        <v>10158</v>
      </c>
      <c r="J20" s="500" t="n">
        <v>10158</v>
      </c>
      <c r="K20" s="500" t="n">
        <v>10158</v>
      </c>
      <c r="L20" s="500" t="n">
        <v>10158</v>
      </c>
      <c r="M20" s="500" t="n">
        <v>10165</v>
      </c>
      <c r="N20" s="500" t="n">
        <v>10165</v>
      </c>
      <c r="O20" s="500" t="n">
        <v>10208</v>
      </c>
      <c r="P20" s="500" t="n">
        <v>10208</v>
      </c>
      <c r="Q20" s="500" t="n">
        <v>10208</v>
      </c>
      <c r="R20" s="500" t="n">
        <v>10238</v>
      </c>
      <c r="S20" s="500" t="n">
        <v>10238</v>
      </c>
      <c r="T20" s="500" t="n">
        <v>10292</v>
      </c>
      <c r="U20" s="500" t="n">
        <v>10292</v>
      </c>
      <c r="V20" s="500" t="n">
        <v>10292</v>
      </c>
      <c r="W20" s="500" t="n">
        <v>10292</v>
      </c>
      <c r="X20" s="500" t="n">
        <v>10292</v>
      </c>
      <c r="Y20" s="500" t="n">
        <v>10292</v>
      </c>
      <c r="Z20" s="500" t="n">
        <v>10292</v>
      </c>
      <c r="AA20" s="500" t="n">
        <v>10292</v>
      </c>
      <c r="AB20" s="500" t="n">
        <v>10292</v>
      </c>
      <c r="AC20" s="500" t="n">
        <v>10303</v>
      </c>
      <c r="AD20" s="500" t="n">
        <v>10303</v>
      </c>
      <c r="AE20" s="500" t="n">
        <v>10303</v>
      </c>
      <c r="AF20" s="500" t="n">
        <v>10303</v>
      </c>
      <c r="AG20" s="500" t="n">
        <v>10303</v>
      </c>
      <c r="AH20" s="500" t="n">
        <v>10303</v>
      </c>
      <c r="AI20" s="77">
        <f>AH20-D20</f>
        <v/>
      </c>
    </row>
    <row r="21" ht="20.15" customHeight="1" s="488">
      <c r="A21" s="500" t="n">
        <v>8</v>
      </c>
      <c r="B21" s="500" t="inlineStr">
        <is>
          <t>3F</t>
        </is>
      </c>
      <c r="C21" s="500" t="inlineStr">
        <is>
          <t>SL No 540430038848 (EB Unit)</t>
        </is>
      </c>
      <c r="D21" s="79" t="n">
        <v>39721</v>
      </c>
      <c r="E21" s="561" t="n">
        <v>39814</v>
      </c>
      <c r="F21" s="561" t="n">
        <v>39886</v>
      </c>
      <c r="G21" s="561" t="n">
        <v>39965</v>
      </c>
      <c r="H21" s="561" t="n">
        <v>40057</v>
      </c>
      <c r="I21" s="561" t="n">
        <v>40129</v>
      </c>
      <c r="J21" s="561" t="n">
        <v>40220</v>
      </c>
      <c r="K21" s="561" t="n">
        <v>40307</v>
      </c>
      <c r="L21" s="561" t="n">
        <v>40386</v>
      </c>
      <c r="M21" s="561" t="n">
        <v>40401</v>
      </c>
      <c r="N21" s="561" t="n">
        <v>40527</v>
      </c>
      <c r="O21" s="561" t="n">
        <v>40593</v>
      </c>
      <c r="P21" s="561" t="n">
        <v>40671</v>
      </c>
      <c r="Q21" s="561" t="n">
        <v>40749</v>
      </c>
      <c r="R21" s="561" t="n">
        <v>40865</v>
      </c>
      <c r="S21" s="561" t="n">
        <v>41027</v>
      </c>
      <c r="T21" s="561" t="n">
        <v>41133</v>
      </c>
      <c r="U21" s="561" t="n">
        <v>41280</v>
      </c>
      <c r="V21" s="561" t="n">
        <v>41405</v>
      </c>
      <c r="W21" s="561" t="n">
        <v>41548</v>
      </c>
      <c r="X21" s="561" t="n">
        <v>41624</v>
      </c>
      <c r="Y21" s="561" t="n">
        <v>41722</v>
      </c>
      <c r="Z21" s="49" t="n">
        <v>41808</v>
      </c>
      <c r="AA21" s="49" t="n">
        <v>41919</v>
      </c>
      <c r="AB21" s="561" t="n">
        <v>42102</v>
      </c>
      <c r="AC21" s="561" t="n">
        <v>42235</v>
      </c>
      <c r="AD21" s="49" t="n">
        <v>42401</v>
      </c>
      <c r="AE21" s="49" t="n">
        <v>42513</v>
      </c>
      <c r="AF21" s="49" t="n">
        <v>42614</v>
      </c>
      <c r="AG21" s="49" t="n">
        <v>42662</v>
      </c>
      <c r="AH21" s="49" t="n">
        <v>42702</v>
      </c>
      <c r="AI21" s="77">
        <f>AH21-D21</f>
        <v/>
      </c>
    </row>
    <row r="22" ht="20.15" customHeight="1" s="488">
      <c r="A22" s="500" t="n"/>
      <c r="B22" s="500" t="n"/>
      <c r="C22" s="79" t="inlineStr">
        <is>
          <t>DG</t>
        </is>
      </c>
      <c r="D22" s="529" t="n">
        <v>1945</v>
      </c>
      <c r="E22" s="500" t="n">
        <v>1945</v>
      </c>
      <c r="F22" s="500" t="n">
        <v>1945</v>
      </c>
      <c r="G22" s="500" t="n">
        <v>1945</v>
      </c>
      <c r="H22" s="500" t="n">
        <v>1945</v>
      </c>
      <c r="I22" s="500" t="n">
        <v>1946</v>
      </c>
      <c r="J22" s="500" t="n">
        <v>1946</v>
      </c>
      <c r="K22" s="500" t="n">
        <v>1946</v>
      </c>
      <c r="L22" s="500" t="n">
        <v>1946</v>
      </c>
      <c r="M22" s="500" t="n">
        <v>1948</v>
      </c>
      <c r="N22" s="500" t="n">
        <v>1948</v>
      </c>
      <c r="O22" s="500" t="n">
        <v>1960</v>
      </c>
      <c r="P22" s="500" t="n">
        <v>1960</v>
      </c>
      <c r="Q22" s="500" t="n">
        <v>1960</v>
      </c>
      <c r="R22" s="500" t="n">
        <v>1960</v>
      </c>
      <c r="S22" s="500" t="n">
        <v>1960</v>
      </c>
      <c r="T22" s="500" t="n">
        <v>1980</v>
      </c>
      <c r="U22" s="500" t="n">
        <v>1980</v>
      </c>
      <c r="V22" s="500" t="n">
        <v>1980</v>
      </c>
      <c r="W22" s="500" t="n">
        <v>1980</v>
      </c>
      <c r="X22" s="500" t="n">
        <v>1980</v>
      </c>
      <c r="Y22" s="500" t="n">
        <v>1980</v>
      </c>
      <c r="Z22" s="500" t="n">
        <v>1980</v>
      </c>
      <c r="AA22" s="500" t="n">
        <v>1980</v>
      </c>
      <c r="AB22" s="500" t="n">
        <v>1980</v>
      </c>
      <c r="AC22" s="500" t="n">
        <v>1983</v>
      </c>
      <c r="AD22" s="500" t="n">
        <v>1983</v>
      </c>
      <c r="AE22" s="500" t="n">
        <v>1983</v>
      </c>
      <c r="AF22" s="500" t="n">
        <v>1983</v>
      </c>
      <c r="AG22" s="500" t="n">
        <v>1983</v>
      </c>
      <c r="AH22" s="500" t="n">
        <v>1983</v>
      </c>
      <c r="AI22" s="77">
        <f>AH22-D22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01" t="n"/>
    </row>
    <row r="24" ht="14.5" customHeight="1" s="488">
      <c r="A24" s="500" t="n">
        <v>1</v>
      </c>
      <c r="B24" s="500" t="inlineStr">
        <is>
          <t>3F</t>
        </is>
      </c>
      <c r="C24" s="500" t="inlineStr">
        <is>
          <t>AHU1</t>
        </is>
      </c>
      <c r="D24" s="79" t="n">
        <v>19096</v>
      </c>
      <c r="E24" s="49" t="n">
        <v>19096</v>
      </c>
      <c r="F24" s="561" t="n">
        <v>19161</v>
      </c>
      <c r="G24" s="561" t="n">
        <v>19161</v>
      </c>
      <c r="H24" s="561" t="n">
        <v>19262</v>
      </c>
      <c r="I24" s="561" t="n">
        <v>19352</v>
      </c>
      <c r="J24" s="561" t="n">
        <v>19437</v>
      </c>
      <c r="K24" s="561" t="n">
        <v>19518</v>
      </c>
      <c r="L24" s="561" t="n">
        <v>19594</v>
      </c>
      <c r="M24" s="561" t="n">
        <v>19639</v>
      </c>
      <c r="N24" s="561" t="n">
        <v>19639</v>
      </c>
      <c r="O24" s="561" t="n">
        <v>19732</v>
      </c>
      <c r="P24" s="561" t="n">
        <v>19815</v>
      </c>
      <c r="Q24" s="561" t="n">
        <v>19907</v>
      </c>
      <c r="R24" s="561" t="n">
        <v>20002</v>
      </c>
      <c r="S24" s="561" t="n">
        <v>20093</v>
      </c>
      <c r="T24" s="561" t="n">
        <v>20160</v>
      </c>
      <c r="U24" s="561" t="n">
        <v>20160</v>
      </c>
      <c r="V24" s="561" t="n">
        <v>20249</v>
      </c>
      <c r="W24" s="561" t="n">
        <v>20306</v>
      </c>
      <c r="X24" s="561" t="n">
        <v>20362</v>
      </c>
      <c r="Y24" s="561" t="n">
        <v>20409</v>
      </c>
      <c r="Z24" s="500" t="n">
        <v>20471</v>
      </c>
      <c r="AA24" s="500" t="n">
        <v>20528</v>
      </c>
      <c r="AB24" s="561" t="n">
        <v>20528</v>
      </c>
      <c r="AC24" s="561" t="n">
        <v>20604</v>
      </c>
      <c r="AD24" s="500" t="n">
        <v>20683</v>
      </c>
      <c r="AE24" s="500" t="n">
        <v>20760</v>
      </c>
      <c r="AF24" s="500" t="n">
        <v>20802</v>
      </c>
      <c r="AG24" s="49" t="n">
        <v>20853</v>
      </c>
      <c r="AH24" s="49" t="n">
        <v>20893</v>
      </c>
      <c r="AI24" s="82">
        <f>AH24-D24</f>
        <v/>
      </c>
    </row>
    <row r="25" ht="13" customHeight="1" s="488">
      <c r="A25" s="500" t="n"/>
      <c r="B25" s="500" t="n"/>
      <c r="C25" s="529" t="inlineStr">
        <is>
          <t>DG</t>
        </is>
      </c>
      <c r="D25" s="529" t="n">
        <v>1804</v>
      </c>
      <c r="E25" s="500" t="n">
        <v>1804</v>
      </c>
      <c r="F25" s="500" t="n">
        <v>1804</v>
      </c>
      <c r="G25" s="500" t="n">
        <v>1804</v>
      </c>
      <c r="H25" s="500" t="n">
        <v>1804</v>
      </c>
      <c r="I25" s="500" t="n">
        <v>1806</v>
      </c>
      <c r="J25" s="500" t="n">
        <v>1806</v>
      </c>
      <c r="K25" s="500" t="n">
        <v>1806</v>
      </c>
      <c r="L25" s="500" t="n">
        <v>1806</v>
      </c>
      <c r="M25" s="500" t="n">
        <v>1808</v>
      </c>
      <c r="N25" s="500" t="n">
        <v>1808</v>
      </c>
      <c r="O25" s="500" t="n">
        <v>1808</v>
      </c>
      <c r="P25" s="500" t="n">
        <v>1808</v>
      </c>
      <c r="Q25" s="500" t="n">
        <v>1808</v>
      </c>
      <c r="R25" s="500" t="n">
        <v>1808</v>
      </c>
      <c r="S25" s="500" t="n">
        <v>1808</v>
      </c>
      <c r="T25" s="500" t="n">
        <v>1811</v>
      </c>
      <c r="U25" s="500" t="n">
        <v>1811</v>
      </c>
      <c r="V25" s="500" t="n">
        <v>1811</v>
      </c>
      <c r="W25" s="500" t="n">
        <v>1811</v>
      </c>
      <c r="X25" s="500" t="n">
        <v>1811</v>
      </c>
      <c r="Y25" s="500" t="n">
        <v>1811</v>
      </c>
      <c r="Z25" s="500" t="n">
        <v>1811</v>
      </c>
      <c r="AA25" s="500" t="n">
        <v>1811</v>
      </c>
      <c r="AB25" s="500" t="n">
        <v>1811</v>
      </c>
      <c r="AC25" s="500" t="n">
        <v>1811</v>
      </c>
      <c r="AD25" s="500" t="n">
        <v>1811</v>
      </c>
      <c r="AE25" s="500" t="n">
        <v>1811</v>
      </c>
      <c r="AF25" s="500" t="n">
        <v>1811</v>
      </c>
      <c r="AG25" s="500" t="n">
        <v>1811</v>
      </c>
      <c r="AH25" s="500" t="n">
        <v>1811</v>
      </c>
      <c r="AI25" s="82">
        <f>AH25-D25</f>
        <v/>
      </c>
    </row>
    <row r="26" ht="14.5" customHeight="1" s="488">
      <c r="A26" s="500" t="n">
        <v>2</v>
      </c>
      <c r="B26" s="500" t="inlineStr">
        <is>
          <t>3F</t>
        </is>
      </c>
      <c r="C26" s="500" t="inlineStr">
        <is>
          <t>AHU2</t>
        </is>
      </c>
      <c r="D26" s="79" t="n">
        <v>18091</v>
      </c>
      <c r="E26" s="561" t="n">
        <v>18091</v>
      </c>
      <c r="F26" s="561" t="n">
        <v>18143</v>
      </c>
      <c r="G26" s="561" t="n">
        <v>18143</v>
      </c>
      <c r="H26" s="561" t="n">
        <v>18246</v>
      </c>
      <c r="I26" s="561" t="n">
        <v>18337</v>
      </c>
      <c r="J26" s="561" t="n">
        <v>18430</v>
      </c>
      <c r="K26" s="561" t="n">
        <v>18513</v>
      </c>
      <c r="L26" s="561" t="n">
        <v>18589</v>
      </c>
      <c r="M26" s="561" t="n">
        <v>18633</v>
      </c>
      <c r="N26" s="561" t="n">
        <v>18633</v>
      </c>
      <c r="O26" s="561" t="n">
        <v>18723</v>
      </c>
      <c r="P26" s="561" t="n">
        <v>18811</v>
      </c>
      <c r="Q26" s="561" t="n">
        <v>18897</v>
      </c>
      <c r="R26" s="561" t="n">
        <v>18985</v>
      </c>
      <c r="S26" s="561" t="n">
        <v>18999</v>
      </c>
      <c r="T26" s="561" t="n">
        <v>19130</v>
      </c>
      <c r="U26" s="561" t="n">
        <v>19130</v>
      </c>
      <c r="V26" s="561" t="n">
        <v>19188</v>
      </c>
      <c r="W26" s="561" t="n">
        <v>19287</v>
      </c>
      <c r="X26" s="561" t="n">
        <v>19345</v>
      </c>
      <c r="Y26" s="561" t="n">
        <v>19389</v>
      </c>
      <c r="Z26" s="49" t="n">
        <v>19460</v>
      </c>
      <c r="AA26" s="49" t="n">
        <v>19516</v>
      </c>
      <c r="AB26" s="561" t="n">
        <v>19516</v>
      </c>
      <c r="AC26" s="561" t="n">
        <v>19594</v>
      </c>
      <c r="AD26" s="49" t="n">
        <v>19677</v>
      </c>
      <c r="AE26" s="49" t="n">
        <v>19747</v>
      </c>
      <c r="AF26" s="49" t="n">
        <v>19804</v>
      </c>
      <c r="AG26" s="49" t="n">
        <v>19864</v>
      </c>
      <c r="AH26" s="49" t="n">
        <v>19914</v>
      </c>
      <c r="AI26" s="82">
        <f>AH26-D26</f>
        <v/>
      </c>
    </row>
    <row r="27" ht="13" customHeight="1" s="488">
      <c r="A27" s="500" t="n"/>
      <c r="B27" s="500" t="n"/>
      <c r="C27" s="529" t="inlineStr">
        <is>
          <t>DG</t>
        </is>
      </c>
      <c r="D27" s="529" t="n">
        <v>1758</v>
      </c>
      <c r="E27" s="500" t="n">
        <v>1758</v>
      </c>
      <c r="F27" s="500" t="n">
        <v>1758</v>
      </c>
      <c r="G27" s="500" t="n">
        <v>1758</v>
      </c>
      <c r="H27" s="500" t="n">
        <v>1758</v>
      </c>
      <c r="I27" s="500" t="n">
        <v>1760</v>
      </c>
      <c r="J27" s="500" t="n">
        <v>1760</v>
      </c>
      <c r="K27" s="500" t="n">
        <v>1760</v>
      </c>
      <c r="L27" s="500" t="n">
        <v>1760</v>
      </c>
      <c r="M27" s="500" t="n">
        <v>1762</v>
      </c>
      <c r="N27" s="500" t="n">
        <v>1762</v>
      </c>
      <c r="O27" s="500" t="n">
        <v>1762</v>
      </c>
      <c r="P27" s="500" t="n">
        <v>1762</v>
      </c>
      <c r="Q27" s="500" t="n">
        <v>1762</v>
      </c>
      <c r="R27" s="500" t="n">
        <v>1762</v>
      </c>
      <c r="S27" s="500" t="n">
        <v>1762</v>
      </c>
      <c r="T27" s="500" t="n">
        <v>1764</v>
      </c>
      <c r="U27" s="500" t="n">
        <v>1764</v>
      </c>
      <c r="V27" s="500" t="n">
        <v>1764</v>
      </c>
      <c r="W27" s="500" t="n">
        <v>1764</v>
      </c>
      <c r="X27" s="500" t="n">
        <v>1764</v>
      </c>
      <c r="Y27" s="500" t="n">
        <v>1764</v>
      </c>
      <c r="Z27" s="500" t="n">
        <v>1764</v>
      </c>
      <c r="AA27" s="500" t="n">
        <v>1764</v>
      </c>
      <c r="AB27" s="500" t="n">
        <v>1764</v>
      </c>
      <c r="AC27" s="500" t="n">
        <v>1764</v>
      </c>
      <c r="AD27" s="500" t="n">
        <v>1764</v>
      </c>
      <c r="AE27" s="500" t="n">
        <v>1764</v>
      </c>
      <c r="AF27" s="500" t="n">
        <v>1764</v>
      </c>
      <c r="AG27" s="500" t="n">
        <v>1764</v>
      </c>
      <c r="AH27" s="500" t="n">
        <v>1764</v>
      </c>
      <c r="AI27" s="82">
        <f>AH27-D27</f>
        <v/>
      </c>
    </row>
    <row r="28" ht="14.5" customHeight="1" s="488">
      <c r="A28" s="500" t="n">
        <v>3</v>
      </c>
      <c r="B28" s="500" t="inlineStr">
        <is>
          <t>3F</t>
        </is>
      </c>
      <c r="C28" s="500" t="inlineStr">
        <is>
          <t>AHU3</t>
        </is>
      </c>
      <c r="D28" s="529" t="n">
        <v>17608</v>
      </c>
      <c r="E28" s="500" t="n">
        <v>17608</v>
      </c>
      <c r="F28" s="561" t="n">
        <v>17662</v>
      </c>
      <c r="G28" s="561" t="n">
        <v>17662</v>
      </c>
      <c r="H28" s="561" t="n">
        <v>17770</v>
      </c>
      <c r="I28" s="561" t="n">
        <v>17862</v>
      </c>
      <c r="J28" s="561" t="n">
        <v>17948</v>
      </c>
      <c r="K28" s="561" t="n">
        <v>18035</v>
      </c>
      <c r="L28" s="561" t="n">
        <v>18177</v>
      </c>
      <c r="M28" s="561" t="n">
        <v>18177</v>
      </c>
      <c r="N28" s="561" t="n">
        <v>18177</v>
      </c>
      <c r="O28" s="561" t="n">
        <v>18284</v>
      </c>
      <c r="P28" s="561" t="n">
        <v>18377</v>
      </c>
      <c r="Q28" s="561" t="n">
        <v>18434</v>
      </c>
      <c r="R28" s="561" t="n">
        <v>18535</v>
      </c>
      <c r="S28" s="561" t="n">
        <v>18599</v>
      </c>
      <c r="T28" s="561" t="n">
        <v>18636</v>
      </c>
      <c r="U28" s="561" t="n">
        <v>18636</v>
      </c>
      <c r="V28" s="561" t="n">
        <v>18690</v>
      </c>
      <c r="W28" s="561" t="n">
        <v>18809</v>
      </c>
      <c r="X28" s="561" t="n">
        <v>18894</v>
      </c>
      <c r="Y28" s="561" t="n">
        <v>18948</v>
      </c>
      <c r="Z28" s="500" t="n">
        <v>19023</v>
      </c>
      <c r="AA28" s="500" t="n">
        <v>19094</v>
      </c>
      <c r="AB28" s="561" t="n">
        <v>19094</v>
      </c>
      <c r="AC28" s="561" t="n">
        <v>19191</v>
      </c>
      <c r="AD28" s="500" t="n">
        <v>19285</v>
      </c>
      <c r="AE28" s="500" t="n">
        <v>19376</v>
      </c>
      <c r="AF28" s="500" t="n">
        <v>19458</v>
      </c>
      <c r="AG28" s="500" t="n">
        <v>19546</v>
      </c>
      <c r="AH28" s="500" t="n">
        <v>19597</v>
      </c>
      <c r="AI28" s="82">
        <f>AH28-D28</f>
        <v/>
      </c>
    </row>
    <row r="29" ht="13" customHeight="1" s="488">
      <c r="A29" s="500" t="n"/>
      <c r="B29" s="500" t="n"/>
      <c r="C29" s="529" t="inlineStr">
        <is>
          <t>DG</t>
        </is>
      </c>
      <c r="D29" s="529" t="n">
        <v>1854</v>
      </c>
      <c r="E29" s="500" t="n">
        <v>1854</v>
      </c>
      <c r="F29" s="500" t="n">
        <v>1854</v>
      </c>
      <c r="G29" s="500" t="n">
        <v>1854</v>
      </c>
      <c r="H29" s="500" t="n">
        <v>1854</v>
      </c>
      <c r="I29" s="500" t="n">
        <v>1856</v>
      </c>
      <c r="J29" s="500" t="n">
        <v>1856</v>
      </c>
      <c r="K29" s="500" t="n">
        <v>1856</v>
      </c>
      <c r="L29" s="500" t="n">
        <v>1856</v>
      </c>
      <c r="M29" s="500" t="n">
        <v>1856</v>
      </c>
      <c r="N29" s="500" t="n">
        <v>1856</v>
      </c>
      <c r="O29" s="500" t="n">
        <v>1857</v>
      </c>
      <c r="P29" s="500" t="n">
        <v>1857</v>
      </c>
      <c r="Q29" s="500" t="n">
        <v>1857</v>
      </c>
      <c r="R29" s="500" t="n">
        <v>1857</v>
      </c>
      <c r="S29" s="500" t="n">
        <v>1857</v>
      </c>
      <c r="T29" s="500" t="n">
        <v>1858</v>
      </c>
      <c r="U29" s="500" t="n">
        <v>1858</v>
      </c>
      <c r="V29" s="500" t="n">
        <v>1858</v>
      </c>
      <c r="W29" s="500" t="n">
        <v>1858</v>
      </c>
      <c r="X29" s="500" t="n">
        <v>1858</v>
      </c>
      <c r="Y29" s="500" t="n">
        <v>1858</v>
      </c>
      <c r="Z29" s="500" t="n">
        <v>1858</v>
      </c>
      <c r="AA29" s="500" t="n">
        <v>1858</v>
      </c>
      <c r="AB29" s="500" t="n">
        <v>1858</v>
      </c>
      <c r="AC29" s="500" t="n">
        <v>1858</v>
      </c>
      <c r="AD29" s="500" t="n">
        <v>1858</v>
      </c>
      <c r="AE29" s="500" t="n">
        <v>1858</v>
      </c>
      <c r="AF29" s="500" t="n">
        <v>1858</v>
      </c>
      <c r="AG29" s="500" t="n">
        <v>1858</v>
      </c>
      <c r="AH29" s="500" t="n">
        <v>1858</v>
      </c>
      <c r="AI29" s="82">
        <f>AH29-D29</f>
        <v/>
      </c>
    </row>
    <row r="30" ht="14.5" customHeight="1" s="488">
      <c r="A30" s="500" t="n">
        <v>4</v>
      </c>
      <c r="B30" s="500" t="inlineStr">
        <is>
          <t>3F</t>
        </is>
      </c>
      <c r="C30" s="500" t="inlineStr">
        <is>
          <t>AHU4</t>
        </is>
      </c>
      <c r="D30" s="79" t="n">
        <v>16687</v>
      </c>
      <c r="E30" s="561" t="n">
        <v>16688</v>
      </c>
      <c r="F30" s="561" t="n">
        <v>16731</v>
      </c>
      <c r="G30" s="561" t="n">
        <v>16731</v>
      </c>
      <c r="H30" s="561" t="n">
        <v>16820</v>
      </c>
      <c r="I30" s="561" t="n">
        <v>16899</v>
      </c>
      <c r="J30" s="561" t="n">
        <v>16973</v>
      </c>
      <c r="K30" s="561" t="n">
        <v>17047</v>
      </c>
      <c r="L30" s="561" t="n">
        <v>17118</v>
      </c>
      <c r="M30" s="561" t="n">
        <v>17162</v>
      </c>
      <c r="N30" s="561" t="n">
        <v>17162</v>
      </c>
      <c r="O30" s="561" t="n">
        <v>17240</v>
      </c>
      <c r="P30" s="561" t="n">
        <v>17314</v>
      </c>
      <c r="Q30" s="561" t="n">
        <v>17390</v>
      </c>
      <c r="R30" s="561" t="n">
        <v>17477</v>
      </c>
      <c r="S30" s="561" t="n">
        <v>17555</v>
      </c>
      <c r="T30" s="561" t="n">
        <v>17610</v>
      </c>
      <c r="U30" s="561" t="n">
        <v>17610</v>
      </c>
      <c r="V30" s="561" t="n">
        <v>17696</v>
      </c>
      <c r="W30" s="561" t="n">
        <v>17793</v>
      </c>
      <c r="X30" s="561" t="n">
        <v>17891</v>
      </c>
      <c r="Y30" s="561" t="n">
        <v>17995</v>
      </c>
      <c r="Z30" s="500" t="n">
        <v>18083</v>
      </c>
      <c r="AA30" s="500" t="n">
        <v>18163</v>
      </c>
      <c r="AB30" s="561" t="n">
        <v>18163</v>
      </c>
      <c r="AC30" s="561" t="n">
        <v>18276</v>
      </c>
      <c r="AD30" s="500" t="n">
        <v>18395</v>
      </c>
      <c r="AE30" s="500" t="n">
        <v>18506</v>
      </c>
      <c r="AF30" s="500" t="n">
        <v>18597</v>
      </c>
      <c r="AG30" s="49" t="n">
        <v>18689</v>
      </c>
      <c r="AH30" s="49" t="n">
        <v>18702</v>
      </c>
      <c r="AI30" s="82">
        <f>AH30-D30</f>
        <v/>
      </c>
    </row>
    <row r="31" ht="13" customHeight="1" s="488">
      <c r="A31" s="500" t="n"/>
      <c r="B31" s="500" t="n"/>
      <c r="C31" s="529" t="inlineStr">
        <is>
          <t>DG</t>
        </is>
      </c>
      <c r="D31" s="529" t="n">
        <v>1662</v>
      </c>
      <c r="E31" s="500" t="n">
        <v>1662</v>
      </c>
      <c r="F31" s="500" t="n">
        <v>1662</v>
      </c>
      <c r="G31" s="500" t="n">
        <v>1662</v>
      </c>
      <c r="H31" s="500" t="n">
        <v>1662</v>
      </c>
      <c r="I31" s="500" t="n">
        <v>1663</v>
      </c>
      <c r="J31" s="500" t="n">
        <v>1663</v>
      </c>
      <c r="K31" s="500" t="n">
        <v>1663</v>
      </c>
      <c r="L31" s="500" t="n">
        <v>1663</v>
      </c>
      <c r="M31" s="500" t="n">
        <v>1666</v>
      </c>
      <c r="N31" s="500" t="n">
        <v>1666</v>
      </c>
      <c r="O31" s="500" t="n">
        <v>1666</v>
      </c>
      <c r="P31" s="500" t="n">
        <v>1666</v>
      </c>
      <c r="Q31" s="500" t="n">
        <v>1666</v>
      </c>
      <c r="R31" s="500" t="n">
        <v>1666</v>
      </c>
      <c r="S31" s="500" t="n">
        <v>1666</v>
      </c>
      <c r="T31" s="500" t="n">
        <v>1668</v>
      </c>
      <c r="U31" s="500" t="n">
        <v>1668</v>
      </c>
      <c r="V31" s="500" t="n">
        <v>1668</v>
      </c>
      <c r="W31" s="500" t="n">
        <v>1668</v>
      </c>
      <c r="X31" s="500" t="n">
        <v>1668</v>
      </c>
      <c r="Y31" s="500" t="n">
        <v>1668</v>
      </c>
      <c r="Z31" s="500" t="n">
        <v>1668</v>
      </c>
      <c r="AA31" s="500" t="n">
        <v>1668</v>
      </c>
      <c r="AB31" s="500" t="n">
        <v>1668</v>
      </c>
      <c r="AC31" s="500" t="n">
        <v>1668</v>
      </c>
      <c r="AD31" s="500" t="n">
        <v>1668</v>
      </c>
      <c r="AE31" s="500" t="n">
        <v>1668</v>
      </c>
      <c r="AF31" s="500" t="n">
        <v>1668</v>
      </c>
      <c r="AG31" s="500" t="n">
        <v>1668</v>
      </c>
      <c r="AH31" s="500" t="n">
        <v>1668</v>
      </c>
      <c r="AI31" s="82">
        <f>AH31-D31</f>
        <v/>
      </c>
    </row>
    <row r="32" ht="14.5" customHeight="1" s="488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01" t="n"/>
    </row>
    <row r="33" ht="14.5" customHeight="1" s="488">
      <c r="A33" s="500" t="n">
        <v>1</v>
      </c>
      <c r="B33" s="500" t="inlineStr">
        <is>
          <t>3F</t>
        </is>
      </c>
      <c r="C33" s="500" t="inlineStr">
        <is>
          <t>AHU1 - BTU</t>
        </is>
      </c>
      <c r="D33" s="83" t="n">
        <v>159746</v>
      </c>
      <c r="E33" s="10" t="n">
        <v>159746</v>
      </c>
      <c r="F33" s="10" t="n">
        <v>159746</v>
      </c>
      <c r="G33" s="10" t="n">
        <v>159746</v>
      </c>
      <c r="H33" s="10" t="n">
        <v>160588</v>
      </c>
      <c r="I33" s="10" t="n">
        <v>161250</v>
      </c>
      <c r="J33" s="10" t="n">
        <v>161983</v>
      </c>
      <c r="K33" s="10" t="n">
        <v>162627</v>
      </c>
      <c r="L33" s="10" t="n">
        <v>163033</v>
      </c>
      <c r="M33" s="10" t="n">
        <v>163234</v>
      </c>
      <c r="N33" s="10" t="n">
        <v>163234</v>
      </c>
      <c r="O33" s="11" t="n">
        <v>164074</v>
      </c>
      <c r="P33" s="11" t="n">
        <v>164717</v>
      </c>
      <c r="Q33" s="11" t="n">
        <v>165038</v>
      </c>
      <c r="R33" s="11" t="n">
        <v>165508</v>
      </c>
      <c r="S33" s="11" t="n">
        <v>165863</v>
      </c>
      <c r="T33" s="11" t="n">
        <v>166140</v>
      </c>
      <c r="U33" s="11" t="n">
        <v>166140</v>
      </c>
      <c r="V33" s="11" t="n">
        <v>166851</v>
      </c>
      <c r="W33" s="11" t="n">
        <v>167333</v>
      </c>
      <c r="X33" s="11" t="n">
        <v>167838</v>
      </c>
      <c r="Y33" s="11" t="n">
        <v>168357</v>
      </c>
      <c r="Z33" s="85" t="n">
        <v>168799</v>
      </c>
      <c r="AA33" s="85" t="n">
        <v>169040</v>
      </c>
      <c r="AB33" s="85" t="n">
        <v>169040</v>
      </c>
      <c r="AC33" s="11" t="n">
        <v>169649</v>
      </c>
      <c r="AD33" s="85" t="n">
        <v>170367</v>
      </c>
      <c r="AE33" s="85" t="n">
        <v>170936</v>
      </c>
      <c r="AF33" s="85" t="n">
        <v>171426</v>
      </c>
      <c r="AG33" s="86" t="n">
        <v>171793</v>
      </c>
      <c r="AH33" s="86" t="n">
        <v>172072</v>
      </c>
      <c r="AI33" s="82">
        <f>AH33-D33</f>
        <v/>
      </c>
    </row>
    <row r="34" ht="14.5" customHeight="1" s="488">
      <c r="A34" s="500" t="n">
        <v>2</v>
      </c>
      <c r="B34" s="500" t="inlineStr">
        <is>
          <t>3F</t>
        </is>
      </c>
      <c r="C34" s="500" t="inlineStr">
        <is>
          <t>AHU2 - BTU</t>
        </is>
      </c>
      <c r="D34" s="83" t="n">
        <v>171381</v>
      </c>
      <c r="E34" s="10" t="n">
        <v>171381</v>
      </c>
      <c r="F34" s="10" t="n">
        <v>171948</v>
      </c>
      <c r="G34" s="10" t="n">
        <v>171948</v>
      </c>
      <c r="H34" s="10" t="n">
        <v>172877</v>
      </c>
      <c r="I34" s="10" t="n">
        <v>173536</v>
      </c>
      <c r="J34" s="10" t="n">
        <v>174280</v>
      </c>
      <c r="K34" s="10" t="n">
        <v>174891</v>
      </c>
      <c r="L34" s="10" t="n">
        <v>175456</v>
      </c>
      <c r="M34" s="10" t="n">
        <v>175708</v>
      </c>
      <c r="N34" s="10" t="n">
        <v>175708</v>
      </c>
      <c r="O34" s="11" t="n">
        <v>176618</v>
      </c>
      <c r="P34" s="11" t="n">
        <v>177263</v>
      </c>
      <c r="Q34" s="11" t="n">
        <v>177828</v>
      </c>
      <c r="R34" s="11" t="n">
        <v>178343</v>
      </c>
      <c r="S34" s="11" t="n">
        <v>178824</v>
      </c>
      <c r="T34" s="11" t="n">
        <v>179188</v>
      </c>
      <c r="U34" s="11" t="n">
        <v>179188</v>
      </c>
      <c r="V34" s="11" t="n">
        <v>179839</v>
      </c>
      <c r="W34" s="11" t="n">
        <v>180530</v>
      </c>
      <c r="X34" s="11" t="n">
        <v>181000</v>
      </c>
      <c r="Y34" s="11" t="n">
        <v>181503</v>
      </c>
      <c r="Z34" s="85" t="n">
        <v>181962</v>
      </c>
      <c r="AA34" s="85" t="n">
        <v>182249</v>
      </c>
      <c r="AB34" s="11" t="n">
        <v>182249</v>
      </c>
      <c r="AC34" s="11" t="n">
        <v>182793</v>
      </c>
      <c r="AD34" s="11" t="n">
        <v>183431</v>
      </c>
      <c r="AE34" s="85" t="n">
        <v>183944</v>
      </c>
      <c r="AF34" s="85" t="n">
        <v>184378</v>
      </c>
      <c r="AG34" s="86" t="n">
        <v>184731</v>
      </c>
      <c r="AH34" s="86" t="n">
        <v>185120</v>
      </c>
      <c r="AI34" s="82">
        <f>AH34-D34</f>
        <v/>
      </c>
    </row>
    <row r="35" ht="14.5" customHeight="1" s="488">
      <c r="A35" s="500" t="n">
        <v>3</v>
      </c>
      <c r="B35" s="500" t="inlineStr">
        <is>
          <t>3F</t>
        </is>
      </c>
      <c r="C35" s="500" t="inlineStr">
        <is>
          <t>AHU3 - BTU</t>
        </is>
      </c>
      <c r="D35" s="83" t="n">
        <v>176009</v>
      </c>
      <c r="E35" s="86" t="n">
        <v>176009</v>
      </c>
      <c r="F35" s="10" t="n">
        <v>176389</v>
      </c>
      <c r="G35" s="10" t="n">
        <v>176389</v>
      </c>
      <c r="H35" s="10" t="n">
        <v>177114</v>
      </c>
      <c r="I35" s="10" t="n">
        <v>177732</v>
      </c>
      <c r="J35" s="10" t="n">
        <v>178387</v>
      </c>
      <c r="K35" s="10" t="n">
        <v>179039</v>
      </c>
      <c r="L35" s="10" t="n">
        <v>179533</v>
      </c>
      <c r="M35" s="10" t="n">
        <v>179760</v>
      </c>
      <c r="N35" s="10" t="n">
        <v>179760</v>
      </c>
      <c r="O35" s="11" t="n">
        <v>180606</v>
      </c>
      <c r="P35" s="11" t="n">
        <v>181230</v>
      </c>
      <c r="Q35" s="11" t="n">
        <v>181712</v>
      </c>
      <c r="R35" s="11" t="n">
        <v>182335</v>
      </c>
      <c r="S35" s="11" t="n">
        <v>182782</v>
      </c>
      <c r="T35" s="11" t="n">
        <v>183063</v>
      </c>
      <c r="U35" s="11" t="n">
        <v>183063</v>
      </c>
      <c r="V35" s="11" t="n">
        <v>183713</v>
      </c>
      <c r="W35" s="11" t="n">
        <v>184384</v>
      </c>
      <c r="X35" s="11" t="n">
        <v>184902</v>
      </c>
      <c r="Y35" s="11" t="n">
        <v>185365</v>
      </c>
      <c r="Z35" s="11" t="n">
        <v>185834</v>
      </c>
      <c r="AA35" s="11" t="n">
        <v>186143</v>
      </c>
      <c r="AB35" s="11" t="n">
        <v>186143</v>
      </c>
      <c r="AC35" s="11" t="n">
        <v>186624</v>
      </c>
      <c r="AD35" s="11" t="n">
        <v>187254</v>
      </c>
      <c r="AE35" s="85" t="n">
        <v>187744</v>
      </c>
      <c r="AF35" s="85" t="n">
        <v>188085</v>
      </c>
      <c r="AG35" s="86" t="n">
        <v>188204</v>
      </c>
      <c r="AH35" s="86" t="n">
        <v>188463</v>
      </c>
      <c r="AI35" s="82">
        <f>AH35-D35</f>
        <v/>
      </c>
    </row>
    <row r="36" ht="14.5" customHeight="1" s="488">
      <c r="A36" s="500" t="n">
        <v>4</v>
      </c>
      <c r="B36" s="500" t="inlineStr">
        <is>
          <t>3F</t>
        </is>
      </c>
      <c r="C36" s="500" t="inlineStr">
        <is>
          <t>AHU4 - BTU</t>
        </is>
      </c>
      <c r="D36" s="83" t="n">
        <v>194290</v>
      </c>
      <c r="E36" s="86" t="n">
        <v>194290</v>
      </c>
      <c r="F36" s="10" t="n">
        <v>194621</v>
      </c>
      <c r="G36" s="10" t="n">
        <v>194621</v>
      </c>
      <c r="H36" s="10" t="n">
        <v>195393</v>
      </c>
      <c r="I36" s="10" t="n">
        <v>195974</v>
      </c>
      <c r="J36" s="10" t="n">
        <v>196583</v>
      </c>
      <c r="K36" s="10" t="n">
        <v>197135</v>
      </c>
      <c r="L36" s="10" t="n">
        <v>197498</v>
      </c>
      <c r="M36" s="10" t="n">
        <v>197681</v>
      </c>
      <c r="N36" s="10" t="n">
        <v>197681</v>
      </c>
      <c r="O36" s="11" t="n">
        <v>198465</v>
      </c>
      <c r="P36" s="11" t="n">
        <v>199030</v>
      </c>
      <c r="Q36" s="11" t="n">
        <v>199619</v>
      </c>
      <c r="R36" s="11" t="n">
        <v>200220</v>
      </c>
      <c r="S36" s="11" t="n">
        <v>200783</v>
      </c>
      <c r="T36" s="11" t="n">
        <v>201041</v>
      </c>
      <c r="U36" s="11" t="n">
        <v>201041</v>
      </c>
      <c r="V36" s="11" t="n">
        <v>201645</v>
      </c>
      <c r="W36" s="11" t="n">
        <v>202346</v>
      </c>
      <c r="X36" s="11" t="n">
        <v>202923</v>
      </c>
      <c r="Y36" s="11" t="n">
        <v>203318</v>
      </c>
      <c r="Z36" s="85" t="n">
        <v>203746</v>
      </c>
      <c r="AA36" s="85" t="n">
        <v>203946</v>
      </c>
      <c r="AB36" s="11" t="n">
        <v>203946</v>
      </c>
      <c r="AC36" s="11" t="n">
        <v>204470</v>
      </c>
      <c r="AD36" s="11" t="n">
        <v>205098</v>
      </c>
      <c r="AE36" s="85" t="n">
        <v>205698</v>
      </c>
      <c r="AF36" s="85" t="n">
        <v>206199</v>
      </c>
      <c r="AG36" s="86" t="n">
        <v>206586</v>
      </c>
      <c r="AH36" s="86" t="n">
        <v>206669</v>
      </c>
      <c r="AI36" s="82">
        <f>AH36-D36</f>
        <v/>
      </c>
    </row>
    <row r="37">
      <c r="D37" s="106" t="n"/>
      <c r="E37" s="90" t="n"/>
      <c r="AC37" s="76" t="n"/>
      <c r="AI37" s="78" t="n"/>
    </row>
    <row r="38" ht="13" customHeight="1" s="488">
      <c r="A38" s="91" t="n"/>
      <c r="B38" s="92" t="n"/>
      <c r="C38" s="92" t="n"/>
      <c r="D38" s="107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  <c r="AB38" s="91" t="n"/>
      <c r="AC38" s="91" t="n"/>
      <c r="AD38" s="91" t="n"/>
      <c r="AE38" s="91" t="n"/>
      <c r="AF38" s="91" t="n"/>
      <c r="AG38" s="91" t="n"/>
      <c r="AH38" s="91" t="n"/>
      <c r="AI38" s="91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95">
        <f>AG3</f>
        <v/>
      </c>
      <c r="AH41" s="95">
        <f>AH3</f>
        <v/>
      </c>
      <c r="AI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95">
        <f>AG4</f>
        <v/>
      </c>
      <c r="AH42" s="96">
        <f>AH4</f>
        <v/>
      </c>
      <c r="AI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95">
        <f>AG5</f>
        <v/>
      </c>
      <c r="AH43" s="97" t="inlineStr">
        <is>
          <t>Time</t>
        </is>
      </c>
      <c r="AI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98" t="n">
        <v>0.3333333333333333</v>
      </c>
      <c r="AH44" s="98" t="n">
        <v>0.3333333333333333</v>
      </c>
      <c r="AI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1">
        <f>SUM(E45:AH45)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G7-E8</f>
        <v/>
      </c>
      <c r="G46" s="20">
        <f>G8-G7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1">
        <f>SUM(E46:AH46)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1">
        <f>SUM(E47:AH47)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1">
        <f>SUM(E48:AH48)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1">
        <f>SUM(E49:AH49)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1">
        <f>SUM(E50:AH50)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1">
        <f>SUM(E51:AH51)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1">
        <f>SUM(E52:AH52)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1">
        <f>SUM(E53:AH53)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105">
        <f>SUM(E54:AH54)</f>
        <v/>
      </c>
      <c r="AJ54" s="115" t="inlineStr">
        <is>
          <t>EB</t>
        </is>
      </c>
      <c r="AK54" s="116">
        <f>SUM(AI7,AI9,AI11,AI13,AI15,AI17,AI19,AI21)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105">
        <f>SUM(E55:AH55)</f>
        <v/>
      </c>
      <c r="AJ55" s="115" t="inlineStr">
        <is>
          <t>AHU</t>
        </is>
      </c>
      <c r="AK55" s="116">
        <f>SUM(AI24,AI26,AI28,AI30)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105">
        <f>SUM(E56:AH56)</f>
        <v/>
      </c>
      <c r="AJ56" s="115" t="inlineStr">
        <is>
          <t>BTU</t>
        </is>
      </c>
      <c r="AK56" s="116">
        <f>AI80*40%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105">
        <f>SUM(E57:AH57)</f>
        <v/>
      </c>
      <c r="AJ57" s="117" t="inlineStr">
        <is>
          <t>DG</t>
        </is>
      </c>
      <c r="AK57" s="118">
        <f>SUM(AI8,AI10,AI12,AI14,AI16,AI18,AI20,AI22,AI25,AI27,AI29,AI31)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1">
        <f>SUM(E58:AH58)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1">
        <f>SUM(E59:AH59)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21">
        <f>SUM(E60:AH60)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24">
        <f>SUM(E61:AH61)</f>
        <v/>
      </c>
      <c r="AJ61" s="78" t="n"/>
    </row>
    <row r="62" ht="15" customHeight="1" s="488">
      <c r="A62" s="99" t="n"/>
      <c r="B62" s="99" t="n"/>
      <c r="C62" s="63" t="inlineStr">
        <is>
          <t>Total Power- DG</t>
        </is>
      </c>
      <c r="D62" s="108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24">
        <f>SUM(E62:AH62)</f>
        <v/>
      </c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F61</f>
        <v/>
      </c>
      <c r="G63" s="102">
        <f>G61</f>
        <v/>
      </c>
      <c r="H63" s="102">
        <f>H61</f>
        <v/>
      </c>
      <c r="I63" s="102">
        <f>I61</f>
        <v/>
      </c>
      <c r="J63" s="102">
        <f>J61</f>
        <v/>
      </c>
      <c r="K63" s="102">
        <f>K61</f>
        <v/>
      </c>
      <c r="L63" s="102">
        <f>L61</f>
        <v/>
      </c>
      <c r="M63" s="102">
        <f>M61</f>
        <v/>
      </c>
      <c r="N63" s="102">
        <f>N61</f>
        <v/>
      </c>
      <c r="O63" s="102">
        <f>O61</f>
        <v/>
      </c>
      <c r="P63" s="102">
        <f>P61</f>
        <v/>
      </c>
      <c r="Q63" s="102">
        <f>Q61</f>
        <v/>
      </c>
      <c r="R63" s="102">
        <f>R61</f>
        <v/>
      </c>
      <c r="S63" s="102">
        <f>S61</f>
        <v/>
      </c>
      <c r="T63" s="102">
        <f>T61</f>
        <v/>
      </c>
      <c r="U63" s="102">
        <f>U61</f>
        <v/>
      </c>
      <c r="V63" s="102">
        <f>V61</f>
        <v/>
      </c>
      <c r="W63" s="102">
        <f>W61</f>
        <v/>
      </c>
      <c r="X63" s="102">
        <f>X61</f>
        <v/>
      </c>
      <c r="Y63" s="102">
        <f>Y61</f>
        <v/>
      </c>
      <c r="Z63" s="102">
        <f>Z61</f>
        <v/>
      </c>
      <c r="AA63" s="102">
        <f>AA61</f>
        <v/>
      </c>
      <c r="AB63" s="102">
        <f>AB61</f>
        <v/>
      </c>
      <c r="AC63" s="102">
        <f>AC61</f>
        <v/>
      </c>
      <c r="AD63" s="102">
        <f>AD61</f>
        <v/>
      </c>
      <c r="AE63" s="102">
        <f>AE61</f>
        <v/>
      </c>
      <c r="AF63" s="102">
        <f>AF61</f>
        <v/>
      </c>
      <c r="AG63" s="102">
        <f>AG61</f>
        <v/>
      </c>
      <c r="AH63" s="102">
        <f>AH61</f>
        <v/>
      </c>
      <c r="AI63" s="102">
        <f>AI61</f>
        <v/>
      </c>
    </row>
    <row r="64" ht="13" customHeight="1" s="488">
      <c r="A64" s="94" t="n"/>
      <c r="B64" s="534" t="n"/>
      <c r="C64" s="534" t="n"/>
      <c r="D64" s="109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</row>
    <row r="65" ht="14.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SUM(E66:AH66)</f>
        <v/>
      </c>
      <c r="AK66" s="78" t="n"/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SUM(E67:AH67)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SUM(E68:AH68)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SUM(E69:AH69)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SUM(E70:AH70)</f>
        <v/>
      </c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SUM(E71:AH71)</f>
        <v/>
      </c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SUM(E72:AH72)</f>
        <v/>
      </c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SUM(E73:AH73)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4">
        <f>SUM(E74:AH74)</f>
        <v/>
      </c>
      <c r="AJ74" s="78" t="n"/>
      <c r="AK74" s="78" t="n"/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4">
        <f>SUM(E75:AH75)</f>
        <v/>
      </c>
      <c r="AJ75" s="78" t="n"/>
      <c r="AK75" s="78" t="n"/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SUM(E76:AH76)</f>
        <v/>
      </c>
      <c r="AK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SUM(E77:AH77)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SUM(E78:AH78)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SUM(E79:AH79)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4">
        <f>SUM(AI76:AI79)</f>
        <v/>
      </c>
      <c r="AJ80" s="78" t="n"/>
    </row>
  </sheetData>
  <mergeCells count="49">
    <mergeCell ref="C77:D77"/>
    <mergeCell ref="C68:D68"/>
    <mergeCell ref="C58:D58"/>
    <mergeCell ref="B3:B6"/>
    <mergeCell ref="C45:D45"/>
    <mergeCell ref="C74:D74"/>
    <mergeCell ref="B39:D39"/>
    <mergeCell ref="C79:D79"/>
    <mergeCell ref="C73:D73"/>
    <mergeCell ref="C47:D47"/>
    <mergeCell ref="C54:D54"/>
    <mergeCell ref="C63:D63"/>
    <mergeCell ref="C65:D65"/>
    <mergeCell ref="C55:D55"/>
    <mergeCell ref="A41:A44"/>
    <mergeCell ref="A3:A6"/>
    <mergeCell ref="C50:D50"/>
    <mergeCell ref="C75:D75"/>
    <mergeCell ref="B40:D40"/>
    <mergeCell ref="C80:D80"/>
    <mergeCell ref="E2:AH2"/>
    <mergeCell ref="C56:D56"/>
    <mergeCell ref="C59:D59"/>
    <mergeCell ref="C46:D46"/>
    <mergeCell ref="C60:D60"/>
    <mergeCell ref="C51:D51"/>
    <mergeCell ref="C76:D76"/>
    <mergeCell ref="C71:D71"/>
    <mergeCell ref="D3:D6"/>
    <mergeCell ref="C61:D61"/>
    <mergeCell ref="AI3:AI6"/>
    <mergeCell ref="AI41:AI44"/>
    <mergeCell ref="C70:D70"/>
    <mergeCell ref="C52:D52"/>
    <mergeCell ref="C48:D48"/>
    <mergeCell ref="A32:AI32"/>
    <mergeCell ref="C67:D67"/>
    <mergeCell ref="C72:D72"/>
    <mergeCell ref="A23:AI23"/>
    <mergeCell ref="C57:D57"/>
    <mergeCell ref="C3:C6"/>
    <mergeCell ref="C66:D66"/>
    <mergeCell ref="C41:D44"/>
    <mergeCell ref="A2:D2"/>
    <mergeCell ref="C53:D53"/>
    <mergeCell ref="B41:B44"/>
    <mergeCell ref="C78:D78"/>
    <mergeCell ref="C69:D69"/>
    <mergeCell ref="C49:D4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L80"/>
  <sheetViews>
    <sheetView topLeftCell="N1" workbookViewId="0">
      <pane ySplit="6" topLeftCell="A46" activePane="bottomLeft" state="frozen"/>
      <selection activeCell="A22" sqref="A22:AJ22"/>
      <selection pane="bottomLeft" activeCell="A22" sqref="A22:AJ22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89" min="3" max="3"/>
    <col width="20" bestFit="1" customWidth="1" style="110" min="4" max="4"/>
    <col width="23" bestFit="1" customWidth="1" style="70" min="5" max="5"/>
    <col width="23" customWidth="1" style="488" min="6" max="19"/>
    <col width="23" bestFit="1" customWidth="1" style="70" min="20" max="22"/>
    <col width="23" customWidth="1" style="488" min="23" max="26"/>
    <col width="23" bestFit="1" customWidth="1" style="70" min="27" max="28"/>
    <col width="23" customWidth="1" style="488" min="29" max="29"/>
    <col width="23" bestFit="1" customWidth="1" style="70" min="30" max="30"/>
    <col width="23" customWidth="1" style="70" min="31" max="31"/>
    <col width="23" bestFit="1" customWidth="1" style="70" min="32" max="33"/>
    <col width="23" customWidth="1" style="70" min="34" max="34"/>
    <col width="23" bestFit="1" customWidth="1" style="70" min="35" max="35"/>
    <col width="18" bestFit="1" customWidth="1" style="70" min="36" max="36"/>
    <col width="14" customWidth="1" style="70" min="37" max="37"/>
    <col width="18" customWidth="1" style="70" min="38" max="39"/>
    <col width="18" customWidth="1" style="70" min="40" max="16384"/>
  </cols>
  <sheetData>
    <row r="2" ht="16.5" customHeight="1" s="488">
      <c r="A2" s="538" t="n"/>
      <c r="B2" s="505" t="n"/>
      <c r="C2" s="505" t="n"/>
      <c r="D2" s="506" t="n"/>
      <c r="E2" s="535" t="inlineStr">
        <is>
          <t>December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5" t="n"/>
      <c r="AI2" s="506" t="n"/>
      <c r="AJ2" s="69" t="n"/>
    </row>
    <row r="3" ht="12.75" customHeight="1" s="488">
      <c r="A3" s="530" t="inlineStr">
        <is>
          <t>Sr.No</t>
        </is>
      </c>
      <c r="B3" s="530" t="inlineStr">
        <is>
          <t>Location</t>
        </is>
      </c>
      <c r="C3" s="530" t="inlineStr">
        <is>
          <t>Meter</t>
        </is>
      </c>
      <c r="D3" s="536" t="inlineStr">
        <is>
          <t>Previous Reading</t>
        </is>
      </c>
      <c r="E3" s="71" t="n">
        <v>45627</v>
      </c>
      <c r="F3" s="71" t="n">
        <v>45628</v>
      </c>
      <c r="G3" s="71" t="n">
        <v>45629</v>
      </c>
      <c r="H3" s="71" t="n">
        <v>45630</v>
      </c>
      <c r="I3" s="71" t="n">
        <v>45631</v>
      </c>
      <c r="J3" s="71" t="n">
        <v>45632</v>
      </c>
      <c r="K3" s="71" t="n">
        <v>45633</v>
      </c>
      <c r="L3" s="71" t="n">
        <v>45634</v>
      </c>
      <c r="M3" s="71" t="n">
        <v>45635</v>
      </c>
      <c r="N3" s="71" t="n">
        <v>45636</v>
      </c>
      <c r="O3" s="71" t="n">
        <v>45637</v>
      </c>
      <c r="P3" s="71" t="n">
        <v>45638</v>
      </c>
      <c r="Q3" s="71" t="n">
        <v>45639</v>
      </c>
      <c r="R3" s="71" t="n">
        <v>45640</v>
      </c>
      <c r="S3" s="71" t="n">
        <v>45641</v>
      </c>
      <c r="T3" s="71" t="n">
        <v>45642</v>
      </c>
      <c r="U3" s="71" t="n">
        <v>45643</v>
      </c>
      <c r="V3" s="71" t="n">
        <v>45644</v>
      </c>
      <c r="W3" s="71" t="n">
        <v>45645</v>
      </c>
      <c r="X3" s="71" t="n">
        <v>45646</v>
      </c>
      <c r="Y3" s="71" t="n">
        <v>45647</v>
      </c>
      <c r="Z3" s="71" t="n">
        <v>45648</v>
      </c>
      <c r="AA3" s="71" t="n">
        <v>45649</v>
      </c>
      <c r="AB3" s="71" t="n">
        <v>45650</v>
      </c>
      <c r="AC3" s="71" t="n">
        <v>45651</v>
      </c>
      <c r="AD3" s="71" t="n">
        <v>45652</v>
      </c>
      <c r="AE3" s="71" t="n">
        <v>45653</v>
      </c>
      <c r="AF3" s="71" t="n">
        <v>45654</v>
      </c>
      <c r="AG3" s="71" t="n">
        <v>45655</v>
      </c>
      <c r="AH3" s="71" t="n">
        <v>45656</v>
      </c>
      <c r="AI3" s="71" t="n">
        <v>45657</v>
      </c>
      <c r="AJ3" s="537" t="inlineStr">
        <is>
          <t>Consumption</t>
        </is>
      </c>
    </row>
    <row r="4" ht="13" customHeight="1" s="488">
      <c r="A4" s="509" t="n"/>
      <c r="B4" s="509" t="n"/>
      <c r="C4" s="509" t="n"/>
      <c r="D4" s="509" t="n"/>
      <c r="E4" s="72" t="inlineStr">
        <is>
          <t>Sun</t>
        </is>
      </c>
      <c r="F4" s="72" t="inlineStr">
        <is>
          <t>Mon</t>
        </is>
      </c>
      <c r="G4" s="72" t="inlineStr">
        <is>
          <t>Tue</t>
        </is>
      </c>
      <c r="H4" s="72" t="inlineStr">
        <is>
          <t>Wed</t>
        </is>
      </c>
      <c r="I4" s="72" t="inlineStr">
        <is>
          <t>Thu</t>
        </is>
      </c>
      <c r="J4" s="72" t="inlineStr">
        <is>
          <t>Fri</t>
        </is>
      </c>
      <c r="K4" s="72" t="inlineStr">
        <is>
          <t>Sat</t>
        </is>
      </c>
      <c r="L4" s="72" t="inlineStr">
        <is>
          <t>Sun</t>
        </is>
      </c>
      <c r="M4" s="72" t="inlineStr">
        <is>
          <t>Mon</t>
        </is>
      </c>
      <c r="N4" s="72" t="inlineStr">
        <is>
          <t>Tue</t>
        </is>
      </c>
      <c r="O4" s="72" t="inlineStr">
        <is>
          <t>Wed</t>
        </is>
      </c>
      <c r="P4" s="72" t="inlineStr">
        <is>
          <t>Thu</t>
        </is>
      </c>
      <c r="Q4" s="72" t="inlineStr">
        <is>
          <t>Fri</t>
        </is>
      </c>
      <c r="R4" s="72" t="inlineStr">
        <is>
          <t>Sat</t>
        </is>
      </c>
      <c r="S4" s="72" t="inlineStr">
        <is>
          <t>Sun</t>
        </is>
      </c>
      <c r="T4" s="72" t="inlineStr">
        <is>
          <t>Mon</t>
        </is>
      </c>
      <c r="U4" s="72" t="inlineStr">
        <is>
          <t>Tue</t>
        </is>
      </c>
      <c r="V4" s="72" t="inlineStr">
        <is>
          <t>Wed</t>
        </is>
      </c>
      <c r="W4" s="72" t="inlineStr">
        <is>
          <t>Thu</t>
        </is>
      </c>
      <c r="X4" s="72" t="inlineStr">
        <is>
          <t>Fri</t>
        </is>
      </c>
      <c r="Y4" s="72" t="inlineStr">
        <is>
          <t>Sat</t>
        </is>
      </c>
      <c r="Z4" s="72" t="inlineStr">
        <is>
          <t>Sun</t>
        </is>
      </c>
      <c r="AA4" s="72" t="inlineStr">
        <is>
          <t>Mon</t>
        </is>
      </c>
      <c r="AB4" s="72" t="inlineStr">
        <is>
          <t>Tue</t>
        </is>
      </c>
      <c r="AC4" s="72" t="inlineStr">
        <is>
          <t>Wed</t>
        </is>
      </c>
      <c r="AD4" s="72" t="inlineStr">
        <is>
          <t>Thu</t>
        </is>
      </c>
      <c r="AE4" s="72" t="inlineStr">
        <is>
          <t>Fri</t>
        </is>
      </c>
      <c r="AF4" s="72" t="inlineStr">
        <is>
          <t>Sat</t>
        </is>
      </c>
      <c r="AG4" s="72" t="inlineStr">
        <is>
          <t>Sun</t>
        </is>
      </c>
      <c r="AH4" s="72" t="inlineStr">
        <is>
          <t>Mon</t>
        </is>
      </c>
      <c r="AI4" s="72" t="inlineStr">
        <is>
          <t>Tue</t>
        </is>
      </c>
      <c r="AJ4" s="509" t="n"/>
    </row>
    <row r="5" ht="13" customHeight="1" s="488">
      <c r="A5" s="509" t="n"/>
      <c r="B5" s="509" t="n"/>
      <c r="C5" s="509" t="n"/>
      <c r="D5" s="509" t="n"/>
      <c r="E5" s="72" t="inlineStr">
        <is>
          <t>Time</t>
        </is>
      </c>
      <c r="F5" s="72" t="inlineStr">
        <is>
          <t>Time</t>
        </is>
      </c>
      <c r="G5" s="72" t="inlineStr">
        <is>
          <t>Time</t>
        </is>
      </c>
      <c r="H5" s="72" t="inlineStr">
        <is>
          <t>Time</t>
        </is>
      </c>
      <c r="I5" s="72" t="inlineStr">
        <is>
          <t>Time</t>
        </is>
      </c>
      <c r="J5" s="72" t="inlineStr">
        <is>
          <t>Time</t>
        </is>
      </c>
      <c r="K5" s="72" t="inlineStr">
        <is>
          <t>Time</t>
        </is>
      </c>
      <c r="L5" s="72" t="inlineStr">
        <is>
          <t>Time</t>
        </is>
      </c>
      <c r="M5" s="72" t="inlineStr">
        <is>
          <t>Time</t>
        </is>
      </c>
      <c r="N5" s="72" t="inlineStr">
        <is>
          <t>Time</t>
        </is>
      </c>
      <c r="O5" s="72" t="inlineStr">
        <is>
          <t>Time</t>
        </is>
      </c>
      <c r="P5" s="72" t="inlineStr">
        <is>
          <t>Time</t>
        </is>
      </c>
      <c r="Q5" s="72" t="inlineStr">
        <is>
          <t>Time</t>
        </is>
      </c>
      <c r="R5" s="72" t="inlineStr">
        <is>
          <t>Time</t>
        </is>
      </c>
      <c r="S5" s="72" t="inlineStr">
        <is>
          <t>Time</t>
        </is>
      </c>
      <c r="T5" s="72" t="inlineStr">
        <is>
          <t>Time</t>
        </is>
      </c>
      <c r="U5" s="72" t="inlineStr">
        <is>
          <t>Time</t>
        </is>
      </c>
      <c r="V5" s="72" t="inlineStr">
        <is>
          <t>Time</t>
        </is>
      </c>
      <c r="W5" s="72" t="inlineStr">
        <is>
          <t>Time</t>
        </is>
      </c>
      <c r="X5" s="72" t="inlineStr">
        <is>
          <t>Time</t>
        </is>
      </c>
      <c r="Y5" s="72" t="inlineStr">
        <is>
          <t>Time</t>
        </is>
      </c>
      <c r="Z5" s="72" t="inlineStr">
        <is>
          <t>Time</t>
        </is>
      </c>
      <c r="AA5" s="72" t="inlineStr">
        <is>
          <t>Time</t>
        </is>
      </c>
      <c r="AB5" s="72" t="inlineStr">
        <is>
          <t>Time</t>
        </is>
      </c>
      <c r="AC5" s="72" t="inlineStr">
        <is>
          <t>Time</t>
        </is>
      </c>
      <c r="AD5" s="72" t="inlineStr">
        <is>
          <t>Time</t>
        </is>
      </c>
      <c r="AE5" s="72" t="inlineStr">
        <is>
          <t>Time</t>
        </is>
      </c>
      <c r="AF5" s="72" t="inlineStr">
        <is>
          <t>Time</t>
        </is>
      </c>
      <c r="AG5" s="72" t="inlineStr">
        <is>
          <t>Time</t>
        </is>
      </c>
      <c r="AH5" s="72" t="inlineStr">
        <is>
          <t>Time</t>
        </is>
      </c>
      <c r="AI5" s="72" t="inlineStr">
        <is>
          <t>Time</t>
        </is>
      </c>
      <c r="AJ5" s="509" t="n"/>
    </row>
    <row r="6" ht="13" customHeight="1" s="488">
      <c r="A6" s="510" t="n"/>
      <c r="B6" s="510" t="n"/>
      <c r="C6" s="510" t="n"/>
      <c r="D6" s="510" t="n"/>
      <c r="E6" s="73" t="n">
        <v>0.3333333333333333</v>
      </c>
      <c r="F6" s="73" t="n">
        <v>0.3333333333333333</v>
      </c>
      <c r="G6" s="73" t="n">
        <v>0.3333333333333333</v>
      </c>
      <c r="H6" s="73" t="n">
        <v>0.3333333333333333</v>
      </c>
      <c r="I6" s="73" t="n">
        <v>0.3333333333333333</v>
      </c>
      <c r="J6" s="73" t="n">
        <v>0.3333333333333333</v>
      </c>
      <c r="K6" s="73" t="n">
        <v>0.3333333333333333</v>
      </c>
      <c r="L6" s="73" t="n">
        <v>0.3333333333333333</v>
      </c>
      <c r="M6" s="73" t="n">
        <v>0.3333333333333333</v>
      </c>
      <c r="N6" s="73" t="n">
        <v>0.3333333333333333</v>
      </c>
      <c r="O6" s="73" t="n">
        <v>0.3333333333333333</v>
      </c>
      <c r="P6" s="73" t="n">
        <v>0.3333333333333333</v>
      </c>
      <c r="Q6" s="73" t="n">
        <v>0.3333333333333333</v>
      </c>
      <c r="R6" s="73" t="n">
        <v>0.3333333333333333</v>
      </c>
      <c r="S6" s="73" t="n">
        <v>0.3333333333333333</v>
      </c>
      <c r="T6" s="73" t="n">
        <v>0.3333333333333333</v>
      </c>
      <c r="U6" s="73" t="n">
        <v>0.3333333333333333</v>
      </c>
      <c r="V6" s="73" t="n">
        <v>0.3333333333333333</v>
      </c>
      <c r="W6" s="73" t="n">
        <v>0.3333333333333333</v>
      </c>
      <c r="X6" s="73" t="n">
        <v>0.3333333333333333</v>
      </c>
      <c r="Y6" s="73" t="n">
        <v>0.3333333333333333</v>
      </c>
      <c r="Z6" s="73" t="n">
        <v>0.3333333333333333</v>
      </c>
      <c r="AA6" s="73" t="n">
        <v>0.3333333333333333</v>
      </c>
      <c r="AB6" s="73" t="n">
        <v>0.3333333333333333</v>
      </c>
      <c r="AC6" s="73" t="n">
        <v>0.3333333333333333</v>
      </c>
      <c r="AD6" s="73" t="n">
        <v>0.3333333333333333</v>
      </c>
      <c r="AE6" s="73" t="n">
        <v>0.3333333333333333</v>
      </c>
      <c r="AF6" s="73" t="n">
        <v>0.3333333333333333</v>
      </c>
      <c r="AG6" s="73" t="n">
        <v>0.3333333333333333</v>
      </c>
      <c r="AH6" s="73" t="n">
        <v>0.3333333333333333</v>
      </c>
      <c r="AI6" s="73" t="n">
        <v>0.3333333333333333</v>
      </c>
      <c r="AJ6" s="510" t="n"/>
    </row>
    <row r="7" ht="20.15" customHeight="1" s="488">
      <c r="A7" s="54" t="n">
        <v>1</v>
      </c>
      <c r="B7" s="54" t="inlineStr">
        <is>
          <t>3F</t>
        </is>
      </c>
      <c r="C7" s="54" t="inlineStr">
        <is>
          <t>SL No 540430038840 (EB Unit)</t>
        </is>
      </c>
      <c r="D7" s="74" t="n">
        <v>69543</v>
      </c>
      <c r="E7" s="561" t="n">
        <v>69870</v>
      </c>
      <c r="F7" s="561" t="n">
        <v>70134</v>
      </c>
      <c r="G7" s="49" t="n">
        <v>70389</v>
      </c>
      <c r="H7" s="5" t="n">
        <v>70653</v>
      </c>
      <c r="I7" s="561" t="n">
        <v>70926</v>
      </c>
      <c r="J7" s="561" t="n">
        <v>71172</v>
      </c>
      <c r="K7" s="561" t="n">
        <v>71394</v>
      </c>
      <c r="L7" s="58" t="n">
        <v>71605</v>
      </c>
      <c r="M7" s="48" t="n">
        <v>71885</v>
      </c>
      <c r="N7" s="59" t="n">
        <v>72143</v>
      </c>
      <c r="O7" s="561" t="n">
        <v>72403</v>
      </c>
      <c r="P7" s="58" t="n">
        <v>72664</v>
      </c>
      <c r="Q7" s="48" t="n">
        <v>72900</v>
      </c>
      <c r="R7" s="59" t="n">
        <v>73046</v>
      </c>
      <c r="S7" s="561" t="n">
        <v>73265</v>
      </c>
      <c r="T7" s="561" t="n">
        <v>73528</v>
      </c>
      <c r="U7" s="561" t="n">
        <v>73802</v>
      </c>
      <c r="V7" s="125" t="n">
        <v>74058</v>
      </c>
      <c r="W7" s="561" t="n">
        <v>74309</v>
      </c>
      <c r="X7" s="561" t="n">
        <v>74560</v>
      </c>
      <c r="Y7" s="561" t="n">
        <v>74780</v>
      </c>
      <c r="Z7" s="561" t="n">
        <v>74984</v>
      </c>
      <c r="AA7" s="561" t="n">
        <v>75215</v>
      </c>
      <c r="AB7" s="561" t="n">
        <v>75408</v>
      </c>
      <c r="AC7" s="561" t="n">
        <v>75736</v>
      </c>
      <c r="AD7" s="500" t="n">
        <v>75957</v>
      </c>
      <c r="AE7" s="500" t="n">
        <v>76179</v>
      </c>
      <c r="AF7" s="500" t="n">
        <v>76387</v>
      </c>
      <c r="AG7" s="54" t="n">
        <v>76602</v>
      </c>
      <c r="AH7" s="54" t="n">
        <v>76841</v>
      </c>
      <c r="AI7" s="54" t="n">
        <v>76944</v>
      </c>
      <c r="AJ7" s="77">
        <f>AI7-D7</f>
        <v/>
      </c>
      <c r="AK7" s="78" t="n"/>
    </row>
    <row r="8" ht="20.15" customHeight="1" s="488">
      <c r="A8" s="49" t="n"/>
      <c r="B8" s="49" t="n"/>
      <c r="C8" s="79" t="inlineStr">
        <is>
          <t>DG</t>
        </is>
      </c>
      <c r="D8" s="79" t="n">
        <v>3790</v>
      </c>
      <c r="E8" s="561" t="n">
        <v>3790</v>
      </c>
      <c r="F8" s="561" t="n">
        <v>3790</v>
      </c>
      <c r="G8" s="561" t="n">
        <v>3790</v>
      </c>
      <c r="H8" s="561" t="n">
        <v>3790</v>
      </c>
      <c r="I8" s="561" t="n">
        <v>3790</v>
      </c>
      <c r="J8" s="561" t="n">
        <v>3790</v>
      </c>
      <c r="K8" s="561" t="n">
        <v>3790</v>
      </c>
      <c r="L8" s="561" t="n">
        <v>3790</v>
      </c>
      <c r="M8" s="561" t="n">
        <v>3790</v>
      </c>
      <c r="N8" s="561" t="n">
        <v>3790</v>
      </c>
      <c r="O8" s="561" t="n">
        <v>3790</v>
      </c>
      <c r="P8" s="561" t="n">
        <v>3790</v>
      </c>
      <c r="Q8" s="561" t="n">
        <v>3790</v>
      </c>
      <c r="R8" s="561" t="n">
        <v>3790</v>
      </c>
      <c r="S8" s="561" t="n">
        <v>3790</v>
      </c>
      <c r="T8" s="561" t="n">
        <v>3790</v>
      </c>
      <c r="U8" s="561" t="n">
        <v>3790</v>
      </c>
      <c r="V8" s="561" t="n">
        <v>3790</v>
      </c>
      <c r="W8" s="561" t="n">
        <v>3790</v>
      </c>
      <c r="X8" s="561" t="n">
        <v>3790</v>
      </c>
      <c r="Y8" s="49" t="n">
        <v>3793</v>
      </c>
      <c r="Z8" s="49" t="n">
        <v>3793</v>
      </c>
      <c r="AA8" s="49" t="n">
        <v>3801</v>
      </c>
      <c r="AB8" s="49" t="n">
        <v>3801</v>
      </c>
      <c r="AC8" s="49" t="n">
        <v>3801</v>
      </c>
      <c r="AD8" s="49" t="n">
        <v>3801</v>
      </c>
      <c r="AE8" s="49" t="n">
        <v>3801</v>
      </c>
      <c r="AF8" s="49" t="n">
        <v>3801</v>
      </c>
      <c r="AG8" s="49" t="n">
        <v>3801</v>
      </c>
      <c r="AH8" s="49" t="n">
        <v>3801</v>
      </c>
      <c r="AI8" s="49" t="n">
        <v>3801</v>
      </c>
      <c r="AJ8" s="77">
        <f>AI8-D8</f>
        <v/>
      </c>
      <c r="AK8" s="78" t="n"/>
    </row>
    <row r="9" ht="20.15" customHeight="1" s="488">
      <c r="A9" s="500" t="n">
        <v>2</v>
      </c>
      <c r="B9" s="500" t="inlineStr">
        <is>
          <t>3F</t>
        </is>
      </c>
      <c r="C9" s="500" t="inlineStr">
        <is>
          <t>SL No 540430038845 (EB Unit)</t>
        </is>
      </c>
      <c r="D9" s="529" t="n">
        <v>1956</v>
      </c>
      <c r="E9" s="561" t="n">
        <v>1956</v>
      </c>
      <c r="F9" s="561" t="n">
        <v>1956</v>
      </c>
      <c r="G9" s="561" t="n">
        <v>1956</v>
      </c>
      <c r="H9" s="561" t="n">
        <v>1956</v>
      </c>
      <c r="I9" s="561" t="n">
        <v>1956</v>
      </c>
      <c r="J9" s="561" t="n">
        <v>1956</v>
      </c>
      <c r="K9" s="561" t="n">
        <v>1956</v>
      </c>
      <c r="L9" s="561" t="n">
        <v>1956</v>
      </c>
      <c r="M9" s="561" t="n">
        <v>1956</v>
      </c>
      <c r="N9" s="561" t="n">
        <v>1956</v>
      </c>
      <c r="O9" s="561" t="n">
        <v>1956</v>
      </c>
      <c r="P9" s="561" t="n">
        <v>1956</v>
      </c>
      <c r="Q9" s="561" t="n">
        <v>1956</v>
      </c>
      <c r="R9" s="561" t="n">
        <v>1956</v>
      </c>
      <c r="S9" s="561" t="n">
        <v>1956</v>
      </c>
      <c r="T9" s="561" t="n">
        <v>1956</v>
      </c>
      <c r="U9" s="561" t="n">
        <v>1956</v>
      </c>
      <c r="V9" s="561" t="n">
        <v>1956</v>
      </c>
      <c r="W9" s="561" t="n">
        <v>1956</v>
      </c>
      <c r="X9" s="561" t="n">
        <v>1956</v>
      </c>
      <c r="Y9" s="561" t="n">
        <v>1956</v>
      </c>
      <c r="Z9" s="561" t="n">
        <v>1956</v>
      </c>
      <c r="AA9" s="561" t="n">
        <v>1956</v>
      </c>
      <c r="AB9" s="561" t="n">
        <v>1956</v>
      </c>
      <c r="AC9" s="561" t="n">
        <v>1956</v>
      </c>
      <c r="AD9" s="561" t="n">
        <v>1956</v>
      </c>
      <c r="AE9" s="561" t="n">
        <v>1956</v>
      </c>
      <c r="AF9" s="561" t="n">
        <v>1956</v>
      </c>
      <c r="AG9" s="561" t="n">
        <v>1956</v>
      </c>
      <c r="AH9" s="561" t="n">
        <v>1956</v>
      </c>
      <c r="AI9" s="561" t="n">
        <v>1956</v>
      </c>
      <c r="AJ9" s="77">
        <f>AI9-D9</f>
        <v/>
      </c>
    </row>
    <row r="10" ht="20.15" customHeight="1" s="488">
      <c r="A10" s="500" t="n"/>
      <c r="B10" s="500" t="n"/>
      <c r="C10" s="79" t="inlineStr">
        <is>
          <t>DG</t>
        </is>
      </c>
      <c r="D10" s="529" t="n">
        <v>28.6</v>
      </c>
      <c r="E10" s="561" t="n">
        <v>28.6</v>
      </c>
      <c r="F10" s="561" t="n">
        <v>28.6</v>
      </c>
      <c r="G10" s="561" t="n">
        <v>28.6</v>
      </c>
      <c r="H10" s="561" t="n">
        <v>28.6</v>
      </c>
      <c r="I10" s="561" t="n">
        <v>28.6</v>
      </c>
      <c r="J10" s="561" t="n">
        <v>28.6</v>
      </c>
      <c r="K10" s="561" t="n">
        <v>28.6</v>
      </c>
      <c r="L10" s="561" t="n">
        <v>28.6</v>
      </c>
      <c r="M10" s="561" t="n">
        <v>28.6</v>
      </c>
      <c r="N10" s="561" t="n">
        <v>28.6</v>
      </c>
      <c r="O10" s="561" t="n">
        <v>28.6</v>
      </c>
      <c r="P10" s="561" t="n">
        <v>28.6</v>
      </c>
      <c r="Q10" s="561" t="n">
        <v>28.6</v>
      </c>
      <c r="R10" s="561" t="n">
        <v>28.6</v>
      </c>
      <c r="S10" s="561" t="n">
        <v>28.6</v>
      </c>
      <c r="T10" s="561" t="n">
        <v>28.6</v>
      </c>
      <c r="U10" s="561" t="n">
        <v>28.6</v>
      </c>
      <c r="V10" s="561" t="n">
        <v>28.6</v>
      </c>
      <c r="W10" s="561" t="n">
        <v>28.6</v>
      </c>
      <c r="X10" s="561" t="n">
        <v>28.6</v>
      </c>
      <c r="Y10" s="561" t="n">
        <v>28.6</v>
      </c>
      <c r="Z10" s="561" t="n">
        <v>28.6</v>
      </c>
      <c r="AA10" s="561" t="n">
        <v>28.6</v>
      </c>
      <c r="AB10" s="561" t="n">
        <v>28.6</v>
      </c>
      <c r="AC10" s="561" t="n">
        <v>28.6</v>
      </c>
      <c r="AD10" s="561" t="n">
        <v>28.6</v>
      </c>
      <c r="AE10" s="561" t="n">
        <v>28.6</v>
      </c>
      <c r="AF10" s="561" t="n">
        <v>28.6</v>
      </c>
      <c r="AG10" s="561" t="n">
        <v>28.6</v>
      </c>
      <c r="AH10" s="561" t="n">
        <v>28.6</v>
      </c>
      <c r="AI10" s="561" t="n">
        <v>28.6</v>
      </c>
      <c r="AJ10" s="77">
        <f>AI10-D10</f>
        <v/>
      </c>
    </row>
    <row r="11" ht="20.15" customHeight="1" s="488">
      <c r="A11" s="500" t="n">
        <v>3</v>
      </c>
      <c r="B11" s="500" t="inlineStr">
        <is>
          <t>3F</t>
        </is>
      </c>
      <c r="C11" s="500" t="inlineStr">
        <is>
          <t>SL No 540430038844 (EB Unit)</t>
        </is>
      </c>
      <c r="D11" s="79" t="n">
        <v>103577</v>
      </c>
      <c r="E11" s="561" t="n">
        <v>104024</v>
      </c>
      <c r="F11" s="561" t="n">
        <v>104406</v>
      </c>
      <c r="G11" s="561" t="n">
        <v>104771</v>
      </c>
      <c r="H11" s="561" t="n">
        <v>105155</v>
      </c>
      <c r="I11" s="561" t="n">
        <v>105544</v>
      </c>
      <c r="J11" s="561" t="n">
        <v>105891</v>
      </c>
      <c r="K11" s="561" t="n">
        <v>106186</v>
      </c>
      <c r="L11" s="561" t="n">
        <v>106468</v>
      </c>
      <c r="M11" s="561" t="n">
        <v>106869</v>
      </c>
      <c r="N11" s="561" t="n">
        <v>107241</v>
      </c>
      <c r="O11" s="561" t="n">
        <v>107617</v>
      </c>
      <c r="P11" s="561" t="n">
        <v>107993</v>
      </c>
      <c r="Q11" s="561" t="n">
        <v>108345</v>
      </c>
      <c r="R11" s="561" t="n">
        <v>108521</v>
      </c>
      <c r="S11" s="561" t="n">
        <v>108815</v>
      </c>
      <c r="T11" s="561" t="n">
        <v>109201</v>
      </c>
      <c r="U11" s="561" t="n">
        <v>109579</v>
      </c>
      <c r="V11" s="561" t="n">
        <v>109938</v>
      </c>
      <c r="W11" s="561" t="n">
        <v>110301</v>
      </c>
      <c r="X11" s="561" t="n">
        <v>110626</v>
      </c>
      <c r="Y11" s="561" t="n">
        <v>110955</v>
      </c>
      <c r="Z11" s="561" t="n">
        <v>111228</v>
      </c>
      <c r="AA11" s="49" t="n">
        <v>111551</v>
      </c>
      <c r="AB11" s="49" t="n">
        <v>111865</v>
      </c>
      <c r="AC11" s="561" t="n">
        <v>112114</v>
      </c>
      <c r="AD11" s="561" t="n">
        <v>112447</v>
      </c>
      <c r="AE11" s="49" t="n">
        <v>112744</v>
      </c>
      <c r="AF11" s="49" t="n">
        <v>113018</v>
      </c>
      <c r="AG11" s="49" t="n">
        <v>113302</v>
      </c>
      <c r="AH11" s="49" t="n">
        <v>113623</v>
      </c>
      <c r="AI11" s="49" t="n">
        <v>113760</v>
      </c>
      <c r="AJ11" s="77">
        <f>AI11-D11</f>
        <v/>
      </c>
    </row>
    <row r="12" ht="20.15" customHeight="1" s="488">
      <c r="A12" s="500" t="n"/>
      <c r="B12" s="500" t="n"/>
      <c r="C12" s="79" t="inlineStr">
        <is>
          <t>DG</t>
        </is>
      </c>
      <c r="D12" s="529" t="n">
        <v>5686</v>
      </c>
      <c r="E12" s="561" t="n">
        <v>5686</v>
      </c>
      <c r="F12" s="561" t="n">
        <v>5686</v>
      </c>
      <c r="G12" s="561" t="n">
        <v>5686</v>
      </c>
      <c r="H12" s="561" t="n">
        <v>5686</v>
      </c>
      <c r="I12" s="561" t="n">
        <v>5686</v>
      </c>
      <c r="J12" s="561" t="n">
        <v>5686</v>
      </c>
      <c r="K12" s="561" t="n">
        <v>5686</v>
      </c>
      <c r="L12" s="561" t="n">
        <v>5686</v>
      </c>
      <c r="M12" s="561" t="n">
        <v>5686</v>
      </c>
      <c r="N12" s="561" t="n">
        <v>5686</v>
      </c>
      <c r="O12" s="561" t="n">
        <v>5686</v>
      </c>
      <c r="P12" s="561" t="n">
        <v>5686</v>
      </c>
      <c r="Q12" s="561" t="n">
        <v>5686</v>
      </c>
      <c r="R12" s="561" t="n">
        <v>5686</v>
      </c>
      <c r="S12" s="561" t="n">
        <v>5686</v>
      </c>
      <c r="T12" s="561" t="n">
        <v>5686</v>
      </c>
      <c r="U12" s="561" t="n">
        <v>5686</v>
      </c>
      <c r="V12" s="561" t="n">
        <v>5686</v>
      </c>
      <c r="W12" s="561" t="n">
        <v>5686</v>
      </c>
      <c r="X12" s="561" t="n">
        <v>5686</v>
      </c>
      <c r="Y12" s="500" t="n">
        <v>5691</v>
      </c>
      <c r="Z12" s="500" t="n">
        <v>5702</v>
      </c>
      <c r="AA12" s="500" t="n">
        <v>5702</v>
      </c>
      <c r="AB12" s="500" t="n">
        <v>5702</v>
      </c>
      <c r="AC12" s="500" t="n">
        <v>5702</v>
      </c>
      <c r="AD12" s="500" t="n">
        <v>5702</v>
      </c>
      <c r="AE12" s="500" t="n">
        <v>5702</v>
      </c>
      <c r="AF12" s="500" t="n">
        <v>5702</v>
      </c>
      <c r="AG12" s="500" t="n">
        <v>5702</v>
      </c>
      <c r="AH12" s="500" t="n">
        <v>5702</v>
      </c>
      <c r="AI12" s="500" t="n">
        <v>5702</v>
      </c>
      <c r="AJ12" s="77">
        <f>AI12-D12</f>
        <v/>
      </c>
    </row>
    <row r="13" ht="20.15" customHeight="1" s="488">
      <c r="A13" s="500" t="n">
        <v>4</v>
      </c>
      <c r="B13" s="500" t="inlineStr">
        <is>
          <t>3F</t>
        </is>
      </c>
      <c r="C13" s="500" t="inlineStr">
        <is>
          <t>SL No 540430038821 (EB Unit)</t>
        </is>
      </c>
      <c r="D13" s="529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61" t="n">
        <v>0</v>
      </c>
      <c r="AJ13" s="77">
        <f>AI13-D13</f>
        <v/>
      </c>
    </row>
    <row r="14" ht="20.15" customHeight="1" s="488">
      <c r="A14" s="500" t="n"/>
      <c r="B14" s="500" t="n"/>
      <c r="C14" s="79" t="inlineStr">
        <is>
          <t>DG</t>
        </is>
      </c>
      <c r="D14" s="529" t="n">
        <v>0</v>
      </c>
      <c r="E14" s="561" t="n">
        <v>0</v>
      </c>
      <c r="F14" s="561" t="n">
        <v>0</v>
      </c>
      <c r="G14" s="561" t="n">
        <v>0</v>
      </c>
      <c r="H14" s="561" t="n">
        <v>0</v>
      </c>
      <c r="I14" s="561" t="n">
        <v>0</v>
      </c>
      <c r="J14" s="561" t="n">
        <v>0</v>
      </c>
      <c r="K14" s="561" t="n">
        <v>0</v>
      </c>
      <c r="L14" s="561" t="n">
        <v>0</v>
      </c>
      <c r="M14" s="561" t="n">
        <v>0</v>
      </c>
      <c r="N14" s="561" t="n">
        <v>0</v>
      </c>
      <c r="O14" s="561" t="n">
        <v>0</v>
      </c>
      <c r="P14" s="561" t="n">
        <v>0</v>
      </c>
      <c r="Q14" s="561" t="n">
        <v>0</v>
      </c>
      <c r="R14" s="561" t="n">
        <v>0</v>
      </c>
      <c r="S14" s="561" t="n">
        <v>0</v>
      </c>
      <c r="T14" s="561" t="n">
        <v>0</v>
      </c>
      <c r="U14" s="561" t="n">
        <v>0</v>
      </c>
      <c r="V14" s="561" t="n">
        <v>0</v>
      </c>
      <c r="W14" s="561" t="n">
        <v>0</v>
      </c>
      <c r="X14" s="561" t="n">
        <v>0</v>
      </c>
      <c r="Y14" s="561" t="n">
        <v>0</v>
      </c>
      <c r="Z14" s="561" t="n">
        <v>0</v>
      </c>
      <c r="AA14" s="561" t="n">
        <v>0</v>
      </c>
      <c r="AB14" s="561" t="n">
        <v>0</v>
      </c>
      <c r="AC14" s="561" t="n">
        <v>0</v>
      </c>
      <c r="AD14" s="561" t="n">
        <v>0</v>
      </c>
      <c r="AE14" s="561" t="n">
        <v>0</v>
      </c>
      <c r="AF14" s="561" t="n">
        <v>0</v>
      </c>
      <c r="AG14" s="561" t="n">
        <v>0</v>
      </c>
      <c r="AH14" s="561" t="n">
        <v>0</v>
      </c>
      <c r="AI14" s="561" t="n">
        <v>0</v>
      </c>
      <c r="AJ14" s="77">
        <f>AI14-D14</f>
        <v/>
      </c>
    </row>
    <row r="15" ht="20.15" customHeight="1" s="488">
      <c r="A15" s="500" t="n">
        <v>5</v>
      </c>
      <c r="B15" s="500" t="inlineStr">
        <is>
          <t>3F</t>
        </is>
      </c>
      <c r="C15" s="500" t="inlineStr">
        <is>
          <t>SL No 540430038849 (EB Unit)</t>
        </is>
      </c>
      <c r="D15" s="79" t="n">
        <v>44885</v>
      </c>
      <c r="E15" s="561" t="n">
        <v>45068</v>
      </c>
      <c r="F15" s="561" t="n">
        <v>45283</v>
      </c>
      <c r="G15" s="561" t="n">
        <v>45458</v>
      </c>
      <c r="H15" s="561" t="n">
        <v>45700</v>
      </c>
      <c r="I15" s="561" t="n">
        <v>45919</v>
      </c>
      <c r="J15" s="561" t="n">
        <v>46122</v>
      </c>
      <c r="K15" s="561" t="n">
        <v>46240</v>
      </c>
      <c r="L15" s="561" t="n">
        <v>46354</v>
      </c>
      <c r="M15" s="561" t="n">
        <v>46538</v>
      </c>
      <c r="N15" s="561" t="n">
        <v>46724</v>
      </c>
      <c r="O15" s="561" t="n">
        <v>47019</v>
      </c>
      <c r="P15" s="561" t="n">
        <v>47230</v>
      </c>
      <c r="Q15" s="561" t="n">
        <v>47430</v>
      </c>
      <c r="R15" s="561" t="n">
        <v>47523</v>
      </c>
      <c r="S15" s="561" t="n">
        <v>47649</v>
      </c>
      <c r="T15" s="561" t="n">
        <v>47868</v>
      </c>
      <c r="U15" s="33" t="n">
        <v>48089</v>
      </c>
      <c r="V15" s="561" t="n">
        <v>48299</v>
      </c>
      <c r="W15" s="561" t="n">
        <v>48496</v>
      </c>
      <c r="X15" s="561" t="n">
        <v>48704</v>
      </c>
      <c r="Y15" s="561" t="n">
        <v>48823</v>
      </c>
      <c r="Z15" s="561" t="n">
        <v>48942</v>
      </c>
      <c r="AA15" s="49" t="n">
        <v>49122</v>
      </c>
      <c r="AB15" s="49" t="n">
        <v>49299</v>
      </c>
      <c r="AC15" s="561" t="n">
        <v>49435</v>
      </c>
      <c r="AD15" s="561" t="n">
        <v>49595</v>
      </c>
      <c r="AE15" s="49" t="n">
        <v>49746</v>
      </c>
      <c r="AF15" s="49" t="n">
        <v>49852</v>
      </c>
      <c r="AG15" s="49" t="n">
        <v>49961</v>
      </c>
      <c r="AH15" s="49" t="n">
        <v>50125</v>
      </c>
      <c r="AI15" s="49" t="n">
        <v>50207</v>
      </c>
      <c r="AJ15" s="77">
        <f>AI15-D15</f>
        <v/>
      </c>
    </row>
    <row r="16" ht="20.15" customHeight="1" s="488">
      <c r="A16" s="500" t="n"/>
      <c r="B16" s="500" t="n"/>
      <c r="C16" s="79" t="inlineStr">
        <is>
          <t>DG</t>
        </is>
      </c>
      <c r="D16" s="529" t="n">
        <v>2886</v>
      </c>
      <c r="E16" s="561" t="n">
        <v>2886</v>
      </c>
      <c r="F16" s="561" t="n">
        <v>2886</v>
      </c>
      <c r="G16" s="561" t="n">
        <v>2886</v>
      </c>
      <c r="H16" s="561" t="n">
        <v>2886</v>
      </c>
      <c r="I16" s="561" t="n">
        <v>2886</v>
      </c>
      <c r="J16" s="561" t="n">
        <v>2886</v>
      </c>
      <c r="K16" s="561" t="n">
        <v>2886</v>
      </c>
      <c r="L16" s="561" t="n">
        <v>2886</v>
      </c>
      <c r="M16" s="561" t="n">
        <v>2886</v>
      </c>
      <c r="N16" s="561" t="n">
        <v>2886</v>
      </c>
      <c r="O16" s="561" t="n">
        <v>2886</v>
      </c>
      <c r="P16" s="561" t="n">
        <v>2886</v>
      </c>
      <c r="Q16" s="561" t="n">
        <v>2886</v>
      </c>
      <c r="R16" s="561" t="n">
        <v>2886</v>
      </c>
      <c r="S16" s="561" t="n">
        <v>2886</v>
      </c>
      <c r="T16" s="561" t="n">
        <v>2886</v>
      </c>
      <c r="U16" s="561" t="n">
        <v>2886</v>
      </c>
      <c r="V16" s="561" t="n">
        <v>2886</v>
      </c>
      <c r="W16" s="561" t="n">
        <v>2886</v>
      </c>
      <c r="X16" s="561" t="n">
        <v>2886</v>
      </c>
      <c r="Y16" s="500" t="n">
        <v>2888</v>
      </c>
      <c r="Z16" s="500" t="n">
        <v>2892</v>
      </c>
      <c r="AA16" s="500" t="n">
        <v>2892</v>
      </c>
      <c r="AB16" s="500" t="n">
        <v>2892</v>
      </c>
      <c r="AC16" s="500" t="n">
        <v>2892</v>
      </c>
      <c r="AD16" s="500" t="n">
        <v>2892</v>
      </c>
      <c r="AE16" s="500" t="n">
        <v>2892</v>
      </c>
      <c r="AF16" s="500" t="n">
        <v>2892</v>
      </c>
      <c r="AG16" s="500" t="n">
        <v>2892</v>
      </c>
      <c r="AH16" s="500" t="n">
        <v>2892</v>
      </c>
      <c r="AI16" s="500" t="n">
        <v>2892</v>
      </c>
      <c r="AJ16" s="77">
        <f>AI16-D16</f>
        <v/>
      </c>
    </row>
    <row r="17" ht="20.15" customHeight="1" s="488">
      <c r="A17" s="500" t="n">
        <v>6</v>
      </c>
      <c r="B17" s="500" t="inlineStr">
        <is>
          <t>3F</t>
        </is>
      </c>
      <c r="C17" s="500" t="inlineStr">
        <is>
          <t>SL No 540430038646 (EB Unit)</t>
        </is>
      </c>
      <c r="D17" s="79" t="n">
        <v>59104</v>
      </c>
      <c r="E17" s="561" t="n">
        <v>59304</v>
      </c>
      <c r="F17" s="561" t="n">
        <v>59542</v>
      </c>
      <c r="G17" s="561" t="n">
        <v>59766</v>
      </c>
      <c r="H17" s="561" t="n">
        <v>59979</v>
      </c>
      <c r="I17" s="561" t="n">
        <v>60225</v>
      </c>
      <c r="J17" s="561" t="n">
        <v>60452</v>
      </c>
      <c r="K17" s="561" t="n">
        <v>60598</v>
      </c>
      <c r="L17" s="561" t="n">
        <v>60731</v>
      </c>
      <c r="M17" s="561" t="n">
        <v>60996</v>
      </c>
      <c r="N17" s="561" t="n">
        <v>61250</v>
      </c>
      <c r="O17" s="561" t="n">
        <v>61497</v>
      </c>
      <c r="P17" s="561" t="n">
        <v>61703</v>
      </c>
      <c r="Q17" s="561" t="n">
        <v>61904</v>
      </c>
      <c r="R17" s="561" t="n">
        <v>61938</v>
      </c>
      <c r="S17" s="561" t="n">
        <v>62027</v>
      </c>
      <c r="T17" s="561" t="n">
        <v>62253</v>
      </c>
      <c r="U17" s="561" t="n">
        <v>62465</v>
      </c>
      <c r="V17" s="561" t="n">
        <v>62680</v>
      </c>
      <c r="W17" s="561" t="n">
        <v>62842</v>
      </c>
      <c r="X17" s="561" t="n">
        <v>63131</v>
      </c>
      <c r="Y17" s="561" t="n">
        <v>63229</v>
      </c>
      <c r="Z17" s="561" t="n">
        <v>63364</v>
      </c>
      <c r="AA17" s="500" t="n">
        <v>63499</v>
      </c>
      <c r="AB17" s="49" t="n">
        <v>63729</v>
      </c>
      <c r="AC17" s="561" t="n">
        <v>63802</v>
      </c>
      <c r="AD17" s="561" t="n">
        <v>63940</v>
      </c>
      <c r="AE17" s="49" t="n">
        <v>63940</v>
      </c>
      <c r="AF17" s="49" t="n">
        <v>64070</v>
      </c>
      <c r="AG17" s="500" t="n">
        <v>64182</v>
      </c>
      <c r="AH17" s="49" t="n">
        <v>64265</v>
      </c>
      <c r="AI17" s="49" t="n">
        <v>64448</v>
      </c>
      <c r="AJ17" s="77">
        <f>AI17-D17</f>
        <v/>
      </c>
    </row>
    <row r="18" ht="20.15" customHeight="1" s="488">
      <c r="A18" s="500" t="n"/>
      <c r="B18" s="500" t="n"/>
      <c r="C18" s="79" t="inlineStr">
        <is>
          <t>DG</t>
        </is>
      </c>
      <c r="D18" s="529" t="n">
        <v>3794</v>
      </c>
      <c r="E18" s="561" t="n">
        <v>3794</v>
      </c>
      <c r="F18" s="561" t="n">
        <v>3794</v>
      </c>
      <c r="G18" s="561" t="n">
        <v>3794</v>
      </c>
      <c r="H18" s="561" t="n">
        <v>3794</v>
      </c>
      <c r="I18" s="561" t="n">
        <v>3794</v>
      </c>
      <c r="J18" s="561" t="n">
        <v>3794</v>
      </c>
      <c r="K18" s="561" t="n">
        <v>3794</v>
      </c>
      <c r="L18" s="561" t="n">
        <v>3794</v>
      </c>
      <c r="M18" s="561" t="n">
        <v>3794</v>
      </c>
      <c r="N18" s="561" t="n">
        <v>3794</v>
      </c>
      <c r="O18" s="561" t="n">
        <v>3794</v>
      </c>
      <c r="P18" s="561" t="n">
        <v>3794</v>
      </c>
      <c r="Q18" s="561" t="n">
        <v>3794</v>
      </c>
      <c r="R18" s="561" t="n">
        <v>3794</v>
      </c>
      <c r="S18" s="561" t="n">
        <v>3794</v>
      </c>
      <c r="T18" s="561" t="n">
        <v>3794</v>
      </c>
      <c r="U18" s="561" t="n">
        <v>3794</v>
      </c>
      <c r="V18" s="561" t="n">
        <v>3794</v>
      </c>
      <c r="W18" s="561" t="n">
        <v>3794</v>
      </c>
      <c r="X18" s="561" t="n">
        <v>3794</v>
      </c>
      <c r="Y18" s="500" t="n">
        <v>3796</v>
      </c>
      <c r="Z18" s="500" t="n">
        <v>3800</v>
      </c>
      <c r="AA18" s="500" t="n">
        <v>3800</v>
      </c>
      <c r="AB18" s="500" t="n">
        <v>3800</v>
      </c>
      <c r="AC18" s="500" t="n">
        <v>3800</v>
      </c>
      <c r="AD18" s="500" t="n">
        <v>3800</v>
      </c>
      <c r="AE18" s="500" t="n">
        <v>3800</v>
      </c>
      <c r="AF18" s="500" t="n">
        <v>3800</v>
      </c>
      <c r="AG18" s="500" t="n">
        <v>3800</v>
      </c>
      <c r="AH18" s="500" t="n">
        <v>3800</v>
      </c>
      <c r="AI18" s="500" t="n">
        <v>3800</v>
      </c>
      <c r="AJ18" s="77">
        <f>AI18-D18</f>
        <v/>
      </c>
    </row>
    <row r="19" ht="20.15" customHeight="1" s="488">
      <c r="A19" s="500" t="n">
        <v>7</v>
      </c>
      <c r="B19" s="500" t="inlineStr">
        <is>
          <t>3F</t>
        </is>
      </c>
      <c r="C19" s="500" t="inlineStr">
        <is>
          <t>SL No 540430038843 (EB Unit)</t>
        </is>
      </c>
      <c r="D19" s="79" t="n">
        <v>197767</v>
      </c>
      <c r="E19" s="561" t="n">
        <v>198596</v>
      </c>
      <c r="F19" s="561" t="n">
        <v>199287</v>
      </c>
      <c r="G19" s="561" t="n">
        <v>199981</v>
      </c>
      <c r="H19" s="561" t="n">
        <v>200748</v>
      </c>
      <c r="I19" s="561" t="n">
        <v>201539</v>
      </c>
      <c r="J19" s="561" t="n">
        <v>202275</v>
      </c>
      <c r="K19" s="561" t="n">
        <v>202876</v>
      </c>
      <c r="L19" s="561" t="n">
        <v>203303</v>
      </c>
      <c r="M19" s="561" t="n">
        <v>204066</v>
      </c>
      <c r="N19" s="5" t="n">
        <v>204806</v>
      </c>
      <c r="O19" s="561" t="n">
        <v>205574</v>
      </c>
      <c r="P19" s="561" t="n">
        <v>206358</v>
      </c>
      <c r="Q19" s="561" t="n">
        <v>207087</v>
      </c>
      <c r="R19" s="561" t="n">
        <v>207540</v>
      </c>
      <c r="S19" s="5" t="n">
        <v>208041</v>
      </c>
      <c r="T19" s="561" t="n">
        <v>208813</v>
      </c>
      <c r="U19" s="561" t="n">
        <v>209610</v>
      </c>
      <c r="V19" s="561" t="n">
        <v>210355</v>
      </c>
      <c r="W19" s="561" t="n">
        <v>211029</v>
      </c>
      <c r="X19" s="33" t="n">
        <v>211275</v>
      </c>
      <c r="Y19" s="561" t="n">
        <v>212639</v>
      </c>
      <c r="Z19" s="561" t="n">
        <v>213137</v>
      </c>
      <c r="AA19" s="49" t="n">
        <v>213796</v>
      </c>
      <c r="AB19" s="49" t="n">
        <v>214462</v>
      </c>
      <c r="AC19" s="561" t="n">
        <v>215001</v>
      </c>
      <c r="AD19" s="561" t="n">
        <v>215580</v>
      </c>
      <c r="AE19" s="49" t="n">
        <v>216082</v>
      </c>
      <c r="AF19" s="49" t="n">
        <v>216498</v>
      </c>
      <c r="AG19" s="49" t="n">
        <v>216835</v>
      </c>
      <c r="AH19" s="49" t="n">
        <v>217378</v>
      </c>
      <c r="AI19" s="49" t="n">
        <v>217622</v>
      </c>
      <c r="AJ19" s="77">
        <f>AI19-D19</f>
        <v/>
      </c>
    </row>
    <row r="20" ht="20.15" customHeight="1" s="488">
      <c r="A20" s="500" t="n"/>
      <c r="B20" s="500" t="n"/>
      <c r="C20" s="79" t="inlineStr">
        <is>
          <t>DG</t>
        </is>
      </c>
      <c r="D20" s="529" t="n">
        <v>10303</v>
      </c>
      <c r="E20" s="561" t="n">
        <v>10303</v>
      </c>
      <c r="F20" s="561" t="n">
        <v>10303</v>
      </c>
      <c r="G20" s="561" t="n">
        <v>10303</v>
      </c>
      <c r="H20" s="561" t="n">
        <v>10303</v>
      </c>
      <c r="I20" s="561" t="n">
        <v>10303</v>
      </c>
      <c r="J20" s="561" t="n">
        <v>10303</v>
      </c>
      <c r="K20" s="561" t="n">
        <v>10303</v>
      </c>
      <c r="L20" s="561" t="n">
        <v>10303</v>
      </c>
      <c r="M20" s="561" t="n">
        <v>10303</v>
      </c>
      <c r="N20" s="561" t="n">
        <v>10303</v>
      </c>
      <c r="O20" s="561" t="n">
        <v>10303</v>
      </c>
      <c r="P20" s="561" t="n">
        <v>10303</v>
      </c>
      <c r="Q20" s="561" t="n">
        <v>10303</v>
      </c>
      <c r="R20" s="561" t="n">
        <v>10303</v>
      </c>
      <c r="S20" s="561" t="n">
        <v>10303</v>
      </c>
      <c r="T20" s="561" t="n">
        <v>10303</v>
      </c>
      <c r="U20" s="561" t="n">
        <v>10303</v>
      </c>
      <c r="V20" s="561" t="n">
        <v>10303</v>
      </c>
      <c r="W20" s="561" t="n">
        <v>10303</v>
      </c>
      <c r="X20" s="561" t="n">
        <v>10303</v>
      </c>
      <c r="Y20" s="500" t="n">
        <v>10310</v>
      </c>
      <c r="Z20" s="500" t="n">
        <v>10322</v>
      </c>
      <c r="AA20" s="500" t="n">
        <v>10322</v>
      </c>
      <c r="AB20" s="500" t="n">
        <v>10322</v>
      </c>
      <c r="AC20" s="500" t="n">
        <v>10322</v>
      </c>
      <c r="AD20" s="500" t="n">
        <v>10322</v>
      </c>
      <c r="AE20" s="500" t="n">
        <v>10322</v>
      </c>
      <c r="AF20" s="500" t="n">
        <v>10322</v>
      </c>
      <c r="AG20" s="500" t="n">
        <v>10322</v>
      </c>
      <c r="AH20" s="500" t="n">
        <v>10322</v>
      </c>
      <c r="AI20" s="500" t="n">
        <v>10322</v>
      </c>
      <c r="AJ20" s="77">
        <f>AI20-D20</f>
        <v/>
      </c>
    </row>
    <row r="21" ht="20.15" customHeight="1" s="488">
      <c r="A21" s="500" t="n">
        <v>8</v>
      </c>
      <c r="B21" s="500" t="inlineStr">
        <is>
          <t>3F</t>
        </is>
      </c>
      <c r="C21" s="500" t="inlineStr">
        <is>
          <t>SL No 540430038848 (EB Unit)</t>
        </is>
      </c>
      <c r="D21" s="79" t="n">
        <v>42702</v>
      </c>
      <c r="E21" s="561" t="n">
        <v>42791</v>
      </c>
      <c r="F21" s="561" t="n">
        <v>42862</v>
      </c>
      <c r="G21" s="561" t="n">
        <v>42925</v>
      </c>
      <c r="H21" s="561" t="n">
        <v>43009</v>
      </c>
      <c r="I21" s="561" t="n">
        <v>43081</v>
      </c>
      <c r="J21" s="561" t="n">
        <v>43184</v>
      </c>
      <c r="K21" s="561" t="n">
        <v>43236</v>
      </c>
      <c r="L21" s="561" t="n">
        <v>43292</v>
      </c>
      <c r="M21" s="561" t="n">
        <v>43365</v>
      </c>
      <c r="N21" s="561" t="n">
        <v>43400</v>
      </c>
      <c r="O21" s="561" t="n">
        <v>43515</v>
      </c>
      <c r="P21" s="561" t="n">
        <v>43616</v>
      </c>
      <c r="Q21" s="561" t="n">
        <v>43701</v>
      </c>
      <c r="R21" s="561" t="n">
        <v>43768</v>
      </c>
      <c r="S21" s="561" t="n">
        <v>43873</v>
      </c>
      <c r="T21" s="561" t="n">
        <v>43965</v>
      </c>
      <c r="U21" s="561" t="n">
        <v>44067</v>
      </c>
      <c r="V21" s="561" t="n">
        <v>44147</v>
      </c>
      <c r="W21" s="561" t="n">
        <v>44231</v>
      </c>
      <c r="X21" s="561" t="n">
        <v>44311</v>
      </c>
      <c r="Y21" s="561" t="n">
        <v>44430</v>
      </c>
      <c r="Z21" s="561" t="n">
        <v>44476</v>
      </c>
      <c r="AA21" s="49" t="n">
        <v>44572</v>
      </c>
      <c r="AB21" s="49" t="n">
        <v>44648</v>
      </c>
      <c r="AC21" s="561" t="n">
        <v>44748</v>
      </c>
      <c r="AD21" s="561" t="n">
        <v>44829</v>
      </c>
      <c r="AE21" s="49" t="n">
        <v>44927</v>
      </c>
      <c r="AF21" s="49" t="n">
        <v>45024</v>
      </c>
      <c r="AG21" s="49" t="n">
        <v>45155</v>
      </c>
      <c r="AH21" s="49" t="n">
        <v>45237</v>
      </c>
      <c r="AI21" s="49" t="n">
        <v>45289</v>
      </c>
      <c r="AJ21" s="77">
        <f>AI21-D21</f>
        <v/>
      </c>
    </row>
    <row r="22" ht="20.15" customHeight="1" s="488">
      <c r="A22" s="500" t="n"/>
      <c r="B22" s="500" t="n"/>
      <c r="C22" s="79" t="inlineStr">
        <is>
          <t>DG</t>
        </is>
      </c>
      <c r="D22" s="529" t="n">
        <v>1983</v>
      </c>
      <c r="E22" s="561" t="n">
        <v>1983</v>
      </c>
      <c r="F22" s="561" t="n">
        <v>1983</v>
      </c>
      <c r="G22" s="561" t="n">
        <v>1983</v>
      </c>
      <c r="H22" s="561" t="n">
        <v>1983</v>
      </c>
      <c r="I22" s="561" t="n">
        <v>1983</v>
      </c>
      <c r="J22" s="561" t="n">
        <v>1983</v>
      </c>
      <c r="K22" s="561" t="n">
        <v>1983</v>
      </c>
      <c r="L22" s="561" t="n">
        <v>1983</v>
      </c>
      <c r="M22" s="561" t="n">
        <v>1983</v>
      </c>
      <c r="N22" s="561" t="n">
        <v>1983</v>
      </c>
      <c r="O22" s="561" t="n">
        <v>1983</v>
      </c>
      <c r="P22" s="561" t="n">
        <v>1983</v>
      </c>
      <c r="Q22" s="561" t="n">
        <v>1983</v>
      </c>
      <c r="R22" s="561" t="n">
        <v>1983</v>
      </c>
      <c r="S22" s="561" t="n">
        <v>1983</v>
      </c>
      <c r="T22" s="561" t="n">
        <v>1983</v>
      </c>
      <c r="U22" s="561" t="n">
        <v>1983</v>
      </c>
      <c r="V22" s="561" t="n">
        <v>1983</v>
      </c>
      <c r="W22" s="561" t="n">
        <v>1983</v>
      </c>
      <c r="X22" s="561" t="n">
        <v>1983</v>
      </c>
      <c r="Y22" s="500" t="n">
        <v>1983</v>
      </c>
      <c r="Z22" s="500" t="n">
        <v>1985</v>
      </c>
      <c r="AA22" s="500" t="n">
        <v>1985</v>
      </c>
      <c r="AB22" s="500" t="n">
        <v>1985</v>
      </c>
      <c r="AC22" s="500" t="n">
        <v>1985</v>
      </c>
      <c r="AD22" s="500" t="n">
        <v>1985</v>
      </c>
      <c r="AE22" s="500" t="n">
        <v>1985</v>
      </c>
      <c r="AF22" s="500" t="n">
        <v>1985</v>
      </c>
      <c r="AG22" s="500" t="n">
        <v>1985</v>
      </c>
      <c r="AH22" s="500" t="n">
        <v>1985</v>
      </c>
      <c r="AI22" s="500" t="n">
        <v>1985</v>
      </c>
      <c r="AJ22" s="77">
        <f>AI22-D22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20" t="n"/>
      <c r="AJ23" s="501" t="n"/>
    </row>
    <row r="24" ht="14.5" customHeight="1" s="488">
      <c r="A24" s="500" t="n">
        <v>1</v>
      </c>
      <c r="B24" s="500" t="inlineStr">
        <is>
          <t>3F</t>
        </is>
      </c>
      <c r="C24" s="500" t="inlineStr">
        <is>
          <t>AHU1</t>
        </is>
      </c>
      <c r="D24" s="79" t="n">
        <v>20893</v>
      </c>
      <c r="E24" s="561" t="n">
        <v>20907</v>
      </c>
      <c r="F24" s="561" t="n">
        <v>20963</v>
      </c>
      <c r="G24" s="561" t="n">
        <v>20989</v>
      </c>
      <c r="H24" s="561" t="n">
        <v>21033</v>
      </c>
      <c r="I24" s="561" t="n">
        <v>21073</v>
      </c>
      <c r="J24" s="561" t="n">
        <v>21110</v>
      </c>
      <c r="K24" s="561" t="n">
        <v>21129</v>
      </c>
      <c r="L24" s="561" t="n">
        <v>21129</v>
      </c>
      <c r="M24" s="561" t="n">
        <v>21206</v>
      </c>
      <c r="N24" s="561" t="n">
        <v>21246</v>
      </c>
      <c r="O24" s="561" t="n">
        <v>21248</v>
      </c>
      <c r="P24" s="561" t="n">
        <v>21322</v>
      </c>
      <c r="Q24" s="561" t="n">
        <v>21361</v>
      </c>
      <c r="R24" s="561" t="n">
        <v>21372</v>
      </c>
      <c r="S24" s="561" t="n">
        <v>21372</v>
      </c>
      <c r="T24" s="561" t="n">
        <v>21417</v>
      </c>
      <c r="U24" s="561" t="n">
        <v>21465</v>
      </c>
      <c r="V24" s="561" t="n">
        <v>21500</v>
      </c>
      <c r="W24" s="561" t="n">
        <v>21534</v>
      </c>
      <c r="X24" s="561" t="n">
        <v>21571</v>
      </c>
      <c r="Y24" s="561" t="n">
        <v>21576</v>
      </c>
      <c r="Z24" s="561" t="n">
        <v>21577</v>
      </c>
      <c r="AA24" s="500" t="n">
        <v>21616</v>
      </c>
      <c r="AB24" s="500" t="n">
        <v>21650</v>
      </c>
      <c r="AC24" s="561" t="n">
        <v>21653</v>
      </c>
      <c r="AD24" s="561" t="n">
        <v>21718</v>
      </c>
      <c r="AE24" s="500" t="n">
        <v>21760</v>
      </c>
      <c r="AF24" s="500" t="n">
        <v>21775</v>
      </c>
      <c r="AG24" s="500" t="n">
        <v>21775</v>
      </c>
      <c r="AH24" s="49" t="n">
        <v>21814</v>
      </c>
      <c r="AI24" s="49" t="n">
        <v>21831</v>
      </c>
      <c r="AJ24" s="82">
        <f>AI24-D24</f>
        <v/>
      </c>
    </row>
    <row r="25" ht="13" customHeight="1" s="488">
      <c r="A25" s="500" t="n"/>
      <c r="B25" s="500" t="n"/>
      <c r="C25" s="529" t="inlineStr">
        <is>
          <t>DG</t>
        </is>
      </c>
      <c r="D25" s="529" t="n">
        <v>1811</v>
      </c>
      <c r="E25" s="500" t="n">
        <v>1811</v>
      </c>
      <c r="F25" s="500" t="n">
        <v>1811</v>
      </c>
      <c r="G25" s="500" t="n">
        <v>1811</v>
      </c>
      <c r="H25" s="500" t="n">
        <v>1811</v>
      </c>
      <c r="I25" s="500" t="n">
        <v>1811</v>
      </c>
      <c r="J25" s="500" t="n">
        <v>1811</v>
      </c>
      <c r="K25" s="500" t="n">
        <v>1811</v>
      </c>
      <c r="L25" s="500" t="n">
        <v>1811</v>
      </c>
      <c r="M25" s="500" t="n">
        <v>1811</v>
      </c>
      <c r="N25" s="500" t="n">
        <v>1811</v>
      </c>
      <c r="O25" s="500" t="n">
        <v>1811</v>
      </c>
      <c r="P25" s="500" t="n">
        <v>1811</v>
      </c>
      <c r="Q25" s="500" t="n">
        <v>1811</v>
      </c>
      <c r="R25" s="500" t="n">
        <v>1811</v>
      </c>
      <c r="S25" s="500" t="n">
        <v>1811</v>
      </c>
      <c r="T25" s="500" t="n">
        <v>1811</v>
      </c>
      <c r="U25" s="500" t="n">
        <v>1811</v>
      </c>
      <c r="V25" s="500" t="n">
        <v>1811</v>
      </c>
      <c r="W25" s="500" t="n">
        <v>1811</v>
      </c>
      <c r="X25" s="500" t="n">
        <v>1811</v>
      </c>
      <c r="Y25" s="500" t="n">
        <v>1811</v>
      </c>
      <c r="Z25" s="500" t="n">
        <v>1811</v>
      </c>
      <c r="AA25" s="500" t="n">
        <v>1811</v>
      </c>
      <c r="AB25" s="500" t="n">
        <v>1811</v>
      </c>
      <c r="AC25" s="500" t="n">
        <v>1811</v>
      </c>
      <c r="AD25" s="500" t="n">
        <v>1811</v>
      </c>
      <c r="AE25" s="500" t="n">
        <v>1811</v>
      </c>
      <c r="AF25" s="500" t="n">
        <v>1811</v>
      </c>
      <c r="AG25" s="500" t="n">
        <v>1811</v>
      </c>
      <c r="AH25" s="500" t="n">
        <v>1811</v>
      </c>
      <c r="AI25" s="500" t="n">
        <v>1811</v>
      </c>
      <c r="AJ25" s="82">
        <f>AI25-D25</f>
        <v/>
      </c>
    </row>
    <row r="26" ht="14.5" customHeight="1" s="488">
      <c r="A26" s="500" t="n">
        <v>2</v>
      </c>
      <c r="B26" s="500" t="inlineStr">
        <is>
          <t>3F</t>
        </is>
      </c>
      <c r="C26" s="500" t="inlineStr">
        <is>
          <t>AHU2</t>
        </is>
      </c>
      <c r="D26" s="79" t="n">
        <v>19914</v>
      </c>
      <c r="E26" s="561" t="n">
        <v>19927</v>
      </c>
      <c r="F26" s="561" t="n">
        <v>19989</v>
      </c>
      <c r="G26" s="561" t="n">
        <v>20047</v>
      </c>
      <c r="H26" s="561" t="n">
        <v>20106</v>
      </c>
      <c r="I26" s="561" t="n">
        <v>20163</v>
      </c>
      <c r="J26" s="561" t="n">
        <v>20219</v>
      </c>
      <c r="K26" s="561" t="n">
        <v>20248</v>
      </c>
      <c r="L26" s="561" t="n">
        <v>20248</v>
      </c>
      <c r="M26" s="561" t="n">
        <v>20348</v>
      </c>
      <c r="N26" s="561" t="n">
        <v>20411</v>
      </c>
      <c r="O26" s="561" t="n">
        <v>20470</v>
      </c>
      <c r="P26" s="561" t="n">
        <v>20530</v>
      </c>
      <c r="Q26" s="561" t="n">
        <v>20592</v>
      </c>
      <c r="R26" s="561" t="n">
        <v>20616</v>
      </c>
      <c r="S26" s="561" t="n">
        <v>20616</v>
      </c>
      <c r="T26" s="561" t="n">
        <v>20682</v>
      </c>
      <c r="U26" s="561" t="n">
        <v>20735</v>
      </c>
      <c r="V26" s="561" t="n">
        <v>20804</v>
      </c>
      <c r="W26" s="561" t="n">
        <v>20858</v>
      </c>
      <c r="X26" s="561" t="n">
        <v>20916</v>
      </c>
      <c r="Y26" s="561" t="n">
        <v>20923</v>
      </c>
      <c r="Z26" s="561" t="n">
        <v>20923</v>
      </c>
      <c r="AA26" s="49" t="n">
        <v>20984</v>
      </c>
      <c r="AB26" s="49" t="n">
        <v>21039</v>
      </c>
      <c r="AC26" s="561" t="n">
        <v>21108</v>
      </c>
      <c r="AD26" s="561" t="n">
        <v>21228</v>
      </c>
      <c r="AE26" s="49" t="n">
        <v>21344</v>
      </c>
      <c r="AF26" s="49" t="n">
        <v>21379</v>
      </c>
      <c r="AG26" s="49" t="n">
        <v>21379</v>
      </c>
      <c r="AH26" s="49" t="n">
        <v>21444</v>
      </c>
      <c r="AI26" s="49" t="n">
        <v>21457</v>
      </c>
      <c r="AJ26" s="82">
        <f>AI26-D26</f>
        <v/>
      </c>
    </row>
    <row r="27" ht="13" customHeight="1" s="488">
      <c r="A27" s="500" t="n"/>
      <c r="B27" s="500" t="n"/>
      <c r="C27" s="529" t="inlineStr">
        <is>
          <t>DG</t>
        </is>
      </c>
      <c r="D27" s="529" t="n">
        <v>1764</v>
      </c>
      <c r="E27" s="500" t="n">
        <v>1764</v>
      </c>
      <c r="F27" s="500" t="n">
        <v>1764</v>
      </c>
      <c r="G27" s="500" t="n">
        <v>1764</v>
      </c>
      <c r="H27" s="500" t="n">
        <v>1764</v>
      </c>
      <c r="I27" s="500" t="n">
        <v>1764</v>
      </c>
      <c r="J27" s="500" t="n">
        <v>1764</v>
      </c>
      <c r="K27" s="500" t="n">
        <v>1764</v>
      </c>
      <c r="L27" s="500" t="n">
        <v>1764</v>
      </c>
      <c r="M27" s="500" t="n">
        <v>1764</v>
      </c>
      <c r="N27" s="500" t="n">
        <v>1764</v>
      </c>
      <c r="O27" s="500" t="n">
        <v>1764</v>
      </c>
      <c r="P27" s="500" t="n">
        <v>1764</v>
      </c>
      <c r="Q27" s="500" t="n">
        <v>1764</v>
      </c>
      <c r="R27" s="500" t="n">
        <v>1764</v>
      </c>
      <c r="S27" s="500" t="n">
        <v>1764</v>
      </c>
      <c r="T27" s="500" t="n">
        <v>1764</v>
      </c>
      <c r="U27" s="500" t="n">
        <v>1764</v>
      </c>
      <c r="V27" s="500" t="n">
        <v>1764</v>
      </c>
      <c r="W27" s="500" t="n">
        <v>1764</v>
      </c>
      <c r="X27" s="500" t="n">
        <v>1764</v>
      </c>
      <c r="Y27" s="500" t="n">
        <v>1765</v>
      </c>
      <c r="Z27" s="500" t="n">
        <v>1765</v>
      </c>
      <c r="AA27" s="500" t="n">
        <v>1765</v>
      </c>
      <c r="AB27" s="500" t="n">
        <v>1765</v>
      </c>
      <c r="AC27" s="500" t="n">
        <v>1765</v>
      </c>
      <c r="AD27" s="500" t="n">
        <v>1765</v>
      </c>
      <c r="AE27" s="500" t="n">
        <v>1765</v>
      </c>
      <c r="AF27" s="500" t="n">
        <v>1765</v>
      </c>
      <c r="AG27" s="500" t="n">
        <v>1765</v>
      </c>
      <c r="AH27" s="500" t="n">
        <v>1765</v>
      </c>
      <c r="AI27" s="500" t="n">
        <v>1765</v>
      </c>
      <c r="AJ27" s="82">
        <f>AI27-D27</f>
        <v/>
      </c>
    </row>
    <row r="28" ht="14.5" customHeight="1" s="488">
      <c r="A28" s="500" t="n">
        <v>3</v>
      </c>
      <c r="B28" s="500" t="inlineStr">
        <is>
          <t>3F</t>
        </is>
      </c>
      <c r="C28" s="500" t="inlineStr">
        <is>
          <t>AHU3</t>
        </is>
      </c>
      <c r="D28" s="529" t="n">
        <v>19597</v>
      </c>
      <c r="E28" s="561" t="n">
        <v>19610</v>
      </c>
      <c r="F28" s="561" t="n">
        <v>19688</v>
      </c>
      <c r="G28" s="561" t="n">
        <v>19760</v>
      </c>
      <c r="H28" s="561" t="n">
        <v>19830</v>
      </c>
      <c r="I28" s="561" t="n">
        <v>19897</v>
      </c>
      <c r="J28" s="561" t="n">
        <v>19979</v>
      </c>
      <c r="K28" s="561" t="n">
        <v>20025</v>
      </c>
      <c r="L28" s="561" t="n">
        <v>20025</v>
      </c>
      <c r="M28" s="561" t="n">
        <v>20106</v>
      </c>
      <c r="N28" s="561" t="n">
        <v>20185</v>
      </c>
      <c r="O28" s="561" t="n">
        <v>20275</v>
      </c>
      <c r="P28" s="561" t="n">
        <v>20363</v>
      </c>
      <c r="Q28" s="561" t="n">
        <v>20454</v>
      </c>
      <c r="R28" s="561" t="n">
        <v>20478</v>
      </c>
      <c r="S28" s="561" t="n">
        <v>20478</v>
      </c>
      <c r="T28" s="561" t="n">
        <v>20572</v>
      </c>
      <c r="U28" s="561" t="n">
        <v>20645</v>
      </c>
      <c r="V28" s="561" t="n">
        <v>20749</v>
      </c>
      <c r="W28" s="561" t="n">
        <v>20831</v>
      </c>
      <c r="X28" s="561" t="n">
        <v>20917</v>
      </c>
      <c r="Y28" s="561" t="n">
        <v>20928</v>
      </c>
      <c r="Z28" s="561" t="n">
        <v>20928</v>
      </c>
      <c r="AA28" s="500" t="n">
        <v>21022</v>
      </c>
      <c r="AB28" s="500" t="n">
        <v>21107</v>
      </c>
      <c r="AC28" s="561" t="n">
        <v>21110</v>
      </c>
      <c r="AD28" s="561" t="n">
        <v>21132</v>
      </c>
      <c r="AE28" s="500" t="n">
        <v>21145</v>
      </c>
      <c r="AF28" s="500" t="n">
        <v>21152</v>
      </c>
      <c r="AG28" s="500" t="n">
        <v>21152</v>
      </c>
      <c r="AH28" s="500" t="n">
        <v>21190</v>
      </c>
      <c r="AI28" s="500" t="n">
        <v>21190</v>
      </c>
      <c r="AJ28" s="82">
        <f>AI28-D28</f>
        <v/>
      </c>
    </row>
    <row r="29" ht="13" customHeight="1" s="488">
      <c r="A29" s="500" t="n"/>
      <c r="B29" s="500" t="n"/>
      <c r="C29" s="529" t="inlineStr">
        <is>
          <t>DG</t>
        </is>
      </c>
      <c r="D29" s="529" t="n">
        <v>1858</v>
      </c>
      <c r="E29" s="500" t="n">
        <v>1858</v>
      </c>
      <c r="F29" s="500" t="n">
        <v>1858</v>
      </c>
      <c r="G29" s="500" t="n">
        <v>1858</v>
      </c>
      <c r="H29" s="500" t="n">
        <v>1858</v>
      </c>
      <c r="I29" s="500" t="n">
        <v>1858</v>
      </c>
      <c r="J29" s="500" t="n">
        <v>1858</v>
      </c>
      <c r="K29" s="500" t="n">
        <v>1858</v>
      </c>
      <c r="L29" s="500" t="n">
        <v>1858</v>
      </c>
      <c r="M29" s="500" t="n">
        <v>1858</v>
      </c>
      <c r="N29" s="500" t="n">
        <v>1858</v>
      </c>
      <c r="O29" s="500" t="n">
        <v>1858</v>
      </c>
      <c r="P29" s="500" t="n">
        <v>1858</v>
      </c>
      <c r="Q29" s="500" t="n">
        <v>1858</v>
      </c>
      <c r="R29" s="500" t="n">
        <v>1858</v>
      </c>
      <c r="S29" s="500" t="n">
        <v>1858</v>
      </c>
      <c r="T29" s="500" t="n">
        <v>1858</v>
      </c>
      <c r="U29" s="500" t="n">
        <v>1858</v>
      </c>
      <c r="V29" s="500" t="n">
        <v>1858</v>
      </c>
      <c r="W29" s="500" t="n">
        <v>1858</v>
      </c>
      <c r="X29" s="500" t="n">
        <v>1858</v>
      </c>
      <c r="Y29" s="500" t="n">
        <v>1859</v>
      </c>
      <c r="Z29" s="500" t="n">
        <v>1859</v>
      </c>
      <c r="AA29" s="500" t="n">
        <v>1859</v>
      </c>
      <c r="AB29" s="500" t="n">
        <v>1859</v>
      </c>
      <c r="AC29" s="500" t="n">
        <v>1859</v>
      </c>
      <c r="AD29" s="500" t="n">
        <v>1859</v>
      </c>
      <c r="AE29" s="500" t="n">
        <v>1859</v>
      </c>
      <c r="AF29" s="500" t="n">
        <v>1859</v>
      </c>
      <c r="AG29" s="500" t="n">
        <v>1859</v>
      </c>
      <c r="AH29" s="500" t="n">
        <v>1859</v>
      </c>
      <c r="AI29" s="500" t="n">
        <v>1859</v>
      </c>
      <c r="AJ29" s="82">
        <f>AI29-D29</f>
        <v/>
      </c>
    </row>
    <row r="30" ht="14.5" customHeight="1" s="488">
      <c r="A30" s="500" t="n">
        <v>4</v>
      </c>
      <c r="B30" s="500" t="inlineStr">
        <is>
          <t>3F</t>
        </is>
      </c>
      <c r="C30" s="500" t="inlineStr">
        <is>
          <t>AHU4</t>
        </is>
      </c>
      <c r="D30" s="79" t="n">
        <v>18702</v>
      </c>
      <c r="E30" s="561" t="n">
        <v>18719</v>
      </c>
      <c r="F30" s="561" t="n">
        <v>18786</v>
      </c>
      <c r="G30" s="561" t="n">
        <v>18845</v>
      </c>
      <c r="H30" s="561" t="n">
        <v>18903</v>
      </c>
      <c r="I30" s="561" t="n">
        <v>18963</v>
      </c>
      <c r="J30" s="561" t="n">
        <v>19023</v>
      </c>
      <c r="K30" s="561" t="n">
        <v>19055</v>
      </c>
      <c r="L30" s="561" t="n">
        <v>19055</v>
      </c>
      <c r="M30" s="561" t="n">
        <v>19142</v>
      </c>
      <c r="N30" s="561" t="n">
        <v>19187</v>
      </c>
      <c r="O30" s="561" t="n">
        <v>19230</v>
      </c>
      <c r="P30" s="561" t="n">
        <v>19272</v>
      </c>
      <c r="Q30" s="561" t="n">
        <v>19313</v>
      </c>
      <c r="R30" s="561" t="n">
        <v>19324</v>
      </c>
      <c r="S30" s="561" t="n">
        <v>19324</v>
      </c>
      <c r="T30" s="561" t="n">
        <v>19398</v>
      </c>
      <c r="U30" s="561" t="n">
        <v>19486</v>
      </c>
      <c r="V30" s="561" t="n">
        <v>19529</v>
      </c>
      <c r="W30" s="561" t="n">
        <v>19569</v>
      </c>
      <c r="X30" s="561" t="n">
        <v>19611</v>
      </c>
      <c r="Y30" s="561" t="n">
        <v>19616</v>
      </c>
      <c r="Z30" s="561" t="n">
        <v>19616</v>
      </c>
      <c r="AA30" s="500" t="n">
        <v>19661</v>
      </c>
      <c r="AB30" s="500" t="n">
        <v>19701</v>
      </c>
      <c r="AC30" s="561" t="n">
        <v>19703</v>
      </c>
      <c r="AD30" s="561" t="n">
        <v>19708</v>
      </c>
      <c r="AE30" s="500" t="n">
        <v>19714</v>
      </c>
      <c r="AF30" s="500" t="n">
        <v>19718</v>
      </c>
      <c r="AG30" s="500" t="n">
        <v>19718</v>
      </c>
      <c r="AH30" s="49" t="n">
        <v>19719</v>
      </c>
      <c r="AI30" s="49" t="n">
        <v>19720</v>
      </c>
      <c r="AJ30" s="82">
        <f>AI30-D30</f>
        <v/>
      </c>
    </row>
    <row r="31" ht="13" customHeight="1" s="488">
      <c r="A31" s="500" t="n"/>
      <c r="B31" s="500" t="n"/>
      <c r="C31" s="529" t="inlineStr">
        <is>
          <t>DG</t>
        </is>
      </c>
      <c r="D31" s="529" t="n">
        <v>1668</v>
      </c>
      <c r="E31" s="500" t="n">
        <v>1668</v>
      </c>
      <c r="F31" s="500" t="n">
        <v>1668</v>
      </c>
      <c r="G31" s="500" t="n">
        <v>1668</v>
      </c>
      <c r="H31" s="500" t="n">
        <v>1668</v>
      </c>
      <c r="I31" s="500" t="n">
        <v>1668</v>
      </c>
      <c r="J31" s="500" t="n">
        <v>1668</v>
      </c>
      <c r="K31" s="500" t="n">
        <v>1668</v>
      </c>
      <c r="L31" s="500" t="n">
        <v>1668</v>
      </c>
      <c r="M31" s="500" t="n">
        <v>1668</v>
      </c>
      <c r="N31" s="500" t="n">
        <v>1668</v>
      </c>
      <c r="O31" s="500" t="n">
        <v>1668</v>
      </c>
      <c r="P31" s="500" t="n">
        <v>1668</v>
      </c>
      <c r="Q31" s="500" t="n">
        <v>1668</v>
      </c>
      <c r="R31" s="500" t="n">
        <v>1668</v>
      </c>
      <c r="S31" s="500" t="n">
        <v>1668</v>
      </c>
      <c r="T31" s="500" t="n">
        <v>1668</v>
      </c>
      <c r="U31" s="500" t="n">
        <v>1668</v>
      </c>
      <c r="V31" s="500" t="n">
        <v>1668</v>
      </c>
      <c r="W31" s="500" t="n">
        <v>1668</v>
      </c>
      <c r="X31" s="500" t="n">
        <v>1668</v>
      </c>
      <c r="Y31" s="500" t="n">
        <v>1668</v>
      </c>
      <c r="Z31" s="500" t="n">
        <v>1668</v>
      </c>
      <c r="AA31" s="500" t="n">
        <v>1668</v>
      </c>
      <c r="AB31" s="500" t="n">
        <v>1668</v>
      </c>
      <c r="AC31" s="500" t="n">
        <v>1668</v>
      </c>
      <c r="AD31" s="500" t="n">
        <v>1668</v>
      </c>
      <c r="AE31" s="500" t="n">
        <v>1668</v>
      </c>
      <c r="AF31" s="500" t="n">
        <v>1668</v>
      </c>
      <c r="AG31" s="500" t="n">
        <v>1668</v>
      </c>
      <c r="AH31" s="500" t="n">
        <v>1668</v>
      </c>
      <c r="AI31" s="500" t="n">
        <v>1668</v>
      </c>
      <c r="AJ31" s="82">
        <f>AI31-D31</f>
        <v/>
      </c>
    </row>
    <row r="32" ht="14.5" customHeight="1" s="488">
      <c r="A32" s="500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20" t="n"/>
      <c r="AJ32" s="501" t="n"/>
    </row>
    <row r="33" ht="14.5" customHeight="1" s="488">
      <c r="A33" s="500" t="n">
        <v>1</v>
      </c>
      <c r="B33" s="500" t="inlineStr">
        <is>
          <t>3F</t>
        </is>
      </c>
      <c r="C33" s="500" t="inlineStr">
        <is>
          <t>AHU1 - BTU</t>
        </is>
      </c>
      <c r="D33" s="83" t="n">
        <v>172072</v>
      </c>
      <c r="E33" s="10" t="n">
        <v>172072</v>
      </c>
      <c r="F33" s="10" t="n">
        <v>172674</v>
      </c>
      <c r="G33" s="10" t="n">
        <v>173320</v>
      </c>
      <c r="H33" s="10" t="n">
        <v>173860</v>
      </c>
      <c r="I33" s="10" t="n">
        <v>174341</v>
      </c>
      <c r="J33" s="10" t="n">
        <v>174774</v>
      </c>
      <c r="K33" s="10" t="n">
        <v>174825</v>
      </c>
      <c r="L33" s="10" t="n">
        <v>174825</v>
      </c>
      <c r="M33" s="10" t="n">
        <v>175335</v>
      </c>
      <c r="N33" s="11" t="n">
        <v>175740</v>
      </c>
      <c r="O33" s="11" t="n">
        <v>176158</v>
      </c>
      <c r="P33" s="11" t="n">
        <v>176497</v>
      </c>
      <c r="Q33" s="11" t="n">
        <v>176810</v>
      </c>
      <c r="R33" s="11" t="n">
        <v>176854</v>
      </c>
      <c r="S33" s="11" t="n">
        <v>176854</v>
      </c>
      <c r="T33" s="11" t="n">
        <v>177368</v>
      </c>
      <c r="U33" s="11" t="n">
        <v>177796</v>
      </c>
      <c r="V33" s="11" t="n">
        <v>178199</v>
      </c>
      <c r="W33" s="11" t="n">
        <v>178518</v>
      </c>
      <c r="X33" s="11" t="n">
        <v>178905</v>
      </c>
      <c r="Y33" s="11" t="n">
        <v>178973</v>
      </c>
      <c r="Z33" s="11" t="n">
        <v>178973</v>
      </c>
      <c r="AA33" s="85" t="n">
        <v>179374</v>
      </c>
      <c r="AB33" s="85" t="n">
        <v>179708</v>
      </c>
      <c r="AC33" s="11" t="n">
        <v>179708</v>
      </c>
      <c r="AD33" s="11" t="n">
        <v>179745</v>
      </c>
      <c r="AE33" s="85" t="n">
        <v>179747</v>
      </c>
      <c r="AF33" s="85" t="n">
        <v>179748</v>
      </c>
      <c r="AG33" s="85" t="n">
        <v>179748</v>
      </c>
      <c r="AH33" s="86" t="n">
        <v>180098</v>
      </c>
      <c r="AI33" s="86" t="n">
        <v>180287</v>
      </c>
      <c r="AJ33" s="82">
        <f>AI33-D33</f>
        <v/>
      </c>
    </row>
    <row r="34" ht="14.5" customHeight="1" s="488">
      <c r="A34" s="500" t="n">
        <v>2</v>
      </c>
      <c r="B34" s="500" t="inlineStr">
        <is>
          <t>3F</t>
        </is>
      </c>
      <c r="C34" s="500" t="inlineStr">
        <is>
          <t>AHU2 - BTU</t>
        </is>
      </c>
      <c r="D34" s="83" t="n">
        <v>185120</v>
      </c>
      <c r="E34" s="10" t="n">
        <v>185120</v>
      </c>
      <c r="F34" s="10" t="n">
        <v>185722</v>
      </c>
      <c r="G34" s="10" t="n">
        <v>186431</v>
      </c>
      <c r="H34" s="10" t="n">
        <v>187015</v>
      </c>
      <c r="I34" s="10" t="n">
        <v>187507</v>
      </c>
      <c r="J34" s="10" t="n">
        <v>187910</v>
      </c>
      <c r="K34" s="10" t="n">
        <v>188015</v>
      </c>
      <c r="L34" s="10" t="n">
        <v>188015</v>
      </c>
      <c r="M34" s="10" t="n">
        <v>188548</v>
      </c>
      <c r="N34" s="10" t="n">
        <v>189013</v>
      </c>
      <c r="O34" s="11" t="n">
        <v>189434</v>
      </c>
      <c r="P34" s="11" t="n">
        <v>189809</v>
      </c>
      <c r="Q34" s="11" t="n">
        <v>190124</v>
      </c>
      <c r="R34" s="11" t="n">
        <v>190173</v>
      </c>
      <c r="S34" s="11" t="n">
        <v>190173</v>
      </c>
      <c r="T34" s="11" t="n">
        <v>190640</v>
      </c>
      <c r="U34" s="11" t="n">
        <v>191060</v>
      </c>
      <c r="V34" s="11" t="n">
        <v>191392</v>
      </c>
      <c r="W34" s="11" t="n">
        <v>191689</v>
      </c>
      <c r="X34" s="11" t="n">
        <v>192040</v>
      </c>
      <c r="Y34" s="11" t="n">
        <v>192083</v>
      </c>
      <c r="Z34" s="11" t="n">
        <v>192083</v>
      </c>
      <c r="AA34" s="85" t="n">
        <v>192325</v>
      </c>
      <c r="AB34" s="85" t="n">
        <v>192610</v>
      </c>
      <c r="AC34" s="11" t="n">
        <v>192610</v>
      </c>
      <c r="AD34" s="11" t="n">
        <v>192681</v>
      </c>
      <c r="AE34" s="11" t="n">
        <v>192691</v>
      </c>
      <c r="AF34" s="85" t="n">
        <v>192691</v>
      </c>
      <c r="AG34" s="85" t="n">
        <v>192691</v>
      </c>
      <c r="AH34" s="86" t="n">
        <v>192828</v>
      </c>
      <c r="AI34" s="86" t="n">
        <v>192836</v>
      </c>
      <c r="AJ34" s="82">
        <f>AI34-D34</f>
        <v/>
      </c>
    </row>
    <row r="35" ht="14.5" customHeight="1" s="488">
      <c r="A35" s="500" t="n">
        <v>3</v>
      </c>
      <c r="B35" s="500" t="inlineStr">
        <is>
          <t>3F</t>
        </is>
      </c>
      <c r="C35" s="500" t="inlineStr">
        <is>
          <t>AHU3 - BTU</t>
        </is>
      </c>
      <c r="D35" s="83" t="n">
        <v>188463</v>
      </c>
      <c r="E35" s="10" t="n">
        <v>188463</v>
      </c>
      <c r="F35" s="10" t="n">
        <v>188929</v>
      </c>
      <c r="G35" s="10" t="n">
        <v>189513</v>
      </c>
      <c r="H35" s="10" t="n">
        <v>190050</v>
      </c>
      <c r="I35" s="10" t="n">
        <v>190541</v>
      </c>
      <c r="J35" s="10" t="n">
        <v>190865</v>
      </c>
      <c r="K35" s="10" t="n">
        <v>190968</v>
      </c>
      <c r="L35" s="10" t="n">
        <v>190968</v>
      </c>
      <c r="M35" s="10" t="n">
        <v>191390</v>
      </c>
      <c r="N35" s="10" t="n">
        <v>191634</v>
      </c>
      <c r="O35" s="11" t="n">
        <v>191751</v>
      </c>
      <c r="P35" s="11" t="n">
        <v>191923</v>
      </c>
      <c r="Q35" s="11" t="n">
        <v>192204</v>
      </c>
      <c r="R35" s="11" t="n">
        <v>192228</v>
      </c>
      <c r="S35" s="11" t="n">
        <v>192228</v>
      </c>
      <c r="T35" s="11" t="n">
        <v>192585</v>
      </c>
      <c r="U35" s="11" t="n">
        <v>192843</v>
      </c>
      <c r="V35" s="11" t="n">
        <v>193131</v>
      </c>
      <c r="W35" s="11" t="n">
        <v>193436</v>
      </c>
      <c r="X35" s="11" t="n">
        <v>193815</v>
      </c>
      <c r="Y35" s="11" t="n">
        <v>193855</v>
      </c>
      <c r="Z35" s="11" t="n">
        <v>193855</v>
      </c>
      <c r="AA35" s="85" t="n">
        <v>194070</v>
      </c>
      <c r="AB35" s="85" t="n">
        <v>194252</v>
      </c>
      <c r="AC35" s="11" t="n">
        <v>194252</v>
      </c>
      <c r="AD35" s="11" t="n">
        <v>194256</v>
      </c>
      <c r="AE35" s="11" t="n">
        <v>194256</v>
      </c>
      <c r="AF35" s="85" t="n">
        <v>194257</v>
      </c>
      <c r="AG35" s="85" t="n">
        <v>194257</v>
      </c>
      <c r="AH35" s="86" t="n">
        <v>194316</v>
      </c>
      <c r="AI35" s="86" t="n">
        <v>194316</v>
      </c>
      <c r="AJ35" s="82">
        <f>AI35-D35</f>
        <v/>
      </c>
    </row>
    <row r="36" ht="14.5" customHeight="1" s="488">
      <c r="A36" s="500" t="n">
        <v>4</v>
      </c>
      <c r="B36" s="500" t="inlineStr">
        <is>
          <t>3F</t>
        </is>
      </c>
      <c r="C36" s="500" t="inlineStr">
        <is>
          <t>AHU4 - BTU</t>
        </is>
      </c>
      <c r="D36" s="83" t="n">
        <v>206669</v>
      </c>
      <c r="E36" s="10" t="n">
        <v>206669</v>
      </c>
      <c r="F36" s="10" t="n">
        <v>207129</v>
      </c>
      <c r="G36" s="10" t="n">
        <v>207645</v>
      </c>
      <c r="H36" s="10" t="n">
        <v>208062</v>
      </c>
      <c r="I36" s="10" t="n">
        <v>208351</v>
      </c>
      <c r="J36" s="10" t="n">
        <v>208586</v>
      </c>
      <c r="K36" s="10" t="n">
        <v>208649</v>
      </c>
      <c r="L36" s="10" t="n">
        <v>208649</v>
      </c>
      <c r="M36" s="10" t="n">
        <v>209083</v>
      </c>
      <c r="N36" s="11" t="n">
        <v>209364</v>
      </c>
      <c r="O36" s="11" t="n">
        <v>209567</v>
      </c>
      <c r="P36" s="11" t="n">
        <v>209805</v>
      </c>
      <c r="Q36" s="11" t="n">
        <v>210065</v>
      </c>
      <c r="R36" s="11" t="n">
        <v>210073</v>
      </c>
      <c r="S36" s="11" t="n">
        <v>210073</v>
      </c>
      <c r="T36" s="11" t="n">
        <v>210447</v>
      </c>
      <c r="U36" s="11" t="n">
        <v>210712</v>
      </c>
      <c r="V36" s="11" t="n">
        <v>210945</v>
      </c>
      <c r="W36" s="11" t="n">
        <v>211145</v>
      </c>
      <c r="X36" s="11" t="n">
        <v>211428</v>
      </c>
      <c r="Y36" s="11" t="n">
        <v>211458</v>
      </c>
      <c r="Z36" s="11" t="n">
        <v>211458</v>
      </c>
      <c r="AA36" s="85" t="n">
        <v>211643</v>
      </c>
      <c r="AB36" s="85" t="n">
        <v>211755</v>
      </c>
      <c r="AC36" s="11" t="n">
        <v>211755</v>
      </c>
      <c r="AD36" s="11" t="n">
        <v>211758</v>
      </c>
      <c r="AE36" s="11" t="n">
        <v>211758</v>
      </c>
      <c r="AF36" s="85" t="n">
        <v>211758</v>
      </c>
      <c r="AG36" s="85" t="n">
        <v>211758</v>
      </c>
      <c r="AH36" s="86" t="n">
        <v>211795</v>
      </c>
      <c r="AI36" s="86" t="n">
        <v>211795</v>
      </c>
      <c r="AJ36" s="82">
        <f>AI36-D36</f>
        <v/>
      </c>
    </row>
    <row r="37">
      <c r="D37" s="106" t="n"/>
      <c r="E37" s="90" t="n"/>
      <c r="AC37" s="76" t="n"/>
      <c r="AJ37" s="78" t="n"/>
    </row>
    <row r="38" ht="13" customHeight="1" s="488">
      <c r="A38" s="91" t="n"/>
      <c r="B38" s="92" t="n"/>
      <c r="C38" s="92" t="n"/>
      <c r="D38" s="107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  <c r="AB38" s="91" t="n"/>
      <c r="AC38" s="91" t="n"/>
      <c r="AD38" s="91" t="n"/>
      <c r="AE38" s="91" t="n"/>
      <c r="AF38" s="91" t="n"/>
      <c r="AG38" s="91" t="n"/>
      <c r="AH38" s="91" t="n"/>
      <c r="AI38" s="91" t="n"/>
      <c r="AJ38" s="91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  <c r="AJ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95">
        <f>AG3</f>
        <v/>
      </c>
      <c r="AH41" s="95">
        <f>AH3</f>
        <v/>
      </c>
      <c r="AI41" s="95">
        <f>AI3</f>
        <v/>
      </c>
      <c r="AJ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96">
        <f>AG4</f>
        <v/>
      </c>
      <c r="AH42" s="96">
        <f>AH4</f>
        <v/>
      </c>
      <c r="AI42" s="96">
        <f>AI4</f>
        <v/>
      </c>
      <c r="AJ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97" t="inlineStr">
        <is>
          <t>Time</t>
        </is>
      </c>
      <c r="AH43" s="95">
        <f>AH5</f>
        <v/>
      </c>
      <c r="AI43" s="97" t="inlineStr">
        <is>
          <t>Time</t>
        </is>
      </c>
      <c r="AJ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98" t="n">
        <v>0.3333333333333333</v>
      </c>
      <c r="AH44" s="98" t="n">
        <v>0.3333333333333333</v>
      </c>
      <c r="AI44" s="98" t="n">
        <v>0.3333333333333333</v>
      </c>
      <c r="AJ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105">
        <f>SUM(E54:AI54)</f>
        <v/>
      </c>
      <c r="AK54" s="115" t="inlineStr">
        <is>
          <t>EB</t>
        </is>
      </c>
      <c r="AL54" s="116">
        <f>SUM(AJ7,AJ9,AJ11,AJ13,AJ15,AJ17,AJ19,AJ21)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105">
        <f>SUM(E55:AI55)</f>
        <v/>
      </c>
      <c r="AK55" s="115" t="inlineStr">
        <is>
          <t>AHU</t>
        </is>
      </c>
      <c r="AL55" s="116">
        <f>SUM(AJ24,AJ26,AJ28,AJ30)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105">
        <f>SUM(E56:AI56)</f>
        <v/>
      </c>
      <c r="AK56" s="115" t="inlineStr">
        <is>
          <t>BTU</t>
        </is>
      </c>
      <c r="AL56" s="116">
        <f>AJ80*40%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105">
        <f>SUM(E57:AI57)</f>
        <v/>
      </c>
      <c r="AK57" s="117" t="inlineStr">
        <is>
          <t>DG</t>
        </is>
      </c>
      <c r="AL57" s="118">
        <f>SUM(AJ8,AJ10,AJ12,AJ14,AJ16,AJ18,AJ20,AJ22,AJ25,AJ27,AJ29,AJ31)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20">
        <f>AI22-AH22</f>
        <v/>
      </c>
      <c r="AJ60" s="21">
        <f>SUM(E60:AI60)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23">
        <f>SUM(AI59,AI57,AI55,AI53,AI51,AI49,AI47,AI45)</f>
        <v/>
      </c>
      <c r="AJ61" s="24">
        <f>SUM(E61:AI61)</f>
        <v/>
      </c>
      <c r="AK61" s="78" t="n"/>
    </row>
    <row r="62" ht="15" customHeight="1" s="488">
      <c r="A62" s="99" t="n"/>
      <c r="B62" s="99" t="n"/>
      <c r="C62" s="63" t="inlineStr">
        <is>
          <t>Total Power- DG</t>
        </is>
      </c>
      <c r="D62" s="108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23">
        <f>SUM(AI46,AI48,AI50,AI52,AI54,AI56,AI58,AI60)</f>
        <v/>
      </c>
      <c r="AJ62" s="24">
        <f>SUM(E62:AI62)</f>
        <v/>
      </c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F61</f>
        <v/>
      </c>
      <c r="G63" s="102">
        <f>G61</f>
        <v/>
      </c>
      <c r="H63" s="102">
        <f>H61</f>
        <v/>
      </c>
      <c r="I63" s="102">
        <f>I61</f>
        <v/>
      </c>
      <c r="J63" s="102">
        <f>J61</f>
        <v/>
      </c>
      <c r="K63" s="102">
        <f>K61</f>
        <v/>
      </c>
      <c r="L63" s="102">
        <f>L61</f>
        <v/>
      </c>
      <c r="M63" s="102">
        <f>M61</f>
        <v/>
      </c>
      <c r="N63" s="102">
        <f>N61</f>
        <v/>
      </c>
      <c r="O63" s="102">
        <f>O61</f>
        <v/>
      </c>
      <c r="P63" s="102">
        <f>P61</f>
        <v/>
      </c>
      <c r="Q63" s="102">
        <f>Q61</f>
        <v/>
      </c>
      <c r="R63" s="102">
        <f>R61</f>
        <v/>
      </c>
      <c r="S63" s="102">
        <f>S61</f>
        <v/>
      </c>
      <c r="T63" s="102">
        <f>T61</f>
        <v/>
      </c>
      <c r="U63" s="102">
        <f>U61</f>
        <v/>
      </c>
      <c r="V63" s="102">
        <f>V61</f>
        <v/>
      </c>
      <c r="W63" s="102">
        <f>W61</f>
        <v/>
      </c>
      <c r="X63" s="102">
        <f>X61</f>
        <v/>
      </c>
      <c r="Y63" s="102">
        <f>Y61</f>
        <v/>
      </c>
      <c r="Z63" s="102">
        <f>Z61</f>
        <v/>
      </c>
      <c r="AA63" s="102">
        <f>AA61</f>
        <v/>
      </c>
      <c r="AB63" s="102">
        <f>AB61</f>
        <v/>
      </c>
      <c r="AC63" s="102">
        <f>AC61</f>
        <v/>
      </c>
      <c r="AD63" s="102">
        <f>AD61</f>
        <v/>
      </c>
      <c r="AE63" s="102">
        <f>AE61</f>
        <v/>
      </c>
      <c r="AF63" s="102">
        <f>AF61</f>
        <v/>
      </c>
      <c r="AG63" s="102">
        <f>AG61</f>
        <v/>
      </c>
      <c r="AH63" s="102">
        <f>AH61</f>
        <v/>
      </c>
      <c r="AI63" s="102">
        <f>AI61</f>
        <v/>
      </c>
      <c r="AJ63" s="102">
        <f>AJ61</f>
        <v/>
      </c>
    </row>
    <row r="64" ht="13" customHeight="1" s="488">
      <c r="A64" s="94" t="n"/>
      <c r="B64" s="534" t="n"/>
      <c r="C64" s="534" t="n"/>
      <c r="D64" s="109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  <c r="AJ64" s="94" t="n"/>
    </row>
    <row r="65" ht="14.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AI24-AH24</f>
        <v/>
      </c>
      <c r="AJ66" s="30">
        <f>SUM(E66:AI66)</f>
        <v/>
      </c>
      <c r="AL66" s="78" t="n"/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AI25-AH25</f>
        <v/>
      </c>
      <c r="AJ67" s="30">
        <f>SUM(E67:AI67)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AI26-AH26</f>
        <v/>
      </c>
      <c r="AJ68" s="30">
        <f>SUM(E68:AI68)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AI27-AH27</f>
        <v/>
      </c>
      <c r="AJ69" s="30">
        <f>SUM(E69:AI69)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AI28-AH28</f>
        <v/>
      </c>
      <c r="AJ70" s="30">
        <f>SUM(E70:AI70)</f>
        <v/>
      </c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AI29-AH29</f>
        <v/>
      </c>
      <c r="AJ71" s="30">
        <f>SUM(E71:AI71)</f>
        <v/>
      </c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AI30-AH30</f>
        <v/>
      </c>
      <c r="AJ72" s="30">
        <f>SUM(E72:AI72)</f>
        <v/>
      </c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AI31-AH31</f>
        <v/>
      </c>
      <c r="AJ73" s="30">
        <f>SUM(E73:AI73)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  <c r="AK74" s="78" t="n"/>
      <c r="AL74" s="78" t="n"/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3">
        <f>SUM(AI67,AI69,AI71,AI73)</f>
        <v/>
      </c>
      <c r="AJ75" s="24">
        <f>SUM(E75:AI75)</f>
        <v/>
      </c>
      <c r="AK75" s="78" t="n"/>
      <c r="AL75" s="78" t="n"/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AI33-AH33</f>
        <v/>
      </c>
      <c r="AJ76" s="30">
        <f>SUM(E76:AI76)</f>
        <v/>
      </c>
      <c r="AL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AI34-AH34</f>
        <v/>
      </c>
      <c r="AJ77" s="30">
        <f>SUM(E77:AI77)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AI35-AH35</f>
        <v/>
      </c>
      <c r="AJ78" s="30">
        <f>SUM(E78:AI78)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AI36-AH36</f>
        <v/>
      </c>
      <c r="AJ79" s="30">
        <f>SUM(E79:AI79)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3">
        <f>SUM(AI76:AI79)</f>
        <v/>
      </c>
      <c r="AJ80" s="24">
        <f>SUM(AJ76:AJ79)</f>
        <v/>
      </c>
      <c r="AK80" s="78" t="n"/>
    </row>
  </sheetData>
  <mergeCells count="49">
    <mergeCell ref="C77:D77"/>
    <mergeCell ref="C68:D68"/>
    <mergeCell ref="E2:AI2"/>
    <mergeCell ref="C58:D58"/>
    <mergeCell ref="B3:B6"/>
    <mergeCell ref="C45:D45"/>
    <mergeCell ref="C74:D74"/>
    <mergeCell ref="C79:D79"/>
    <mergeCell ref="C73:D73"/>
    <mergeCell ref="C47:D47"/>
    <mergeCell ref="C54:D54"/>
    <mergeCell ref="C63:D63"/>
    <mergeCell ref="C65:D65"/>
    <mergeCell ref="C55:D55"/>
    <mergeCell ref="A41:A44"/>
    <mergeCell ref="A3:A6"/>
    <mergeCell ref="C50:D50"/>
    <mergeCell ref="AJ3:AJ6"/>
    <mergeCell ref="C75:D75"/>
    <mergeCell ref="B40:D40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D3:D6"/>
    <mergeCell ref="C61:D61"/>
    <mergeCell ref="C52:D52"/>
    <mergeCell ref="C70:D70"/>
    <mergeCell ref="C48:D48"/>
    <mergeCell ref="B41:B44"/>
    <mergeCell ref="C72:D72"/>
    <mergeCell ref="C67:D67"/>
    <mergeCell ref="C57:D57"/>
    <mergeCell ref="C3:C6"/>
    <mergeCell ref="C66:D66"/>
    <mergeCell ref="C41:D44"/>
    <mergeCell ref="A2:D2"/>
    <mergeCell ref="C53:D53"/>
    <mergeCell ref="B39:D39"/>
    <mergeCell ref="C78:D78"/>
    <mergeCell ref="C69:D69"/>
    <mergeCell ref="C49:D4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7"/>
  <sheetViews>
    <sheetView topLeftCell="U1" zoomScaleNormal="100" workbookViewId="0">
      <selection activeCell="AA17" sqref="AA17"/>
    </sheetView>
  </sheetViews>
  <sheetFormatPr baseColWidth="8" defaultRowHeight="14.5"/>
  <cols>
    <col width="14" bestFit="1" customWidth="1" style="488" min="1" max="1"/>
    <col width="15.81640625" bestFit="1" customWidth="1" style="488" min="2" max="2"/>
    <col width="8.7265625" bestFit="1" customWidth="1" style="488" min="3" max="3"/>
    <col width="18" customWidth="1" style="488" min="4" max="8"/>
    <col width="18" bestFit="1" customWidth="1" style="488" min="9" max="9"/>
    <col width="21" bestFit="1" customWidth="1" style="488" min="10" max="10"/>
    <col width="18" bestFit="1" customWidth="1" style="488" min="11" max="11"/>
    <col width="18" bestFit="1" customWidth="1" style="126" min="12" max="12"/>
    <col width="18" bestFit="1" customWidth="1" style="488" min="13" max="13"/>
    <col width="18" customWidth="1" style="488" min="14" max="20"/>
    <col width="23" customWidth="1" style="488" min="21" max="21"/>
    <col width="23" bestFit="1" customWidth="1" style="488" min="22" max="23"/>
    <col width="23" customWidth="1" style="488" min="24" max="24"/>
    <col width="23" bestFit="1" customWidth="1" style="488" min="25" max="25"/>
    <col width="23" customWidth="1" style="488" min="26" max="27"/>
  </cols>
  <sheetData>
    <row r="1" ht="16" customHeight="1" s="488" thickBot="1">
      <c r="A1" s="187" t="inlineStr">
        <is>
          <t>Sr.No.</t>
        </is>
      </c>
      <c r="B1" s="189" t="inlineStr">
        <is>
          <t>Consumption</t>
        </is>
      </c>
      <c r="C1" s="190" t="inlineStr">
        <is>
          <t>July'24</t>
        </is>
      </c>
      <c r="D1" s="182" t="inlineStr">
        <is>
          <t>Aug'24</t>
        </is>
      </c>
      <c r="E1" s="182" t="inlineStr">
        <is>
          <t>Sept'24</t>
        </is>
      </c>
      <c r="F1" s="182" t="inlineStr">
        <is>
          <t>Oct'24</t>
        </is>
      </c>
      <c r="G1" s="182" t="inlineStr">
        <is>
          <t>Nov'24</t>
        </is>
      </c>
      <c r="H1" s="182" t="inlineStr">
        <is>
          <t>Dec'24</t>
        </is>
      </c>
      <c r="I1" s="182" t="inlineStr">
        <is>
          <t>Jan'25</t>
        </is>
      </c>
      <c r="J1" s="182" t="inlineStr">
        <is>
          <t>Feb'25</t>
        </is>
      </c>
      <c r="K1" s="182" t="inlineStr">
        <is>
          <t>Mar'25</t>
        </is>
      </c>
      <c r="L1" s="183" t="inlineStr">
        <is>
          <t>Apr'25</t>
        </is>
      </c>
      <c r="M1" s="182" t="inlineStr">
        <is>
          <t>May'25</t>
        </is>
      </c>
      <c r="N1" s="183" t="inlineStr">
        <is>
          <t>Jun'25</t>
        </is>
      </c>
      <c r="O1" s="183" t="inlineStr">
        <is>
          <t>Jul'25</t>
        </is>
      </c>
      <c r="P1" s="183" t="inlineStr">
        <is>
          <t>Aug'25</t>
        </is>
      </c>
      <c r="Q1" s="183" t="inlineStr">
        <is>
          <t>Sep'25</t>
        </is>
      </c>
      <c r="R1" s="183" t="inlineStr">
        <is>
          <t>Oct'25</t>
        </is>
      </c>
      <c r="S1" s="297" t="inlineStr">
        <is>
          <t>Nov'25</t>
        </is>
      </c>
      <c r="T1" s="297" t="inlineStr">
        <is>
          <t>Dec'25</t>
        </is>
      </c>
      <c r="U1" s="297" t="n">
        <v>46023</v>
      </c>
      <c r="V1" s="297" t="n">
        <v>46054</v>
      </c>
      <c r="W1" s="297" t="n">
        <v>46082</v>
      </c>
      <c r="X1" s="297" t="n">
        <v>46113</v>
      </c>
      <c r="Y1" s="297" t="n">
        <v>46143</v>
      </c>
      <c r="Z1" s="297" t="n">
        <v>46174</v>
      </c>
      <c r="AA1" s="297" t="n">
        <v>46204</v>
      </c>
      <c r="AB1" s="621" t="n">
        <v>46235</v>
      </c>
    </row>
    <row r="2" ht="15" customHeight="1" s="488" thickBot="1">
      <c r="A2" s="188" t="n">
        <v>1</v>
      </c>
      <c r="B2" s="191" t="inlineStr">
        <is>
          <t>EB</t>
        </is>
      </c>
      <c r="C2" s="192">
        <f>'July 24'!AL61</f>
        <v/>
      </c>
      <c r="D2" s="192">
        <f>'August 24'!AL56</f>
        <v/>
      </c>
      <c r="E2" s="192">
        <f>'September 24'!AK55</f>
        <v/>
      </c>
      <c r="F2" s="192">
        <f>'Oct 24'!AL54</f>
        <v/>
      </c>
      <c r="G2" s="184">
        <f>'Nov 24'!AK54</f>
        <v/>
      </c>
      <c r="H2" s="193">
        <f>'DEC - 2024'!AL54</f>
        <v/>
      </c>
      <c r="I2" s="193">
        <f>'Jan-2025'!AL54</f>
        <v/>
      </c>
      <c r="J2" s="184">
        <f>'Feb-2025'!AI54</f>
        <v/>
      </c>
      <c r="K2" s="184">
        <f>'March-25'!AL54</f>
        <v/>
      </c>
      <c r="L2" s="184">
        <f>'April-2025'!AK50</f>
        <v/>
      </c>
      <c r="M2" s="184">
        <f>'May-2025'!AL69</f>
        <v/>
      </c>
      <c r="N2" s="184">
        <f>'June - 2025'!AL68</f>
        <v/>
      </c>
      <c r="O2" s="39">
        <f>'July-2025'!AL68</f>
        <v/>
      </c>
      <c r="P2" s="203">
        <f>'Aug-25'!AL68</f>
        <v/>
      </c>
      <c r="Q2" s="203">
        <f>'Sep-2025'!AK68</f>
        <v/>
      </c>
      <c r="R2" s="203">
        <f>'Oct-25'!AL68</f>
        <v/>
      </c>
      <c r="S2" s="298">
        <f>'Nov-25'!AK68</f>
        <v/>
      </c>
      <c r="T2" s="204">
        <f>'Dec-25'!AL68</f>
        <v/>
      </c>
      <c r="U2" s="204">
        <f>'Jan-2026'!AL68</f>
        <v/>
      </c>
      <c r="V2" s="39">
        <f>'Feb-2026'!AI68</f>
        <v/>
      </c>
      <c r="W2" s="39">
        <f>'Mar-2026'!AL68</f>
        <v/>
      </c>
      <c r="X2" s="184">
        <f>'April-2026'!AK68</f>
        <v/>
      </c>
      <c r="Y2" s="184">
        <f>'May-2026'!AL68</f>
        <v/>
      </c>
      <c r="Z2" s="184">
        <f>'Jun-2026'!AK68</f>
        <v/>
      </c>
      <c r="AA2" s="184">
        <f>'July-2026'!AL68</f>
        <v/>
      </c>
    </row>
    <row r="3" ht="15" customHeight="1" s="488" thickBot="1">
      <c r="A3" s="188" t="n">
        <v>2</v>
      </c>
      <c r="B3" s="191" t="inlineStr">
        <is>
          <t>AHU</t>
        </is>
      </c>
      <c r="C3" s="192">
        <f>'July 24'!AL62</f>
        <v/>
      </c>
      <c r="D3" s="192">
        <f>'August 24'!AL57</f>
        <v/>
      </c>
      <c r="E3" s="192">
        <f>'September 24'!AK56</f>
        <v/>
      </c>
      <c r="F3" s="192">
        <f>'Oct 24'!AL55</f>
        <v/>
      </c>
      <c r="G3" s="184">
        <f>'Nov 24'!AK55</f>
        <v/>
      </c>
      <c r="H3" s="193">
        <f>'DEC - 2024'!AL55</f>
        <v/>
      </c>
      <c r="I3" s="193">
        <f>'Jan-2025'!AL55</f>
        <v/>
      </c>
      <c r="J3" s="184">
        <f>'Feb-2025'!AI55</f>
        <v/>
      </c>
      <c r="K3" s="184">
        <f>'March-25'!AL55</f>
        <v/>
      </c>
      <c r="L3" s="184">
        <f>'April-2025'!AK51</f>
        <v/>
      </c>
      <c r="M3" s="184">
        <f>'May-2025'!AL70</f>
        <v/>
      </c>
      <c r="N3" s="184">
        <f>'June - 2025'!AL69</f>
        <v/>
      </c>
      <c r="O3" s="39">
        <f>'July-2025'!AL69</f>
        <v/>
      </c>
      <c r="P3" s="203">
        <f>'Aug-25'!AL69</f>
        <v/>
      </c>
      <c r="Q3" s="203">
        <f>'Sep-2025'!AK69</f>
        <v/>
      </c>
      <c r="R3" s="203">
        <f>'Oct-25'!AL69</f>
        <v/>
      </c>
      <c r="S3" s="298">
        <f>'Nov-25'!AK69</f>
        <v/>
      </c>
      <c r="T3" s="204">
        <f>'Dec-25'!AL69</f>
        <v/>
      </c>
      <c r="U3" s="204">
        <f>'Jan-2026'!AL69</f>
        <v/>
      </c>
      <c r="V3" s="39">
        <f>'Feb-2026'!AI69</f>
        <v/>
      </c>
      <c r="W3" s="39">
        <f>'Mar-2026'!AL69</f>
        <v/>
      </c>
      <c r="X3" s="184">
        <f>'April-2026'!AK69</f>
        <v/>
      </c>
      <c r="Y3" s="184">
        <f>'May-2026'!AL69</f>
        <v/>
      </c>
      <c r="Z3" s="184">
        <f>'Jun-2026'!AK69</f>
        <v/>
      </c>
      <c r="AA3" s="184">
        <f>'July-2026'!AL69</f>
        <v/>
      </c>
    </row>
    <row r="4" ht="15" customHeight="1" s="488" thickBot="1">
      <c r="A4" s="188" t="n">
        <v>3</v>
      </c>
      <c r="B4" s="191" t="inlineStr">
        <is>
          <t>DG</t>
        </is>
      </c>
      <c r="C4" s="192">
        <f>'July 24'!AL64</f>
        <v/>
      </c>
      <c r="D4" s="192">
        <f>'August 24'!AL59</f>
        <v/>
      </c>
      <c r="E4" s="192">
        <f>'September 24'!AK58</f>
        <v/>
      </c>
      <c r="F4" s="192">
        <f>'Oct 24'!AL57</f>
        <v/>
      </c>
      <c r="G4" s="184">
        <f>'Nov 24'!AK57</f>
        <v/>
      </c>
      <c r="H4" s="193">
        <f>'DEC - 2024'!AL57</f>
        <v/>
      </c>
      <c r="I4" s="193">
        <f>'Jan-2025'!AL57</f>
        <v/>
      </c>
      <c r="J4" s="184">
        <f>'Feb-2025'!AI57</f>
        <v/>
      </c>
      <c r="K4" s="184">
        <f>'March-25'!AL57</f>
        <v/>
      </c>
      <c r="L4" s="184">
        <f>'April-2025'!AK53</f>
        <v/>
      </c>
      <c r="M4" s="184">
        <f>'May-2025'!AL72</f>
        <v/>
      </c>
      <c r="N4" s="184">
        <f>'June - 2025'!AL71</f>
        <v/>
      </c>
      <c r="O4" s="39">
        <f>'July-2025'!AL71</f>
        <v/>
      </c>
      <c r="P4" s="204">
        <f>'Aug-25'!AL71</f>
        <v/>
      </c>
      <c r="Q4" s="204">
        <f>'Sep-2025'!AK71</f>
        <v/>
      </c>
      <c r="R4" s="204">
        <f>'Oct-25'!AL71</f>
        <v/>
      </c>
      <c r="S4" s="204">
        <f>'Nov-25'!AK71</f>
        <v/>
      </c>
      <c r="T4" s="204">
        <f>'Dec-25'!AL71</f>
        <v/>
      </c>
      <c r="U4" s="204">
        <f>'Jan-2026'!AL71</f>
        <v/>
      </c>
      <c r="V4" s="204">
        <f>'Feb-2026'!AI71</f>
        <v/>
      </c>
      <c r="W4" s="204">
        <f>'Mar-2026'!AL71</f>
        <v/>
      </c>
      <c r="X4" s="203">
        <f>'April-2026'!AK71</f>
        <v/>
      </c>
      <c r="Y4" s="203">
        <f>'May-2026'!AL71</f>
        <v/>
      </c>
      <c r="Z4" s="203">
        <f>'Jun-2026'!AK71</f>
        <v/>
      </c>
      <c r="AA4" s="203">
        <f>'July-2026'!AL71</f>
        <v/>
      </c>
    </row>
    <row r="5" ht="15" customHeight="1" s="488" thickBot="1">
      <c r="A5" s="188" t="n">
        <v>4</v>
      </c>
      <c r="B5" s="191" t="inlineStr">
        <is>
          <t>BTU</t>
        </is>
      </c>
      <c r="C5" s="192">
        <f>'July 24'!AL63</f>
        <v/>
      </c>
      <c r="D5" s="192">
        <f>'August 24'!AL58</f>
        <v/>
      </c>
      <c r="E5" s="192">
        <f>'September 24'!AK57</f>
        <v/>
      </c>
      <c r="F5" s="192">
        <f>'Oct 24'!AL56</f>
        <v/>
      </c>
      <c r="G5" s="184">
        <f>'Nov 24'!AK56</f>
        <v/>
      </c>
      <c r="H5" s="193">
        <f>'DEC - 2024'!AL56</f>
        <v/>
      </c>
      <c r="I5" s="193">
        <f>'Jan-2025'!AL56</f>
        <v/>
      </c>
      <c r="J5" s="184">
        <f>'Feb-2025'!AI56</f>
        <v/>
      </c>
      <c r="K5" s="184">
        <f>'March-25'!AL56</f>
        <v/>
      </c>
      <c r="L5" s="184">
        <f>'April-2025'!AK52</f>
        <v/>
      </c>
      <c r="M5" s="184">
        <f>'May-2025'!AL71</f>
        <v/>
      </c>
      <c r="N5" s="184">
        <f>'June - 2025'!AL70</f>
        <v/>
      </c>
      <c r="O5" s="39">
        <f>'July-2025'!AL70</f>
        <v/>
      </c>
      <c r="P5" s="203">
        <f>'Aug-25'!AL70</f>
        <v/>
      </c>
      <c r="Q5" s="203">
        <f>'Sep-2025'!AK70</f>
        <v/>
      </c>
      <c r="R5" s="203">
        <f>'Oct-25'!AL70</f>
        <v/>
      </c>
      <c r="S5" s="204">
        <f>'Nov-25'!AK70</f>
        <v/>
      </c>
      <c r="T5" s="204">
        <f>'Dec-25'!AL70</f>
        <v/>
      </c>
      <c r="U5" s="204">
        <f>'Jan-2026'!AL70</f>
        <v/>
      </c>
      <c r="V5" s="39">
        <f>'Feb-2026'!AI70</f>
        <v/>
      </c>
      <c r="W5" s="39">
        <f>'Mar-2026'!AL70</f>
        <v/>
      </c>
      <c r="X5" s="184">
        <f>'April-2026'!AK70</f>
        <v/>
      </c>
      <c r="Y5" s="184">
        <f>'May-2026'!AL70</f>
        <v/>
      </c>
      <c r="Z5" s="184">
        <f>'Jun-2026'!AK70</f>
        <v/>
      </c>
      <c r="AA5" s="184">
        <f>'July-2026'!AL70</f>
        <v/>
      </c>
    </row>
    <row r="6" ht="15" customHeight="1" s="488" thickBot="1">
      <c r="A6" s="188" t="n">
        <v>5</v>
      </c>
      <c r="B6" s="191" t="inlineStr">
        <is>
          <t>Total</t>
        </is>
      </c>
      <c r="C6" s="185">
        <f>SUM(C2:C5)</f>
        <v/>
      </c>
      <c r="D6" s="185">
        <f>SUM(D2:D5)</f>
        <v/>
      </c>
      <c r="E6" s="185">
        <f>SUM(E2:E5)</f>
        <v/>
      </c>
      <c r="F6" s="185">
        <f>SUM(F2:F5)</f>
        <v/>
      </c>
      <c r="G6" s="185">
        <f>SUM(G2:G5)</f>
        <v/>
      </c>
      <c r="H6" s="185">
        <f>SUM(H2:H5)</f>
        <v/>
      </c>
      <c r="I6" s="185">
        <f>SUM(I2:I5)</f>
        <v/>
      </c>
      <c r="J6" s="185">
        <f>SUM(J2:J5)</f>
        <v/>
      </c>
      <c r="K6" s="185">
        <f>SUM(K2:K5)</f>
        <v/>
      </c>
      <c r="L6" s="185">
        <f>SUM(L2:L5)</f>
        <v/>
      </c>
      <c r="M6" s="185">
        <f>SUM(M2:M5)</f>
        <v/>
      </c>
      <c r="N6" s="185">
        <f>SUM(N2:N5)</f>
        <v/>
      </c>
      <c r="O6" s="185">
        <f>SUM(O2:O5)</f>
        <v/>
      </c>
      <c r="P6" s="185">
        <f>SUM(P2:P5)</f>
        <v/>
      </c>
      <c r="Q6" s="185">
        <f>SUM(Q2:Q5)</f>
        <v/>
      </c>
      <c r="R6" s="185">
        <f>SUM(R2:R5)</f>
        <v/>
      </c>
      <c r="S6" s="185">
        <f>SUM(S2:S5)</f>
        <v/>
      </c>
      <c r="T6" s="185">
        <f>SUM(T2:T5)</f>
        <v/>
      </c>
      <c r="U6" s="185">
        <f>SUM(U2:U5)</f>
        <v/>
      </c>
      <c r="V6" s="185">
        <f>SUM(V2:V5)</f>
        <v/>
      </c>
      <c r="W6" s="185">
        <f>SUM(W2:W5)</f>
        <v/>
      </c>
      <c r="X6" s="186">
        <f>SUM(X2:X5)</f>
        <v/>
      </c>
      <c r="Y6" s="186">
        <f>SUM(Y2:Y5)</f>
        <v/>
      </c>
      <c r="Z6" s="186">
        <f>SUM(Z2:Z5)</f>
        <v/>
      </c>
      <c r="AA6" s="186">
        <f>SUM(AA2:AA5)</f>
        <v/>
      </c>
    </row>
    <row r="7" ht="15" customHeight="1" s="488" thickBot="1"/>
    <row r="8" ht="16" customHeight="1" s="488" thickBot="1">
      <c r="A8" s="187" t="inlineStr">
        <is>
          <t>Sr.No.</t>
        </is>
      </c>
      <c r="B8" s="189" t="inlineStr">
        <is>
          <t>Cost</t>
        </is>
      </c>
      <c r="C8" s="190" t="inlineStr">
        <is>
          <t>July'24</t>
        </is>
      </c>
      <c r="D8" s="182" t="inlineStr">
        <is>
          <t>Aug'24</t>
        </is>
      </c>
      <c r="E8" s="182" t="inlineStr">
        <is>
          <t>Sept'24</t>
        </is>
      </c>
      <c r="F8" s="182" t="inlineStr">
        <is>
          <t>Oct'24</t>
        </is>
      </c>
      <c r="G8" s="182" t="inlineStr">
        <is>
          <t>Nov'24</t>
        </is>
      </c>
      <c r="H8" s="182" t="inlineStr">
        <is>
          <t>Dec'24</t>
        </is>
      </c>
      <c r="I8" s="182" t="inlineStr">
        <is>
          <t>Jan'25</t>
        </is>
      </c>
      <c r="J8" s="182" t="inlineStr">
        <is>
          <t>Feb'25</t>
        </is>
      </c>
      <c r="K8" s="182" t="inlineStr">
        <is>
          <t>Mar'25</t>
        </is>
      </c>
      <c r="L8" s="183" t="inlineStr">
        <is>
          <t>Apr'25</t>
        </is>
      </c>
      <c r="M8" s="182" t="inlineStr">
        <is>
          <t>May'25</t>
        </is>
      </c>
      <c r="N8" s="183" t="inlineStr">
        <is>
          <t>Jun'25</t>
        </is>
      </c>
      <c r="O8" s="183" t="inlineStr">
        <is>
          <t>Jul'25</t>
        </is>
      </c>
      <c r="P8" s="183" t="inlineStr">
        <is>
          <t>Aug'25</t>
        </is>
      </c>
      <c r="Q8" s="183" t="inlineStr">
        <is>
          <t>Sep'25</t>
        </is>
      </c>
      <c r="R8" s="183" t="inlineStr">
        <is>
          <t>Oct'25</t>
        </is>
      </c>
      <c r="S8" s="297" t="inlineStr">
        <is>
          <t>Nov'25</t>
        </is>
      </c>
      <c r="T8" s="297" t="inlineStr">
        <is>
          <t>Dec'25</t>
        </is>
      </c>
      <c r="U8" s="297" t="n">
        <v>46023</v>
      </c>
      <c r="V8" s="297" t="n">
        <v>46054</v>
      </c>
      <c r="W8" s="297" t="n">
        <v>46082</v>
      </c>
      <c r="X8" s="297" t="n">
        <v>46113</v>
      </c>
      <c r="Y8" s="297" t="n">
        <v>46143</v>
      </c>
      <c r="Z8" s="297" t="n">
        <v>46174</v>
      </c>
      <c r="AA8" s="297" t="n">
        <v>46204</v>
      </c>
      <c r="AB8" s="621" t="n">
        <v>46235</v>
      </c>
    </row>
    <row r="9" ht="15" customHeight="1" s="488" thickBot="1">
      <c r="A9" s="188" t="n">
        <v>1</v>
      </c>
      <c r="B9" s="191" t="inlineStr">
        <is>
          <t>EB</t>
        </is>
      </c>
      <c r="C9" s="193">
        <f>C2*7.45</f>
        <v/>
      </c>
      <c r="D9" s="193">
        <f>D2*7.45</f>
        <v/>
      </c>
      <c r="E9" s="193">
        <f>E2*7.45</f>
        <v/>
      </c>
      <c r="F9" s="193">
        <f>F2*7.45</f>
        <v/>
      </c>
      <c r="G9" s="193">
        <f>G2*7.45</f>
        <v/>
      </c>
      <c r="H9" s="193">
        <f>H2*7.45</f>
        <v/>
      </c>
      <c r="I9" s="193">
        <f>I2*7.45</f>
        <v/>
      </c>
      <c r="J9" s="193">
        <f>J2*7.45</f>
        <v/>
      </c>
      <c r="K9" s="193">
        <f>K2*7.45</f>
        <v/>
      </c>
      <c r="L9" s="193">
        <f>L2*7.45</f>
        <v/>
      </c>
      <c r="M9" s="193">
        <f>M2*7.45</f>
        <v/>
      </c>
      <c r="N9" s="193">
        <f>N2*7.45</f>
        <v/>
      </c>
      <c r="O9" s="193">
        <f>O2*7.45</f>
        <v/>
      </c>
      <c r="P9" s="193">
        <f>P2*7.45</f>
        <v/>
      </c>
      <c r="Q9" s="193">
        <f>Q2*7.45</f>
        <v/>
      </c>
      <c r="R9" s="193">
        <f>R2*7.45</f>
        <v/>
      </c>
      <c r="S9" s="193">
        <f>S2*7.45</f>
        <v/>
      </c>
      <c r="T9" s="193">
        <f>T2*7.45</f>
        <v/>
      </c>
      <c r="U9" s="193">
        <f>U2*7.45</f>
        <v/>
      </c>
      <c r="V9" s="193">
        <f>V2*7.45</f>
        <v/>
      </c>
      <c r="W9" s="193">
        <f>W2*7.45</f>
        <v/>
      </c>
      <c r="X9" s="193">
        <f>X2*7.45</f>
        <v/>
      </c>
      <c r="Y9" s="193">
        <f>Y2*7.45</f>
        <v/>
      </c>
      <c r="Z9" s="193">
        <f>Z2*7.45</f>
        <v/>
      </c>
      <c r="AA9" s="193">
        <f>AA2*7.45</f>
        <v/>
      </c>
    </row>
    <row r="10" ht="15" customHeight="1" s="488" thickBot="1">
      <c r="A10" s="188" t="n">
        <v>2</v>
      </c>
      <c r="B10" s="191" t="inlineStr">
        <is>
          <t>AHU</t>
        </is>
      </c>
      <c r="C10" s="193">
        <f>C3*7.45</f>
        <v/>
      </c>
      <c r="D10" s="193">
        <f>D3*7.45</f>
        <v/>
      </c>
      <c r="E10" s="193">
        <f>E3*7.45</f>
        <v/>
      </c>
      <c r="F10" s="193">
        <f>F3*7.45</f>
        <v/>
      </c>
      <c r="G10" s="193">
        <f>G3*7.45</f>
        <v/>
      </c>
      <c r="H10" s="193">
        <f>H3*7.45</f>
        <v/>
      </c>
      <c r="I10" s="193">
        <f>I3*7.45</f>
        <v/>
      </c>
      <c r="J10" s="193">
        <f>J3*7.45</f>
        <v/>
      </c>
      <c r="K10" s="193">
        <f>K3*7.45</f>
        <v/>
      </c>
      <c r="L10" s="193">
        <f>L3*7.45</f>
        <v/>
      </c>
      <c r="M10" s="193">
        <f>M3*7.45</f>
        <v/>
      </c>
      <c r="N10" s="193">
        <f>N3*7.45</f>
        <v/>
      </c>
      <c r="O10" s="193">
        <f>O3*7.45</f>
        <v/>
      </c>
      <c r="P10" s="193">
        <f>P3*7.45</f>
        <v/>
      </c>
      <c r="Q10" s="193">
        <f>Q3*7.45</f>
        <v/>
      </c>
      <c r="R10" s="193">
        <f>R3*7.45</f>
        <v/>
      </c>
      <c r="S10" s="193">
        <f>S3*7.45</f>
        <v/>
      </c>
      <c r="T10" s="193">
        <f>T3*7.45</f>
        <v/>
      </c>
      <c r="U10" s="193">
        <f>U3*7.45</f>
        <v/>
      </c>
      <c r="V10" s="193">
        <f>V3*7.45</f>
        <v/>
      </c>
      <c r="W10" s="193">
        <f>W3*7.45</f>
        <v/>
      </c>
      <c r="X10" s="193">
        <f>X3*7.45</f>
        <v/>
      </c>
      <c r="Y10" s="193">
        <f>Y3*7.45</f>
        <v/>
      </c>
      <c r="Z10" s="193">
        <f>Z3*7.45</f>
        <v/>
      </c>
      <c r="AA10" s="193">
        <f>AA3*7.45</f>
        <v/>
      </c>
    </row>
    <row r="11" ht="15" customHeight="1" s="488" thickBot="1">
      <c r="A11" s="188" t="n">
        <v>3</v>
      </c>
      <c r="B11" s="191" t="inlineStr">
        <is>
          <t>DG</t>
        </is>
      </c>
      <c r="C11" s="193">
        <f>C4*33.85</f>
        <v/>
      </c>
      <c r="D11" s="193">
        <f>D4*33.85</f>
        <v/>
      </c>
      <c r="E11" s="193">
        <f>E4*33.85</f>
        <v/>
      </c>
      <c r="F11" s="193">
        <f>F4*33.85</f>
        <v/>
      </c>
      <c r="G11" s="193">
        <f>G4*33.85</f>
        <v/>
      </c>
      <c r="H11" s="193">
        <f>H4*33.85</f>
        <v/>
      </c>
      <c r="I11" s="193">
        <f>I4*33.85</f>
        <v/>
      </c>
      <c r="J11" s="193">
        <f>J4*33.85</f>
        <v/>
      </c>
      <c r="K11" s="193">
        <f>K4*33.85</f>
        <v/>
      </c>
      <c r="L11" s="193">
        <f>L4*33.85</f>
        <v/>
      </c>
      <c r="M11" s="193">
        <f>M4*33.85</f>
        <v/>
      </c>
      <c r="N11" s="193">
        <f>N4*33.85</f>
        <v/>
      </c>
      <c r="O11" s="193">
        <f>O4*33.85</f>
        <v/>
      </c>
      <c r="P11" s="193">
        <f>P4*33.85</f>
        <v/>
      </c>
      <c r="Q11" s="193">
        <f>Q4*33.85</f>
        <v/>
      </c>
      <c r="R11" s="193">
        <f>R4*33.85</f>
        <v/>
      </c>
      <c r="S11" s="193">
        <f>S4*33.85</f>
        <v/>
      </c>
      <c r="T11" s="193">
        <f>T4*33.85</f>
        <v/>
      </c>
      <c r="U11" s="193">
        <f>U4*33.85</f>
        <v/>
      </c>
      <c r="V11" s="193">
        <f>V4*33.85</f>
        <v/>
      </c>
      <c r="W11" s="193">
        <f>W4*33.85</f>
        <v/>
      </c>
      <c r="X11" s="193">
        <f>X4*33.85</f>
        <v/>
      </c>
      <c r="Y11" s="193">
        <f>Y4*33.85</f>
        <v/>
      </c>
      <c r="Z11" s="193">
        <f>Z4*33.85</f>
        <v/>
      </c>
      <c r="AA11" s="193">
        <f>AA4*33.85</f>
        <v/>
      </c>
    </row>
    <row r="12" ht="15" customHeight="1" s="488" thickBot="1">
      <c r="A12" s="188" t="n">
        <v>4</v>
      </c>
      <c r="B12" s="191" t="inlineStr">
        <is>
          <t>BTU</t>
        </is>
      </c>
      <c r="C12" s="193">
        <f>C5*10.75</f>
        <v/>
      </c>
      <c r="D12" s="193">
        <f>D5*10.75</f>
        <v/>
      </c>
      <c r="E12" s="193">
        <f>E5*10.75</f>
        <v/>
      </c>
      <c r="F12" s="193">
        <f>F5*10.75</f>
        <v/>
      </c>
      <c r="G12" s="193">
        <f>G5*10.75</f>
        <v/>
      </c>
      <c r="H12" s="193">
        <f>H5*10.75</f>
        <v/>
      </c>
      <c r="I12" s="193">
        <f>I5*10.75</f>
        <v/>
      </c>
      <c r="J12" s="193">
        <f>J5*10.75</f>
        <v/>
      </c>
      <c r="K12" s="193">
        <f>K5*10.75</f>
        <v/>
      </c>
      <c r="L12" s="193">
        <f>L5*10.75</f>
        <v/>
      </c>
      <c r="M12" s="193">
        <f>M5*10.75</f>
        <v/>
      </c>
      <c r="N12" s="193">
        <f>N5*10.75</f>
        <v/>
      </c>
      <c r="O12" s="193">
        <f>O5*10.75</f>
        <v/>
      </c>
      <c r="P12" s="193">
        <f>P5*10.75</f>
        <v/>
      </c>
      <c r="Q12" s="193">
        <f>Q5*10.75</f>
        <v/>
      </c>
      <c r="R12" s="193">
        <f>R5*10.75</f>
        <v/>
      </c>
      <c r="S12" s="193">
        <f>S5*10.75</f>
        <v/>
      </c>
      <c r="T12" s="193">
        <f>T5*10.75</f>
        <v/>
      </c>
      <c r="U12" s="193">
        <f>U5*10.75</f>
        <v/>
      </c>
      <c r="V12" s="193">
        <f>V5*10.75</f>
        <v/>
      </c>
      <c r="W12" s="193">
        <f>W5*10.75</f>
        <v/>
      </c>
      <c r="X12" s="193">
        <f>X5*10.75</f>
        <v/>
      </c>
      <c r="Y12" s="193">
        <f>Y5*10.75</f>
        <v/>
      </c>
      <c r="Z12" s="193">
        <f>Z5*10.75</f>
        <v/>
      </c>
      <c r="AA12" s="193">
        <f>AA5*10.75</f>
        <v/>
      </c>
    </row>
    <row r="13" ht="15" customHeight="1" s="488" thickBot="1">
      <c r="A13" s="188" t="n">
        <v>5</v>
      </c>
      <c r="B13" s="191" t="inlineStr">
        <is>
          <t>Total</t>
        </is>
      </c>
      <c r="C13" s="185">
        <f>SUM(C9:C12)</f>
        <v/>
      </c>
      <c r="D13" s="185">
        <f>SUM(D9:D12)</f>
        <v/>
      </c>
      <c r="E13" s="185">
        <f>SUM(E9:E12)</f>
        <v/>
      </c>
      <c r="F13" s="185">
        <f>SUM(F9:F12)</f>
        <v/>
      </c>
      <c r="G13" s="185">
        <f>SUM(G9:G12)</f>
        <v/>
      </c>
      <c r="H13" s="185">
        <f>SUM(H9:H12)</f>
        <v/>
      </c>
      <c r="I13" s="185">
        <f>SUM(I9:I12)</f>
        <v/>
      </c>
      <c r="J13" s="185">
        <f>SUM(J9:J12)</f>
        <v/>
      </c>
      <c r="K13" s="185">
        <f>SUM(K9:K12)</f>
        <v/>
      </c>
      <c r="L13" s="185">
        <f>SUM(L9:L12)</f>
        <v/>
      </c>
      <c r="M13" s="185">
        <f>SUM(M9:M12)</f>
        <v/>
      </c>
      <c r="N13" s="185">
        <f>SUM(N9:N12)</f>
        <v/>
      </c>
      <c r="O13" s="185">
        <f>SUM(O9:O12)</f>
        <v/>
      </c>
      <c r="P13" s="185">
        <f>SUM(P9:P12)</f>
        <v/>
      </c>
      <c r="Q13" s="185">
        <f>SUM(Q9:Q12)</f>
        <v/>
      </c>
      <c r="R13" s="185">
        <f>SUM(R9:R12)</f>
        <v/>
      </c>
      <c r="S13" s="185">
        <f>SUM(S9:S12)</f>
        <v/>
      </c>
      <c r="T13" s="185">
        <f>SUM(T9:T12)</f>
        <v/>
      </c>
      <c r="U13" s="185">
        <f>SUM(U9:U12)</f>
        <v/>
      </c>
      <c r="V13" s="185">
        <f>SUM(V9:V12)</f>
        <v/>
      </c>
      <c r="W13" s="185">
        <f>SUM(W9:W12)</f>
        <v/>
      </c>
      <c r="X13" s="185">
        <f>SUM(X9:X12)</f>
        <v/>
      </c>
      <c r="Y13" s="185">
        <f>SUM(Y9:Y12)</f>
        <v/>
      </c>
      <c r="Z13" s="185">
        <f>SUM(Z9:Z12)</f>
        <v/>
      </c>
      <c r="AA13" s="185">
        <f>SUM(AA9:AA12)</f>
        <v/>
      </c>
    </row>
    <row r="16">
      <c r="J16" t="inlineStr">
        <is>
          <t>Jan-26 to june 26</t>
        </is>
      </c>
      <c r="K16" s="434" t="n">
        <v>3953205</v>
      </c>
      <c r="L16" s="435" t="inlineStr">
        <is>
          <t>Saving</t>
        </is>
      </c>
      <c r="M16" t="n">
        <v>519408</v>
      </c>
    </row>
    <row r="17">
      <c r="B17" s="436" t="inlineStr">
        <is>
          <t>Jan-25 to june -25</t>
        </is>
      </c>
      <c r="I17" s="434" t="n">
        <v>4472613</v>
      </c>
      <c r="Y17" s="434" t="n"/>
    </row>
  </sheetData>
  <pageMargins left="0.7" right="0.7" top="0.75" bottom="0.75" header="0.3" footer="0.3"/>
  <pageSetup orientation="portrait" paperSize="9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L94"/>
  <sheetViews>
    <sheetView topLeftCell="P59" workbookViewId="0">
      <selection activeCell="AL76" sqref="AL76"/>
    </sheetView>
  </sheetViews>
  <sheetFormatPr baseColWidth="8" defaultRowHeight="14.5"/>
  <cols>
    <col width="3.7265625" bestFit="1" customWidth="1" style="488" min="1" max="1"/>
    <col width="8.08984375" bestFit="1" customWidth="1" style="488" min="2" max="2"/>
    <col width="18.81640625" bestFit="1" customWidth="1" style="488" min="3" max="3"/>
    <col width="11.36328125" bestFit="1" customWidth="1" style="488" min="4" max="4"/>
    <col width="5.90625" bestFit="1" customWidth="1" style="488" min="5" max="34"/>
    <col width="6.81640625" bestFit="1" customWidth="1" style="488" min="35" max="35"/>
    <col width="8.36328125" bestFit="1" customWidth="1" style="488" min="36" max="36"/>
    <col width="14" customWidth="1" style="488" min="37" max="37"/>
    <col width="18" customWidth="1" style="488" min="38" max="38"/>
    <col width="14" customWidth="1" style="488" min="39" max="64"/>
  </cols>
  <sheetData>
    <row r="1" ht="21" customHeight="1" s="488">
      <c r="A1" s="556" t="inlineStr">
        <is>
          <t>JULY -  2026</t>
        </is>
      </c>
    </row>
    <row r="2">
      <c r="A2" s="550" t="inlineStr">
        <is>
          <t>Sr.No</t>
        </is>
      </c>
      <c r="B2" s="550" t="inlineStr">
        <is>
          <t>Location</t>
        </is>
      </c>
      <c r="C2" s="554" t="inlineStr">
        <is>
          <t>Meter</t>
        </is>
      </c>
      <c r="D2" s="543" t="inlineStr">
        <is>
          <t>Previous Reading</t>
        </is>
      </c>
      <c r="E2" s="301" t="n">
        <v>46204</v>
      </c>
      <c r="F2" s="301" t="n">
        <v>46205</v>
      </c>
      <c r="G2" s="301" t="n">
        <v>46206</v>
      </c>
      <c r="H2" s="301" t="n">
        <v>46207</v>
      </c>
      <c r="I2" s="301" t="n">
        <v>46208</v>
      </c>
      <c r="J2" s="301" t="n">
        <v>46209</v>
      </c>
      <c r="K2" s="301" t="n">
        <v>46210</v>
      </c>
      <c r="L2" s="301" t="n">
        <v>46211</v>
      </c>
      <c r="M2" s="301" t="n">
        <v>46212</v>
      </c>
      <c r="N2" s="301" t="n">
        <v>46213</v>
      </c>
      <c r="O2" s="301" t="n">
        <v>46214</v>
      </c>
      <c r="P2" s="301" t="n">
        <v>46215</v>
      </c>
      <c r="Q2" s="301" t="n">
        <v>46216</v>
      </c>
      <c r="R2" s="301" t="n">
        <v>46217</v>
      </c>
      <c r="S2" s="301" t="n">
        <v>46218</v>
      </c>
      <c r="T2" s="301" t="n">
        <v>46219</v>
      </c>
      <c r="U2" s="301" t="n">
        <v>46220</v>
      </c>
      <c r="V2" s="301" t="n">
        <v>46221</v>
      </c>
      <c r="W2" s="301" t="n">
        <v>46222</v>
      </c>
      <c r="X2" s="301" t="n">
        <v>46223</v>
      </c>
      <c r="Y2" s="301" t="n">
        <v>46224</v>
      </c>
      <c r="Z2" s="301" t="n">
        <v>46225</v>
      </c>
      <c r="AA2" s="301" t="n">
        <v>46226</v>
      </c>
      <c r="AB2" s="301" t="n">
        <v>46227</v>
      </c>
      <c r="AC2" s="301" t="n">
        <v>46228</v>
      </c>
      <c r="AD2" s="301" t="n">
        <v>46229</v>
      </c>
      <c r="AE2" s="301" t="n">
        <v>46230</v>
      </c>
      <c r="AF2" s="301" t="n">
        <v>46231</v>
      </c>
      <c r="AG2" s="301" t="n">
        <v>46232</v>
      </c>
      <c r="AH2" s="301" t="n">
        <v>46233</v>
      </c>
      <c r="AI2" s="301" t="n">
        <v>46234</v>
      </c>
      <c r="AJ2" s="548" t="inlineStr">
        <is>
          <t>Consumption</t>
        </is>
      </c>
    </row>
    <row r="3">
      <c r="A3" s="509" t="n"/>
      <c r="B3" s="509" t="n"/>
      <c r="C3" s="509" t="n"/>
      <c r="D3" s="509" t="n"/>
      <c r="E3" s="302" t="inlineStr">
        <is>
          <t>Wed</t>
        </is>
      </c>
      <c r="F3" s="302" t="inlineStr">
        <is>
          <t>Thu</t>
        </is>
      </c>
      <c r="G3" s="302" t="inlineStr">
        <is>
          <t>Fri</t>
        </is>
      </c>
      <c r="H3" s="302" t="inlineStr">
        <is>
          <t>Sat</t>
        </is>
      </c>
      <c r="I3" s="302" t="inlineStr">
        <is>
          <t>Sun</t>
        </is>
      </c>
      <c r="J3" s="302" t="inlineStr">
        <is>
          <t>Mon</t>
        </is>
      </c>
      <c r="K3" s="302" t="inlineStr">
        <is>
          <t>Tue</t>
        </is>
      </c>
      <c r="L3" s="302" t="inlineStr">
        <is>
          <t>Wed</t>
        </is>
      </c>
      <c r="M3" s="302" t="inlineStr">
        <is>
          <t>Thu</t>
        </is>
      </c>
      <c r="N3" s="302" t="inlineStr">
        <is>
          <t>Fri</t>
        </is>
      </c>
      <c r="O3" s="302" t="inlineStr">
        <is>
          <t>Sat</t>
        </is>
      </c>
      <c r="P3" s="302" t="inlineStr">
        <is>
          <t>Sun</t>
        </is>
      </c>
      <c r="Q3" s="302" t="inlineStr">
        <is>
          <t>Mon</t>
        </is>
      </c>
      <c r="R3" s="302" t="inlineStr">
        <is>
          <t>Tue</t>
        </is>
      </c>
      <c r="S3" s="302" t="inlineStr">
        <is>
          <t>Wed</t>
        </is>
      </c>
      <c r="T3" s="302" t="inlineStr">
        <is>
          <t>Thu</t>
        </is>
      </c>
      <c r="U3" s="302" t="inlineStr">
        <is>
          <t>Fri</t>
        </is>
      </c>
      <c r="V3" s="302" t="inlineStr">
        <is>
          <t>Sat</t>
        </is>
      </c>
      <c r="W3" s="302" t="inlineStr">
        <is>
          <t>Sun</t>
        </is>
      </c>
      <c r="X3" s="302" t="inlineStr">
        <is>
          <t>Mon</t>
        </is>
      </c>
      <c r="Y3" s="302" t="inlineStr">
        <is>
          <t>Tue</t>
        </is>
      </c>
      <c r="Z3" s="302" t="inlineStr">
        <is>
          <t>Wed</t>
        </is>
      </c>
      <c r="AA3" s="302" t="inlineStr">
        <is>
          <t>Thu</t>
        </is>
      </c>
      <c r="AB3" s="302" t="inlineStr">
        <is>
          <t>Fri</t>
        </is>
      </c>
      <c r="AC3" s="302" t="inlineStr">
        <is>
          <t>Sat</t>
        </is>
      </c>
      <c r="AD3" s="302" t="inlineStr">
        <is>
          <t>Sun</t>
        </is>
      </c>
      <c r="AE3" s="302" t="inlineStr">
        <is>
          <t>Mon</t>
        </is>
      </c>
      <c r="AF3" s="302" t="inlineStr">
        <is>
          <t>Tue</t>
        </is>
      </c>
      <c r="AG3" s="302" t="inlineStr">
        <is>
          <t>Wed</t>
        </is>
      </c>
      <c r="AH3" s="302" t="inlineStr">
        <is>
          <t>Thu</t>
        </is>
      </c>
      <c r="AI3" s="302" t="inlineStr">
        <is>
          <t>Fri</t>
        </is>
      </c>
      <c r="AJ3" s="509" t="n"/>
    </row>
    <row r="4">
      <c r="A4" s="509" t="n"/>
      <c r="B4" s="509" t="n"/>
      <c r="C4" s="509" t="n"/>
      <c r="D4" s="509" t="n"/>
      <c r="E4" s="303" t="inlineStr">
        <is>
          <t>Time</t>
        </is>
      </c>
      <c r="F4" s="303" t="inlineStr">
        <is>
          <t>Time</t>
        </is>
      </c>
      <c r="G4" s="303" t="inlineStr">
        <is>
          <t>Time</t>
        </is>
      </c>
      <c r="H4" s="303" t="inlineStr">
        <is>
          <t>Time</t>
        </is>
      </c>
      <c r="I4" s="303" t="inlineStr">
        <is>
          <t>Time</t>
        </is>
      </c>
      <c r="J4" s="303" t="inlineStr">
        <is>
          <t>Time</t>
        </is>
      </c>
      <c r="K4" s="303" t="inlineStr">
        <is>
          <t>Time</t>
        </is>
      </c>
      <c r="L4" s="303" t="inlineStr">
        <is>
          <t>Time</t>
        </is>
      </c>
      <c r="M4" s="303" t="inlineStr">
        <is>
          <t>Time</t>
        </is>
      </c>
      <c r="N4" s="303" t="inlineStr">
        <is>
          <t>Time</t>
        </is>
      </c>
      <c r="O4" s="303" t="inlineStr">
        <is>
          <t>Time</t>
        </is>
      </c>
      <c r="P4" s="303" t="inlineStr">
        <is>
          <t>Time</t>
        </is>
      </c>
      <c r="Q4" s="303" t="inlineStr">
        <is>
          <t>Time</t>
        </is>
      </c>
      <c r="R4" s="303" t="inlineStr">
        <is>
          <t>Time</t>
        </is>
      </c>
      <c r="S4" s="303" t="inlineStr">
        <is>
          <t>Time</t>
        </is>
      </c>
      <c r="T4" s="303" t="inlineStr">
        <is>
          <t>Time</t>
        </is>
      </c>
      <c r="U4" s="303" t="inlineStr">
        <is>
          <t>Time</t>
        </is>
      </c>
      <c r="V4" s="303" t="inlineStr">
        <is>
          <t>Time</t>
        </is>
      </c>
      <c r="W4" s="303" t="inlineStr">
        <is>
          <t>Time</t>
        </is>
      </c>
      <c r="X4" s="303" t="inlineStr">
        <is>
          <t>Time</t>
        </is>
      </c>
      <c r="Y4" s="303" t="inlineStr">
        <is>
          <t>Time</t>
        </is>
      </c>
      <c r="Z4" s="303" t="inlineStr">
        <is>
          <t>Time</t>
        </is>
      </c>
      <c r="AA4" s="303" t="inlineStr">
        <is>
          <t>Time</t>
        </is>
      </c>
      <c r="AB4" s="303" t="inlineStr">
        <is>
          <t>Time</t>
        </is>
      </c>
      <c r="AC4" s="303" t="inlineStr">
        <is>
          <t>Time</t>
        </is>
      </c>
      <c r="AD4" s="303" t="inlineStr">
        <is>
          <t>Time</t>
        </is>
      </c>
      <c r="AE4" s="303" t="inlineStr">
        <is>
          <t>Time</t>
        </is>
      </c>
      <c r="AF4" s="303" t="inlineStr">
        <is>
          <t>Time</t>
        </is>
      </c>
      <c r="AG4" s="303" t="inlineStr">
        <is>
          <t>Time</t>
        </is>
      </c>
      <c r="AH4" s="303" t="inlineStr">
        <is>
          <t>Time</t>
        </is>
      </c>
      <c r="AI4" s="303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304" t="n">
        <v>0.3333333333333333</v>
      </c>
      <c r="F5" s="304" t="n">
        <v>0.3333333333333333</v>
      </c>
      <c r="G5" s="304" t="n">
        <v>0.3333333333333333</v>
      </c>
      <c r="H5" s="304" t="n">
        <v>0.3333333333333333</v>
      </c>
      <c r="I5" s="304" t="n">
        <v>0.3333333333333333</v>
      </c>
      <c r="J5" s="304" t="n">
        <v>0.3333333333333333</v>
      </c>
      <c r="K5" s="304" t="n">
        <v>0.3333333333333333</v>
      </c>
      <c r="L5" s="304" t="n">
        <v>0.3333333333333333</v>
      </c>
      <c r="M5" s="304" t="n">
        <v>0.3333333333333333</v>
      </c>
      <c r="N5" s="304" t="n">
        <v>0.3333333333333333</v>
      </c>
      <c r="O5" s="304" t="n">
        <v>0.3333333333333333</v>
      </c>
      <c r="P5" s="304" t="n">
        <v>0.3333333333333333</v>
      </c>
      <c r="Q5" s="304" t="n">
        <v>0.3333333333333333</v>
      </c>
      <c r="R5" s="304" t="n">
        <v>0.3333333333333333</v>
      </c>
      <c r="S5" s="304" t="n">
        <v>0.3333333333333333</v>
      </c>
      <c r="T5" s="304" t="n">
        <v>0.3333333333333333</v>
      </c>
      <c r="U5" s="304" t="n">
        <v>0.3333333333333333</v>
      </c>
      <c r="V5" s="304" t="n">
        <v>0.3333333333333333</v>
      </c>
      <c r="W5" s="304" t="n">
        <v>0.3333333333333333</v>
      </c>
      <c r="X5" s="304" t="n">
        <v>0.3333333333333333</v>
      </c>
      <c r="Y5" s="304" t="n">
        <v>0.3333333333333333</v>
      </c>
      <c r="Z5" s="304" t="n">
        <v>0.3333333333333333</v>
      </c>
      <c r="AA5" s="304" t="n">
        <v>0.3333333333333333</v>
      </c>
      <c r="AB5" s="304" t="n">
        <v>0.3333333333333333</v>
      </c>
      <c r="AC5" s="304" t="n">
        <v>0.3333333333333333</v>
      </c>
      <c r="AD5" s="304" t="n">
        <v>0.3333333333333333</v>
      </c>
      <c r="AE5" s="304" t="n">
        <v>0.3333333333333333</v>
      </c>
      <c r="AF5" s="304" t="n">
        <v>0.3333333333333333</v>
      </c>
      <c r="AG5" s="304" t="n">
        <v>0.3333333333333333</v>
      </c>
      <c r="AH5" s="304" t="n">
        <v>0.3333333333333333</v>
      </c>
      <c r="AI5" s="304" t="n">
        <v>0.3333333333333333</v>
      </c>
      <c r="AJ5" s="510" t="n"/>
    </row>
    <row r="6">
      <c r="A6" s="305" t="n">
        <v>1</v>
      </c>
      <c r="B6" s="541" t="inlineStr">
        <is>
          <t>3F</t>
        </is>
      </c>
      <c r="C6" s="377" t="inlineStr">
        <is>
          <t>SL No 540430038840 (EB Unit)</t>
        </is>
      </c>
      <c r="D6" s="244" t="n">
        <v>210307</v>
      </c>
      <c r="E6" s="378" t="n">
        <v>210554</v>
      </c>
      <c r="F6" s="378" t="n">
        <v>210800</v>
      </c>
      <c r="G6" s="378" t="n">
        <v>211054</v>
      </c>
      <c r="H6" s="378" t="n">
        <v>211245</v>
      </c>
      <c r="I6" s="378" t="n">
        <v>211447</v>
      </c>
      <c r="J6" s="378" t="n">
        <v>211710</v>
      </c>
      <c r="K6" s="378" t="n">
        <v>211951</v>
      </c>
      <c r="L6" s="378" t="n">
        <v>212208</v>
      </c>
      <c r="M6" s="378" t="n">
        <v>212453</v>
      </c>
      <c r="N6" s="378" t="n">
        <v>212678</v>
      </c>
      <c r="O6" s="378" t="n">
        <v>212890</v>
      </c>
      <c r="P6" s="378" t="n">
        <v>213089</v>
      </c>
      <c r="Q6" s="378" t="n">
        <v>213341</v>
      </c>
      <c r="R6" s="378" t="n">
        <v>213595</v>
      </c>
      <c r="S6" s="378" t="n">
        <v>213844</v>
      </c>
      <c r="T6" s="378" t="n">
        <v>214099</v>
      </c>
      <c r="U6" s="378" t="n">
        <v>214346</v>
      </c>
      <c r="V6" s="378" t="n">
        <v>214550</v>
      </c>
      <c r="W6" s="378" t="n">
        <v>214746</v>
      </c>
      <c r="X6" s="378" t="n">
        <v>214991</v>
      </c>
      <c r="Y6" s="378" t="n">
        <v>215245</v>
      </c>
      <c r="Z6" s="378" t="n">
        <v>215310</v>
      </c>
      <c r="AA6" s="378" t="n">
        <v>215762</v>
      </c>
      <c r="AB6" s="378" t="n">
        <v>215959</v>
      </c>
      <c r="AC6" s="378" t="n">
        <v>216204</v>
      </c>
      <c r="AD6" s="378" t="n">
        <v>216400</v>
      </c>
      <c r="AE6" s="378" t="n">
        <v>216663</v>
      </c>
      <c r="AF6" s="378" t="n">
        <v>216907</v>
      </c>
      <c r="AG6" s="437" t="n">
        <v>217151</v>
      </c>
      <c r="AH6" s="437" t="n">
        <v>217410</v>
      </c>
      <c r="AI6" s="184" t="n">
        <v>217557</v>
      </c>
      <c r="AJ6" s="314">
        <f>AI6-D6</f>
        <v/>
      </c>
    </row>
    <row r="7">
      <c r="A7" s="315" t="n"/>
      <c r="B7" s="315" t="n"/>
      <c r="C7" s="325" t="inlineStr">
        <is>
          <t>DG</t>
        </is>
      </c>
      <c r="D7" s="244" t="n">
        <v>4486</v>
      </c>
      <c r="E7" s="378" t="n">
        <v>4486</v>
      </c>
      <c r="F7" s="305" t="n">
        <v>4486</v>
      </c>
      <c r="G7" s="305" t="n">
        <v>4486</v>
      </c>
      <c r="H7" s="305" t="n">
        <v>4486</v>
      </c>
      <c r="I7" s="305" t="n">
        <v>4486</v>
      </c>
      <c r="J7" s="305" t="n">
        <v>4486</v>
      </c>
      <c r="K7" s="305" t="n">
        <v>4486</v>
      </c>
      <c r="L7" s="305" t="n">
        <v>4486</v>
      </c>
      <c r="M7" s="305" t="n">
        <v>4486</v>
      </c>
      <c r="N7" s="305" t="n">
        <v>4486</v>
      </c>
      <c r="O7" s="305" t="n">
        <v>4486</v>
      </c>
      <c r="P7" s="305" t="n">
        <v>4486</v>
      </c>
      <c r="Q7" s="305" t="n">
        <v>4486</v>
      </c>
      <c r="R7" s="318" t="n">
        <v>4486</v>
      </c>
      <c r="S7" s="318" t="n">
        <v>4486</v>
      </c>
      <c r="T7" s="318" t="n">
        <v>4486</v>
      </c>
      <c r="U7" s="318" t="n">
        <v>4486</v>
      </c>
      <c r="V7" s="318" t="n">
        <v>4486</v>
      </c>
      <c r="W7" s="318" t="n">
        <v>4486</v>
      </c>
      <c r="X7" s="315" t="n">
        <v>4486</v>
      </c>
      <c r="Y7" s="315" t="n">
        <v>4486</v>
      </c>
      <c r="Z7" s="315" t="n">
        <v>4486</v>
      </c>
      <c r="AA7" s="315" t="n">
        <v>4486</v>
      </c>
      <c r="AB7" s="315" t="n">
        <v>4486</v>
      </c>
      <c r="AC7" s="315" t="n">
        <v>4486</v>
      </c>
      <c r="AD7" s="315" t="n">
        <v>4486</v>
      </c>
      <c r="AE7" s="315" t="n">
        <v>4486</v>
      </c>
      <c r="AF7" s="315" t="n">
        <v>4486</v>
      </c>
      <c r="AG7" s="315" t="n">
        <v>4486</v>
      </c>
      <c r="AH7" s="437" t="n">
        <v>4486</v>
      </c>
      <c r="AI7" s="184" t="n">
        <v>4486</v>
      </c>
      <c r="AJ7" s="314">
        <f>AI7-D7</f>
        <v/>
      </c>
    </row>
    <row r="8">
      <c r="A8" s="541" t="n">
        <v>2</v>
      </c>
      <c r="B8" s="541" t="inlineStr">
        <is>
          <t>3F</t>
        </is>
      </c>
      <c r="C8" s="322" t="inlineStr">
        <is>
          <t>SL No 540430038845 (EB Unit)</t>
        </is>
      </c>
      <c r="D8" s="244" t="n">
        <v>1956</v>
      </c>
      <c r="E8" s="378" t="n">
        <v>1956</v>
      </c>
      <c r="F8" s="378" t="n">
        <v>1956</v>
      </c>
      <c r="G8" s="378" t="n">
        <v>1956</v>
      </c>
      <c r="H8" s="305" t="n">
        <v>1956</v>
      </c>
      <c r="I8" s="305" t="n">
        <v>1956</v>
      </c>
      <c r="J8" s="305" t="n">
        <v>1956</v>
      </c>
      <c r="K8" s="305" t="n">
        <v>1956</v>
      </c>
      <c r="L8" s="305" t="n">
        <v>1956</v>
      </c>
      <c r="M8" s="305" t="n">
        <v>1956</v>
      </c>
      <c r="N8" s="305" t="n">
        <v>1956</v>
      </c>
      <c r="O8" s="305" t="n">
        <v>1956</v>
      </c>
      <c r="P8" s="305" t="n">
        <v>1956</v>
      </c>
      <c r="Q8" s="305" t="n">
        <v>1956</v>
      </c>
      <c r="R8" s="541" t="n">
        <v>1956</v>
      </c>
      <c r="S8" s="541" t="n">
        <v>1956</v>
      </c>
      <c r="T8" s="541" t="n">
        <v>1956</v>
      </c>
      <c r="U8" s="541" t="n">
        <v>1956</v>
      </c>
      <c r="V8" s="541" t="n">
        <v>1956</v>
      </c>
      <c r="W8" s="541" t="n">
        <v>1956</v>
      </c>
      <c r="X8" s="541" t="n">
        <v>1956</v>
      </c>
      <c r="Y8" s="541" t="n">
        <v>1956</v>
      </c>
      <c r="Z8" s="541" t="n">
        <v>1956</v>
      </c>
      <c r="AA8" s="541" t="n">
        <v>1956</v>
      </c>
      <c r="AB8" s="541" t="n">
        <v>1956</v>
      </c>
      <c r="AC8" s="541" t="n">
        <v>1956</v>
      </c>
      <c r="AD8" s="541" t="n">
        <v>1956</v>
      </c>
      <c r="AE8" s="541" t="n">
        <v>1956</v>
      </c>
      <c r="AF8" s="541" t="n">
        <v>1956</v>
      </c>
      <c r="AG8" s="541" t="n">
        <v>1956</v>
      </c>
      <c r="AH8" s="437" t="n">
        <v>1956</v>
      </c>
      <c r="AI8" s="184" t="n">
        <v>1956</v>
      </c>
      <c r="AJ8" s="314">
        <f>AI8-D8</f>
        <v/>
      </c>
    </row>
    <row r="9">
      <c r="A9" s="541" t="n"/>
      <c r="B9" s="541" t="n"/>
      <c r="C9" s="325" t="inlineStr">
        <is>
          <t>DG</t>
        </is>
      </c>
      <c r="D9" s="244" t="n">
        <v>28.6</v>
      </c>
      <c r="E9" s="378" t="n">
        <v>28.6</v>
      </c>
      <c r="F9" s="378" t="n">
        <v>28.6</v>
      </c>
      <c r="G9" s="378" t="n">
        <v>28.6</v>
      </c>
      <c r="H9" s="305" t="n">
        <v>28.6</v>
      </c>
      <c r="I9" s="305" t="n">
        <v>28.6</v>
      </c>
      <c r="J9" s="305" t="n">
        <v>28.6</v>
      </c>
      <c r="K9" s="305" t="n">
        <v>28.6</v>
      </c>
      <c r="L9" s="305" t="n">
        <v>28.6</v>
      </c>
      <c r="M9" s="305" t="n">
        <v>28.6</v>
      </c>
      <c r="N9" s="305" t="n">
        <v>28.6</v>
      </c>
      <c r="O9" s="305" t="n">
        <v>28.6</v>
      </c>
      <c r="P9" s="305" t="n">
        <v>28.6</v>
      </c>
      <c r="Q9" s="305" t="n">
        <v>28.6</v>
      </c>
      <c r="R9" s="309" t="n">
        <v>28.6</v>
      </c>
      <c r="S9" s="309" t="n">
        <v>28.6</v>
      </c>
      <c r="T9" s="309" t="n">
        <v>28.6</v>
      </c>
      <c r="U9" s="309" t="n">
        <v>28.6</v>
      </c>
      <c r="V9" s="309" t="n">
        <v>28.6</v>
      </c>
      <c r="W9" s="309" t="n">
        <v>28.6</v>
      </c>
      <c r="X9" s="541" t="n">
        <v>28.6</v>
      </c>
      <c r="Y9" s="541" t="n">
        <v>28.6</v>
      </c>
      <c r="Z9" s="541" t="n">
        <v>28.6</v>
      </c>
      <c r="AA9" s="541" t="n">
        <v>28.6</v>
      </c>
      <c r="AB9" s="541" t="n">
        <v>28.6</v>
      </c>
      <c r="AC9" s="541" t="n">
        <v>28.6</v>
      </c>
      <c r="AD9" s="541" t="n">
        <v>28.6</v>
      </c>
      <c r="AE9" s="541" t="n">
        <v>28.6</v>
      </c>
      <c r="AF9" s="541" t="n">
        <v>28.6</v>
      </c>
      <c r="AG9" s="541" t="n">
        <v>28.6</v>
      </c>
      <c r="AH9" s="437" t="n">
        <v>28.6</v>
      </c>
      <c r="AI9" s="184" t="n">
        <v>28.6</v>
      </c>
      <c r="AJ9" s="314">
        <f>AI9-D9</f>
        <v/>
      </c>
    </row>
    <row r="10">
      <c r="A10" s="541" t="n">
        <v>3</v>
      </c>
      <c r="B10" s="541" t="inlineStr">
        <is>
          <t>3F</t>
        </is>
      </c>
      <c r="C10" s="322" t="inlineStr">
        <is>
          <t>SL No 540430038844 (EB Unit)</t>
        </is>
      </c>
      <c r="D10" s="237" t="n">
        <v>303867</v>
      </c>
      <c r="E10" s="330" t="n">
        <v>304225</v>
      </c>
      <c r="F10" s="331" t="n">
        <v>304577</v>
      </c>
      <c r="G10" s="331" t="n">
        <v>304934</v>
      </c>
      <c r="H10" s="331" t="n">
        <v>305189</v>
      </c>
      <c r="I10" s="331" t="n">
        <v>305452</v>
      </c>
      <c r="J10" s="541" t="n">
        <v>305826</v>
      </c>
      <c r="K10" s="541" t="n">
        <v>306176</v>
      </c>
      <c r="L10" s="541" t="n">
        <v>306539</v>
      </c>
      <c r="M10" s="541" t="n">
        <v>306885</v>
      </c>
      <c r="N10" s="541" t="n">
        <v>307205</v>
      </c>
      <c r="O10" s="541" t="n">
        <v>307484</v>
      </c>
      <c r="P10" s="541" t="n">
        <v>307743</v>
      </c>
      <c r="Q10" s="541" t="n">
        <v>308105</v>
      </c>
      <c r="R10" s="541" t="n">
        <v>308467</v>
      </c>
      <c r="S10" s="541" t="n">
        <v>308830</v>
      </c>
      <c r="T10" s="541" t="n">
        <v>309196</v>
      </c>
      <c r="U10" s="541" t="n">
        <v>309540</v>
      </c>
      <c r="V10" s="541" t="n">
        <v>309816</v>
      </c>
      <c r="W10" s="541" t="n">
        <v>310071</v>
      </c>
      <c r="X10" s="541" t="n">
        <v>310418</v>
      </c>
      <c r="Y10" s="541" t="n">
        <v>310784</v>
      </c>
      <c r="Z10" s="541" t="n">
        <v>311167</v>
      </c>
      <c r="AA10" s="309" t="n">
        <v>311529</v>
      </c>
      <c r="AB10" s="315" t="n">
        <v>311864</v>
      </c>
      <c r="AC10" s="315" t="n">
        <v>312133</v>
      </c>
      <c r="AD10" s="315" t="n">
        <v>312389</v>
      </c>
      <c r="AE10" s="318" t="n">
        <v>312762</v>
      </c>
      <c r="AF10" s="318" t="n">
        <v>313109</v>
      </c>
      <c r="AG10" s="390" t="n">
        <v>313457</v>
      </c>
      <c r="AH10" s="437" t="n">
        <v>313830</v>
      </c>
      <c r="AI10" s="184" t="n">
        <v>314041</v>
      </c>
      <c r="AJ10" s="314">
        <f>AI10-D10</f>
        <v/>
      </c>
    </row>
    <row r="11">
      <c r="A11" s="541" t="n"/>
      <c r="B11" s="541" t="n"/>
      <c r="C11" s="325" t="inlineStr">
        <is>
          <t>DG</t>
        </is>
      </c>
      <c r="D11" s="244" t="n">
        <v>6713</v>
      </c>
      <c r="E11" s="378" t="n">
        <v>6713</v>
      </c>
      <c r="F11" s="305" t="n">
        <v>6713</v>
      </c>
      <c r="G11" s="305" t="n">
        <v>6713</v>
      </c>
      <c r="H11" s="305" t="n">
        <v>6713</v>
      </c>
      <c r="I11" s="305" t="n">
        <v>6713</v>
      </c>
      <c r="J11" s="305" t="n">
        <v>6713</v>
      </c>
      <c r="K11" s="305" t="n">
        <v>6713</v>
      </c>
      <c r="L11" s="305" t="n">
        <v>6713</v>
      </c>
      <c r="M11" s="305" t="n">
        <v>6713</v>
      </c>
      <c r="N11" s="305" t="n">
        <v>6713</v>
      </c>
      <c r="O11" s="305" t="n">
        <v>6713</v>
      </c>
      <c r="P11" s="305" t="n">
        <v>6713</v>
      </c>
      <c r="Q11" s="305" t="n">
        <v>6713</v>
      </c>
      <c r="R11" s="309" t="n">
        <v>6713</v>
      </c>
      <c r="S11" s="309" t="n">
        <v>6713</v>
      </c>
      <c r="T11" s="309" t="n">
        <v>6713</v>
      </c>
      <c r="U11" s="309" t="n">
        <v>6713</v>
      </c>
      <c r="V11" s="309" t="n">
        <v>6713</v>
      </c>
      <c r="W11" s="309" t="n">
        <v>6713</v>
      </c>
      <c r="X11" s="541" t="n">
        <v>6713</v>
      </c>
      <c r="Y11" s="541" t="n">
        <v>6713</v>
      </c>
      <c r="Z11" s="541" t="n">
        <v>6713</v>
      </c>
      <c r="AA11" s="541" t="n">
        <v>6713</v>
      </c>
      <c r="AB11" s="541" t="n">
        <v>6713</v>
      </c>
      <c r="AC11" s="541" t="n">
        <v>6713</v>
      </c>
      <c r="AD11" s="541" t="n">
        <v>6713</v>
      </c>
      <c r="AE11" s="541" t="n">
        <v>6713</v>
      </c>
      <c r="AF11" s="541" t="n">
        <v>6713</v>
      </c>
      <c r="AG11" s="541" t="n">
        <v>6713</v>
      </c>
      <c r="AH11" s="437" t="n">
        <v>6713</v>
      </c>
      <c r="AI11" s="184" t="n">
        <v>6713</v>
      </c>
      <c r="AJ11" s="314">
        <f>AI11-D11</f>
        <v/>
      </c>
    </row>
    <row r="12">
      <c r="A12" s="541" t="n">
        <v>4</v>
      </c>
      <c r="B12" s="541" t="inlineStr">
        <is>
          <t>3F</t>
        </is>
      </c>
      <c r="C12" s="322" t="inlineStr">
        <is>
          <t>SL No 540430038821 (EB Unit)</t>
        </is>
      </c>
      <c r="D12" s="244" t="n">
        <v>0</v>
      </c>
      <c r="E12" s="378" t="n">
        <v>0</v>
      </c>
      <c r="F12" s="378" t="n">
        <v>0</v>
      </c>
      <c r="G12" s="378" t="n">
        <v>0</v>
      </c>
      <c r="H12" s="305" t="n">
        <v>0</v>
      </c>
      <c r="I12" s="305" t="n">
        <v>0</v>
      </c>
      <c r="J12" s="305" t="n">
        <v>0</v>
      </c>
      <c r="K12" s="305" t="n">
        <v>0</v>
      </c>
      <c r="L12" s="305" t="n">
        <v>0</v>
      </c>
      <c r="M12" s="305" t="n">
        <v>0</v>
      </c>
      <c r="N12" s="305" t="n">
        <v>0</v>
      </c>
      <c r="O12" s="305" t="n">
        <v>0</v>
      </c>
      <c r="P12" s="305" t="n">
        <v>0</v>
      </c>
      <c r="Q12" s="305" t="n">
        <v>0</v>
      </c>
      <c r="R12" s="541" t="n">
        <v>0</v>
      </c>
      <c r="S12" s="541" t="n">
        <v>0</v>
      </c>
      <c r="T12" s="541" t="n">
        <v>0</v>
      </c>
      <c r="U12" s="541" t="n">
        <v>0</v>
      </c>
      <c r="V12" s="541" t="n">
        <v>0</v>
      </c>
      <c r="W12" s="541" t="n">
        <v>0</v>
      </c>
      <c r="X12" s="541" t="n">
        <v>0</v>
      </c>
      <c r="Y12" s="541" t="n">
        <v>0</v>
      </c>
      <c r="Z12" s="541" t="n">
        <v>0</v>
      </c>
      <c r="AA12" s="541" t="n">
        <v>0</v>
      </c>
      <c r="AB12" s="541" t="n">
        <v>0</v>
      </c>
      <c r="AC12" s="541" t="n">
        <v>0</v>
      </c>
      <c r="AD12" s="541" t="n">
        <v>0</v>
      </c>
      <c r="AE12" s="541" t="n">
        <v>0</v>
      </c>
      <c r="AF12" s="541" t="n">
        <v>0</v>
      </c>
      <c r="AG12" s="541" t="n">
        <v>0</v>
      </c>
      <c r="AH12" s="437" t="n">
        <v>0</v>
      </c>
      <c r="AI12" s="184" t="n">
        <v>0</v>
      </c>
      <c r="AJ12" s="314">
        <f>AI12-D12</f>
        <v/>
      </c>
    </row>
    <row r="13">
      <c r="A13" s="541" t="n"/>
      <c r="B13" s="541" t="n"/>
      <c r="C13" s="325" t="inlineStr">
        <is>
          <t>DG</t>
        </is>
      </c>
      <c r="D13" s="244" t="n">
        <v>0</v>
      </c>
      <c r="E13" s="378" t="n">
        <v>0</v>
      </c>
      <c r="F13" s="378" t="n">
        <v>0</v>
      </c>
      <c r="G13" s="378" t="n">
        <v>0</v>
      </c>
      <c r="H13" s="305" t="n">
        <v>0</v>
      </c>
      <c r="I13" s="305" t="n">
        <v>0</v>
      </c>
      <c r="J13" s="305" t="n">
        <v>0</v>
      </c>
      <c r="K13" s="305" t="n">
        <v>0</v>
      </c>
      <c r="L13" s="305" t="n">
        <v>0</v>
      </c>
      <c r="M13" s="305" t="n">
        <v>0</v>
      </c>
      <c r="N13" s="305" t="n">
        <v>0</v>
      </c>
      <c r="O13" s="305" t="n">
        <v>0</v>
      </c>
      <c r="P13" s="305" t="n">
        <v>0</v>
      </c>
      <c r="Q13" s="305" t="n">
        <v>0</v>
      </c>
      <c r="R13" s="541" t="n">
        <v>0</v>
      </c>
      <c r="S13" s="541" t="n">
        <v>0</v>
      </c>
      <c r="T13" s="541" t="n">
        <v>0</v>
      </c>
      <c r="U13" s="541" t="n">
        <v>0</v>
      </c>
      <c r="V13" s="541" t="n">
        <v>0</v>
      </c>
      <c r="W13" s="541" t="n">
        <v>0</v>
      </c>
      <c r="X13" s="541" t="n">
        <v>0</v>
      </c>
      <c r="Y13" s="541" t="n">
        <v>0</v>
      </c>
      <c r="Z13" s="541" t="n">
        <v>0</v>
      </c>
      <c r="AA13" s="541" t="n">
        <v>0</v>
      </c>
      <c r="AB13" s="541" t="n">
        <v>0</v>
      </c>
      <c r="AC13" s="541" t="n">
        <v>0</v>
      </c>
      <c r="AD13" s="541" t="n">
        <v>0</v>
      </c>
      <c r="AE13" s="541" t="n">
        <v>0</v>
      </c>
      <c r="AF13" s="541" t="n">
        <v>0</v>
      </c>
      <c r="AG13" s="541" t="n">
        <v>0</v>
      </c>
      <c r="AH13" s="437" t="n">
        <v>0</v>
      </c>
      <c r="AI13" s="184" t="n">
        <v>0</v>
      </c>
      <c r="AJ13" s="314">
        <f>AI13-D13</f>
        <v/>
      </c>
    </row>
    <row r="14">
      <c r="A14" s="541" t="n">
        <v>5</v>
      </c>
      <c r="B14" s="541" t="inlineStr">
        <is>
          <t>3F</t>
        </is>
      </c>
      <c r="C14" s="322" t="inlineStr">
        <is>
          <t>SL No 540430038849 (EB Unit)</t>
        </is>
      </c>
      <c r="D14" s="237" t="n">
        <v>160838</v>
      </c>
      <c r="E14" s="335" t="n">
        <v>161040</v>
      </c>
      <c r="F14" s="315" t="n">
        <v>161246</v>
      </c>
      <c r="G14" s="315" t="n">
        <v>161453</v>
      </c>
      <c r="H14" s="315" t="n">
        <v>161591</v>
      </c>
      <c r="I14" s="315" t="n">
        <v>161720</v>
      </c>
      <c r="J14" s="541" t="n">
        <v>161940</v>
      </c>
      <c r="K14" s="541" t="n">
        <v>162137</v>
      </c>
      <c r="L14" s="541" t="n">
        <v>162342</v>
      </c>
      <c r="M14" s="541" t="n">
        <v>162539</v>
      </c>
      <c r="N14" s="541" t="n">
        <v>162725</v>
      </c>
      <c r="O14" s="541" t="n">
        <v>162874</v>
      </c>
      <c r="P14" s="541" t="n">
        <v>163000</v>
      </c>
      <c r="Q14" s="541" t="n">
        <v>163202</v>
      </c>
      <c r="R14" s="541" t="n">
        <v>163405</v>
      </c>
      <c r="S14" s="541" t="n">
        <v>163616</v>
      </c>
      <c r="T14" s="541" t="n">
        <v>163823</v>
      </c>
      <c r="U14" s="328" t="n">
        <v>164025</v>
      </c>
      <c r="V14" s="541" t="n">
        <v>164153</v>
      </c>
      <c r="W14" s="541" t="n">
        <v>164260</v>
      </c>
      <c r="X14" s="541" t="n">
        <v>164468</v>
      </c>
      <c r="Y14" s="541" t="n">
        <v>164682</v>
      </c>
      <c r="Z14" s="541" t="n">
        <v>164682</v>
      </c>
      <c r="AA14" s="309" t="n">
        <v>165121</v>
      </c>
      <c r="AB14" s="328" t="n">
        <v>165322</v>
      </c>
      <c r="AC14" s="328" t="n">
        <v>165471</v>
      </c>
      <c r="AD14" s="328" t="n">
        <v>165600</v>
      </c>
      <c r="AE14" s="551" t="n">
        <v>165829</v>
      </c>
      <c r="AF14" s="551" t="n">
        <v>166037</v>
      </c>
      <c r="AG14" s="390" t="n">
        <v>166254</v>
      </c>
      <c r="AH14" s="437" t="n">
        <v>166475</v>
      </c>
      <c r="AI14" s="184" t="n">
        <v>166606</v>
      </c>
      <c r="AJ14" s="314">
        <f>AI14-D14</f>
        <v/>
      </c>
    </row>
    <row r="15">
      <c r="A15" s="541" t="n"/>
      <c r="B15" s="541" t="n"/>
      <c r="C15" s="325" t="inlineStr">
        <is>
          <t>DG</t>
        </is>
      </c>
      <c r="D15" s="244" t="n">
        <v>3459</v>
      </c>
      <c r="E15" s="330" t="n">
        <v>3459</v>
      </c>
      <c r="F15" s="330" t="n">
        <v>3459</v>
      </c>
      <c r="G15" s="330" t="n">
        <v>3459</v>
      </c>
      <c r="H15" s="330" t="n">
        <v>3459</v>
      </c>
      <c r="I15" s="330" t="n">
        <v>3459</v>
      </c>
      <c r="J15" s="330" t="n">
        <v>3459</v>
      </c>
      <c r="K15" s="330" t="n">
        <v>3459</v>
      </c>
      <c r="L15" s="330" t="n">
        <v>3459</v>
      </c>
      <c r="M15" s="330" t="n">
        <v>3459</v>
      </c>
      <c r="N15" s="330" t="n">
        <v>3459</v>
      </c>
      <c r="O15" s="330" t="n">
        <v>3459</v>
      </c>
      <c r="P15" s="330" t="n">
        <v>3459</v>
      </c>
      <c r="Q15" s="330" t="n">
        <v>3459</v>
      </c>
      <c r="R15" s="330" t="n">
        <v>3459</v>
      </c>
      <c r="S15" s="330" t="n">
        <v>3459</v>
      </c>
      <c r="T15" s="330" t="n">
        <v>3459</v>
      </c>
      <c r="U15" s="330" t="n">
        <v>3459</v>
      </c>
      <c r="V15" s="330" t="n">
        <v>3459</v>
      </c>
      <c r="W15" s="330" t="n">
        <v>3459</v>
      </c>
      <c r="X15" s="331" t="n">
        <v>3459</v>
      </c>
      <c r="Y15" s="331" t="n">
        <v>3459</v>
      </c>
      <c r="Z15" s="331" t="n">
        <v>3459</v>
      </c>
      <c r="AA15" s="331" t="n">
        <v>3459</v>
      </c>
      <c r="AB15" s="331" t="n">
        <v>3459</v>
      </c>
      <c r="AC15" s="331" t="n">
        <v>3459</v>
      </c>
      <c r="AD15" s="331" t="n">
        <v>3459</v>
      </c>
      <c r="AE15" s="331" t="n">
        <v>3459</v>
      </c>
      <c r="AF15" s="331" t="n">
        <v>3459</v>
      </c>
      <c r="AG15" s="331" t="n">
        <v>3459</v>
      </c>
      <c r="AH15" s="437" t="n">
        <v>3459</v>
      </c>
      <c r="AI15" s="184" t="n">
        <v>3459</v>
      </c>
      <c r="AJ15" s="314">
        <f>AI15-D15</f>
        <v/>
      </c>
    </row>
    <row r="16">
      <c r="A16" s="541" t="n">
        <v>6</v>
      </c>
      <c r="B16" s="541" t="inlineStr">
        <is>
          <t>3F</t>
        </is>
      </c>
      <c r="C16" s="322" t="inlineStr">
        <is>
          <t>SL No 540430038646 (EB Unit)</t>
        </is>
      </c>
      <c r="D16" s="237" t="n">
        <v>179845</v>
      </c>
      <c r="E16" s="332" t="n">
        <v>180108</v>
      </c>
      <c r="F16" s="309" t="n">
        <v>180355</v>
      </c>
      <c r="G16" s="305" t="n">
        <v>180610</v>
      </c>
      <c r="H16" s="311" t="n">
        <v>180732</v>
      </c>
      <c r="I16" s="541" t="n">
        <v>180853</v>
      </c>
      <c r="J16" s="541" t="n">
        <v>181122</v>
      </c>
      <c r="K16" s="309" t="n">
        <v>181389</v>
      </c>
      <c r="L16" s="333" t="n">
        <v>181656</v>
      </c>
      <c r="M16" s="310" t="n">
        <v>181902</v>
      </c>
      <c r="N16" s="310" t="n">
        <v>182148</v>
      </c>
      <c r="O16" s="310" t="n">
        <v>182302</v>
      </c>
      <c r="P16" s="310" t="n">
        <v>182423</v>
      </c>
      <c r="Q16" s="334" t="n">
        <v>182697</v>
      </c>
      <c r="R16" s="310" t="n">
        <v>182975</v>
      </c>
      <c r="S16" s="311" t="n">
        <v>183255</v>
      </c>
      <c r="T16" s="541" t="n">
        <v>183520</v>
      </c>
      <c r="U16" s="541" t="n">
        <v>183771</v>
      </c>
      <c r="V16" s="541" t="n">
        <v>183905</v>
      </c>
      <c r="W16" s="541" t="n">
        <v>184030</v>
      </c>
      <c r="X16" s="541" t="n">
        <v>184297</v>
      </c>
      <c r="Y16" s="541" t="n">
        <v>184573</v>
      </c>
      <c r="Z16" s="541" t="n">
        <v>184850</v>
      </c>
      <c r="AA16" s="309" t="n">
        <v>185116</v>
      </c>
      <c r="AB16" s="309" t="n">
        <v>185360</v>
      </c>
      <c r="AC16" s="305" t="n">
        <v>185473</v>
      </c>
      <c r="AD16" s="305" t="n">
        <v>185574</v>
      </c>
      <c r="AE16" s="313" t="n">
        <v>185853</v>
      </c>
      <c r="AF16" s="313" t="n">
        <v>186096</v>
      </c>
      <c r="AG16" s="390" t="n">
        <v>186357</v>
      </c>
      <c r="AH16" s="437" t="n">
        <v>186619</v>
      </c>
      <c r="AI16" s="184" t="n">
        <v>186794</v>
      </c>
      <c r="AJ16" s="314">
        <f>AI16-D16</f>
        <v/>
      </c>
    </row>
    <row r="17">
      <c r="A17" s="541" t="n"/>
      <c r="B17" s="541" t="n"/>
      <c r="C17" s="325" t="inlineStr">
        <is>
          <t>DG</t>
        </is>
      </c>
      <c r="D17" s="244" t="n">
        <v>4490</v>
      </c>
      <c r="E17" s="335" t="n">
        <v>4490</v>
      </c>
      <c r="F17" s="335" t="n">
        <v>4490</v>
      </c>
      <c r="G17" s="335" t="n">
        <v>4490</v>
      </c>
      <c r="H17" s="335" t="n">
        <v>4490</v>
      </c>
      <c r="I17" s="335" t="n">
        <v>4490</v>
      </c>
      <c r="J17" s="335" t="n">
        <v>4490</v>
      </c>
      <c r="K17" s="335" t="n">
        <v>4490</v>
      </c>
      <c r="L17" s="335" t="n">
        <v>4490</v>
      </c>
      <c r="M17" s="335" t="n">
        <v>4490</v>
      </c>
      <c r="N17" s="335" t="n">
        <v>4490</v>
      </c>
      <c r="O17" s="335" t="n">
        <v>4490</v>
      </c>
      <c r="P17" s="335" t="n">
        <v>4490</v>
      </c>
      <c r="Q17" s="335" t="n">
        <v>4490</v>
      </c>
      <c r="R17" s="335" t="n">
        <v>4490</v>
      </c>
      <c r="S17" s="335" t="n">
        <v>4490</v>
      </c>
      <c r="T17" s="335" t="n">
        <v>4490</v>
      </c>
      <c r="U17" s="335" t="n">
        <v>4490</v>
      </c>
      <c r="V17" s="335" t="n">
        <v>4490</v>
      </c>
      <c r="W17" s="335" t="n">
        <v>4490</v>
      </c>
      <c r="X17" s="335" t="n">
        <v>4490</v>
      </c>
      <c r="Y17" s="335" t="n">
        <v>4490</v>
      </c>
      <c r="Z17" s="335" t="n">
        <v>4490</v>
      </c>
      <c r="AA17" s="335" t="n">
        <v>4490</v>
      </c>
      <c r="AB17" s="335" t="n">
        <v>4490</v>
      </c>
      <c r="AC17" s="335" t="n">
        <v>4490</v>
      </c>
      <c r="AD17" s="335" t="n">
        <v>4490</v>
      </c>
      <c r="AE17" s="335" t="n">
        <v>4490</v>
      </c>
      <c r="AF17" s="335" t="n">
        <v>4490</v>
      </c>
      <c r="AG17" s="335" t="n">
        <v>4490</v>
      </c>
      <c r="AH17" s="437" t="n">
        <v>4490</v>
      </c>
      <c r="AI17" s="184" t="n">
        <v>4490</v>
      </c>
      <c r="AJ17" s="314">
        <f>AI17-D17</f>
        <v/>
      </c>
    </row>
    <row r="18">
      <c r="A18" s="541" t="n">
        <v>7</v>
      </c>
      <c r="B18" s="541" t="inlineStr">
        <is>
          <t>3F</t>
        </is>
      </c>
      <c r="C18" s="322" t="inlineStr">
        <is>
          <t>SL No 540430038843 (EB Unit)</t>
        </is>
      </c>
      <c r="D18" s="237" t="n">
        <v>582999</v>
      </c>
      <c r="E18" s="311" t="n">
        <v>583682</v>
      </c>
      <c r="F18" s="541" t="n">
        <v>584343</v>
      </c>
      <c r="G18" s="541" t="n">
        <v>585017</v>
      </c>
      <c r="H18" s="541" t="n">
        <v>585402</v>
      </c>
      <c r="I18" s="541" t="n">
        <v>585741</v>
      </c>
      <c r="J18" s="541" t="n">
        <v>586480</v>
      </c>
      <c r="K18" s="541" t="n">
        <v>587202</v>
      </c>
      <c r="L18" s="541" t="n">
        <v>587948</v>
      </c>
      <c r="M18" s="541" t="n">
        <v>588648</v>
      </c>
      <c r="N18" s="336" t="n">
        <v>589264</v>
      </c>
      <c r="O18" s="541" t="n">
        <v>589747</v>
      </c>
      <c r="P18" s="541" t="n">
        <v>590057</v>
      </c>
      <c r="Q18" s="541" t="n">
        <v>590772</v>
      </c>
      <c r="R18" s="315" t="n">
        <v>591465</v>
      </c>
      <c r="S18" s="336" t="n">
        <v>592158</v>
      </c>
      <c r="T18" s="541" t="n">
        <v>592854</v>
      </c>
      <c r="U18" s="541" t="n">
        <v>593597</v>
      </c>
      <c r="V18" s="541" t="n">
        <v>594009</v>
      </c>
      <c r="W18" s="541" t="n">
        <v>594357</v>
      </c>
      <c r="X18" s="328" t="n">
        <v>595057</v>
      </c>
      <c r="Y18" s="541" t="n">
        <v>595730</v>
      </c>
      <c r="Z18" s="541" t="n">
        <v>596454</v>
      </c>
      <c r="AA18" s="309" t="n">
        <v>597135</v>
      </c>
      <c r="AB18" s="305" t="n">
        <v>597777</v>
      </c>
      <c r="AC18" s="337" t="n">
        <v>598255</v>
      </c>
      <c r="AD18" s="315" t="n">
        <v>598732</v>
      </c>
      <c r="AE18" s="318" t="n">
        <v>599462</v>
      </c>
      <c r="AF18" s="318" t="n">
        <v>600149</v>
      </c>
      <c r="AG18" s="390" t="n">
        <v>600853</v>
      </c>
      <c r="AH18" s="437" t="n">
        <v>601589</v>
      </c>
      <c r="AI18" s="184" t="n">
        <v>602012</v>
      </c>
      <c r="AJ18" s="314">
        <f>AI18-D18</f>
        <v/>
      </c>
    </row>
    <row r="19">
      <c r="A19" s="541" t="n"/>
      <c r="B19" s="541" t="n"/>
      <c r="C19" s="325" t="inlineStr">
        <is>
          <t>DG</t>
        </is>
      </c>
      <c r="D19" s="244" t="n">
        <v>12192</v>
      </c>
      <c r="E19" s="311" t="n">
        <v>12192</v>
      </c>
      <c r="F19" s="311" t="n">
        <v>12192</v>
      </c>
      <c r="G19" s="311" t="n">
        <v>12192</v>
      </c>
      <c r="H19" s="311" t="n">
        <v>12192</v>
      </c>
      <c r="I19" s="311" t="n">
        <v>12192</v>
      </c>
      <c r="J19" s="311" t="n">
        <v>12192</v>
      </c>
      <c r="K19" s="311" t="n">
        <v>12192</v>
      </c>
      <c r="L19" s="311" t="n">
        <v>12192</v>
      </c>
      <c r="M19" s="541" t="n">
        <v>12192</v>
      </c>
      <c r="N19" s="541" t="n">
        <v>12192</v>
      </c>
      <c r="O19" s="541" t="n">
        <v>12192</v>
      </c>
      <c r="P19" s="541" t="n">
        <v>12192</v>
      </c>
      <c r="Q19" s="541" t="n">
        <v>12192</v>
      </c>
      <c r="R19" s="541" t="n">
        <v>12192</v>
      </c>
      <c r="S19" s="541" t="n">
        <v>12192</v>
      </c>
      <c r="T19" s="541" t="n">
        <v>12192</v>
      </c>
      <c r="U19" s="541" t="n">
        <v>12192</v>
      </c>
      <c r="V19" s="541" t="n">
        <v>12192</v>
      </c>
      <c r="W19" s="541" t="n">
        <v>12192</v>
      </c>
      <c r="X19" s="541" t="n">
        <v>12192</v>
      </c>
      <c r="Y19" s="541" t="n">
        <v>12192</v>
      </c>
      <c r="Z19" s="541" t="n">
        <v>12192</v>
      </c>
      <c r="AA19" s="541" t="n">
        <v>12192</v>
      </c>
      <c r="AB19" s="541" t="n">
        <v>12192</v>
      </c>
      <c r="AC19" s="541" t="n">
        <v>12192</v>
      </c>
      <c r="AD19" s="541" t="n">
        <v>12192</v>
      </c>
      <c r="AE19" s="541" t="n">
        <v>12192</v>
      </c>
      <c r="AF19" s="541" t="n">
        <v>12192</v>
      </c>
      <c r="AG19" s="541" t="n">
        <v>12192</v>
      </c>
      <c r="AH19" s="437" t="n">
        <v>12192</v>
      </c>
      <c r="AI19" s="184" t="n">
        <v>12192</v>
      </c>
      <c r="AJ19" s="314">
        <f>AI19-D19</f>
        <v/>
      </c>
    </row>
    <row r="20">
      <c r="A20" s="541" t="n">
        <v>8</v>
      </c>
      <c r="B20" s="541" t="inlineStr">
        <is>
          <t>3F</t>
        </is>
      </c>
      <c r="C20" s="322" t="inlineStr">
        <is>
          <t>SL No 540430038848 (EB Unit)</t>
        </is>
      </c>
      <c r="D20" s="237" t="n">
        <v>113483</v>
      </c>
      <c r="E20" s="311" t="n">
        <v>113597</v>
      </c>
      <c r="F20" s="541" t="n">
        <v>113702</v>
      </c>
      <c r="G20" s="541" t="n">
        <v>113838</v>
      </c>
      <c r="H20" s="541" t="n">
        <v>113926</v>
      </c>
      <c r="I20" s="541" t="n">
        <v>114016</v>
      </c>
      <c r="J20" s="541" t="n">
        <v>114144</v>
      </c>
      <c r="K20" s="541" t="n">
        <v>114264</v>
      </c>
      <c r="L20" s="541" t="n">
        <v>114386</v>
      </c>
      <c r="M20" s="541" t="n">
        <v>114504</v>
      </c>
      <c r="N20" s="541" t="n">
        <v>114613</v>
      </c>
      <c r="O20" s="541" t="n">
        <v>114729</v>
      </c>
      <c r="P20" s="541" t="n">
        <v>114840</v>
      </c>
      <c r="Q20" s="541" t="n">
        <v>114967</v>
      </c>
      <c r="R20" s="541" t="n">
        <v>115097</v>
      </c>
      <c r="S20" s="541" t="n">
        <v>115219</v>
      </c>
      <c r="T20" s="541" t="n">
        <v>115354</v>
      </c>
      <c r="U20" s="541" t="n">
        <v>115480</v>
      </c>
      <c r="V20" s="541" t="n">
        <v>115602</v>
      </c>
      <c r="W20" s="541" t="n">
        <v>115702</v>
      </c>
      <c r="X20" s="541" t="n">
        <v>115825</v>
      </c>
      <c r="Y20" s="541" t="n">
        <v>115930</v>
      </c>
      <c r="Z20" s="541" t="n">
        <v>116053</v>
      </c>
      <c r="AA20" s="315" t="n">
        <v>116169</v>
      </c>
      <c r="AB20" s="315" t="n">
        <v>116284</v>
      </c>
      <c r="AC20" s="315" t="n">
        <v>116379</v>
      </c>
      <c r="AD20" s="315" t="n">
        <v>116484</v>
      </c>
      <c r="AE20" s="318" t="n">
        <v>116617</v>
      </c>
      <c r="AF20" s="318" t="n">
        <v>116730</v>
      </c>
      <c r="AG20" s="390" t="n">
        <v>116840</v>
      </c>
      <c r="AH20" s="437" t="n">
        <v>116971</v>
      </c>
      <c r="AI20" s="184" t="n">
        <v>117032</v>
      </c>
      <c r="AJ20" s="314">
        <f>AI20-D20</f>
        <v/>
      </c>
    </row>
    <row r="21">
      <c r="A21" s="541" t="n"/>
      <c r="B21" s="541" t="n"/>
      <c r="C21" s="325" t="inlineStr">
        <is>
          <t>DG</t>
        </is>
      </c>
      <c r="D21" s="244" t="n">
        <v>2332</v>
      </c>
      <c r="E21" s="311" t="n">
        <v>2332</v>
      </c>
      <c r="F21" s="311" t="n">
        <v>2332</v>
      </c>
      <c r="G21" s="311" t="n">
        <v>2332</v>
      </c>
      <c r="H21" s="311" t="n">
        <v>2332</v>
      </c>
      <c r="I21" s="311" t="n">
        <v>2332</v>
      </c>
      <c r="J21" s="311" t="n">
        <v>2332</v>
      </c>
      <c r="K21" s="311" t="n">
        <v>2332</v>
      </c>
      <c r="L21" s="311" t="n">
        <v>2332</v>
      </c>
      <c r="M21" s="541" t="n">
        <v>2332</v>
      </c>
      <c r="N21" s="541" t="n">
        <v>2332</v>
      </c>
      <c r="O21" s="541" t="n">
        <v>2332</v>
      </c>
      <c r="P21" s="541" t="n">
        <v>2332</v>
      </c>
      <c r="Q21" s="541" t="n">
        <v>2332</v>
      </c>
      <c r="R21" s="541" t="n">
        <v>2332</v>
      </c>
      <c r="S21" s="541" t="n">
        <v>2332</v>
      </c>
      <c r="T21" s="541" t="n">
        <v>2332</v>
      </c>
      <c r="U21" s="541" t="n">
        <v>2332</v>
      </c>
      <c r="V21" s="541" t="n">
        <v>2332</v>
      </c>
      <c r="W21" s="541" t="n">
        <v>2332</v>
      </c>
      <c r="X21" s="541" t="n">
        <v>2332</v>
      </c>
      <c r="Y21" s="541" t="n">
        <v>2332</v>
      </c>
      <c r="Z21" s="541" t="n">
        <v>2332</v>
      </c>
      <c r="AA21" s="541" t="n">
        <v>2332</v>
      </c>
      <c r="AB21" s="541" t="n">
        <v>2332</v>
      </c>
      <c r="AC21" s="541" t="n">
        <v>2332</v>
      </c>
      <c r="AD21" s="541" t="n">
        <v>2332</v>
      </c>
      <c r="AE21" s="541" t="n">
        <v>2332</v>
      </c>
      <c r="AF21" s="541" t="n">
        <v>2332</v>
      </c>
      <c r="AG21" s="309" t="n">
        <v>2332</v>
      </c>
      <c r="AH21" s="437" t="n">
        <v>2332</v>
      </c>
      <c r="AI21" s="184" t="n">
        <v>2332</v>
      </c>
      <c r="AJ21" s="314">
        <f>AI21-D21</f>
        <v/>
      </c>
    </row>
    <row r="22">
      <c r="A22" s="551" t="n"/>
      <c r="AI22" s="400" t="n"/>
    </row>
    <row r="23">
      <c r="A23" s="541" t="n">
        <v>1</v>
      </c>
      <c r="B23" s="541" t="inlineStr">
        <is>
          <t>3F</t>
        </is>
      </c>
      <c r="C23" s="322" t="inlineStr">
        <is>
          <t>AHU1</t>
        </is>
      </c>
      <c r="D23" s="323" t="n">
        <v>62404</v>
      </c>
      <c r="E23" s="311" t="n">
        <v>62511</v>
      </c>
      <c r="F23" s="541" t="n">
        <v>62609</v>
      </c>
      <c r="G23" s="541" t="n">
        <v>62696</v>
      </c>
      <c r="H23" s="541" t="n">
        <v>62742</v>
      </c>
      <c r="I23" s="541" t="n">
        <v>62742</v>
      </c>
      <c r="J23" s="541" t="n">
        <v>62850</v>
      </c>
      <c r="K23" s="541" t="n">
        <v>62953</v>
      </c>
      <c r="L23" s="541" t="n">
        <v>63045</v>
      </c>
      <c r="M23" s="541" t="n">
        <v>63142</v>
      </c>
      <c r="N23" s="541" t="n">
        <v>63219</v>
      </c>
      <c r="O23" s="541" t="n">
        <v>63268</v>
      </c>
      <c r="P23" s="541" t="n">
        <v>63268</v>
      </c>
      <c r="Q23" s="541" t="n">
        <v>63366</v>
      </c>
      <c r="R23" s="541" t="n">
        <v>63457</v>
      </c>
      <c r="S23" s="541" t="n">
        <v>63538</v>
      </c>
      <c r="T23" s="541" t="n">
        <v>63619</v>
      </c>
      <c r="U23" s="541" t="n">
        <v>63701</v>
      </c>
      <c r="V23" s="541" t="n">
        <v>63745</v>
      </c>
      <c r="W23" s="541" t="n">
        <v>63745</v>
      </c>
      <c r="X23" s="541" t="n">
        <v>63851</v>
      </c>
      <c r="Y23" s="541" t="n">
        <v>63949</v>
      </c>
      <c r="Z23" s="541" t="n">
        <v>64036</v>
      </c>
      <c r="AA23" s="541" t="n">
        <v>64125</v>
      </c>
      <c r="AB23" s="541" t="n">
        <v>64208</v>
      </c>
      <c r="AC23" s="541" t="n">
        <v>64213</v>
      </c>
      <c r="AD23" s="541" t="n">
        <v>64213</v>
      </c>
      <c r="AE23" s="305" t="n">
        <v>64311</v>
      </c>
      <c r="AF23" s="305" t="n">
        <v>64385</v>
      </c>
      <c r="AG23" s="313" t="n">
        <v>64464</v>
      </c>
      <c r="AH23" s="313" t="n">
        <v>64540</v>
      </c>
      <c r="AI23" s="184" t="n">
        <v>64570</v>
      </c>
      <c r="AJ23" s="314">
        <f>AI23-D23</f>
        <v/>
      </c>
    </row>
    <row r="24">
      <c r="A24" s="541" t="n"/>
      <c r="B24" s="541" t="n"/>
      <c r="C24" s="338" t="inlineStr">
        <is>
          <t>DG</t>
        </is>
      </c>
      <c r="D24" s="323" t="n">
        <v>2004</v>
      </c>
      <c r="E24" s="541" t="n">
        <v>2004</v>
      </c>
      <c r="F24" s="541" t="n">
        <v>2004</v>
      </c>
      <c r="G24" s="541" t="n">
        <v>2004</v>
      </c>
      <c r="H24" s="541" t="n">
        <v>2004</v>
      </c>
      <c r="I24" s="541" t="n">
        <v>2004</v>
      </c>
      <c r="J24" s="541" t="n">
        <v>2004</v>
      </c>
      <c r="K24" s="541" t="n">
        <v>2004</v>
      </c>
      <c r="L24" s="541" t="n">
        <v>2004</v>
      </c>
      <c r="M24" s="541" t="n">
        <v>2004</v>
      </c>
      <c r="N24" s="541" t="n">
        <v>2004</v>
      </c>
      <c r="O24" s="541" t="n">
        <v>2004</v>
      </c>
      <c r="P24" s="541" t="n">
        <v>2004</v>
      </c>
      <c r="Q24" s="541" t="n">
        <v>2004</v>
      </c>
      <c r="R24" s="541" t="n">
        <v>2004</v>
      </c>
      <c r="S24" s="541" t="n">
        <v>2004</v>
      </c>
      <c r="T24" s="541" t="n">
        <v>2004</v>
      </c>
      <c r="U24" s="541" t="n">
        <v>2004</v>
      </c>
      <c r="V24" s="541" t="n">
        <v>2004</v>
      </c>
      <c r="W24" s="541" t="n">
        <v>2004</v>
      </c>
      <c r="X24" s="541" t="n">
        <v>2004</v>
      </c>
      <c r="Y24" s="328" t="n">
        <v>2004</v>
      </c>
      <c r="Z24" s="328" t="n">
        <v>2004</v>
      </c>
      <c r="AA24" s="328" t="n">
        <v>2004</v>
      </c>
      <c r="AB24" s="328" t="n">
        <v>2004</v>
      </c>
      <c r="AC24" s="328" t="n">
        <v>2004</v>
      </c>
      <c r="AD24" s="328" t="n">
        <v>2004</v>
      </c>
      <c r="AE24" s="328" t="n">
        <v>2004</v>
      </c>
      <c r="AF24" s="328" t="n">
        <v>2004</v>
      </c>
      <c r="AG24" s="328" t="n">
        <v>2004</v>
      </c>
      <c r="AH24" s="313" t="n">
        <v>2004</v>
      </c>
      <c r="AI24" s="184" t="n">
        <v>2004</v>
      </c>
      <c r="AJ24" s="314">
        <f>AI24-D24</f>
        <v/>
      </c>
    </row>
    <row r="25">
      <c r="A25" s="541" t="n">
        <v>2</v>
      </c>
      <c r="B25" s="541" t="inlineStr">
        <is>
          <t>3F</t>
        </is>
      </c>
      <c r="C25" s="319" t="inlineStr">
        <is>
          <t>AHU2</t>
        </is>
      </c>
      <c r="D25" s="438" t="n">
        <v>64476</v>
      </c>
      <c r="E25" s="541" t="n">
        <v>64566</v>
      </c>
      <c r="F25" s="541" t="n">
        <v>64641</v>
      </c>
      <c r="G25" s="541" t="n">
        <v>64701</v>
      </c>
      <c r="H25" s="541" t="n">
        <v>64730</v>
      </c>
      <c r="I25" s="541" t="n">
        <v>64730</v>
      </c>
      <c r="J25" s="541" t="n">
        <v>64797</v>
      </c>
      <c r="K25" s="541" t="n">
        <v>64850</v>
      </c>
      <c r="L25" s="541" t="n">
        <v>64900</v>
      </c>
      <c r="M25" s="541" t="n">
        <v>64947</v>
      </c>
      <c r="N25" s="541" t="n">
        <v>64987</v>
      </c>
      <c r="O25" s="541" t="n">
        <v>65020</v>
      </c>
      <c r="P25" s="541" t="n">
        <v>65020</v>
      </c>
      <c r="Q25" s="541" t="n">
        <v>65080</v>
      </c>
      <c r="R25" s="541" t="n">
        <v>65143</v>
      </c>
      <c r="S25" s="541" t="n">
        <v>65193</v>
      </c>
      <c r="T25" s="541" t="n">
        <v>65247</v>
      </c>
      <c r="U25" s="541" t="n">
        <v>65297</v>
      </c>
      <c r="V25" s="541" t="n">
        <v>65326</v>
      </c>
      <c r="W25" s="541" t="n">
        <v>65326</v>
      </c>
      <c r="X25" s="541" t="n">
        <v>65391</v>
      </c>
      <c r="Y25" s="541" t="n">
        <v>65441</v>
      </c>
      <c r="Z25" s="541" t="n">
        <v>65504</v>
      </c>
      <c r="AA25" s="541" t="n">
        <v>65559</v>
      </c>
      <c r="AB25" s="541" t="n">
        <v>65623</v>
      </c>
      <c r="AC25" s="541" t="n">
        <v>65636</v>
      </c>
      <c r="AD25" s="541" t="n">
        <v>65636</v>
      </c>
      <c r="AE25" s="305" t="n">
        <v>65718</v>
      </c>
      <c r="AF25" s="305" t="n">
        <v>65800</v>
      </c>
      <c r="AG25" s="390" t="n">
        <v>65879</v>
      </c>
      <c r="AH25" s="313" t="n">
        <v>65959</v>
      </c>
      <c r="AI25" s="184" t="n">
        <v>65986</v>
      </c>
      <c r="AJ25" s="314">
        <f>AI25-D25</f>
        <v/>
      </c>
    </row>
    <row r="26">
      <c r="A26" s="541" t="n"/>
      <c r="B26" s="541" t="n"/>
      <c r="C26" s="338" t="inlineStr">
        <is>
          <t>DG</t>
        </is>
      </c>
      <c r="D26" s="320" t="n">
        <v>2013</v>
      </c>
      <c r="E26" s="541" t="n">
        <v>2013</v>
      </c>
      <c r="F26" s="541" t="n">
        <v>2013</v>
      </c>
      <c r="G26" s="541" t="n">
        <v>2013</v>
      </c>
      <c r="H26" s="541" t="n">
        <v>2013</v>
      </c>
      <c r="I26" s="541" t="n">
        <v>2013</v>
      </c>
      <c r="J26" s="541" t="n">
        <v>2013</v>
      </c>
      <c r="K26" s="541" t="n">
        <v>2013</v>
      </c>
      <c r="L26" s="541" t="n">
        <v>2013</v>
      </c>
      <c r="M26" s="541" t="n">
        <v>2013</v>
      </c>
      <c r="N26" s="541" t="n">
        <v>2013</v>
      </c>
      <c r="O26" s="541" t="n">
        <v>2013</v>
      </c>
      <c r="P26" s="541" t="n">
        <v>2013</v>
      </c>
      <c r="Q26" s="541" t="n">
        <v>2013</v>
      </c>
      <c r="R26" s="541" t="n">
        <v>2013</v>
      </c>
      <c r="S26" s="541" t="n">
        <v>2013</v>
      </c>
      <c r="T26" s="541" t="n">
        <v>2013</v>
      </c>
      <c r="U26" s="541" t="n">
        <v>2013</v>
      </c>
      <c r="V26" s="541" t="n">
        <v>2013</v>
      </c>
      <c r="W26" s="541" t="n">
        <v>2013</v>
      </c>
      <c r="X26" s="541" t="n">
        <v>2013</v>
      </c>
      <c r="Y26" s="541" t="n">
        <v>2013</v>
      </c>
      <c r="Z26" s="541" t="n">
        <v>2013</v>
      </c>
      <c r="AA26" s="541" t="n">
        <v>2013</v>
      </c>
      <c r="AB26" s="541" t="n">
        <v>2013</v>
      </c>
      <c r="AC26" s="541" t="n">
        <v>2013</v>
      </c>
      <c r="AD26" s="541" t="n">
        <v>2013</v>
      </c>
      <c r="AE26" s="541" t="n">
        <v>2013</v>
      </c>
      <c r="AF26" s="541" t="n">
        <v>2013</v>
      </c>
      <c r="AG26" s="541" t="n">
        <v>2013</v>
      </c>
      <c r="AH26" s="313" t="n">
        <v>2013</v>
      </c>
      <c r="AI26" s="184" t="n">
        <v>2013</v>
      </c>
      <c r="AJ26" s="314">
        <f>AI26-D26</f>
        <v/>
      </c>
    </row>
    <row r="27">
      <c r="A27" s="541" t="n">
        <v>3</v>
      </c>
      <c r="B27" s="541" t="inlineStr">
        <is>
          <t>3F</t>
        </is>
      </c>
      <c r="C27" s="319" t="inlineStr">
        <is>
          <t>AHU3</t>
        </is>
      </c>
      <c r="D27" s="438" t="n">
        <v>77898</v>
      </c>
      <c r="E27" s="541" t="n">
        <v>77987</v>
      </c>
      <c r="F27" s="541" t="n">
        <v>78075</v>
      </c>
      <c r="G27" s="541" t="n">
        <v>78177</v>
      </c>
      <c r="H27" s="541" t="n">
        <v>78232</v>
      </c>
      <c r="I27" s="541" t="n">
        <v>78232</v>
      </c>
      <c r="J27" s="541" t="n">
        <v>78355</v>
      </c>
      <c r="K27" s="541" t="n">
        <v>78465</v>
      </c>
      <c r="L27" s="541" t="n">
        <v>78570</v>
      </c>
      <c r="M27" s="541" t="n">
        <v>78649</v>
      </c>
      <c r="N27" s="541" t="n">
        <v>78752</v>
      </c>
      <c r="O27" s="541" t="n">
        <v>78808</v>
      </c>
      <c r="P27" s="541" t="n">
        <v>78808</v>
      </c>
      <c r="Q27" s="541" t="n">
        <v>78912</v>
      </c>
      <c r="R27" s="541" t="n">
        <v>79017</v>
      </c>
      <c r="S27" s="541" t="n">
        <v>79111</v>
      </c>
      <c r="T27" s="541" t="n">
        <v>79220</v>
      </c>
      <c r="U27" s="541" t="n">
        <v>79309</v>
      </c>
      <c r="V27" s="541" t="n">
        <v>79361</v>
      </c>
      <c r="W27" s="541" t="n">
        <v>79361</v>
      </c>
      <c r="X27" s="541" t="n">
        <v>79461</v>
      </c>
      <c r="Y27" s="541" t="n">
        <v>79566</v>
      </c>
      <c r="Z27" s="541" t="n">
        <v>79681</v>
      </c>
      <c r="AA27" s="541" t="n">
        <v>79787</v>
      </c>
      <c r="AB27" s="541" t="n">
        <v>79889</v>
      </c>
      <c r="AC27" s="541" t="n">
        <v>79947</v>
      </c>
      <c r="AD27" s="541" t="n">
        <v>79947</v>
      </c>
      <c r="AE27" s="305" t="n">
        <v>80045</v>
      </c>
      <c r="AF27" s="324" t="n">
        <v>80156</v>
      </c>
      <c r="AG27" s="390" t="n">
        <v>80260</v>
      </c>
      <c r="AH27" s="313" t="n">
        <v>80362</v>
      </c>
      <c r="AI27" s="184" t="n">
        <v>80394</v>
      </c>
      <c r="AJ27" s="314">
        <f>AI27-D27</f>
        <v/>
      </c>
    </row>
    <row r="28">
      <c r="A28" s="541" t="n"/>
      <c r="B28" s="541" t="n"/>
      <c r="C28" s="338" t="inlineStr">
        <is>
          <t>DG</t>
        </is>
      </c>
      <c r="D28" s="547" t="n">
        <v>2166</v>
      </c>
      <c r="E28" s="541" t="n">
        <v>2166</v>
      </c>
      <c r="F28" s="541" t="n">
        <v>2166</v>
      </c>
      <c r="G28" s="541" t="n">
        <v>2166</v>
      </c>
      <c r="H28" s="541" t="n">
        <v>2166</v>
      </c>
      <c r="I28" s="541" t="n">
        <v>2166</v>
      </c>
      <c r="J28" s="541" t="n">
        <v>2166</v>
      </c>
      <c r="K28" s="541" t="n">
        <v>2166</v>
      </c>
      <c r="L28" s="541" t="n">
        <v>2166</v>
      </c>
      <c r="M28" s="541" t="n">
        <v>2166</v>
      </c>
      <c r="N28" s="541" t="n">
        <v>2166</v>
      </c>
      <c r="O28" s="541" t="n">
        <v>2166</v>
      </c>
      <c r="P28" s="541" t="n">
        <v>2166</v>
      </c>
      <c r="Q28" s="541" t="n">
        <v>2166</v>
      </c>
      <c r="R28" s="541" t="n">
        <v>2166</v>
      </c>
      <c r="S28" s="541" t="n">
        <v>2166</v>
      </c>
      <c r="T28" s="541" t="n">
        <v>2166</v>
      </c>
      <c r="U28" s="541" t="n">
        <v>2166</v>
      </c>
      <c r="V28" s="541" t="n">
        <v>2166</v>
      </c>
      <c r="W28" s="541" t="n">
        <v>2166</v>
      </c>
      <c r="X28" s="541" t="n">
        <v>2166</v>
      </c>
      <c r="Y28" s="541" t="n">
        <v>2166</v>
      </c>
      <c r="Z28" s="541" t="n">
        <v>2166</v>
      </c>
      <c r="AA28" s="541" t="n">
        <v>2166</v>
      </c>
      <c r="AB28" s="541" t="n">
        <v>2166</v>
      </c>
      <c r="AC28" s="541" t="n">
        <v>2166</v>
      </c>
      <c r="AD28" s="541" t="n">
        <v>2166</v>
      </c>
      <c r="AE28" s="541" t="n">
        <v>2166</v>
      </c>
      <c r="AF28" s="541" t="n">
        <v>2166</v>
      </c>
      <c r="AG28" s="541" t="n">
        <v>2166</v>
      </c>
      <c r="AH28" s="313" t="n">
        <v>2166</v>
      </c>
      <c r="AI28" s="184" t="n">
        <v>2166</v>
      </c>
      <c r="AJ28" s="314">
        <f>AI28-D28</f>
        <v/>
      </c>
    </row>
    <row r="29">
      <c r="A29" s="541" t="n">
        <v>4</v>
      </c>
      <c r="B29" s="541" t="inlineStr">
        <is>
          <t>3F</t>
        </is>
      </c>
      <c r="C29" s="319" t="inlineStr">
        <is>
          <t>AHU4</t>
        </is>
      </c>
      <c r="D29" s="440" t="n">
        <v>52893</v>
      </c>
      <c r="E29" s="541" t="n">
        <v>52996</v>
      </c>
      <c r="F29" s="541" t="n">
        <v>53093</v>
      </c>
      <c r="G29" s="541" t="n">
        <v>53190</v>
      </c>
      <c r="H29" s="541" t="n">
        <v>53247</v>
      </c>
      <c r="I29" s="541" t="n">
        <v>53247</v>
      </c>
      <c r="J29" s="541" t="n">
        <v>53359</v>
      </c>
      <c r="K29" s="541" t="n">
        <v>53466</v>
      </c>
      <c r="L29" s="541" t="n">
        <v>53570</v>
      </c>
      <c r="M29" s="541" t="n">
        <v>53657</v>
      </c>
      <c r="N29" s="541" t="n">
        <v>53746</v>
      </c>
      <c r="O29" s="541" t="n">
        <v>53798</v>
      </c>
      <c r="P29" s="541" t="n">
        <v>53798</v>
      </c>
      <c r="Q29" s="541" t="n">
        <v>53885</v>
      </c>
      <c r="R29" s="541" t="n">
        <v>53963</v>
      </c>
      <c r="S29" s="541" t="n">
        <v>54048</v>
      </c>
      <c r="T29" s="541" t="n">
        <v>54124</v>
      </c>
      <c r="U29" s="541" t="n">
        <v>54198</v>
      </c>
      <c r="V29" s="541" t="n">
        <v>54228</v>
      </c>
      <c r="W29" s="541" t="n">
        <v>54228</v>
      </c>
      <c r="X29" s="541" t="n">
        <v>54311</v>
      </c>
      <c r="Y29" s="541" t="n">
        <v>54385</v>
      </c>
      <c r="Z29" s="541" t="n">
        <v>54465</v>
      </c>
      <c r="AA29" s="541" t="n">
        <v>54545</v>
      </c>
      <c r="AB29" s="541" t="n">
        <v>54616</v>
      </c>
      <c r="AC29" s="541" t="n">
        <v>54621</v>
      </c>
      <c r="AD29" s="541" t="n">
        <v>54621</v>
      </c>
      <c r="AE29" s="318" t="n">
        <v>54708</v>
      </c>
      <c r="AF29" s="318" t="n">
        <v>54802</v>
      </c>
      <c r="AG29" s="313" t="n">
        <v>54899</v>
      </c>
      <c r="AH29" s="313" t="n">
        <v>54990</v>
      </c>
      <c r="AI29" s="184" t="n">
        <v>55029</v>
      </c>
      <c r="AJ29" s="314">
        <f>AI29-D29</f>
        <v/>
      </c>
    </row>
    <row r="30">
      <c r="A30" s="541" t="n"/>
      <c r="B30" s="541" t="n"/>
      <c r="C30" s="338" t="inlineStr">
        <is>
          <t>DG</t>
        </is>
      </c>
      <c r="D30" s="547" t="n">
        <v>1884</v>
      </c>
      <c r="E30" s="541" t="n">
        <v>1884</v>
      </c>
      <c r="F30" s="541" t="n">
        <v>1884</v>
      </c>
      <c r="G30" s="541" t="n">
        <v>1884</v>
      </c>
      <c r="H30" s="541" t="n">
        <v>1884</v>
      </c>
      <c r="I30" s="541" t="n">
        <v>1884</v>
      </c>
      <c r="J30" s="541" t="n">
        <v>1884</v>
      </c>
      <c r="K30" s="541" t="n">
        <v>1884</v>
      </c>
      <c r="L30" s="541" t="n">
        <v>1884</v>
      </c>
      <c r="M30" s="541" t="n">
        <v>1884</v>
      </c>
      <c r="N30" s="541" t="n">
        <v>1884</v>
      </c>
      <c r="O30" s="541" t="n">
        <v>1884</v>
      </c>
      <c r="P30" s="541" t="n">
        <v>1884</v>
      </c>
      <c r="Q30" s="541" t="n">
        <v>1884</v>
      </c>
      <c r="R30" s="541" t="n">
        <v>1884</v>
      </c>
      <c r="S30" s="541" t="n">
        <v>1884</v>
      </c>
      <c r="T30" s="541" t="n">
        <v>1884</v>
      </c>
      <c r="U30" s="541" t="n">
        <v>1884</v>
      </c>
      <c r="V30" s="541" t="n">
        <v>1884</v>
      </c>
      <c r="W30" s="541" t="n">
        <v>1884</v>
      </c>
      <c r="X30" s="541" t="n">
        <v>1884</v>
      </c>
      <c r="Y30" s="541" t="n">
        <v>1884</v>
      </c>
      <c r="Z30" s="541" t="n">
        <v>1884</v>
      </c>
      <c r="AA30" s="541" t="n">
        <v>1884</v>
      </c>
      <c r="AB30" s="541" t="n">
        <v>1884</v>
      </c>
      <c r="AC30" s="541" t="n">
        <v>1884</v>
      </c>
      <c r="AD30" s="541" t="n">
        <v>1884</v>
      </c>
      <c r="AE30" s="541" t="n">
        <v>1884</v>
      </c>
      <c r="AF30" s="541" t="n">
        <v>1884</v>
      </c>
      <c r="AG30" s="541" t="n">
        <v>1884</v>
      </c>
      <c r="AH30" s="313" t="n">
        <v>1884</v>
      </c>
      <c r="AI30" s="184" t="n">
        <v>1884</v>
      </c>
      <c r="AJ30" s="314">
        <f>AI30-D30</f>
        <v/>
      </c>
    </row>
    <row r="31">
      <c r="A31" s="551" t="inlineStr">
        <is>
          <t>.</t>
        </is>
      </c>
      <c r="AI31" s="400" t="n"/>
    </row>
    <row r="32">
      <c r="A32" s="541" t="n">
        <v>1</v>
      </c>
      <c r="B32" s="541" t="inlineStr">
        <is>
          <t>3F</t>
        </is>
      </c>
      <c r="C32" s="319" t="inlineStr">
        <is>
          <t>AHU1 - BTU</t>
        </is>
      </c>
      <c r="D32" s="441" t="n">
        <v>448252</v>
      </c>
      <c r="E32" s="382" t="n">
        <v>448760</v>
      </c>
      <c r="F32" s="383" t="n">
        <v>449035</v>
      </c>
      <c r="G32" s="383" t="n">
        <v>449440</v>
      </c>
      <c r="H32" s="383" t="n">
        <v>449627</v>
      </c>
      <c r="I32" s="383" t="n">
        <v>449627</v>
      </c>
      <c r="J32" s="383" t="n">
        <v>450163</v>
      </c>
      <c r="K32" s="383" t="n">
        <v>450658</v>
      </c>
      <c r="L32" s="383" t="n">
        <v>451051</v>
      </c>
      <c r="M32" s="382" t="n">
        <v>451376</v>
      </c>
      <c r="N32" s="383" t="n">
        <v>451693</v>
      </c>
      <c r="O32" s="383" t="n">
        <v>451854</v>
      </c>
      <c r="P32" s="383" t="n">
        <v>451854</v>
      </c>
      <c r="Q32" s="382" t="n">
        <v>452483</v>
      </c>
      <c r="R32" s="383" t="n">
        <v>453013</v>
      </c>
      <c r="S32" s="383" t="n">
        <v>453530</v>
      </c>
      <c r="T32" s="383" t="n">
        <v>453919</v>
      </c>
      <c r="U32" s="382" t="n">
        <v>454388</v>
      </c>
      <c r="V32" s="383" t="n">
        <v>454569</v>
      </c>
      <c r="W32" s="383" t="n">
        <v>454569</v>
      </c>
      <c r="X32" s="383" t="n">
        <v>455081</v>
      </c>
      <c r="Y32" s="382" t="n">
        <v>455505</v>
      </c>
      <c r="Z32" s="383" t="n">
        <v>455965</v>
      </c>
      <c r="AA32" s="383" t="n">
        <v>456401</v>
      </c>
      <c r="AB32" s="383" t="n">
        <v>456828</v>
      </c>
      <c r="AC32" s="383" t="n">
        <v>456874</v>
      </c>
      <c r="AD32" s="383" t="n">
        <v>456874</v>
      </c>
      <c r="AE32" s="383" t="n">
        <v>457460</v>
      </c>
      <c r="AF32" s="383" t="n">
        <v>457953</v>
      </c>
      <c r="AG32" s="391" t="n">
        <v>458431</v>
      </c>
      <c r="AH32" s="391" t="n">
        <v>458818</v>
      </c>
      <c r="AI32" s="184" t="n">
        <v>459002</v>
      </c>
      <c r="AJ32" s="314">
        <f>AI32-D32</f>
        <v/>
      </c>
    </row>
    <row r="33">
      <c r="A33" s="541" t="n">
        <v>2</v>
      </c>
      <c r="B33" s="541" t="inlineStr">
        <is>
          <t>3F</t>
        </is>
      </c>
      <c r="C33" s="319" t="inlineStr">
        <is>
          <t>AHU2 - BTU</t>
        </is>
      </c>
      <c r="D33" s="441" t="n">
        <v>421761</v>
      </c>
      <c r="E33" s="383" t="n">
        <v>422216</v>
      </c>
      <c r="F33" s="383" t="n">
        <v>422595</v>
      </c>
      <c r="G33" s="383" t="n">
        <v>423039</v>
      </c>
      <c r="H33" s="383" t="n">
        <v>423318</v>
      </c>
      <c r="I33" s="383" t="n">
        <v>423318</v>
      </c>
      <c r="J33" s="383" t="n">
        <v>423880</v>
      </c>
      <c r="K33" s="383" t="n">
        <v>424444</v>
      </c>
      <c r="L33" s="383" t="n">
        <v>424901</v>
      </c>
      <c r="M33" s="383" t="n">
        <v>425248</v>
      </c>
      <c r="N33" s="383" t="n">
        <v>425560</v>
      </c>
      <c r="O33" s="383" t="n">
        <v>425749</v>
      </c>
      <c r="P33" s="383" t="n">
        <v>425749</v>
      </c>
      <c r="Q33" s="383" t="n">
        <v>426281</v>
      </c>
      <c r="R33" s="383" t="n">
        <v>426829</v>
      </c>
      <c r="S33" s="383" t="n">
        <v>427298</v>
      </c>
      <c r="T33" s="383" t="n">
        <v>427709</v>
      </c>
      <c r="U33" s="383" t="n">
        <v>428245</v>
      </c>
      <c r="V33" s="383" t="n">
        <v>428450</v>
      </c>
      <c r="W33" s="383" t="n">
        <v>428450</v>
      </c>
      <c r="X33" s="383" t="n">
        <v>429092</v>
      </c>
      <c r="Y33" s="383" t="n">
        <v>429511</v>
      </c>
      <c r="Z33" s="383" t="n">
        <v>429927</v>
      </c>
      <c r="AA33" s="383" t="n">
        <v>430356</v>
      </c>
      <c r="AB33" s="383" t="n">
        <v>430712</v>
      </c>
      <c r="AC33" s="383" t="n">
        <v>430786</v>
      </c>
      <c r="AD33" s="383" t="n">
        <v>430786</v>
      </c>
      <c r="AE33" s="383" t="n">
        <v>431289</v>
      </c>
      <c r="AF33" s="383" t="n">
        <v>431714</v>
      </c>
      <c r="AG33" s="391" t="n">
        <v>432158</v>
      </c>
      <c r="AH33" s="391" t="n">
        <v>432472</v>
      </c>
      <c r="AI33" s="184" t="n">
        <v>432663</v>
      </c>
      <c r="AJ33" s="314">
        <f>AI33-D33</f>
        <v/>
      </c>
    </row>
    <row r="34">
      <c r="A34" s="541" t="n">
        <v>3</v>
      </c>
      <c r="B34" s="541" t="inlineStr">
        <is>
          <t>3F</t>
        </is>
      </c>
      <c r="C34" s="319" t="inlineStr">
        <is>
          <t>AHU3 - BTU</t>
        </is>
      </c>
      <c r="D34" s="441" t="n">
        <v>458458</v>
      </c>
      <c r="E34" s="383" t="n">
        <v>459070</v>
      </c>
      <c r="F34" s="383" t="n">
        <v>459479</v>
      </c>
      <c r="G34" s="383" t="n">
        <v>460083</v>
      </c>
      <c r="H34" s="383" t="n">
        <v>460386</v>
      </c>
      <c r="I34" s="383" t="n">
        <v>460386</v>
      </c>
      <c r="J34" s="383" t="n">
        <v>461252</v>
      </c>
      <c r="K34" s="383" t="n">
        <v>462013</v>
      </c>
      <c r="L34" s="383" t="n">
        <v>462597</v>
      </c>
      <c r="M34" s="383" t="n">
        <v>463040</v>
      </c>
      <c r="N34" s="383" t="n">
        <v>463420</v>
      </c>
      <c r="O34" s="383" t="n">
        <v>463688</v>
      </c>
      <c r="P34" s="383" t="n">
        <v>463688</v>
      </c>
      <c r="Q34" s="383" t="n">
        <v>464468</v>
      </c>
      <c r="R34" s="383" t="n">
        <v>465076</v>
      </c>
      <c r="S34" s="383" t="n">
        <v>465721</v>
      </c>
      <c r="T34" s="383" t="n">
        <v>466175</v>
      </c>
      <c r="U34" s="383" t="n">
        <v>466820</v>
      </c>
      <c r="V34" s="383" t="n">
        <v>467077</v>
      </c>
      <c r="W34" s="383" t="n">
        <v>467077</v>
      </c>
      <c r="X34" s="383" t="n">
        <v>467827</v>
      </c>
      <c r="Y34" s="383" t="n">
        <v>468370</v>
      </c>
      <c r="Z34" s="383" t="n">
        <v>468893</v>
      </c>
      <c r="AA34" s="383" t="n">
        <v>469469</v>
      </c>
      <c r="AB34" s="383" t="n">
        <v>469891</v>
      </c>
      <c r="AC34" s="433" t="n">
        <v>470202</v>
      </c>
      <c r="AD34" s="433" t="n">
        <v>470202</v>
      </c>
      <c r="AE34" s="383" t="n">
        <v>470882</v>
      </c>
      <c r="AF34" s="383" t="n">
        <v>471434</v>
      </c>
      <c r="AG34" s="391" t="n">
        <v>472006</v>
      </c>
      <c r="AH34" s="391" t="n">
        <v>472497</v>
      </c>
      <c r="AI34" s="184" t="n">
        <v>472756</v>
      </c>
      <c r="AJ34" s="314">
        <f>AI34-D34</f>
        <v/>
      </c>
    </row>
    <row r="35">
      <c r="A35" s="541" t="n">
        <v>4</v>
      </c>
      <c r="B35" s="541" t="inlineStr">
        <is>
          <t>3F</t>
        </is>
      </c>
      <c r="C35" s="319" t="inlineStr">
        <is>
          <t>AHU4 - BTU</t>
        </is>
      </c>
      <c r="D35" s="441" t="n">
        <v>509335</v>
      </c>
      <c r="E35" s="379" t="n">
        <v>510408</v>
      </c>
      <c r="F35" s="379" t="n">
        <v>511327</v>
      </c>
      <c r="G35" s="379" t="n">
        <v>512150</v>
      </c>
      <c r="H35" s="379" t="n">
        <v>512641</v>
      </c>
      <c r="I35" s="379" t="n">
        <v>512641</v>
      </c>
      <c r="J35" s="379" t="n">
        <v>513641</v>
      </c>
      <c r="K35" s="379" t="n">
        <v>514660</v>
      </c>
      <c r="L35" s="379" t="n">
        <v>515522</v>
      </c>
      <c r="M35" s="379" t="n">
        <v>516241</v>
      </c>
      <c r="N35" s="379" t="n">
        <v>516958</v>
      </c>
      <c r="O35" s="379" t="n">
        <v>517530</v>
      </c>
      <c r="P35" s="380" t="n">
        <v>517530</v>
      </c>
      <c r="Q35" s="379" t="n">
        <v>518611</v>
      </c>
      <c r="R35" s="379" t="n">
        <v>519578</v>
      </c>
      <c r="S35" s="379" t="n">
        <v>520388</v>
      </c>
      <c r="T35" s="379" t="n">
        <v>521299</v>
      </c>
      <c r="U35" s="379" t="n">
        <v>522240</v>
      </c>
      <c r="V35" s="379" t="n">
        <v>522505</v>
      </c>
      <c r="W35" s="379" t="n">
        <v>522505</v>
      </c>
      <c r="X35" s="379" t="n">
        <v>523503</v>
      </c>
      <c r="Y35" s="379" t="n">
        <v>524497</v>
      </c>
      <c r="Z35" s="379" t="n">
        <v>525352</v>
      </c>
      <c r="AA35" s="379" t="n">
        <v>526280</v>
      </c>
      <c r="AB35" s="379" t="n">
        <v>527085</v>
      </c>
      <c r="AC35" s="383" t="n">
        <v>527217</v>
      </c>
      <c r="AD35" s="383" t="n">
        <v>527217</v>
      </c>
      <c r="AE35" s="381" t="n">
        <v>528206</v>
      </c>
      <c r="AF35" s="381" t="n">
        <v>529090</v>
      </c>
      <c r="AG35" s="381" t="n">
        <v>529957</v>
      </c>
      <c r="AH35" s="391" t="n">
        <v>530867</v>
      </c>
      <c r="AI35" s="184" t="n">
        <v>531216</v>
      </c>
      <c r="AJ35" s="314">
        <f>AI35-D35</f>
        <v/>
      </c>
    </row>
    <row r="36">
      <c r="A36" s="559" t="n"/>
      <c r="AI36" s="559" t="n"/>
    </row>
    <row r="37">
      <c r="AI37" s="559" t="n"/>
    </row>
    <row r="38">
      <c r="A38" s="350" t="n"/>
      <c r="B38" s="555" t="inlineStr">
        <is>
          <t xml:space="preserve"> Daily Energy Report</t>
        </is>
      </c>
      <c r="C38" s="520" t="n"/>
      <c r="D38" s="501" t="n"/>
      <c r="E38" s="350" t="n"/>
      <c r="F38" s="350" t="n"/>
      <c r="G38" s="350" t="n"/>
      <c r="H38" s="350" t="n"/>
      <c r="I38" s="350" t="n"/>
      <c r="J38" s="350" t="n"/>
      <c r="K38" s="350" t="n"/>
      <c r="L38" s="350" t="n"/>
      <c r="M38" s="350" t="n"/>
      <c r="N38" s="350" t="n"/>
      <c r="O38" s="350" t="n"/>
      <c r="P38" s="350" t="n"/>
      <c r="Q38" s="350" t="n"/>
      <c r="R38" s="350" t="n"/>
      <c r="S38" s="350" t="n"/>
      <c r="T38" s="350" t="n"/>
      <c r="U38" s="350" t="n"/>
      <c r="V38" s="350" t="n"/>
      <c r="W38" s="350" t="n"/>
      <c r="X38" s="350" t="n"/>
      <c r="Y38" s="350" t="n"/>
      <c r="Z38" s="350" t="n"/>
      <c r="AA38" s="350" t="n"/>
      <c r="AB38" s="350" t="n"/>
      <c r="AC38" s="350" t="n"/>
      <c r="AD38" s="350" t="n"/>
      <c r="AE38" s="350" t="n"/>
      <c r="AF38" s="350" t="n"/>
      <c r="AG38" s="350" t="n"/>
      <c r="AH38" s="350" t="n"/>
      <c r="AI38" s="350" t="n"/>
      <c r="AJ38" s="350" t="n"/>
    </row>
    <row r="39">
      <c r="A39" s="351" t="n"/>
      <c r="B39" s="560" t="inlineStr">
        <is>
          <t>Electricity Consumption</t>
        </is>
      </c>
      <c r="C39" s="520" t="n"/>
      <c r="D39" s="501" t="n"/>
      <c r="E39" s="351" t="n"/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  <c r="AI39" s="351" t="n"/>
      <c r="AJ39" s="351" t="n"/>
    </row>
    <row r="40">
      <c r="A40" s="542" t="inlineStr">
        <is>
          <t>Sr.No</t>
        </is>
      </c>
      <c r="B40" s="542" t="inlineStr">
        <is>
          <t>Location</t>
        </is>
      </c>
      <c r="C40" s="542" t="inlineStr">
        <is>
          <t>Meter</t>
        </is>
      </c>
      <c r="D40" s="522" t="n"/>
      <c r="E40" s="301" t="n">
        <v>46204</v>
      </c>
      <c r="F40" s="301" t="n">
        <v>46205</v>
      </c>
      <c r="G40" s="301" t="n">
        <v>46206</v>
      </c>
      <c r="H40" s="301" t="n">
        <v>46207</v>
      </c>
      <c r="I40" s="301" t="n">
        <v>46208</v>
      </c>
      <c r="J40" s="301" t="n">
        <v>46209</v>
      </c>
      <c r="K40" s="301" t="n">
        <v>46210</v>
      </c>
      <c r="L40" s="301" t="n">
        <v>46211</v>
      </c>
      <c r="M40" s="301" t="n">
        <v>46212</v>
      </c>
      <c r="N40" s="301" t="n">
        <v>46213</v>
      </c>
      <c r="O40" s="301" t="n">
        <v>46214</v>
      </c>
      <c r="P40" s="301" t="n">
        <v>46215</v>
      </c>
      <c r="Q40" s="301" t="n">
        <v>46216</v>
      </c>
      <c r="R40" s="301" t="n">
        <v>46217</v>
      </c>
      <c r="S40" s="301" t="n">
        <v>46218</v>
      </c>
      <c r="T40" s="301" t="n">
        <v>46219</v>
      </c>
      <c r="U40" s="301" t="n">
        <v>46220</v>
      </c>
      <c r="V40" s="301" t="n">
        <v>46221</v>
      </c>
      <c r="W40" s="301" t="n">
        <v>46222</v>
      </c>
      <c r="X40" s="301" t="n">
        <v>46223</v>
      </c>
      <c r="Y40" s="301" t="n">
        <v>46224</v>
      </c>
      <c r="Z40" s="301" t="n">
        <v>46225</v>
      </c>
      <c r="AA40" s="301" t="n">
        <v>46226</v>
      </c>
      <c r="AB40" s="301" t="n">
        <v>46227</v>
      </c>
      <c r="AC40" s="301" t="n">
        <v>46228</v>
      </c>
      <c r="AD40" s="301" t="n">
        <v>46229</v>
      </c>
      <c r="AE40" s="301" t="n">
        <v>46230</v>
      </c>
      <c r="AF40" s="301" t="n">
        <v>46231</v>
      </c>
      <c r="AG40" s="301" t="n">
        <v>46232</v>
      </c>
      <c r="AH40" s="301" t="n">
        <v>46233</v>
      </c>
      <c r="AI40" s="301" t="n">
        <v>46234</v>
      </c>
      <c r="AJ40" s="542" t="inlineStr">
        <is>
          <t>Consumption</t>
        </is>
      </c>
    </row>
    <row r="41">
      <c r="A41" s="516" t="n"/>
      <c r="B41" s="516" t="n"/>
      <c r="C41" s="523" t="n"/>
      <c r="D41" s="524" t="n"/>
      <c r="E41" s="302" t="inlineStr">
        <is>
          <t>Wed</t>
        </is>
      </c>
      <c r="F41" s="302" t="inlineStr">
        <is>
          <t>Thu</t>
        </is>
      </c>
      <c r="G41" s="302" t="inlineStr">
        <is>
          <t>Fri</t>
        </is>
      </c>
      <c r="H41" s="302" t="inlineStr">
        <is>
          <t>Sat</t>
        </is>
      </c>
      <c r="I41" s="302" t="inlineStr">
        <is>
          <t>Sun</t>
        </is>
      </c>
      <c r="J41" s="302" t="inlineStr">
        <is>
          <t>Mon</t>
        </is>
      </c>
      <c r="K41" s="302" t="inlineStr">
        <is>
          <t>Tue</t>
        </is>
      </c>
      <c r="L41" s="302" t="inlineStr">
        <is>
          <t>Wed</t>
        </is>
      </c>
      <c r="M41" s="302" t="inlineStr">
        <is>
          <t>Thu</t>
        </is>
      </c>
      <c r="N41" s="302" t="inlineStr">
        <is>
          <t>Fri</t>
        </is>
      </c>
      <c r="O41" s="302" t="inlineStr">
        <is>
          <t>Sat</t>
        </is>
      </c>
      <c r="P41" s="302" t="inlineStr">
        <is>
          <t>Sun</t>
        </is>
      </c>
      <c r="Q41" s="302" t="inlineStr">
        <is>
          <t>Mon</t>
        </is>
      </c>
      <c r="R41" s="302" t="inlineStr">
        <is>
          <t>Tue</t>
        </is>
      </c>
      <c r="S41" s="302" t="inlineStr">
        <is>
          <t>Wed</t>
        </is>
      </c>
      <c r="T41" s="302" t="inlineStr">
        <is>
          <t>Thu</t>
        </is>
      </c>
      <c r="U41" s="302" t="inlineStr">
        <is>
          <t>Fri</t>
        </is>
      </c>
      <c r="V41" s="302" t="inlineStr">
        <is>
          <t>Sat</t>
        </is>
      </c>
      <c r="W41" s="302" t="inlineStr">
        <is>
          <t>Sun</t>
        </is>
      </c>
      <c r="X41" s="302" t="inlineStr">
        <is>
          <t>Mon</t>
        </is>
      </c>
      <c r="Y41" s="302" t="inlineStr">
        <is>
          <t>Tue</t>
        </is>
      </c>
      <c r="Z41" s="302" t="inlineStr">
        <is>
          <t>Wed</t>
        </is>
      </c>
      <c r="AA41" s="302" t="inlineStr">
        <is>
          <t>Thu</t>
        </is>
      </c>
      <c r="AB41" s="302" t="inlineStr">
        <is>
          <t>Fri</t>
        </is>
      </c>
      <c r="AC41" s="302" t="inlineStr">
        <is>
          <t>Sat</t>
        </is>
      </c>
      <c r="AD41" s="302" t="inlineStr">
        <is>
          <t>Sun</t>
        </is>
      </c>
      <c r="AE41" s="302" t="inlineStr">
        <is>
          <t>Mon</t>
        </is>
      </c>
      <c r="AF41" s="302" t="inlineStr">
        <is>
          <t>Tue</t>
        </is>
      </c>
      <c r="AG41" s="302" t="inlineStr">
        <is>
          <t>Wed</t>
        </is>
      </c>
      <c r="AH41" s="302" t="inlineStr">
        <is>
          <t>Thu</t>
        </is>
      </c>
      <c r="AI41" s="302" t="inlineStr">
        <is>
          <t>Fri</t>
        </is>
      </c>
      <c r="AJ41" s="516" t="n"/>
    </row>
    <row r="42">
      <c r="A42" s="516" t="n"/>
      <c r="B42" s="516" t="n"/>
      <c r="C42" s="523" t="n"/>
      <c r="D42" s="524" t="n"/>
      <c r="E42" s="353" t="inlineStr">
        <is>
          <t>Time</t>
        </is>
      </c>
      <c r="F42" s="353" t="inlineStr">
        <is>
          <t>Time</t>
        </is>
      </c>
      <c r="G42" s="353" t="inlineStr">
        <is>
          <t>Time</t>
        </is>
      </c>
      <c r="H42" s="353" t="inlineStr">
        <is>
          <t>Time</t>
        </is>
      </c>
      <c r="I42" s="353" t="inlineStr">
        <is>
          <t>Time</t>
        </is>
      </c>
      <c r="J42" s="353" t="inlineStr">
        <is>
          <t>Time</t>
        </is>
      </c>
      <c r="K42" s="353" t="inlineStr">
        <is>
          <t>Time</t>
        </is>
      </c>
      <c r="L42" s="353" t="inlineStr">
        <is>
          <t>Time</t>
        </is>
      </c>
      <c r="M42" s="353" t="inlineStr">
        <is>
          <t>Time</t>
        </is>
      </c>
      <c r="N42" s="353" t="inlineStr">
        <is>
          <t>Time</t>
        </is>
      </c>
      <c r="O42" s="353" t="inlineStr">
        <is>
          <t>Time</t>
        </is>
      </c>
      <c r="P42" s="353" t="inlineStr">
        <is>
          <t>Time</t>
        </is>
      </c>
      <c r="Q42" s="353" t="inlineStr">
        <is>
          <t>Time</t>
        </is>
      </c>
      <c r="R42" s="353" t="inlineStr">
        <is>
          <t>Time</t>
        </is>
      </c>
      <c r="S42" s="353" t="inlineStr">
        <is>
          <t>Time</t>
        </is>
      </c>
      <c r="T42" s="353" t="inlineStr">
        <is>
          <t>Time</t>
        </is>
      </c>
      <c r="U42" s="353" t="inlineStr">
        <is>
          <t>Time</t>
        </is>
      </c>
      <c r="V42" s="353" t="inlineStr">
        <is>
          <t>Time</t>
        </is>
      </c>
      <c r="W42" s="353" t="inlineStr">
        <is>
          <t>Time</t>
        </is>
      </c>
      <c r="X42" s="353" t="inlineStr">
        <is>
          <t>Time</t>
        </is>
      </c>
      <c r="Y42" s="353" t="inlineStr">
        <is>
          <t>Time</t>
        </is>
      </c>
      <c r="Z42" s="353" t="inlineStr">
        <is>
          <t>Time</t>
        </is>
      </c>
      <c r="AA42" s="353" t="inlineStr">
        <is>
          <t>Time</t>
        </is>
      </c>
      <c r="AB42" s="353" t="inlineStr">
        <is>
          <t>Time</t>
        </is>
      </c>
      <c r="AC42" s="353" t="inlineStr">
        <is>
          <t>Time</t>
        </is>
      </c>
      <c r="AD42" s="353" t="inlineStr">
        <is>
          <t>Time</t>
        </is>
      </c>
      <c r="AE42" s="352">
        <f>AE4</f>
        <v/>
      </c>
      <c r="AF42" s="303" t="inlineStr">
        <is>
          <t>Time</t>
        </is>
      </c>
      <c r="AG42" s="353" t="inlineStr">
        <is>
          <t>Time</t>
        </is>
      </c>
      <c r="AH42" s="353" t="inlineStr">
        <is>
          <t>Time</t>
        </is>
      </c>
      <c r="AI42" s="353" t="inlineStr">
        <is>
          <t>Time</t>
        </is>
      </c>
      <c r="AJ42" s="516" t="n"/>
    </row>
    <row r="43">
      <c r="A43" s="517" t="n"/>
      <c r="B43" s="517" t="n"/>
      <c r="C43" s="525" t="n"/>
      <c r="D43" s="526" t="n"/>
      <c r="E43" s="354" t="n">
        <v>0.3333333333333333</v>
      </c>
      <c r="F43" s="354" t="n">
        <v>0.3333333333333333</v>
      </c>
      <c r="G43" s="354" t="n">
        <v>0.3333333333333333</v>
      </c>
      <c r="H43" s="354" t="n">
        <v>0.3333333333333333</v>
      </c>
      <c r="I43" s="354" t="n">
        <v>0.3333333333333333</v>
      </c>
      <c r="J43" s="354" t="n">
        <v>0.3333333333333333</v>
      </c>
      <c r="K43" s="354" t="n">
        <v>0.3333333333333333</v>
      </c>
      <c r="L43" s="354" t="n">
        <v>0.3333333333333333</v>
      </c>
      <c r="M43" s="354" t="n">
        <v>0.3333333333333333</v>
      </c>
      <c r="N43" s="354" t="n">
        <v>0.3333333333333333</v>
      </c>
      <c r="O43" s="354" t="n">
        <v>0.3333333333333333</v>
      </c>
      <c r="P43" s="354" t="n">
        <v>0.3333333333333333</v>
      </c>
      <c r="Q43" s="354" t="n">
        <v>0.3333333333333333</v>
      </c>
      <c r="R43" s="354" t="n">
        <v>0.3333333333333333</v>
      </c>
      <c r="S43" s="354" t="n">
        <v>0.3333333333333333</v>
      </c>
      <c r="T43" s="354" t="n">
        <v>0.3333333333333333</v>
      </c>
      <c r="U43" s="354" t="n">
        <v>0.3333333333333333</v>
      </c>
      <c r="V43" s="354" t="n">
        <v>0.3333333333333333</v>
      </c>
      <c r="W43" s="354" t="n">
        <v>0.3333333333333333</v>
      </c>
      <c r="X43" s="354" t="n">
        <v>0.3333333333333333</v>
      </c>
      <c r="Y43" s="354" t="n">
        <v>0.3333333333333333</v>
      </c>
      <c r="Z43" s="354" t="n">
        <v>0.3333333333333333</v>
      </c>
      <c r="AA43" s="354" t="n">
        <v>0.3333333333333333</v>
      </c>
      <c r="AB43" s="354" t="n">
        <v>0.3333333333333333</v>
      </c>
      <c r="AC43" s="354" t="n">
        <v>0.3333333333333333</v>
      </c>
      <c r="AD43" s="354" t="n">
        <v>0.3333333333333333</v>
      </c>
      <c r="AE43" s="354" t="n">
        <v>0.3333333333333333</v>
      </c>
      <c r="AF43" s="304" t="n">
        <v>0.3333333333333333</v>
      </c>
      <c r="AG43" s="354" t="n">
        <v>0.3333333333333333</v>
      </c>
      <c r="AH43" s="354" t="n">
        <v>0.3333333333333333</v>
      </c>
      <c r="AI43" s="354" t="n">
        <v>0.3333333333333333</v>
      </c>
      <c r="AJ43" s="517" t="n"/>
    </row>
    <row r="44">
      <c r="A44" s="541" t="n">
        <v>1</v>
      </c>
      <c r="B44" s="541" t="inlineStr">
        <is>
          <t>3F</t>
        </is>
      </c>
      <c r="C44" s="541" t="inlineStr">
        <is>
          <t>SL No 540430038840 (EB Unit)</t>
        </is>
      </c>
      <c r="D44" s="501" t="n"/>
      <c r="E44" s="355">
        <f>E6-D6</f>
        <v/>
      </c>
      <c r="F44" s="355">
        <f>F6-E6</f>
        <v/>
      </c>
      <c r="G44" s="355">
        <f>G6-F6</f>
        <v/>
      </c>
      <c r="H44" s="355">
        <f>H6-G6</f>
        <v/>
      </c>
      <c r="I44" s="355">
        <f>I6-H6</f>
        <v/>
      </c>
      <c r="J44" s="355">
        <f>J6-I6</f>
        <v/>
      </c>
      <c r="K44" s="355">
        <f>K6-J6</f>
        <v/>
      </c>
      <c r="L44" s="355">
        <f>L6-K6</f>
        <v/>
      </c>
      <c r="M44" s="355">
        <f>M6-L6</f>
        <v/>
      </c>
      <c r="N44" s="355">
        <f>N6-M6</f>
        <v/>
      </c>
      <c r="O44" s="355">
        <f>O6-N6</f>
        <v/>
      </c>
      <c r="P44" s="355">
        <f>P6-O6</f>
        <v/>
      </c>
      <c r="Q44" s="355">
        <f>Q6-P6</f>
        <v/>
      </c>
      <c r="R44" s="355">
        <f>R6-Q6</f>
        <v/>
      </c>
      <c r="S44" s="355">
        <f>S6-R6</f>
        <v/>
      </c>
      <c r="T44" s="355">
        <f>T6-S6</f>
        <v/>
      </c>
      <c r="U44" s="355">
        <f>U6-T6</f>
        <v/>
      </c>
      <c r="V44" s="355">
        <f>V6-U6</f>
        <v/>
      </c>
      <c r="W44" s="355">
        <f>W6-V6</f>
        <v/>
      </c>
      <c r="X44" s="355">
        <f>X6-W6</f>
        <v/>
      </c>
      <c r="Y44" s="355">
        <f>Y6-X6</f>
        <v/>
      </c>
      <c r="Z44" s="355">
        <f>Z6-Y6</f>
        <v/>
      </c>
      <c r="AA44" s="355">
        <f>AA6-Z6</f>
        <v/>
      </c>
      <c r="AB44" s="355">
        <f>AB6-AA6</f>
        <v/>
      </c>
      <c r="AC44" s="355">
        <f>AC6-AB6</f>
        <v/>
      </c>
      <c r="AD44" s="355">
        <f>AD6-AC6</f>
        <v/>
      </c>
      <c r="AE44" s="355">
        <f>AE6-AD6</f>
        <v/>
      </c>
      <c r="AF44" s="355">
        <f>AF6-AE6</f>
        <v/>
      </c>
      <c r="AG44" s="355">
        <f>AG6-AF6</f>
        <v/>
      </c>
      <c r="AH44" s="355">
        <f>AH6-AG6</f>
        <v/>
      </c>
      <c r="AI44" s="355">
        <f>AI6-AH6</f>
        <v/>
      </c>
      <c r="AJ44" s="356">
        <f>SUM(E44:AI44)</f>
        <v/>
      </c>
    </row>
    <row r="45">
      <c r="A45" s="541" t="n"/>
      <c r="B45" s="541" t="n"/>
      <c r="C45" s="547" t="inlineStr">
        <is>
          <t>DG</t>
        </is>
      </c>
      <c r="D45" s="501" t="n"/>
      <c r="E45" s="355">
        <f>E7-D7</f>
        <v/>
      </c>
      <c r="F45" s="355">
        <f>F7-E7</f>
        <v/>
      </c>
      <c r="G45" s="355">
        <f>G7-F7</f>
        <v/>
      </c>
      <c r="H45" s="355">
        <f>H7-G7</f>
        <v/>
      </c>
      <c r="I45" s="355">
        <f>I7-H7</f>
        <v/>
      </c>
      <c r="J45" s="355">
        <f>J7-I7</f>
        <v/>
      </c>
      <c r="K45" s="355">
        <f>K7-J7</f>
        <v/>
      </c>
      <c r="L45" s="355">
        <f>L7-K7</f>
        <v/>
      </c>
      <c r="M45" s="355">
        <f>M7-L7</f>
        <v/>
      </c>
      <c r="N45" s="355">
        <f>N7-M7</f>
        <v/>
      </c>
      <c r="O45" s="355">
        <f>O7-N7</f>
        <v/>
      </c>
      <c r="P45" s="355">
        <f>P7-O7</f>
        <v/>
      </c>
      <c r="Q45" s="355">
        <f>Q7-P7</f>
        <v/>
      </c>
      <c r="R45" s="355">
        <f>R7-Q7</f>
        <v/>
      </c>
      <c r="S45" s="355">
        <f>S7-R7</f>
        <v/>
      </c>
      <c r="T45" s="355">
        <f>T7-S7</f>
        <v/>
      </c>
      <c r="U45" s="355">
        <f>U7-T7</f>
        <v/>
      </c>
      <c r="V45" s="355">
        <f>V7-U7</f>
        <v/>
      </c>
      <c r="W45" s="355">
        <f>W7-V7</f>
        <v/>
      </c>
      <c r="X45" s="355">
        <f>X7-W7</f>
        <v/>
      </c>
      <c r="Y45" s="355">
        <f>Y7-X7</f>
        <v/>
      </c>
      <c r="Z45" s="355">
        <f>Z7-Y7</f>
        <v/>
      </c>
      <c r="AA45" s="355">
        <f>AA7-Z7</f>
        <v/>
      </c>
      <c r="AB45" s="355">
        <f>AB7-AA7</f>
        <v/>
      </c>
      <c r="AC45" s="355">
        <f>AC7-AB7</f>
        <v/>
      </c>
      <c r="AD45" s="355">
        <f>AD7-AC7</f>
        <v/>
      </c>
      <c r="AE45" s="355">
        <f>AE7-AD7</f>
        <v/>
      </c>
      <c r="AF45" s="355">
        <f>AF7-AE7</f>
        <v/>
      </c>
      <c r="AG45" s="355">
        <f>AG7-AF7</f>
        <v/>
      </c>
      <c r="AH45" s="355">
        <f>AH7-AG7</f>
        <v/>
      </c>
      <c r="AI45" s="355">
        <f>AI7-AH7</f>
        <v/>
      </c>
      <c r="AJ45" s="356">
        <f>SUM(E45:AI45)</f>
        <v/>
      </c>
    </row>
    <row r="46">
      <c r="A46" s="541" t="n">
        <v>2</v>
      </c>
      <c r="B46" s="541" t="inlineStr">
        <is>
          <t>3F</t>
        </is>
      </c>
      <c r="C46" s="541" t="inlineStr">
        <is>
          <t>SL No 540430038845 (EB Unit)</t>
        </is>
      </c>
      <c r="D46" s="501" t="n"/>
      <c r="E46" s="355">
        <f>E8-D8</f>
        <v/>
      </c>
      <c r="F46" s="355">
        <f>F8-E8</f>
        <v/>
      </c>
      <c r="G46" s="355">
        <f>G8-F8</f>
        <v/>
      </c>
      <c r="H46" s="355">
        <f>H8-G8</f>
        <v/>
      </c>
      <c r="I46" s="355">
        <f>I8-H8</f>
        <v/>
      </c>
      <c r="J46" s="355">
        <f>J8-I8</f>
        <v/>
      </c>
      <c r="K46" s="355">
        <f>K8-J8</f>
        <v/>
      </c>
      <c r="L46" s="355">
        <f>L8-K8</f>
        <v/>
      </c>
      <c r="M46" s="355">
        <f>M8-L8</f>
        <v/>
      </c>
      <c r="N46" s="355">
        <f>N8-M8</f>
        <v/>
      </c>
      <c r="O46" s="355">
        <f>O8-N8</f>
        <v/>
      </c>
      <c r="P46" s="355">
        <f>P8-O8</f>
        <v/>
      </c>
      <c r="Q46" s="355">
        <f>Q8-P8</f>
        <v/>
      </c>
      <c r="R46" s="355">
        <f>R8-Q8</f>
        <v/>
      </c>
      <c r="S46" s="355">
        <f>S8-R8</f>
        <v/>
      </c>
      <c r="T46" s="355">
        <f>T8-S8</f>
        <v/>
      </c>
      <c r="U46" s="355">
        <f>U8-T8</f>
        <v/>
      </c>
      <c r="V46" s="355">
        <f>V8-U8</f>
        <v/>
      </c>
      <c r="W46" s="355">
        <f>W8-V8</f>
        <v/>
      </c>
      <c r="X46" s="355">
        <f>X8-W8</f>
        <v/>
      </c>
      <c r="Y46" s="355">
        <f>Y8-X8</f>
        <v/>
      </c>
      <c r="Z46" s="355">
        <f>Z8-Y8</f>
        <v/>
      </c>
      <c r="AA46" s="355">
        <f>AA8-Z8</f>
        <v/>
      </c>
      <c r="AB46" s="355">
        <f>AB8-AA8</f>
        <v/>
      </c>
      <c r="AC46" s="355">
        <f>AC8-AB8</f>
        <v/>
      </c>
      <c r="AD46" s="355">
        <f>AD8-AC8</f>
        <v/>
      </c>
      <c r="AE46" s="355">
        <f>AE8-AD8</f>
        <v/>
      </c>
      <c r="AF46" s="355">
        <f>AF8-AE8</f>
        <v/>
      </c>
      <c r="AG46" s="355">
        <f>AG8-AF8</f>
        <v/>
      </c>
      <c r="AH46" s="355">
        <f>AH8-AG8</f>
        <v/>
      </c>
      <c r="AI46" s="355">
        <f>AI8-AH8</f>
        <v/>
      </c>
      <c r="AJ46" s="356">
        <f>SUM(E46:AI46)</f>
        <v/>
      </c>
    </row>
    <row r="47">
      <c r="A47" s="541" t="n"/>
      <c r="B47" s="541" t="n"/>
      <c r="C47" s="547" t="inlineStr">
        <is>
          <t>DG</t>
        </is>
      </c>
      <c r="D47" s="501" t="n"/>
      <c r="E47" s="355">
        <f>E9-D9</f>
        <v/>
      </c>
      <c r="F47" s="355">
        <f>F9-E9</f>
        <v/>
      </c>
      <c r="G47" s="355">
        <f>G9-F9</f>
        <v/>
      </c>
      <c r="H47" s="355">
        <f>H9-G9</f>
        <v/>
      </c>
      <c r="I47" s="355">
        <f>I9-H9</f>
        <v/>
      </c>
      <c r="J47" s="355">
        <f>J9-I9</f>
        <v/>
      </c>
      <c r="K47" s="355">
        <f>K9-J9</f>
        <v/>
      </c>
      <c r="L47" s="355">
        <f>L9-K9</f>
        <v/>
      </c>
      <c r="M47" s="355">
        <f>M9-L9</f>
        <v/>
      </c>
      <c r="N47" s="355">
        <f>N9-M9</f>
        <v/>
      </c>
      <c r="O47" s="355">
        <f>O9-N9</f>
        <v/>
      </c>
      <c r="P47" s="355">
        <f>P9-O9</f>
        <v/>
      </c>
      <c r="Q47" s="355">
        <f>Q9-P9</f>
        <v/>
      </c>
      <c r="R47" s="355">
        <f>R9-Q9</f>
        <v/>
      </c>
      <c r="S47" s="355">
        <f>S9-R9</f>
        <v/>
      </c>
      <c r="T47" s="355">
        <f>T9-S9</f>
        <v/>
      </c>
      <c r="U47" s="355">
        <f>U9-T9</f>
        <v/>
      </c>
      <c r="V47" s="355">
        <f>V9-U9</f>
        <v/>
      </c>
      <c r="W47" s="355">
        <f>W9-V9</f>
        <v/>
      </c>
      <c r="X47" s="355">
        <f>X9-W9</f>
        <v/>
      </c>
      <c r="Y47" s="355">
        <f>Y9-X9</f>
        <v/>
      </c>
      <c r="Z47" s="355">
        <f>Z9-Y9</f>
        <v/>
      </c>
      <c r="AA47" s="355">
        <f>AA9-Z9</f>
        <v/>
      </c>
      <c r="AB47" s="355">
        <f>AB9-AA9</f>
        <v/>
      </c>
      <c r="AC47" s="355">
        <f>AC9-AB9</f>
        <v/>
      </c>
      <c r="AD47" s="355">
        <f>AD9-AC9</f>
        <v/>
      </c>
      <c r="AE47" s="355">
        <f>AE9-AD9</f>
        <v/>
      </c>
      <c r="AF47" s="355">
        <f>AF9-AE9</f>
        <v/>
      </c>
      <c r="AG47" s="355">
        <f>AG9-AF9</f>
        <v/>
      </c>
      <c r="AH47" s="355">
        <f>AH9-AG9</f>
        <v/>
      </c>
      <c r="AI47" s="355">
        <f>AI9-AH9</f>
        <v/>
      </c>
      <c r="AJ47" s="356">
        <f>SUM(E47:AI47)</f>
        <v/>
      </c>
    </row>
    <row r="48">
      <c r="A48" s="541" t="n">
        <v>3</v>
      </c>
      <c r="B48" s="541" t="inlineStr">
        <is>
          <t>3F</t>
        </is>
      </c>
      <c r="C48" s="541" t="inlineStr">
        <is>
          <t>SL No 540430038844 (EB Unit)</t>
        </is>
      </c>
      <c r="D48" s="501" t="n"/>
      <c r="E48" s="355">
        <f>E10-D10</f>
        <v/>
      </c>
      <c r="F48" s="355">
        <f>F10-E10</f>
        <v/>
      </c>
      <c r="G48" s="355">
        <f>G10-F10</f>
        <v/>
      </c>
      <c r="H48" s="355">
        <f>H10-G10</f>
        <v/>
      </c>
      <c r="I48" s="355">
        <f>I10-H10</f>
        <v/>
      </c>
      <c r="J48" s="355">
        <f>J10-I10</f>
        <v/>
      </c>
      <c r="K48" s="355">
        <f>K10-J10</f>
        <v/>
      </c>
      <c r="L48" s="355">
        <f>L10-K10</f>
        <v/>
      </c>
      <c r="M48" s="355">
        <f>M10-L10</f>
        <v/>
      </c>
      <c r="N48" s="355">
        <f>N10-M10</f>
        <v/>
      </c>
      <c r="O48" s="355">
        <f>O10-N10</f>
        <v/>
      </c>
      <c r="P48" s="355">
        <f>P10-O10</f>
        <v/>
      </c>
      <c r="Q48" s="355">
        <f>Q10-P10</f>
        <v/>
      </c>
      <c r="R48" s="355">
        <f>R10-Q10</f>
        <v/>
      </c>
      <c r="S48" s="355">
        <f>S10-R10</f>
        <v/>
      </c>
      <c r="T48" s="355">
        <f>T10-S10</f>
        <v/>
      </c>
      <c r="U48" s="355">
        <f>U10-T10</f>
        <v/>
      </c>
      <c r="V48" s="355">
        <f>V10-U10</f>
        <v/>
      </c>
      <c r="W48" s="355">
        <f>W10-V10</f>
        <v/>
      </c>
      <c r="X48" s="355">
        <f>X10-W10</f>
        <v/>
      </c>
      <c r="Y48" s="355">
        <f>Y10-X10</f>
        <v/>
      </c>
      <c r="Z48" s="355">
        <f>Z10-Y10</f>
        <v/>
      </c>
      <c r="AA48" s="355">
        <f>AA10-Z10</f>
        <v/>
      </c>
      <c r="AB48" s="355">
        <f>AB10-AA10</f>
        <v/>
      </c>
      <c r="AC48" s="355">
        <f>AC10-AB10</f>
        <v/>
      </c>
      <c r="AD48" s="355">
        <f>AD10-AC10</f>
        <v/>
      </c>
      <c r="AE48" s="355">
        <f>AE10-AD10</f>
        <v/>
      </c>
      <c r="AF48" s="355">
        <f>AF10-AE10</f>
        <v/>
      </c>
      <c r="AG48" s="355">
        <f>AG10-AF10</f>
        <v/>
      </c>
      <c r="AH48" s="355">
        <f>AH10-AG10</f>
        <v/>
      </c>
      <c r="AI48" s="355">
        <f>AI10-AH10</f>
        <v/>
      </c>
      <c r="AJ48" s="356">
        <f>SUM(E48:AI48)</f>
        <v/>
      </c>
    </row>
    <row r="49">
      <c r="A49" s="541" t="n"/>
      <c r="B49" s="541" t="n"/>
      <c r="C49" s="547" t="inlineStr">
        <is>
          <t>DG</t>
        </is>
      </c>
      <c r="D49" s="501" t="n"/>
      <c r="E49" s="355">
        <f>E11-D11</f>
        <v/>
      </c>
      <c r="F49" s="355">
        <f>F11-E11</f>
        <v/>
      </c>
      <c r="G49" s="355">
        <f>G11-F11</f>
        <v/>
      </c>
      <c r="H49" s="355">
        <f>H11-G11</f>
        <v/>
      </c>
      <c r="I49" s="355">
        <f>I11-H11</f>
        <v/>
      </c>
      <c r="J49" s="355">
        <f>J11-I11</f>
        <v/>
      </c>
      <c r="K49" s="355">
        <f>K11-J11</f>
        <v/>
      </c>
      <c r="L49" s="355">
        <f>L11-K11</f>
        <v/>
      </c>
      <c r="M49" s="355">
        <f>M11-L11</f>
        <v/>
      </c>
      <c r="N49" s="355">
        <f>N11-M11</f>
        <v/>
      </c>
      <c r="O49" s="355">
        <f>O11-N11</f>
        <v/>
      </c>
      <c r="P49" s="355">
        <f>P11-O11</f>
        <v/>
      </c>
      <c r="Q49" s="355">
        <f>Q11-P11</f>
        <v/>
      </c>
      <c r="R49" s="355">
        <f>R11-Q11</f>
        <v/>
      </c>
      <c r="S49" s="355">
        <f>S11-R11</f>
        <v/>
      </c>
      <c r="T49" s="355">
        <f>T11-S11</f>
        <v/>
      </c>
      <c r="U49" s="355">
        <f>U11-T11</f>
        <v/>
      </c>
      <c r="V49" s="355">
        <f>V11-U11</f>
        <v/>
      </c>
      <c r="W49" s="355">
        <f>W11-V11</f>
        <v/>
      </c>
      <c r="X49" s="355">
        <f>X11-W11</f>
        <v/>
      </c>
      <c r="Y49" s="355">
        <f>Y11-X11</f>
        <v/>
      </c>
      <c r="Z49" s="355">
        <f>Z11-Y11</f>
        <v/>
      </c>
      <c r="AA49" s="355">
        <f>AA11-Z11</f>
        <v/>
      </c>
      <c r="AB49" s="355">
        <f>AB11-AA11</f>
        <v/>
      </c>
      <c r="AC49" s="355">
        <f>AC11-AB11</f>
        <v/>
      </c>
      <c r="AD49" s="355">
        <f>AD11-AC11</f>
        <v/>
      </c>
      <c r="AE49" s="355">
        <f>AE11-AD11</f>
        <v/>
      </c>
      <c r="AF49" s="355">
        <f>AF11-AE11</f>
        <v/>
      </c>
      <c r="AG49" s="355">
        <f>AG11-AF11</f>
        <v/>
      </c>
      <c r="AH49" s="355">
        <f>AH11-AG11</f>
        <v/>
      </c>
      <c r="AI49" s="355">
        <f>AI11-AH11</f>
        <v/>
      </c>
      <c r="AJ49" s="356">
        <f>SUM(E49:AI49)</f>
        <v/>
      </c>
    </row>
    <row r="50">
      <c r="A50" s="541" t="n">
        <v>4</v>
      </c>
      <c r="B50" s="541" t="inlineStr">
        <is>
          <t>3F</t>
        </is>
      </c>
      <c r="C50" s="541" t="inlineStr">
        <is>
          <t>SL No 540430038821 (EB Unit)</t>
        </is>
      </c>
      <c r="D50" s="501" t="n"/>
      <c r="E50" s="355">
        <f>E12-D12</f>
        <v/>
      </c>
      <c r="F50" s="355">
        <f>F12-E12</f>
        <v/>
      </c>
      <c r="G50" s="355">
        <f>G12-F12</f>
        <v/>
      </c>
      <c r="H50" s="355">
        <f>H12-G12</f>
        <v/>
      </c>
      <c r="I50" s="355">
        <f>I12-H12</f>
        <v/>
      </c>
      <c r="J50" s="355">
        <f>J12-I12</f>
        <v/>
      </c>
      <c r="K50" s="355">
        <f>K12-J12</f>
        <v/>
      </c>
      <c r="L50" s="355">
        <f>L12-K12</f>
        <v/>
      </c>
      <c r="M50" s="355">
        <f>M12-L12</f>
        <v/>
      </c>
      <c r="N50" s="355">
        <f>N12-M12</f>
        <v/>
      </c>
      <c r="O50" s="355">
        <f>O12-N12</f>
        <v/>
      </c>
      <c r="P50" s="355">
        <f>P12-O12</f>
        <v/>
      </c>
      <c r="Q50" s="355">
        <f>Q12-P12</f>
        <v/>
      </c>
      <c r="R50" s="355">
        <f>R12-Q12</f>
        <v/>
      </c>
      <c r="S50" s="355">
        <f>S12-R12</f>
        <v/>
      </c>
      <c r="T50" s="355">
        <f>T12-S12</f>
        <v/>
      </c>
      <c r="U50" s="355">
        <f>U12-T12</f>
        <v/>
      </c>
      <c r="V50" s="355">
        <f>V12-U12</f>
        <v/>
      </c>
      <c r="W50" s="355">
        <f>W12-V12</f>
        <v/>
      </c>
      <c r="X50" s="355">
        <f>X12-W12</f>
        <v/>
      </c>
      <c r="Y50" s="355">
        <f>Y12-X12</f>
        <v/>
      </c>
      <c r="Z50" s="355">
        <f>Z12-Y12</f>
        <v/>
      </c>
      <c r="AA50" s="355">
        <f>AA12-Z12</f>
        <v/>
      </c>
      <c r="AB50" s="355">
        <f>AB12-AA12</f>
        <v/>
      </c>
      <c r="AC50" s="355">
        <f>AC12-AB12</f>
        <v/>
      </c>
      <c r="AD50" s="355">
        <f>AD12-AC12</f>
        <v/>
      </c>
      <c r="AE50" s="355">
        <f>AE12-AD12</f>
        <v/>
      </c>
      <c r="AF50" s="355">
        <f>AF12-AE12</f>
        <v/>
      </c>
      <c r="AG50" s="355">
        <f>AG12-AF12</f>
        <v/>
      </c>
      <c r="AH50" s="355">
        <f>AH12-AG12</f>
        <v/>
      </c>
      <c r="AI50" s="355">
        <f>AI12-AH12</f>
        <v/>
      </c>
      <c r="AJ50" s="356">
        <f>SUM(E50:AI50)</f>
        <v/>
      </c>
    </row>
    <row r="51">
      <c r="A51" s="541" t="n"/>
      <c r="B51" s="541" t="n"/>
      <c r="C51" s="547" t="inlineStr">
        <is>
          <t>DG</t>
        </is>
      </c>
      <c r="D51" s="501" t="n"/>
      <c r="E51" s="355">
        <f>E13-D13</f>
        <v/>
      </c>
      <c r="F51" s="355">
        <f>F13-E13</f>
        <v/>
      </c>
      <c r="G51" s="355">
        <f>G13-F13</f>
        <v/>
      </c>
      <c r="H51" s="355">
        <f>H13-G13</f>
        <v/>
      </c>
      <c r="I51" s="355">
        <f>I13-H13</f>
        <v/>
      </c>
      <c r="J51" s="355">
        <f>J13-I13</f>
        <v/>
      </c>
      <c r="K51" s="355">
        <f>K13-J13</f>
        <v/>
      </c>
      <c r="L51" s="355">
        <f>L13-K13</f>
        <v/>
      </c>
      <c r="M51" s="355">
        <f>M13-L13</f>
        <v/>
      </c>
      <c r="N51" s="355">
        <f>N13-M13</f>
        <v/>
      </c>
      <c r="O51" s="355">
        <f>O13-N13</f>
        <v/>
      </c>
      <c r="P51" s="355">
        <f>P13-O13</f>
        <v/>
      </c>
      <c r="Q51" s="355">
        <f>Q13-P13</f>
        <v/>
      </c>
      <c r="R51" s="355">
        <f>R13-Q13</f>
        <v/>
      </c>
      <c r="S51" s="355">
        <f>S13-R13</f>
        <v/>
      </c>
      <c r="T51" s="355">
        <f>T13-S13</f>
        <v/>
      </c>
      <c r="U51" s="355">
        <f>U13-T13</f>
        <v/>
      </c>
      <c r="V51" s="355">
        <f>V13-U13</f>
        <v/>
      </c>
      <c r="W51" s="355">
        <f>W13-V13</f>
        <v/>
      </c>
      <c r="X51" s="355">
        <f>X13-W13</f>
        <v/>
      </c>
      <c r="Y51" s="355">
        <f>Y13-X13</f>
        <v/>
      </c>
      <c r="Z51" s="355">
        <f>Z13-Y13</f>
        <v/>
      </c>
      <c r="AA51" s="355">
        <f>AA13-Z13</f>
        <v/>
      </c>
      <c r="AB51" s="355">
        <f>AB13-AA13</f>
        <v/>
      </c>
      <c r="AC51" s="355">
        <f>AC13-AB13</f>
        <v/>
      </c>
      <c r="AD51" s="355">
        <f>AD13-AC13</f>
        <v/>
      </c>
      <c r="AE51" s="355">
        <f>AE13-AD13</f>
        <v/>
      </c>
      <c r="AF51" s="355">
        <f>AF13-AE13</f>
        <v/>
      </c>
      <c r="AG51" s="355">
        <f>AG13-AF13</f>
        <v/>
      </c>
      <c r="AH51" s="355">
        <f>AH13-AG13</f>
        <v/>
      </c>
      <c r="AI51" s="355">
        <f>AI13-AH13</f>
        <v/>
      </c>
      <c r="AJ51" s="356">
        <f>SUM(E51:AI51)</f>
        <v/>
      </c>
    </row>
    <row r="52">
      <c r="A52" s="541" t="n">
        <v>5</v>
      </c>
      <c r="B52" s="541" t="inlineStr">
        <is>
          <t>3F</t>
        </is>
      </c>
      <c r="C52" s="541" t="inlineStr">
        <is>
          <t>SL No 540430038849 (EB Unit)</t>
        </is>
      </c>
      <c r="D52" s="501" t="n"/>
      <c r="E52" s="355">
        <f>E14-D14</f>
        <v/>
      </c>
      <c r="F52" s="355">
        <f>F14-E14</f>
        <v/>
      </c>
      <c r="G52" s="355">
        <f>G14-F14</f>
        <v/>
      </c>
      <c r="H52" s="355">
        <f>H14-G14</f>
        <v/>
      </c>
      <c r="I52" s="355">
        <f>I14-H14</f>
        <v/>
      </c>
      <c r="J52" s="355">
        <f>J14-I14</f>
        <v/>
      </c>
      <c r="K52" s="355">
        <f>K14-J14</f>
        <v/>
      </c>
      <c r="L52" s="355">
        <f>L14-K14</f>
        <v/>
      </c>
      <c r="M52" s="355">
        <f>M14-L14</f>
        <v/>
      </c>
      <c r="N52" s="355">
        <f>N14-M14</f>
        <v/>
      </c>
      <c r="O52" s="355">
        <f>O14-N14</f>
        <v/>
      </c>
      <c r="P52" s="355">
        <f>P14-O14</f>
        <v/>
      </c>
      <c r="Q52" s="355">
        <f>Q14-P14</f>
        <v/>
      </c>
      <c r="R52" s="355">
        <f>R14-Q14</f>
        <v/>
      </c>
      <c r="S52" s="355">
        <f>S14-R14</f>
        <v/>
      </c>
      <c r="T52" s="355">
        <f>T14-S14</f>
        <v/>
      </c>
      <c r="U52" s="355">
        <f>U14-T14</f>
        <v/>
      </c>
      <c r="V52" s="355">
        <f>V14-U14</f>
        <v/>
      </c>
      <c r="W52" s="355">
        <f>W14-V14</f>
        <v/>
      </c>
      <c r="X52" s="355">
        <f>X14-W14</f>
        <v/>
      </c>
      <c r="Y52" s="355">
        <f>Y14-X14</f>
        <v/>
      </c>
      <c r="Z52" s="355">
        <f>Z14-Y14</f>
        <v/>
      </c>
      <c r="AA52" s="355">
        <f>AA14-Z14</f>
        <v/>
      </c>
      <c r="AB52" s="355">
        <f>AB14-AA14</f>
        <v/>
      </c>
      <c r="AC52" s="355">
        <f>AC14-AB14</f>
        <v/>
      </c>
      <c r="AD52" s="355">
        <f>AD14-AC14</f>
        <v/>
      </c>
      <c r="AE52" s="355">
        <f>AE14-AD14</f>
        <v/>
      </c>
      <c r="AF52" s="355">
        <f>AF14-AE14</f>
        <v/>
      </c>
      <c r="AG52" s="355">
        <f>AG14-AF14</f>
        <v/>
      </c>
      <c r="AH52" s="355">
        <f>AH14-AG14</f>
        <v/>
      </c>
      <c r="AI52" s="355">
        <f>AI14-AH14</f>
        <v/>
      </c>
      <c r="AJ52" s="356">
        <f>SUM(E52:AI52)</f>
        <v/>
      </c>
    </row>
    <row r="53">
      <c r="A53" s="541" t="n"/>
      <c r="B53" s="541" t="n"/>
      <c r="C53" s="547" t="inlineStr">
        <is>
          <t>DG</t>
        </is>
      </c>
      <c r="D53" s="501" t="n"/>
      <c r="E53" s="355">
        <f>E15-D15</f>
        <v/>
      </c>
      <c r="F53" s="355">
        <f>F15-E15</f>
        <v/>
      </c>
      <c r="G53" s="355">
        <f>G15-F15</f>
        <v/>
      </c>
      <c r="H53" s="355">
        <f>H15-G15</f>
        <v/>
      </c>
      <c r="I53" s="355">
        <f>I15-H15</f>
        <v/>
      </c>
      <c r="J53" s="355">
        <f>J15-I15</f>
        <v/>
      </c>
      <c r="K53" s="355">
        <f>K15-J15</f>
        <v/>
      </c>
      <c r="L53" s="355">
        <f>L15-K15</f>
        <v/>
      </c>
      <c r="M53" s="355">
        <f>M15-L15</f>
        <v/>
      </c>
      <c r="N53" s="355">
        <f>N15-M15</f>
        <v/>
      </c>
      <c r="O53" s="355">
        <f>O15-N15</f>
        <v/>
      </c>
      <c r="P53" s="355">
        <f>P15-O15</f>
        <v/>
      </c>
      <c r="Q53" s="355">
        <f>Q15-P15</f>
        <v/>
      </c>
      <c r="R53" s="355">
        <f>R15-Q15</f>
        <v/>
      </c>
      <c r="S53" s="355">
        <f>S15-R15</f>
        <v/>
      </c>
      <c r="T53" s="355">
        <f>T15-S15</f>
        <v/>
      </c>
      <c r="U53" s="355">
        <f>U15-T15</f>
        <v/>
      </c>
      <c r="V53" s="355">
        <f>V15-U15</f>
        <v/>
      </c>
      <c r="W53" s="355">
        <f>W15-V15</f>
        <v/>
      </c>
      <c r="X53" s="355">
        <f>X15-W15</f>
        <v/>
      </c>
      <c r="Y53" s="355">
        <f>Y15-X15</f>
        <v/>
      </c>
      <c r="Z53" s="355">
        <f>Z15-Y15</f>
        <v/>
      </c>
      <c r="AA53" s="355">
        <f>AA15-Z15</f>
        <v/>
      </c>
      <c r="AB53" s="355">
        <f>AB15-AA15</f>
        <v/>
      </c>
      <c r="AC53" s="355">
        <f>AC15-AB15</f>
        <v/>
      </c>
      <c r="AD53" s="355">
        <f>AD15-AC15</f>
        <v/>
      </c>
      <c r="AE53" s="355">
        <f>AE15-AD15</f>
        <v/>
      </c>
      <c r="AF53" s="355">
        <f>AF15-AE15</f>
        <v/>
      </c>
      <c r="AG53" s="355">
        <f>AG15-AF15</f>
        <v/>
      </c>
      <c r="AH53" s="355">
        <f>AH15-AG15</f>
        <v/>
      </c>
      <c r="AI53" s="355">
        <f>AI15-AH15</f>
        <v/>
      </c>
      <c r="AJ53" s="356">
        <f>SUM(E53:AI53)</f>
        <v/>
      </c>
    </row>
    <row r="54">
      <c r="A54" s="541" t="n">
        <v>6</v>
      </c>
      <c r="B54" s="541" t="inlineStr">
        <is>
          <t>3F</t>
        </is>
      </c>
      <c r="C54" s="541" t="inlineStr">
        <is>
          <t>SL No 540430038696 (EB Unit)</t>
        </is>
      </c>
      <c r="D54" s="501" t="n"/>
      <c r="E54" s="355">
        <f>E16-D16</f>
        <v/>
      </c>
      <c r="F54" s="355">
        <f>F16-E16</f>
        <v/>
      </c>
      <c r="G54" s="355">
        <f>G16-F16</f>
        <v/>
      </c>
      <c r="H54" s="355">
        <f>H16-G16</f>
        <v/>
      </c>
      <c r="I54" s="355">
        <f>I16-H16</f>
        <v/>
      </c>
      <c r="J54" s="355">
        <f>J16-I16</f>
        <v/>
      </c>
      <c r="K54" s="355">
        <f>K16-J16</f>
        <v/>
      </c>
      <c r="L54" s="355">
        <f>L16-K16</f>
        <v/>
      </c>
      <c r="M54" s="355">
        <f>M16-L16</f>
        <v/>
      </c>
      <c r="N54" s="355">
        <f>N16-M16</f>
        <v/>
      </c>
      <c r="O54" s="355">
        <f>O16-N16</f>
        <v/>
      </c>
      <c r="P54" s="355">
        <f>P16-O16</f>
        <v/>
      </c>
      <c r="Q54" s="355">
        <f>Q16-P16</f>
        <v/>
      </c>
      <c r="R54" s="355">
        <f>R16-Q16</f>
        <v/>
      </c>
      <c r="S54" s="355">
        <f>S16-R16</f>
        <v/>
      </c>
      <c r="T54" s="355">
        <f>T16-S16</f>
        <v/>
      </c>
      <c r="U54" s="355">
        <f>U16-T16</f>
        <v/>
      </c>
      <c r="V54" s="355">
        <f>V16-U16</f>
        <v/>
      </c>
      <c r="W54" s="355">
        <f>W16-V16</f>
        <v/>
      </c>
      <c r="X54" s="355">
        <f>X16-W16</f>
        <v/>
      </c>
      <c r="Y54" s="355">
        <f>Y16-X16</f>
        <v/>
      </c>
      <c r="Z54" s="355">
        <f>Z16-Y16</f>
        <v/>
      </c>
      <c r="AA54" s="355">
        <f>AA16-Z16</f>
        <v/>
      </c>
      <c r="AB54" s="355">
        <f>AB16-AA16</f>
        <v/>
      </c>
      <c r="AC54" s="355">
        <f>AC16-AB16</f>
        <v/>
      </c>
      <c r="AD54" s="355">
        <f>AD16-AC16</f>
        <v/>
      </c>
      <c r="AE54" s="355">
        <f>AE16-AD16</f>
        <v/>
      </c>
      <c r="AF54" s="355">
        <f>AF16-AE16</f>
        <v/>
      </c>
      <c r="AG54" s="355">
        <f>AG16-AF16</f>
        <v/>
      </c>
      <c r="AH54" s="355">
        <f>AH16-AG16</f>
        <v/>
      </c>
      <c r="AI54" s="355">
        <f>AI16-AH16</f>
        <v/>
      </c>
      <c r="AJ54" s="356">
        <f>SUM(E54:AI54)</f>
        <v/>
      </c>
    </row>
    <row r="55">
      <c r="A55" s="541" t="n"/>
      <c r="B55" s="541" t="n"/>
      <c r="C55" s="547" t="inlineStr">
        <is>
          <t>DG</t>
        </is>
      </c>
      <c r="D55" s="501" t="n"/>
      <c r="E55" s="355">
        <f>E17-D17</f>
        <v/>
      </c>
      <c r="F55" s="355">
        <f>F17-E17</f>
        <v/>
      </c>
      <c r="G55" s="355">
        <f>G17-F17</f>
        <v/>
      </c>
      <c r="H55" s="355">
        <f>H17-G17</f>
        <v/>
      </c>
      <c r="I55" s="355">
        <f>I17-H17</f>
        <v/>
      </c>
      <c r="J55" s="355">
        <f>J17-I17</f>
        <v/>
      </c>
      <c r="K55" s="355">
        <f>K17-J17</f>
        <v/>
      </c>
      <c r="L55" s="355">
        <f>L17-K17</f>
        <v/>
      </c>
      <c r="M55" s="355">
        <f>M17-L17</f>
        <v/>
      </c>
      <c r="N55" s="355">
        <f>N17-M17</f>
        <v/>
      </c>
      <c r="O55" s="355">
        <f>O17-N17</f>
        <v/>
      </c>
      <c r="P55" s="355">
        <f>P17-O17</f>
        <v/>
      </c>
      <c r="Q55" s="355">
        <f>Q17-P17</f>
        <v/>
      </c>
      <c r="R55" s="355">
        <f>R17-Q17</f>
        <v/>
      </c>
      <c r="S55" s="355">
        <f>S17-R17</f>
        <v/>
      </c>
      <c r="T55" s="355">
        <f>T17-S17</f>
        <v/>
      </c>
      <c r="U55" s="355">
        <f>U17-T17</f>
        <v/>
      </c>
      <c r="V55" s="355">
        <f>V17-U17</f>
        <v/>
      </c>
      <c r="W55" s="355">
        <f>W17-V17</f>
        <v/>
      </c>
      <c r="X55" s="355">
        <f>X17-W17</f>
        <v/>
      </c>
      <c r="Y55" s="355">
        <f>Y17-X17</f>
        <v/>
      </c>
      <c r="Z55" s="355">
        <f>Z17-Y17</f>
        <v/>
      </c>
      <c r="AA55" s="355">
        <f>AA17-Z17</f>
        <v/>
      </c>
      <c r="AB55" s="355">
        <f>AB17-AA17</f>
        <v/>
      </c>
      <c r="AC55" s="355">
        <f>AC17-AB17</f>
        <v/>
      </c>
      <c r="AD55" s="355">
        <f>AD17-AC17</f>
        <v/>
      </c>
      <c r="AE55" s="355">
        <f>AE17-AD17</f>
        <v/>
      </c>
      <c r="AF55" s="355">
        <f>AF17-AE17</f>
        <v/>
      </c>
      <c r="AG55" s="355">
        <f>AG17-AF17</f>
        <v/>
      </c>
      <c r="AH55" s="355">
        <f>AH17-AG17</f>
        <v/>
      </c>
      <c r="AI55" s="355">
        <f>AI17-AH17</f>
        <v/>
      </c>
      <c r="AJ55" s="356">
        <f>SUM(E55:AI55)</f>
        <v/>
      </c>
    </row>
    <row r="56">
      <c r="A56" s="541" t="n">
        <v>7</v>
      </c>
      <c r="B56" s="541" t="inlineStr">
        <is>
          <t>3F</t>
        </is>
      </c>
      <c r="C56" s="541" t="inlineStr">
        <is>
          <t>SL No 540430038843 (EB Unit)</t>
        </is>
      </c>
      <c r="D56" s="501" t="n"/>
      <c r="E56" s="355">
        <f>E18-D18</f>
        <v/>
      </c>
      <c r="F56" s="355">
        <f>F18-E18</f>
        <v/>
      </c>
      <c r="G56" s="355">
        <f>G18-F18</f>
        <v/>
      </c>
      <c r="H56" s="355">
        <f>H18-G18</f>
        <v/>
      </c>
      <c r="I56" s="355">
        <f>I18-H18</f>
        <v/>
      </c>
      <c r="J56" s="355">
        <f>J18-I18</f>
        <v/>
      </c>
      <c r="K56" s="355">
        <f>K18-J18</f>
        <v/>
      </c>
      <c r="L56" s="355">
        <f>L18-K18</f>
        <v/>
      </c>
      <c r="M56" s="355">
        <f>M18-L18</f>
        <v/>
      </c>
      <c r="N56" s="355">
        <f>N18-M18</f>
        <v/>
      </c>
      <c r="O56" s="355">
        <f>O18-N18</f>
        <v/>
      </c>
      <c r="P56" s="355">
        <f>P18-O18</f>
        <v/>
      </c>
      <c r="Q56" s="355">
        <f>Q18-P18</f>
        <v/>
      </c>
      <c r="R56" s="355">
        <f>R18-Q18</f>
        <v/>
      </c>
      <c r="S56" s="355">
        <f>S18-R18</f>
        <v/>
      </c>
      <c r="T56" s="355">
        <f>T18-S18</f>
        <v/>
      </c>
      <c r="U56" s="355">
        <f>U18-T18</f>
        <v/>
      </c>
      <c r="V56" s="355">
        <f>V18-U18</f>
        <v/>
      </c>
      <c r="W56" s="355">
        <f>W18-V18</f>
        <v/>
      </c>
      <c r="X56" s="355">
        <f>X18-W18</f>
        <v/>
      </c>
      <c r="Y56" s="355">
        <f>Y18-X18</f>
        <v/>
      </c>
      <c r="Z56" s="355">
        <f>Z18-Y18</f>
        <v/>
      </c>
      <c r="AA56" s="355">
        <f>AA18-Z18</f>
        <v/>
      </c>
      <c r="AB56" s="355">
        <f>AB18-AA18</f>
        <v/>
      </c>
      <c r="AC56" s="355">
        <f>AC18-AB18</f>
        <v/>
      </c>
      <c r="AD56" s="355">
        <f>AD18-AC18</f>
        <v/>
      </c>
      <c r="AE56" s="355">
        <f>AE18-AD18</f>
        <v/>
      </c>
      <c r="AF56" s="355">
        <f>AF18-AE18</f>
        <v/>
      </c>
      <c r="AG56" s="355">
        <f>AG18-AF18</f>
        <v/>
      </c>
      <c r="AH56" s="355">
        <f>AH18-AG18</f>
        <v/>
      </c>
      <c r="AI56" s="355">
        <f>AI18-AH18</f>
        <v/>
      </c>
      <c r="AJ56" s="356">
        <f>SUM(E56:AI56)</f>
        <v/>
      </c>
    </row>
    <row r="57">
      <c r="A57" s="541" t="n"/>
      <c r="B57" s="541" t="n"/>
      <c r="C57" s="547" t="inlineStr">
        <is>
          <t>DG</t>
        </is>
      </c>
      <c r="D57" s="501" t="n"/>
      <c r="E57" s="355">
        <f>E19-D19</f>
        <v/>
      </c>
      <c r="F57" s="355">
        <f>F19-E19</f>
        <v/>
      </c>
      <c r="G57" s="355">
        <f>G19-F19</f>
        <v/>
      </c>
      <c r="H57" s="355">
        <f>H19-G19</f>
        <v/>
      </c>
      <c r="I57" s="355">
        <f>I19-H19</f>
        <v/>
      </c>
      <c r="J57" s="355">
        <f>J19-I19</f>
        <v/>
      </c>
      <c r="K57" s="355">
        <f>K19-J19</f>
        <v/>
      </c>
      <c r="L57" s="355">
        <f>L19-K19</f>
        <v/>
      </c>
      <c r="M57" s="355">
        <f>M19-L19</f>
        <v/>
      </c>
      <c r="N57" s="355">
        <f>N19-M19</f>
        <v/>
      </c>
      <c r="O57" s="355">
        <f>O19-N19</f>
        <v/>
      </c>
      <c r="P57" s="355">
        <f>P19-O19</f>
        <v/>
      </c>
      <c r="Q57" s="355">
        <f>Q19-P19</f>
        <v/>
      </c>
      <c r="R57" s="355">
        <f>R19-Q19</f>
        <v/>
      </c>
      <c r="S57" s="355">
        <f>S19-R19</f>
        <v/>
      </c>
      <c r="T57" s="355">
        <f>T19-S19</f>
        <v/>
      </c>
      <c r="U57" s="355">
        <f>U19-T19</f>
        <v/>
      </c>
      <c r="V57" s="355">
        <f>V19-U19</f>
        <v/>
      </c>
      <c r="W57" s="355">
        <f>W19-V19</f>
        <v/>
      </c>
      <c r="X57" s="355">
        <f>X19-W19</f>
        <v/>
      </c>
      <c r="Y57" s="355">
        <f>Y19-X19</f>
        <v/>
      </c>
      <c r="Z57" s="355">
        <f>Z19-Y19</f>
        <v/>
      </c>
      <c r="AA57" s="355">
        <f>AA19-Z19</f>
        <v/>
      </c>
      <c r="AB57" s="355">
        <f>AB19-AA19</f>
        <v/>
      </c>
      <c r="AC57" s="355">
        <f>AC19-AB19</f>
        <v/>
      </c>
      <c r="AD57" s="355">
        <f>AD19-AC19</f>
        <v/>
      </c>
      <c r="AE57" s="355">
        <f>AE19-AD19</f>
        <v/>
      </c>
      <c r="AF57" s="355">
        <f>AF19-AE19</f>
        <v/>
      </c>
      <c r="AG57" s="355">
        <f>AG19-AF19</f>
        <v/>
      </c>
      <c r="AH57" s="355">
        <f>AH19-AG19</f>
        <v/>
      </c>
      <c r="AI57" s="355">
        <f>AI19-AH19</f>
        <v/>
      </c>
      <c r="AJ57" s="356">
        <f>SUM(E57:AI57)</f>
        <v/>
      </c>
    </row>
    <row r="58">
      <c r="A58" s="541" t="n">
        <v>8</v>
      </c>
      <c r="B58" s="541" t="inlineStr">
        <is>
          <t>3F</t>
        </is>
      </c>
      <c r="C58" s="541" t="inlineStr">
        <is>
          <t>SL No 540430038848 (EB Unit)</t>
        </is>
      </c>
      <c r="D58" s="501" t="n"/>
      <c r="E58" s="355">
        <f>E20-D20</f>
        <v/>
      </c>
      <c r="F58" s="355">
        <f>F20-E20</f>
        <v/>
      </c>
      <c r="G58" s="355">
        <f>G20-F20</f>
        <v/>
      </c>
      <c r="H58" s="355">
        <f>H20-G20</f>
        <v/>
      </c>
      <c r="I58" s="355">
        <f>I20-H20</f>
        <v/>
      </c>
      <c r="J58" s="355">
        <f>J20-I20</f>
        <v/>
      </c>
      <c r="K58" s="355">
        <f>K20-J20</f>
        <v/>
      </c>
      <c r="L58" s="355">
        <f>L20-K20</f>
        <v/>
      </c>
      <c r="M58" s="355">
        <f>M20-L20</f>
        <v/>
      </c>
      <c r="N58" s="355">
        <f>N20-M20</f>
        <v/>
      </c>
      <c r="O58" s="355">
        <f>O20-N20</f>
        <v/>
      </c>
      <c r="P58" s="355">
        <f>P20-O20</f>
        <v/>
      </c>
      <c r="Q58" s="355">
        <f>Q20-P20</f>
        <v/>
      </c>
      <c r="R58" s="355">
        <f>R20-Q20</f>
        <v/>
      </c>
      <c r="S58" s="355">
        <f>S20-R20</f>
        <v/>
      </c>
      <c r="T58" s="355">
        <f>T20-S20</f>
        <v/>
      </c>
      <c r="U58" s="355">
        <f>U20-T20</f>
        <v/>
      </c>
      <c r="V58" s="355">
        <f>V20-U20</f>
        <v/>
      </c>
      <c r="W58" s="355">
        <f>W20-V20</f>
        <v/>
      </c>
      <c r="X58" s="355">
        <f>X20-W20</f>
        <v/>
      </c>
      <c r="Y58" s="355">
        <f>Y20-X20</f>
        <v/>
      </c>
      <c r="Z58" s="355">
        <f>Z20-Y20</f>
        <v/>
      </c>
      <c r="AA58" s="355">
        <f>AA20-Z20</f>
        <v/>
      </c>
      <c r="AB58" s="355">
        <f>AB20-AA20</f>
        <v/>
      </c>
      <c r="AC58" s="355">
        <f>AC20-AB20</f>
        <v/>
      </c>
      <c r="AD58" s="355">
        <f>AD20-AC20</f>
        <v/>
      </c>
      <c r="AE58" s="355">
        <f>AE20-AD20</f>
        <v/>
      </c>
      <c r="AF58" s="355">
        <f>AF20-AE20</f>
        <v/>
      </c>
      <c r="AG58" s="355">
        <f>AG20-AF20</f>
        <v/>
      </c>
      <c r="AH58" s="355">
        <f>AH20-AG20</f>
        <v/>
      </c>
      <c r="AI58" s="355">
        <f>AI20-AH20</f>
        <v/>
      </c>
      <c r="AJ58" s="356">
        <f>SUM(E58:AI58)</f>
        <v/>
      </c>
    </row>
    <row r="59" ht="12.75" customHeight="1" s="488">
      <c r="A59" s="541" t="n"/>
      <c r="B59" s="541" t="n"/>
      <c r="C59" s="547" t="inlineStr">
        <is>
          <t>DG</t>
        </is>
      </c>
      <c r="D59" s="501" t="n"/>
      <c r="E59" s="355">
        <f>E21-D21</f>
        <v/>
      </c>
      <c r="F59" s="355">
        <f>F21-E21</f>
        <v/>
      </c>
      <c r="G59" s="355">
        <f>G21-F21</f>
        <v/>
      </c>
      <c r="H59" s="355">
        <f>H21-G21</f>
        <v/>
      </c>
      <c r="I59" s="355">
        <f>I21-H21</f>
        <v/>
      </c>
      <c r="J59" s="355">
        <f>J21-I21</f>
        <v/>
      </c>
      <c r="K59" s="355">
        <f>K21-J21</f>
        <v/>
      </c>
      <c r="L59" s="355">
        <f>L21-K21</f>
        <v/>
      </c>
      <c r="M59" s="355">
        <f>M21-L21</f>
        <v/>
      </c>
      <c r="N59" s="355">
        <f>N21-M21</f>
        <v/>
      </c>
      <c r="O59" s="355">
        <f>O21-N21</f>
        <v/>
      </c>
      <c r="P59" s="355">
        <f>P21-O21</f>
        <v/>
      </c>
      <c r="Q59" s="355">
        <f>Q21-P21</f>
        <v/>
      </c>
      <c r="R59" s="355">
        <f>R21-Q21</f>
        <v/>
      </c>
      <c r="S59" s="355">
        <f>S21-R21</f>
        <v/>
      </c>
      <c r="T59" s="355">
        <f>T21-S21</f>
        <v/>
      </c>
      <c r="U59" s="355">
        <f>U21-T21</f>
        <v/>
      </c>
      <c r="V59" s="355">
        <f>V21-U21</f>
        <v/>
      </c>
      <c r="W59" s="355">
        <f>W21-V21</f>
        <v/>
      </c>
      <c r="X59" s="355">
        <f>X21-W21</f>
        <v/>
      </c>
      <c r="Y59" s="355">
        <f>Y21-X21</f>
        <v/>
      </c>
      <c r="Z59" s="355">
        <f>Z21-Y21</f>
        <v/>
      </c>
      <c r="AA59" s="355">
        <f>AA21-Z21</f>
        <v/>
      </c>
      <c r="AB59" s="355">
        <f>AB21-AA21</f>
        <v/>
      </c>
      <c r="AC59" s="355">
        <f>AC21-AB21</f>
        <v/>
      </c>
      <c r="AD59" s="355">
        <f>AD21-AC21</f>
        <v/>
      </c>
      <c r="AE59" s="355">
        <f>AE21-AD21</f>
        <v/>
      </c>
      <c r="AF59" s="355">
        <f>AF21-AE21</f>
        <v/>
      </c>
      <c r="AG59" s="355">
        <f>AG21-AF21</f>
        <v/>
      </c>
      <c r="AH59" s="355">
        <f>AH21-AG21</f>
        <v/>
      </c>
      <c r="AI59" s="355">
        <f>AI21-AH21</f>
        <v/>
      </c>
      <c r="AJ59" s="356">
        <f>SUM(E59:AI59)</f>
        <v/>
      </c>
    </row>
    <row r="60">
      <c r="A60" s="357" t="n"/>
      <c r="B60" s="357" t="n"/>
      <c r="C60" s="553" t="inlineStr">
        <is>
          <t>Total Power - EB Unit</t>
        </is>
      </c>
      <c r="D60" s="501" t="n"/>
      <c r="E60" s="358">
        <f>SUM(E58,E56,E54,E52,E50,E48,E46,E44)</f>
        <v/>
      </c>
      <c r="F60" s="358">
        <f>SUM(F58,F56,F54,F52,F50,F48,F46,F44)</f>
        <v/>
      </c>
      <c r="G60" s="358">
        <f>SUM(G58,G56,G54,G52,G50,G48,G46,G44)</f>
        <v/>
      </c>
      <c r="H60" s="358">
        <f>SUM(H58,H56,H54,H52,H50,H48,H46,H44)</f>
        <v/>
      </c>
      <c r="I60" s="358">
        <f>SUM(I58,I56,I54,I52,I50,I48,I46,I44)</f>
        <v/>
      </c>
      <c r="J60" s="358">
        <f>SUM(J58,J56,J54,J52,J50,J48,J46,J44)</f>
        <v/>
      </c>
      <c r="K60" s="358">
        <f>SUM(K58,K56,K54,K52,K50,K48,K46,K44)</f>
        <v/>
      </c>
      <c r="L60" s="358">
        <f>SUM(L58,L56,L54,L52,L50,L48,L46,L44)</f>
        <v/>
      </c>
      <c r="M60" s="358">
        <f>SUM(M58,M56,M54,M52,M50,M48,M46,M44)</f>
        <v/>
      </c>
      <c r="N60" s="358">
        <f>SUM(N58,N56,N54,N52,N50,N48,N46,N44)</f>
        <v/>
      </c>
      <c r="O60" s="358">
        <f>SUM(O58,O56,O54,O52,O50,O48,O46,O44)</f>
        <v/>
      </c>
      <c r="P60" s="358">
        <f>SUM(P58,P56,P54,P52,P50,P48,P46,P44)</f>
        <v/>
      </c>
      <c r="Q60" s="358">
        <f>SUM(Q58,Q56,Q54,Q52,Q50,Q48,Q46,Q44)</f>
        <v/>
      </c>
      <c r="R60" s="358">
        <f>SUM(R58,R56,R54,R52,R50,R48,R46,R44)</f>
        <v/>
      </c>
      <c r="S60" s="358">
        <f>SUM(S58,S56,S54,S52,S50,S48,S46,S44)</f>
        <v/>
      </c>
      <c r="T60" s="358">
        <f>SUM(T58,T56,T54,T52,T50,T48,T46,T44)</f>
        <v/>
      </c>
      <c r="U60" s="358">
        <f>SUM(U58,U56,U54,U52,U50,U48,U46,U44)</f>
        <v/>
      </c>
      <c r="V60" s="358">
        <f>SUM(V58,V56,V54,V52,V50,V48,V46,V44)</f>
        <v/>
      </c>
      <c r="W60" s="358">
        <f>SUM(W58,W56,W54,W52,W50,W48,W46,W44)</f>
        <v/>
      </c>
      <c r="X60" s="358">
        <f>SUM(X58,X56,X54,X52,X50,X48,X46,X44)</f>
        <v/>
      </c>
      <c r="Y60" s="358">
        <f>SUM(Y58,Y56,Y54,Y52,Y50,Y48,Y46,Y44)</f>
        <v/>
      </c>
      <c r="Z60" s="358">
        <f>SUM(Z58,Z56,Z54,Z52,Z50,Z48,Z46,Z44)</f>
        <v/>
      </c>
      <c r="AA60" s="358">
        <f>SUM(AA58,AA56,AA54,AA52,AA50,AA48,AA46,AA44)</f>
        <v/>
      </c>
      <c r="AB60" s="358">
        <f>SUM(AB58,AB56,AB54,AB52,AB50,AB48,AB46,AB44)</f>
        <v/>
      </c>
      <c r="AC60" s="358">
        <f>SUM(AC58,AC56,AC54,AC52,AC50,AC48,AC46,AC44)</f>
        <v/>
      </c>
      <c r="AD60" s="358">
        <f>SUM(AD58,AD56,AD54,AD52,AD50,AD48,AD46,AD44)</f>
        <v/>
      </c>
      <c r="AE60" s="358">
        <f>SUM(AE58,AE56,AE54,AE52,AE50,AE48,AE46,AE44)</f>
        <v/>
      </c>
      <c r="AF60" s="358">
        <f>SUM(AF58,AF56,AF54,AF52,AF50,AF48,AF46,AF44)</f>
        <v/>
      </c>
      <c r="AG60" s="358">
        <f>SUM(AG58,AG56,AG54,AG52,AG50,AG48,AG46,AG44)</f>
        <v/>
      </c>
      <c r="AH60" s="358">
        <f>SUM(AH58,AH56,AH54,AH52,AH50,AH48,AH46,AH44)</f>
        <v/>
      </c>
      <c r="AI60" s="358">
        <f>SUM(AI58,AI56,AI54,AI52,AI50,AI48,AI46,AI44)</f>
        <v/>
      </c>
      <c r="AJ60" s="359">
        <f>SUM(E60:AI60)</f>
        <v/>
      </c>
    </row>
    <row r="61" ht="16.5" customHeight="1" s="488">
      <c r="A61" s="357" t="n"/>
      <c r="B61" s="357" t="n"/>
      <c r="C61" s="360" t="inlineStr">
        <is>
          <t>Total Power- DG</t>
        </is>
      </c>
      <c r="D61" s="361" t="n"/>
      <c r="E61" s="358">
        <f>SUM(E45,E47,E49,E51,E53,E55,E57,E59)</f>
        <v/>
      </c>
      <c r="F61" s="358">
        <f>SUM(F45,F47,F49,F51,F53,F55,F57,F59)</f>
        <v/>
      </c>
      <c r="G61" s="358">
        <f>SUM(G45,G47,G49,G51,G53,G55,G57,G59)</f>
        <v/>
      </c>
      <c r="H61" s="358">
        <f>SUM(H45,H47,H49,H51,H53,H55,H57,H59)</f>
        <v/>
      </c>
      <c r="I61" s="358">
        <f>SUM(I45,I47,I49,I51,I53,I55,I57,I59)</f>
        <v/>
      </c>
      <c r="J61" s="358">
        <f>SUM(J45,J47,J49,J51,J53,J55,J57,J59)</f>
        <v/>
      </c>
      <c r="K61" s="358">
        <f>SUM(K45,K47,K49,K51,K53,K55,K57,K59)</f>
        <v/>
      </c>
      <c r="L61" s="358">
        <f>SUM(L45,L47,L49,L51,L53,L55,L57,L59)</f>
        <v/>
      </c>
      <c r="M61" s="358">
        <f>SUM(M45,M47,M49,M51,M53,M55,M57,M59)</f>
        <v/>
      </c>
      <c r="N61" s="358">
        <f>SUM(N45,N47,N49,N51,N53,N55,N57,N59)</f>
        <v/>
      </c>
      <c r="O61" s="358">
        <f>SUM(O45,O47,O49,O51,O53,O55,O57,O59)</f>
        <v/>
      </c>
      <c r="P61" s="358">
        <f>SUM(P45,P47,P49,P51,P53,P55,P57,P59)</f>
        <v/>
      </c>
      <c r="Q61" s="358">
        <f>SUM(Q45,Q47,Q49,Q51,Q53,Q55,Q57,Q59)</f>
        <v/>
      </c>
      <c r="R61" s="358">
        <f>SUM(R45,R47,R49,R51,R53,R55,R57,R59)</f>
        <v/>
      </c>
      <c r="S61" s="358">
        <f>SUM(S45,S47,S49,S51,S53,S55,S57,S59)</f>
        <v/>
      </c>
      <c r="T61" s="358">
        <f>SUM(T45,T47,T49,T51,T53,T55,T57,T59)</f>
        <v/>
      </c>
      <c r="U61" s="358">
        <f>SUM(U45,U47,U49,U51,U53,U55,U57,U59)</f>
        <v/>
      </c>
      <c r="V61" s="358">
        <f>SUM(V45,V47,V49,V51,V53,V55,V57,V59)</f>
        <v/>
      </c>
      <c r="W61" s="358">
        <f>SUM(W45,W47,W49,W51,W53,W55,W57,W59)</f>
        <v/>
      </c>
      <c r="X61" s="358">
        <f>SUM(X45,X47,X49,X51,X53,X55,X57,X59)</f>
        <v/>
      </c>
      <c r="Y61" s="358">
        <f>SUM(Y45,Y47,Y49,Y51,Y53,Y55,Y57,Y59)</f>
        <v/>
      </c>
      <c r="Z61" s="358">
        <f>SUM(Z45,Z47,Z49,Z51,Z53,Z55,Z57,Z59)</f>
        <v/>
      </c>
      <c r="AA61" s="358">
        <f>SUM(AA45,AA47,AA49,AA51,AA53,AA55,AA57,AA59)</f>
        <v/>
      </c>
      <c r="AB61" s="358">
        <f>SUM(AB45,AB47,AB49,AB51,AB53,AB55,AB57,AB59)</f>
        <v/>
      </c>
      <c r="AC61" s="358">
        <f>SUM(AC45,AC47,AC49,AC51,AC53,AC55,AC57,AC59)</f>
        <v/>
      </c>
      <c r="AD61" s="358">
        <f>SUM(AD45,AD47,AD49,AD51,AD53,AD55,AD57,AD59)</f>
        <v/>
      </c>
      <c r="AE61" s="358">
        <f>SUM(AE45,AE47,AE49,AE51,AE53,AE55,AE57,AE59)</f>
        <v/>
      </c>
      <c r="AF61" s="358">
        <f>SUM(AF45,AF47,AF49,AF51,AF53,AF55,AF57,AF59)</f>
        <v/>
      </c>
      <c r="AG61" s="358">
        <f>SUM(AG45,AG47,AG49,AG51,AG53,AG55,AG57,AG59)</f>
        <v/>
      </c>
      <c r="AH61" s="358">
        <f>SUM(AH45,AH47,AH49,AH51,AH53,AH55,AH57,AH59)</f>
        <v/>
      </c>
      <c r="AI61" s="358">
        <f>SUM(AI45,AI47,AI49,AI51,AI53,AI55,AI57,AI59)</f>
        <v/>
      </c>
      <c r="AJ61" s="359">
        <f>SUM(E61:AI61)</f>
        <v/>
      </c>
    </row>
    <row r="62">
      <c r="A62" s="555" t="n"/>
      <c r="B62" s="555" t="n"/>
      <c r="C62" s="545" t="inlineStr">
        <is>
          <t>Total Power Cumulative</t>
        </is>
      </c>
      <c r="D62" s="501" t="n"/>
      <c r="E62" s="363">
        <f>E60</f>
        <v/>
      </c>
      <c r="F62" s="363">
        <f>F60</f>
        <v/>
      </c>
      <c r="G62" s="363">
        <f>G60</f>
        <v/>
      </c>
      <c r="H62" s="363">
        <f>H60</f>
        <v/>
      </c>
      <c r="I62" s="363">
        <f>I60</f>
        <v/>
      </c>
      <c r="J62" s="363">
        <f>J60</f>
        <v/>
      </c>
      <c r="K62" s="363">
        <f>K60</f>
        <v/>
      </c>
      <c r="L62" s="363">
        <f>L60</f>
        <v/>
      </c>
      <c r="M62" s="363">
        <f>M60</f>
        <v/>
      </c>
      <c r="N62" s="363">
        <f>N60</f>
        <v/>
      </c>
      <c r="O62" s="363">
        <f>O60</f>
        <v/>
      </c>
      <c r="P62" s="363">
        <f>P60</f>
        <v/>
      </c>
      <c r="Q62" s="363">
        <f>Q60</f>
        <v/>
      </c>
      <c r="R62" s="363">
        <f>R60</f>
        <v/>
      </c>
      <c r="S62" s="363">
        <f>S60</f>
        <v/>
      </c>
      <c r="T62" s="363">
        <f>T60</f>
        <v/>
      </c>
      <c r="U62" s="363">
        <f>U60</f>
        <v/>
      </c>
      <c r="V62" s="363">
        <f>V60</f>
        <v/>
      </c>
      <c r="W62" s="363">
        <f>W60</f>
        <v/>
      </c>
      <c r="X62" s="363">
        <f>X60</f>
        <v/>
      </c>
      <c r="Y62" s="363">
        <f>Y60</f>
        <v/>
      </c>
      <c r="Z62" s="363">
        <f>Z60</f>
        <v/>
      </c>
      <c r="AA62" s="363">
        <f>AA60</f>
        <v/>
      </c>
      <c r="AB62" s="363">
        <f>AB60</f>
        <v/>
      </c>
      <c r="AC62" s="363">
        <f>AC60</f>
        <v/>
      </c>
      <c r="AD62" s="363">
        <f>AD60</f>
        <v/>
      </c>
      <c r="AE62" s="363">
        <f>AE60</f>
        <v/>
      </c>
      <c r="AF62" s="363">
        <f>AF60</f>
        <v/>
      </c>
      <c r="AG62" s="363">
        <f>AG60</f>
        <v/>
      </c>
      <c r="AH62" s="363">
        <f>AH60</f>
        <v/>
      </c>
      <c r="AI62" s="363">
        <f>AI60</f>
        <v/>
      </c>
      <c r="AJ62" s="363">
        <f>AJ60</f>
        <v/>
      </c>
    </row>
    <row r="63">
      <c r="A63" s="351" t="n"/>
      <c r="B63" s="560" t="n"/>
      <c r="C63" s="365" t="n"/>
      <c r="D63" s="366" t="n"/>
      <c r="E63" s="351" t="n"/>
      <c r="F63" s="351" t="n"/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  <c r="AJ63" s="351" t="n"/>
    </row>
    <row r="64">
      <c r="A64" s="367" t="inlineStr">
        <is>
          <t>S No</t>
        </is>
      </c>
      <c r="B64" s="367" t="inlineStr">
        <is>
          <t>Location</t>
        </is>
      </c>
      <c r="C64" s="552" t="inlineStr">
        <is>
          <t>Meter</t>
        </is>
      </c>
      <c r="D64" s="501" t="n"/>
      <c r="E64" s="367" t="n"/>
      <c r="F64" s="367" t="n"/>
      <c r="G64" s="367" t="n"/>
      <c r="H64" s="367" t="n"/>
      <c r="I64" s="367" t="n"/>
      <c r="J64" s="367" t="n"/>
      <c r="K64" s="367" t="n"/>
      <c r="L64" s="367" t="n"/>
      <c r="M64" s="367" t="n"/>
      <c r="N64" s="367" t="n"/>
      <c r="O64" s="367" t="n"/>
      <c r="P64" s="367" t="n"/>
      <c r="Q64" s="367" t="n"/>
      <c r="R64" s="367" t="n"/>
      <c r="S64" s="367" t="n"/>
      <c r="T64" s="367" t="n"/>
      <c r="U64" s="367" t="n"/>
      <c r="V64" s="367" t="n"/>
      <c r="W64" s="367" t="n"/>
      <c r="X64" s="367" t="n"/>
      <c r="Y64" s="367" t="n"/>
      <c r="Z64" s="367" t="n"/>
      <c r="AA64" s="367" t="n"/>
      <c r="AB64" s="367" t="n"/>
      <c r="AC64" s="367" t="n"/>
      <c r="AD64" s="367" t="n"/>
      <c r="AE64" s="367" t="n"/>
      <c r="AF64" s="367" t="n"/>
      <c r="AG64" s="367" t="n"/>
      <c r="AH64" s="367" t="n"/>
      <c r="AI64" s="367" t="n"/>
      <c r="AJ64" s="368" t="n"/>
    </row>
    <row r="65">
      <c r="A65" s="541" t="n">
        <v>1</v>
      </c>
      <c r="B65" s="541" t="inlineStr">
        <is>
          <t>3F</t>
        </is>
      </c>
      <c r="C65" s="558" t="inlineStr">
        <is>
          <t>AHU1</t>
        </is>
      </c>
      <c r="D65" s="501" t="n"/>
      <c r="E65" s="363">
        <f>E23-D23</f>
        <v/>
      </c>
      <c r="F65" s="363">
        <f>F23-E23</f>
        <v/>
      </c>
      <c r="G65" s="363">
        <f>G23-F23</f>
        <v/>
      </c>
      <c r="H65" s="363">
        <f>H23-G23</f>
        <v/>
      </c>
      <c r="I65" s="363">
        <f>I23-H23</f>
        <v/>
      </c>
      <c r="J65" s="363">
        <f>J23-I23</f>
        <v/>
      </c>
      <c r="K65" s="363">
        <f>K23-J23</f>
        <v/>
      </c>
      <c r="L65" s="363">
        <f>L23-K23</f>
        <v/>
      </c>
      <c r="M65" s="363">
        <f>M23-L23</f>
        <v/>
      </c>
      <c r="N65" s="363">
        <f>N23-M23</f>
        <v/>
      </c>
      <c r="O65" s="363">
        <f>O23-N23</f>
        <v/>
      </c>
      <c r="P65" s="363">
        <f>P23-O23</f>
        <v/>
      </c>
      <c r="Q65" s="363">
        <f>Q23-P23</f>
        <v/>
      </c>
      <c r="R65" s="363">
        <f>R23-Q23</f>
        <v/>
      </c>
      <c r="S65" s="363">
        <f>S23-R23</f>
        <v/>
      </c>
      <c r="T65" s="363">
        <f>T23-S23</f>
        <v/>
      </c>
      <c r="U65" s="363">
        <f>U23-T23</f>
        <v/>
      </c>
      <c r="V65" s="363">
        <f>V23-U23</f>
        <v/>
      </c>
      <c r="W65" s="363">
        <f>W23-V23</f>
        <v/>
      </c>
      <c r="X65" s="363">
        <f>X23-W23</f>
        <v/>
      </c>
      <c r="Y65" s="363">
        <f>Y23-X23</f>
        <v/>
      </c>
      <c r="Z65" s="363">
        <f>Z23-Y23</f>
        <v/>
      </c>
      <c r="AA65" s="363">
        <f>AA23-Z23</f>
        <v/>
      </c>
      <c r="AB65" s="363">
        <f>AB23-AA23</f>
        <v/>
      </c>
      <c r="AC65" s="363">
        <f>AC23-AB23</f>
        <v/>
      </c>
      <c r="AD65" s="363">
        <f>AD23-AC23</f>
        <v/>
      </c>
      <c r="AE65" s="363">
        <f>AE23-AD23</f>
        <v/>
      </c>
      <c r="AF65" s="363">
        <f>AF23-AE23</f>
        <v/>
      </c>
      <c r="AG65" s="363">
        <f>AG23-AF23</f>
        <v/>
      </c>
      <c r="AH65" s="363">
        <f>AH23-AG23</f>
        <v/>
      </c>
      <c r="AI65" s="363">
        <f>AI23-AH23</f>
        <v/>
      </c>
      <c r="AJ65" s="356">
        <f>SUM(E65:AI65)</f>
        <v/>
      </c>
    </row>
    <row r="66">
      <c r="A66" s="541" t="n"/>
      <c r="B66" s="541" t="n"/>
      <c r="C66" s="546" t="inlineStr">
        <is>
          <t>DG</t>
        </is>
      </c>
      <c r="D66" s="501" t="n"/>
      <c r="E66" s="363">
        <f>E24-D24</f>
        <v/>
      </c>
      <c r="F66" s="363">
        <f>F24-E24</f>
        <v/>
      </c>
      <c r="G66" s="363">
        <f>G24-F24</f>
        <v/>
      </c>
      <c r="H66" s="363">
        <f>H24-G24</f>
        <v/>
      </c>
      <c r="I66" s="363">
        <f>I24-H24</f>
        <v/>
      </c>
      <c r="J66" s="363">
        <f>J24-I24</f>
        <v/>
      </c>
      <c r="K66" s="363">
        <f>K24-J24</f>
        <v/>
      </c>
      <c r="L66" s="363">
        <f>L24-K24</f>
        <v/>
      </c>
      <c r="M66" s="363">
        <f>M24-L24</f>
        <v/>
      </c>
      <c r="N66" s="363">
        <f>N24-M24</f>
        <v/>
      </c>
      <c r="O66" s="363">
        <f>O24-N24</f>
        <v/>
      </c>
      <c r="P66" s="363">
        <f>P24-O24</f>
        <v/>
      </c>
      <c r="Q66" s="363">
        <f>Q24-P24</f>
        <v/>
      </c>
      <c r="R66" s="363">
        <f>R24-Q24</f>
        <v/>
      </c>
      <c r="S66" s="363">
        <f>S24-R24</f>
        <v/>
      </c>
      <c r="T66" s="363">
        <f>T24-S24</f>
        <v/>
      </c>
      <c r="U66" s="363">
        <f>U24-T24</f>
        <v/>
      </c>
      <c r="V66" s="363">
        <f>V24-U24</f>
        <v/>
      </c>
      <c r="W66" s="363">
        <f>W24-V24</f>
        <v/>
      </c>
      <c r="X66" s="363">
        <f>X24-W24</f>
        <v/>
      </c>
      <c r="Y66" s="363">
        <f>Y24-X24</f>
        <v/>
      </c>
      <c r="Z66" s="363">
        <f>Z24-Y24</f>
        <v/>
      </c>
      <c r="AA66" s="363">
        <f>AA24-Z24</f>
        <v/>
      </c>
      <c r="AB66" s="363">
        <f>AB24-AA24</f>
        <v/>
      </c>
      <c r="AC66" s="363">
        <f>AC24-AB24</f>
        <v/>
      </c>
      <c r="AD66" s="363">
        <f>AD24-AC24</f>
        <v/>
      </c>
      <c r="AE66" s="363">
        <f>AE24-AD24</f>
        <v/>
      </c>
      <c r="AF66" s="363">
        <f>AF24-AE24</f>
        <v/>
      </c>
      <c r="AG66" s="363">
        <f>AG24-AF24</f>
        <v/>
      </c>
      <c r="AH66" s="363">
        <f>AH24-AG24</f>
        <v/>
      </c>
      <c r="AI66" s="363">
        <f>AI24-AH24</f>
        <v/>
      </c>
      <c r="AJ66" s="356">
        <f>SUM(H66:AH66)</f>
        <v/>
      </c>
    </row>
    <row r="67">
      <c r="A67" s="541" t="n">
        <v>2</v>
      </c>
      <c r="B67" s="541" t="inlineStr">
        <is>
          <t>3F</t>
        </is>
      </c>
      <c r="C67" s="558" t="inlineStr">
        <is>
          <t>AHU2</t>
        </is>
      </c>
      <c r="D67" s="501" t="n"/>
      <c r="E67" s="363">
        <f>E25-D25</f>
        <v/>
      </c>
      <c r="F67" s="363">
        <f>F25-E25</f>
        <v/>
      </c>
      <c r="G67" s="363">
        <f>G25-F25</f>
        <v/>
      </c>
      <c r="H67" s="363">
        <f>H25-G25</f>
        <v/>
      </c>
      <c r="I67" s="363">
        <f>I25-H25</f>
        <v/>
      </c>
      <c r="J67" s="363">
        <f>J25-I25</f>
        <v/>
      </c>
      <c r="K67" s="363">
        <f>K25-J25</f>
        <v/>
      </c>
      <c r="L67" s="363">
        <f>L25-K25</f>
        <v/>
      </c>
      <c r="M67" s="363">
        <f>M25-L25</f>
        <v/>
      </c>
      <c r="N67" s="363">
        <f>N25-M25</f>
        <v/>
      </c>
      <c r="O67" s="363">
        <f>O25-N25</f>
        <v/>
      </c>
      <c r="P67" s="363">
        <f>P25-O25</f>
        <v/>
      </c>
      <c r="Q67" s="363">
        <f>Q25-P25</f>
        <v/>
      </c>
      <c r="R67" s="363">
        <f>R25-Q25</f>
        <v/>
      </c>
      <c r="S67" s="363">
        <f>S25-R25</f>
        <v/>
      </c>
      <c r="T67" s="363">
        <f>T25-S25</f>
        <v/>
      </c>
      <c r="U67" s="363">
        <f>U25-T25</f>
        <v/>
      </c>
      <c r="V67" s="363">
        <f>V25-U25</f>
        <v/>
      </c>
      <c r="W67" s="363">
        <f>W25-V25</f>
        <v/>
      </c>
      <c r="X67" s="363">
        <f>X25-W25</f>
        <v/>
      </c>
      <c r="Y67" s="363">
        <f>Y25-X25</f>
        <v/>
      </c>
      <c r="Z67" s="363">
        <f>Z25-Y25</f>
        <v/>
      </c>
      <c r="AA67" s="363">
        <f>AA25-Z25</f>
        <v/>
      </c>
      <c r="AB67" s="363">
        <f>AB25-AA25</f>
        <v/>
      </c>
      <c r="AC67" s="363">
        <f>AC25-AB25</f>
        <v/>
      </c>
      <c r="AD67" s="363">
        <f>AD25-AC25</f>
        <v/>
      </c>
      <c r="AE67" s="363">
        <f>AE25-AD25</f>
        <v/>
      </c>
      <c r="AF67" s="363">
        <f>AF25-AE25</f>
        <v/>
      </c>
      <c r="AG67" s="363">
        <f>AG25-AF25</f>
        <v/>
      </c>
      <c r="AH67" s="363">
        <f>AH25-AG25</f>
        <v/>
      </c>
      <c r="AI67" s="363">
        <f>AI25-AH25</f>
        <v/>
      </c>
      <c r="AJ67" s="356">
        <f>SUM(H67:AH67)</f>
        <v/>
      </c>
    </row>
    <row r="68">
      <c r="A68" s="541" t="n"/>
      <c r="B68" s="541" t="n"/>
      <c r="C68" s="546" t="inlineStr">
        <is>
          <t>DG</t>
        </is>
      </c>
      <c r="D68" s="501" t="n"/>
      <c r="E68" s="363">
        <f>E26-D26</f>
        <v/>
      </c>
      <c r="F68" s="363">
        <f>F26-E26</f>
        <v/>
      </c>
      <c r="G68" s="363">
        <f>G26-F26</f>
        <v/>
      </c>
      <c r="H68" s="363">
        <f>H26-G26</f>
        <v/>
      </c>
      <c r="I68" s="363">
        <f>I26-H26</f>
        <v/>
      </c>
      <c r="J68" s="363">
        <f>J26-I26</f>
        <v/>
      </c>
      <c r="K68" s="363">
        <f>K26-J26</f>
        <v/>
      </c>
      <c r="L68" s="363">
        <f>L26-K26</f>
        <v/>
      </c>
      <c r="M68" s="363">
        <f>M26-L26</f>
        <v/>
      </c>
      <c r="N68" s="363">
        <f>N26-M26</f>
        <v/>
      </c>
      <c r="O68" s="363">
        <f>O26-N26</f>
        <v/>
      </c>
      <c r="P68" s="363">
        <f>P26-O26</f>
        <v/>
      </c>
      <c r="Q68" s="363">
        <f>Q26-P26</f>
        <v/>
      </c>
      <c r="R68" s="363">
        <f>R26-Q26</f>
        <v/>
      </c>
      <c r="S68" s="363">
        <f>S26-R26</f>
        <v/>
      </c>
      <c r="T68" s="363">
        <f>T26-S26</f>
        <v/>
      </c>
      <c r="U68" s="363">
        <f>U26-T26</f>
        <v/>
      </c>
      <c r="V68" s="363">
        <f>V26-U26</f>
        <v/>
      </c>
      <c r="W68" s="363">
        <f>W26-V26</f>
        <v/>
      </c>
      <c r="X68" s="363">
        <f>X26-W26</f>
        <v/>
      </c>
      <c r="Y68" s="363">
        <f>Y26-X26</f>
        <v/>
      </c>
      <c r="Z68" s="363">
        <f>Z26-Y26</f>
        <v/>
      </c>
      <c r="AA68" s="363">
        <f>AA26-Z26</f>
        <v/>
      </c>
      <c r="AB68" s="363">
        <f>AB26-AA26</f>
        <v/>
      </c>
      <c r="AC68" s="363">
        <f>AC26-AB26</f>
        <v/>
      </c>
      <c r="AD68" s="363">
        <f>AD26-AC26</f>
        <v/>
      </c>
      <c r="AE68" s="363">
        <f>AE26-AD26</f>
        <v/>
      </c>
      <c r="AF68" s="363">
        <f>AF26-AE26</f>
        <v/>
      </c>
      <c r="AG68" s="363">
        <f>AG26-AF26</f>
        <v/>
      </c>
      <c r="AH68" s="363">
        <f>AH26-AG26</f>
        <v/>
      </c>
      <c r="AI68" s="363">
        <f>AI26-AH26</f>
        <v/>
      </c>
      <c r="AJ68" s="356">
        <f>SUM(H68:AH68)</f>
        <v/>
      </c>
      <c r="AK68" s="115" t="inlineStr">
        <is>
          <t>EB</t>
        </is>
      </c>
      <c r="AL68" s="116">
        <f>AJ60</f>
        <v/>
      </c>
    </row>
    <row r="69">
      <c r="A69" s="541" t="n">
        <v>3</v>
      </c>
      <c r="B69" s="541" t="inlineStr">
        <is>
          <t>3F</t>
        </is>
      </c>
      <c r="C69" s="558" t="inlineStr">
        <is>
          <t>AHU3</t>
        </is>
      </c>
      <c r="D69" s="501" t="n"/>
      <c r="E69" s="363">
        <f>E27-D27</f>
        <v/>
      </c>
      <c r="F69" s="363">
        <f>F27-E27</f>
        <v/>
      </c>
      <c r="G69" s="363">
        <f>G27-F27</f>
        <v/>
      </c>
      <c r="H69" s="363">
        <f>H27-G27</f>
        <v/>
      </c>
      <c r="I69" s="363">
        <f>I27-H27</f>
        <v/>
      </c>
      <c r="J69" s="363">
        <f>J27-I27</f>
        <v/>
      </c>
      <c r="K69" s="363">
        <f>K27-J27</f>
        <v/>
      </c>
      <c r="L69" s="363">
        <f>L27-K27</f>
        <v/>
      </c>
      <c r="M69" s="363">
        <f>M27-L27</f>
        <v/>
      </c>
      <c r="N69" s="363">
        <f>N27-M27</f>
        <v/>
      </c>
      <c r="O69" s="363">
        <f>O27-N27</f>
        <v/>
      </c>
      <c r="P69" s="363">
        <f>P27-O27</f>
        <v/>
      </c>
      <c r="Q69" s="363">
        <f>Q27-P27</f>
        <v/>
      </c>
      <c r="R69" s="363">
        <f>R27-Q27</f>
        <v/>
      </c>
      <c r="S69" s="363">
        <f>S27-R27</f>
        <v/>
      </c>
      <c r="T69" s="363">
        <f>T27-S27</f>
        <v/>
      </c>
      <c r="U69" s="363">
        <f>U27-T27</f>
        <v/>
      </c>
      <c r="V69" s="363">
        <f>V27-U27</f>
        <v/>
      </c>
      <c r="W69" s="363">
        <f>W27-V27</f>
        <v/>
      </c>
      <c r="X69" s="363">
        <f>X27-W27</f>
        <v/>
      </c>
      <c r="Y69" s="363">
        <f>Y27-X27</f>
        <v/>
      </c>
      <c r="Z69" s="363">
        <f>Z27-Y27</f>
        <v/>
      </c>
      <c r="AA69" s="363">
        <f>AA27-Z27</f>
        <v/>
      </c>
      <c r="AB69" s="363">
        <f>AB27-AA27</f>
        <v/>
      </c>
      <c r="AC69" s="363">
        <f>AC27-AB27</f>
        <v/>
      </c>
      <c r="AD69" s="363">
        <f>AD27-AC27</f>
        <v/>
      </c>
      <c r="AE69" s="363">
        <f>AE27-AD27</f>
        <v/>
      </c>
      <c r="AF69" s="363">
        <f>AF27-AE27</f>
        <v/>
      </c>
      <c r="AG69" s="363">
        <f>AG27-AF27</f>
        <v/>
      </c>
      <c r="AH69" s="363">
        <f>AH27-AG27</f>
        <v/>
      </c>
      <c r="AI69" s="363">
        <f>AI27-AH27</f>
        <v/>
      </c>
      <c r="AJ69" s="356">
        <f>SUM(H69:AH69)</f>
        <v/>
      </c>
      <c r="AK69" s="115" t="inlineStr">
        <is>
          <t>AHU</t>
        </is>
      </c>
      <c r="AL69" s="116">
        <f>AJ73</f>
        <v/>
      </c>
    </row>
    <row r="70">
      <c r="A70" s="541" t="n"/>
      <c r="B70" s="541" t="n"/>
      <c r="C70" s="546" t="inlineStr">
        <is>
          <t>DG</t>
        </is>
      </c>
      <c r="D70" s="501" t="n"/>
      <c r="E70" s="363">
        <f>E28-D28</f>
        <v/>
      </c>
      <c r="F70" s="363">
        <f>F28-E28</f>
        <v/>
      </c>
      <c r="G70" s="363">
        <f>G28-F28</f>
        <v/>
      </c>
      <c r="H70" s="363">
        <f>H28-G28</f>
        <v/>
      </c>
      <c r="I70" s="363">
        <f>I28-H28</f>
        <v/>
      </c>
      <c r="J70" s="363">
        <f>J28-I28</f>
        <v/>
      </c>
      <c r="K70" s="363">
        <f>K28-J28</f>
        <v/>
      </c>
      <c r="L70" s="363">
        <f>L28-K28</f>
        <v/>
      </c>
      <c r="M70" s="363">
        <f>M28-L28</f>
        <v/>
      </c>
      <c r="N70" s="363">
        <f>N28-M28</f>
        <v/>
      </c>
      <c r="O70" s="363">
        <f>O28-N28</f>
        <v/>
      </c>
      <c r="P70" s="363">
        <f>P28-O28</f>
        <v/>
      </c>
      <c r="Q70" s="363">
        <f>Q28-P28</f>
        <v/>
      </c>
      <c r="R70" s="363">
        <f>R28-Q28</f>
        <v/>
      </c>
      <c r="S70" s="363">
        <f>S28-R28</f>
        <v/>
      </c>
      <c r="T70" s="363">
        <f>T28-S28</f>
        <v/>
      </c>
      <c r="U70" s="363">
        <f>U28-T28</f>
        <v/>
      </c>
      <c r="V70" s="363">
        <f>V28-U28</f>
        <v/>
      </c>
      <c r="W70" s="363">
        <f>W28-V28</f>
        <v/>
      </c>
      <c r="X70" s="363">
        <f>X28-W28</f>
        <v/>
      </c>
      <c r="Y70" s="363">
        <f>Y28-X28</f>
        <v/>
      </c>
      <c r="Z70" s="363">
        <f>Z28-Y28</f>
        <v/>
      </c>
      <c r="AA70" s="363">
        <f>AA28-Z28</f>
        <v/>
      </c>
      <c r="AB70" s="363">
        <f>AB28-AA28</f>
        <v/>
      </c>
      <c r="AC70" s="363">
        <f>AC28-AB28</f>
        <v/>
      </c>
      <c r="AD70" s="363">
        <f>AD28-AC28</f>
        <v/>
      </c>
      <c r="AE70" s="363">
        <f>AE28-AD28</f>
        <v/>
      </c>
      <c r="AF70" s="363">
        <f>AF28-AE28</f>
        <v/>
      </c>
      <c r="AG70" s="363">
        <f>AG28-AF28</f>
        <v/>
      </c>
      <c r="AH70" s="363">
        <f>AH28-AG28</f>
        <v/>
      </c>
      <c r="AI70" s="363">
        <f>AI28-AH28</f>
        <v/>
      </c>
      <c r="AJ70" s="356">
        <f>SUM(H70:AH70)</f>
        <v/>
      </c>
      <c r="AK70" s="115" t="inlineStr">
        <is>
          <t>BTU</t>
        </is>
      </c>
      <c r="AL70" s="116">
        <f>AJ79*40%</f>
        <v/>
      </c>
    </row>
    <row r="71">
      <c r="A71" s="541" t="n">
        <v>4</v>
      </c>
      <c r="B71" s="541" t="inlineStr">
        <is>
          <t>3F</t>
        </is>
      </c>
      <c r="C71" s="558" t="inlineStr">
        <is>
          <t>AHU4</t>
        </is>
      </c>
      <c r="D71" s="501" t="n"/>
      <c r="E71" s="363">
        <f>E29-D29</f>
        <v/>
      </c>
      <c r="F71" s="363">
        <f>F29-E29</f>
        <v/>
      </c>
      <c r="G71" s="363">
        <f>G29-F29</f>
        <v/>
      </c>
      <c r="H71" s="363">
        <f>H29-G29</f>
        <v/>
      </c>
      <c r="I71" s="363">
        <f>I29-H29</f>
        <v/>
      </c>
      <c r="J71" s="363">
        <f>J29-I29</f>
        <v/>
      </c>
      <c r="K71" s="363">
        <f>K29-J29</f>
        <v/>
      </c>
      <c r="L71" s="363">
        <f>L29-K29</f>
        <v/>
      </c>
      <c r="M71" s="363">
        <f>M29-L29</f>
        <v/>
      </c>
      <c r="N71" s="363">
        <f>N29-M29</f>
        <v/>
      </c>
      <c r="O71" s="363">
        <f>O29-N29</f>
        <v/>
      </c>
      <c r="P71" s="363">
        <f>P29-O29</f>
        <v/>
      </c>
      <c r="Q71" s="363">
        <f>Q29-P29</f>
        <v/>
      </c>
      <c r="R71" s="363">
        <f>R29-Q29</f>
        <v/>
      </c>
      <c r="S71" s="363">
        <f>S29-R29</f>
        <v/>
      </c>
      <c r="T71" s="363">
        <f>T29-S29</f>
        <v/>
      </c>
      <c r="U71" s="363">
        <f>U29-T29</f>
        <v/>
      </c>
      <c r="V71" s="363">
        <f>V29-U29</f>
        <v/>
      </c>
      <c r="W71" s="363">
        <f>W29-V29</f>
        <v/>
      </c>
      <c r="X71" s="363">
        <f>X29-W29</f>
        <v/>
      </c>
      <c r="Y71" s="363">
        <f>Y29-X29</f>
        <v/>
      </c>
      <c r="Z71" s="363">
        <f>Z29-Y29</f>
        <v/>
      </c>
      <c r="AA71" s="363">
        <f>AA29-Z29</f>
        <v/>
      </c>
      <c r="AB71" s="363">
        <f>AB29-AA29</f>
        <v/>
      </c>
      <c r="AC71" s="363">
        <f>AC29-AB29</f>
        <v/>
      </c>
      <c r="AD71" s="363">
        <f>AD29-AC29</f>
        <v/>
      </c>
      <c r="AE71" s="363">
        <f>AE29-AD29</f>
        <v/>
      </c>
      <c r="AF71" s="363">
        <f>AF29-AE29</f>
        <v/>
      </c>
      <c r="AG71" s="363">
        <f>AG29-AF29</f>
        <v/>
      </c>
      <c r="AH71" s="363">
        <f>AH29-AG29</f>
        <v/>
      </c>
      <c r="AI71" s="363">
        <f>AI29-AH29</f>
        <v/>
      </c>
      <c r="AJ71" s="356">
        <f>SUM(H71:AH71)</f>
        <v/>
      </c>
      <c r="AK71" s="117" t="inlineStr">
        <is>
          <t>DG</t>
        </is>
      </c>
      <c r="AL71" s="118">
        <f>AJ74+AJ61</f>
        <v/>
      </c>
    </row>
    <row r="72">
      <c r="A72" s="541" t="n"/>
      <c r="B72" s="541" t="n"/>
      <c r="C72" s="546" t="inlineStr">
        <is>
          <t>DG</t>
        </is>
      </c>
      <c r="D72" s="501" t="n"/>
      <c r="E72" s="363">
        <f>E30-D30</f>
        <v/>
      </c>
      <c r="F72" s="363">
        <f>F30-E30</f>
        <v/>
      </c>
      <c r="G72" s="363">
        <f>G30-F30</f>
        <v/>
      </c>
      <c r="H72" s="363">
        <f>H30-G30</f>
        <v/>
      </c>
      <c r="I72" s="363">
        <f>I30-H30</f>
        <v/>
      </c>
      <c r="J72" s="363">
        <f>J30-I30</f>
        <v/>
      </c>
      <c r="K72" s="363">
        <f>K30-J30</f>
        <v/>
      </c>
      <c r="L72" s="363">
        <f>L30-K30</f>
        <v/>
      </c>
      <c r="M72" s="363">
        <f>M30-L30</f>
        <v/>
      </c>
      <c r="N72" s="363">
        <f>N30-M30</f>
        <v/>
      </c>
      <c r="O72" s="363">
        <f>O30-N30</f>
        <v/>
      </c>
      <c r="P72" s="363">
        <f>P30-O30</f>
        <v/>
      </c>
      <c r="Q72" s="363">
        <f>Q30-P30</f>
        <v/>
      </c>
      <c r="R72" s="363">
        <f>R30-Q30</f>
        <v/>
      </c>
      <c r="S72" s="363">
        <f>S30-R30</f>
        <v/>
      </c>
      <c r="T72" s="363">
        <f>T30-S30</f>
        <v/>
      </c>
      <c r="U72" s="363">
        <f>U30-T30</f>
        <v/>
      </c>
      <c r="V72" s="363">
        <f>V30-U30</f>
        <v/>
      </c>
      <c r="W72" s="363">
        <f>W30-V30</f>
        <v/>
      </c>
      <c r="X72" s="363">
        <f>X30-W30</f>
        <v/>
      </c>
      <c r="Y72" s="363">
        <f>Y30-X30</f>
        <v/>
      </c>
      <c r="Z72" s="363">
        <f>Z30-Y30</f>
        <v/>
      </c>
      <c r="AA72" s="363">
        <f>AA30-Z30</f>
        <v/>
      </c>
      <c r="AB72" s="363">
        <f>AB30-AA30</f>
        <v/>
      </c>
      <c r="AC72" s="363">
        <f>AC30-AB30</f>
        <v/>
      </c>
      <c r="AD72" s="363">
        <f>AD30-AC30</f>
        <v/>
      </c>
      <c r="AE72" s="363">
        <f>AE30-AD30</f>
        <v/>
      </c>
      <c r="AF72" s="363">
        <f>AF30-AE30</f>
        <v/>
      </c>
      <c r="AG72" s="363">
        <f>AG30-AF30</f>
        <v/>
      </c>
      <c r="AH72" s="363">
        <f>AH30-AG30</f>
        <v/>
      </c>
      <c r="AI72" s="363">
        <f>AI30-AH30</f>
        <v/>
      </c>
      <c r="AJ72" s="356">
        <f>SUM(H72:AH72)</f>
        <v/>
      </c>
    </row>
    <row r="73" ht="27" customHeight="1" s="488">
      <c r="A73" s="357" t="n"/>
      <c r="B73" s="357" t="n"/>
      <c r="C73" s="553" t="inlineStr">
        <is>
          <t>Total AHU Power Consumption</t>
        </is>
      </c>
      <c r="D73" s="501" t="n"/>
      <c r="E73" s="358">
        <f>SUM(E65,E67,E69,E71)</f>
        <v/>
      </c>
      <c r="F73" s="358">
        <f>SUM(F65,F67,F69,F71)</f>
        <v/>
      </c>
      <c r="G73" s="358">
        <f>SUM(G65,G67,G69,G71)</f>
        <v/>
      </c>
      <c r="H73" s="358">
        <f>SUM(H65,H67,H69,H71)</f>
        <v/>
      </c>
      <c r="I73" s="358">
        <f>SUM(I65,I67,I69,I71)</f>
        <v/>
      </c>
      <c r="J73" s="358">
        <f>SUM(J65,J67,J69,J71)</f>
        <v/>
      </c>
      <c r="K73" s="358">
        <f>SUM(K65,K67,K69,K71)</f>
        <v/>
      </c>
      <c r="L73" s="358">
        <f>SUM(L65,L67,L69,L71)</f>
        <v/>
      </c>
      <c r="M73" s="358">
        <f>SUM(M65,M67,M69,M71)</f>
        <v/>
      </c>
      <c r="N73" s="358">
        <f>SUM(N65,N67,N69,N71)</f>
        <v/>
      </c>
      <c r="O73" s="358">
        <f>SUM(O65,O67,O69,O71)</f>
        <v/>
      </c>
      <c r="P73" s="358">
        <f>SUM(P65,P67,P69,P71)</f>
        <v/>
      </c>
      <c r="Q73" s="358">
        <f>SUM(Q65,Q67,Q69,Q71)</f>
        <v/>
      </c>
      <c r="R73" s="358">
        <f>SUM(R65,R67,R69,R71)</f>
        <v/>
      </c>
      <c r="S73" s="358">
        <f>SUM(S65,S67,S69,S71)</f>
        <v/>
      </c>
      <c r="T73" s="358">
        <f>SUM(T65,T67,T69,T71)</f>
        <v/>
      </c>
      <c r="U73" s="358">
        <f>SUM(U65,U67,U69,U71)</f>
        <v/>
      </c>
      <c r="V73" s="358">
        <f>SUM(V65,V67,V69,V71)</f>
        <v/>
      </c>
      <c r="W73" s="358">
        <f>SUM(W65,W67,W69,W71)</f>
        <v/>
      </c>
      <c r="X73" s="358">
        <f>SUM(X65,X67,X69,X71)</f>
        <v/>
      </c>
      <c r="Y73" s="358">
        <f>SUM(Y65,Y67,Y69,Y71)</f>
        <v/>
      </c>
      <c r="Z73" s="358">
        <f>SUM(Z65,Z67,Z69,Z71)</f>
        <v/>
      </c>
      <c r="AA73" s="358">
        <f>SUM(AA65,AA67,AA69,AA71)</f>
        <v/>
      </c>
      <c r="AB73" s="358">
        <f>SUM(AB65,AB67,AB69,AB71)</f>
        <v/>
      </c>
      <c r="AC73" s="358">
        <f>SUM(AC65,AC67,AC69,AC71)</f>
        <v/>
      </c>
      <c r="AD73" s="358">
        <f>SUM(AD65,AD67,AD69,AD71)</f>
        <v/>
      </c>
      <c r="AE73" s="358">
        <f>SUM(AE65,AE67,AE69,AE71)</f>
        <v/>
      </c>
      <c r="AF73" s="358">
        <f>SUM(AF65,AF67,AF69,AF71)</f>
        <v/>
      </c>
      <c r="AG73" s="358">
        <f>SUM(AG65,AG67,AG69,AG71)</f>
        <v/>
      </c>
      <c r="AH73" s="358">
        <f>SUM(AH65,AH67,AH69,AH71)</f>
        <v/>
      </c>
      <c r="AI73" s="358">
        <f>SUM(AI65,AI67,AI69,AI71)</f>
        <v/>
      </c>
      <c r="AJ73" s="358">
        <f>SUM(AJ65,AJ67,AJ69,AJ71)</f>
        <v/>
      </c>
    </row>
    <row r="74" ht="25.5" customHeight="1" s="488">
      <c r="A74" s="357" t="n"/>
      <c r="B74" s="357" t="n"/>
      <c r="C74" s="549" t="inlineStr">
        <is>
          <t>Total AHU DG consumption</t>
        </is>
      </c>
      <c r="D74" s="501" t="n"/>
      <c r="E74" s="358">
        <f>SUM(E66,E68,E70,E72)</f>
        <v/>
      </c>
      <c r="F74" s="358">
        <f>SUM(F66,F68,F70,F72)</f>
        <v/>
      </c>
      <c r="G74" s="358">
        <f>SUM(G66,G68,G70,G72)</f>
        <v/>
      </c>
      <c r="H74" s="358">
        <f>SUM(H66,H68,H70,H72)</f>
        <v/>
      </c>
      <c r="I74" s="358">
        <f>SUM(I66,I68,I70,I72)</f>
        <v/>
      </c>
      <c r="J74" s="358">
        <f>SUM(J66,J68,J70,J72)</f>
        <v/>
      </c>
      <c r="K74" s="358">
        <f>SUM(K66,K68,K70,K72)</f>
        <v/>
      </c>
      <c r="L74" s="358">
        <f>SUM(L66,L68,L70,L72)</f>
        <v/>
      </c>
      <c r="M74" s="358">
        <f>SUM(M66,M68,M70,M72)</f>
        <v/>
      </c>
      <c r="N74" s="358">
        <f>SUM(N66,N68,N70,N72)</f>
        <v/>
      </c>
      <c r="O74" s="358">
        <f>SUM(O66,O68,O70,O72)</f>
        <v/>
      </c>
      <c r="P74" s="358">
        <f>SUM(P66,P68,P70,P72)</f>
        <v/>
      </c>
      <c r="Q74" s="358">
        <f>SUM(Q66,Q68,Q70,Q72)</f>
        <v/>
      </c>
      <c r="R74" s="358">
        <f>SUM(R66,R68,R70,R72)</f>
        <v/>
      </c>
      <c r="S74" s="358">
        <f>SUM(S66,S68,S70,S72)</f>
        <v/>
      </c>
      <c r="T74" s="358">
        <f>SUM(T66,T68,T70,T72)</f>
        <v/>
      </c>
      <c r="U74" s="358">
        <f>SUM(U66,U68,U70,U72)</f>
        <v/>
      </c>
      <c r="V74" s="358">
        <f>SUM(V66,V68,V70,V72)</f>
        <v/>
      </c>
      <c r="W74" s="358">
        <f>SUM(W66,W68,W70,W72)</f>
        <v/>
      </c>
      <c r="X74" s="358">
        <f>SUM(X66,X68,X70,X72)</f>
        <v/>
      </c>
      <c r="Y74" s="358">
        <f>SUM(Y66,Y68,Y70,Y72)</f>
        <v/>
      </c>
      <c r="Z74" s="358">
        <f>SUM(Z66,Z68,Z70,Z72)</f>
        <v/>
      </c>
      <c r="AA74" s="358">
        <f>SUM(AA66,AA68,AA70,AA72)</f>
        <v/>
      </c>
      <c r="AB74" s="358">
        <f>SUM(AB66,AB68,AB70,AB72)</f>
        <v/>
      </c>
      <c r="AC74" s="358">
        <f>SUM(AC66,AC68,AC70,AC72)</f>
        <v/>
      </c>
      <c r="AD74" s="358">
        <f>SUM(AD66,AD68,AD70,AD72)</f>
        <v/>
      </c>
      <c r="AE74" s="358">
        <f>SUM(AE66,AE68,AE70,AE72)</f>
        <v/>
      </c>
      <c r="AF74" s="358">
        <f>SUM(AF66,AF68,AF70,AF72)</f>
        <v/>
      </c>
      <c r="AG74" s="358">
        <f>SUM(AG66,AG68,AG70,AG72)</f>
        <v/>
      </c>
      <c r="AH74" s="358">
        <f>SUM(AH66,AH68,AH70,AH72)</f>
        <v/>
      </c>
      <c r="AI74" s="358">
        <f>SUM(AI66,AI68,AI70,AI72)</f>
        <v/>
      </c>
      <c r="AJ74" s="358">
        <f>SUM(AJ66,AJ68,AJ70,AJ72)</f>
        <v/>
      </c>
    </row>
    <row r="75">
      <c r="A75" s="541" t="n">
        <v>1</v>
      </c>
      <c r="B75" s="541" t="inlineStr">
        <is>
          <t>3F</t>
        </is>
      </c>
      <c r="C75" s="541" t="inlineStr">
        <is>
          <t>AHU1 - BTU</t>
        </is>
      </c>
      <c r="D75" s="501" t="n"/>
      <c r="E75" s="363">
        <f>E33-D33</f>
        <v/>
      </c>
      <c r="F75" s="363">
        <f>F33-E33</f>
        <v/>
      </c>
      <c r="G75" s="363">
        <f>G33-F33</f>
        <v/>
      </c>
      <c r="H75" s="363">
        <f>H33-G33</f>
        <v/>
      </c>
      <c r="I75" s="363">
        <f>I33-H33</f>
        <v/>
      </c>
      <c r="J75" s="363">
        <f>J33-I33</f>
        <v/>
      </c>
      <c r="K75" s="363">
        <f>K33-J33</f>
        <v/>
      </c>
      <c r="L75" s="363">
        <f>L33-K33</f>
        <v/>
      </c>
      <c r="M75" s="363">
        <f>M33-L33</f>
        <v/>
      </c>
      <c r="N75" s="363">
        <f>N33-M33</f>
        <v/>
      </c>
      <c r="O75" s="363">
        <f>O33-N33</f>
        <v/>
      </c>
      <c r="P75" s="363">
        <f>P33-O33</f>
        <v/>
      </c>
      <c r="Q75" s="363">
        <f>Q33-P33</f>
        <v/>
      </c>
      <c r="R75" s="363">
        <f>R33-Q33</f>
        <v/>
      </c>
      <c r="S75" s="363">
        <f>S33-R33</f>
        <v/>
      </c>
      <c r="T75" s="363">
        <f>T33-S33</f>
        <v/>
      </c>
      <c r="U75" s="363">
        <f>U33-T33</f>
        <v/>
      </c>
      <c r="V75" s="363">
        <f>V33-U33</f>
        <v/>
      </c>
      <c r="W75" s="363">
        <f>W33-V33</f>
        <v/>
      </c>
      <c r="X75" s="363">
        <f>X33-W33</f>
        <v/>
      </c>
      <c r="Y75" s="363">
        <f>Y33-X33</f>
        <v/>
      </c>
      <c r="Z75" s="363">
        <f>Z33-Y33</f>
        <v/>
      </c>
      <c r="AA75" s="363">
        <f>AA33-Z33</f>
        <v/>
      </c>
      <c r="AB75" s="363">
        <f>AB33-AA33</f>
        <v/>
      </c>
      <c r="AC75" s="363">
        <f>AC33-AB33</f>
        <v/>
      </c>
      <c r="AD75" s="363">
        <f>AD33-AC33</f>
        <v/>
      </c>
      <c r="AE75" s="363">
        <f>AE33-AD33</f>
        <v/>
      </c>
      <c r="AF75" s="363">
        <f>AF33-AE33</f>
        <v/>
      </c>
      <c r="AG75" s="363">
        <f>AG33-AF33</f>
        <v/>
      </c>
      <c r="AH75" s="363">
        <f>AH33-AG33</f>
        <v/>
      </c>
      <c r="AI75" s="363">
        <f>AI33-AH33</f>
        <v/>
      </c>
      <c r="AJ75" s="356">
        <f>SUM(H75:AH75)</f>
        <v/>
      </c>
    </row>
    <row r="76">
      <c r="A76" s="541" t="n">
        <v>2</v>
      </c>
      <c r="B76" s="541" t="inlineStr">
        <is>
          <t>3F</t>
        </is>
      </c>
      <c r="C76" s="541" t="inlineStr">
        <is>
          <t>AHU2 - BTU</t>
        </is>
      </c>
      <c r="D76" s="501" t="n"/>
      <c r="E76" s="363">
        <f>E34-D34</f>
        <v/>
      </c>
      <c r="F76" s="363">
        <f>F34-E34</f>
        <v/>
      </c>
      <c r="G76" s="363">
        <f>G34-F34</f>
        <v/>
      </c>
      <c r="H76" s="363">
        <f>H34-G34</f>
        <v/>
      </c>
      <c r="I76" s="363">
        <f>I34-H34</f>
        <v/>
      </c>
      <c r="J76" s="363">
        <f>J34-I34</f>
        <v/>
      </c>
      <c r="K76" s="363">
        <f>K34-J34</f>
        <v/>
      </c>
      <c r="L76" s="363">
        <f>L34-K34</f>
        <v/>
      </c>
      <c r="M76" s="363">
        <f>M34-L34</f>
        <v/>
      </c>
      <c r="N76" s="363">
        <f>N34-M34</f>
        <v/>
      </c>
      <c r="O76" s="363">
        <f>O34-N34</f>
        <v/>
      </c>
      <c r="P76" s="363">
        <f>P34-O34</f>
        <v/>
      </c>
      <c r="Q76" s="363">
        <f>Q34-P34</f>
        <v/>
      </c>
      <c r="R76" s="363">
        <f>R34-Q34</f>
        <v/>
      </c>
      <c r="S76" s="363">
        <f>S34-R34</f>
        <v/>
      </c>
      <c r="T76" s="363">
        <f>T34-S34</f>
        <v/>
      </c>
      <c r="U76" s="363">
        <f>U34-T34</f>
        <v/>
      </c>
      <c r="V76" s="363">
        <f>V34-U34</f>
        <v/>
      </c>
      <c r="W76" s="363">
        <f>W34-V34</f>
        <v/>
      </c>
      <c r="X76" s="363">
        <f>X34-W34</f>
        <v/>
      </c>
      <c r="Y76" s="363">
        <f>Y34-X34</f>
        <v/>
      </c>
      <c r="Z76" s="363">
        <f>Z34-Y34</f>
        <v/>
      </c>
      <c r="AA76" s="363">
        <f>AA34-Z34</f>
        <v/>
      </c>
      <c r="AB76" s="363">
        <f>AB34-AA34</f>
        <v/>
      </c>
      <c r="AC76" s="363">
        <f>AC34-AB34</f>
        <v/>
      </c>
      <c r="AD76" s="363">
        <f>AD34-AC34</f>
        <v/>
      </c>
      <c r="AE76" s="363">
        <f>AE34-AD34</f>
        <v/>
      </c>
      <c r="AF76" s="363">
        <f>AF34-AE34</f>
        <v/>
      </c>
      <c r="AG76" s="363">
        <f>AG34-AF34</f>
        <v/>
      </c>
      <c r="AH76" s="363">
        <f>AH34-AG34</f>
        <v/>
      </c>
      <c r="AI76" s="363">
        <f>AI34-AH34</f>
        <v/>
      </c>
      <c r="AJ76" s="356">
        <f>SUM(H76:AH76)</f>
        <v/>
      </c>
    </row>
    <row r="77">
      <c r="A77" s="541" t="n">
        <v>3</v>
      </c>
      <c r="B77" s="541" t="inlineStr">
        <is>
          <t>3F</t>
        </is>
      </c>
      <c r="C77" s="541" t="inlineStr">
        <is>
          <t>AHU3 - BTU</t>
        </is>
      </c>
      <c r="D77" s="501" t="n"/>
      <c r="E77" s="363">
        <f>E35-D35</f>
        <v/>
      </c>
      <c r="F77" s="363">
        <f>F35-E35</f>
        <v/>
      </c>
      <c r="G77" s="363">
        <f>G35-F35</f>
        <v/>
      </c>
      <c r="H77" s="363">
        <f>H35-G35</f>
        <v/>
      </c>
      <c r="I77" s="363">
        <f>I35-H35</f>
        <v/>
      </c>
      <c r="J77" s="363">
        <f>J35-I35</f>
        <v/>
      </c>
      <c r="K77" s="363">
        <f>K35-J35</f>
        <v/>
      </c>
      <c r="L77" s="363">
        <f>L35-K35</f>
        <v/>
      </c>
      <c r="M77" s="363">
        <f>M35-L35</f>
        <v/>
      </c>
      <c r="N77" s="363">
        <f>N35-M35</f>
        <v/>
      </c>
      <c r="O77" s="363">
        <f>O35-N35</f>
        <v/>
      </c>
      <c r="P77" s="363">
        <f>P35-O35</f>
        <v/>
      </c>
      <c r="Q77" s="363">
        <f>Q35-P35</f>
        <v/>
      </c>
      <c r="R77" s="363">
        <f>R35-Q35</f>
        <v/>
      </c>
      <c r="S77" s="363">
        <f>S35-R35</f>
        <v/>
      </c>
      <c r="T77" s="363">
        <f>T35-S35</f>
        <v/>
      </c>
      <c r="U77" s="363">
        <f>U35-T35</f>
        <v/>
      </c>
      <c r="V77" s="363">
        <f>V35-U35</f>
        <v/>
      </c>
      <c r="W77" s="363">
        <f>W35-V35</f>
        <v/>
      </c>
      <c r="X77" s="363">
        <f>X35-W35</f>
        <v/>
      </c>
      <c r="Y77" s="363">
        <f>Y35-X35</f>
        <v/>
      </c>
      <c r="Z77" s="363">
        <f>Z35-Y35</f>
        <v/>
      </c>
      <c r="AA77" s="363">
        <f>AA35-Z35</f>
        <v/>
      </c>
      <c r="AB77" s="363">
        <f>AB35-AA35</f>
        <v/>
      </c>
      <c r="AC77" s="363">
        <f>AC35-AB35</f>
        <v/>
      </c>
      <c r="AD77" s="363">
        <f>AD35-AC35</f>
        <v/>
      </c>
      <c r="AE77" s="363">
        <f>AE35-AD35</f>
        <v/>
      </c>
      <c r="AF77" s="363">
        <f>AF35-AE35</f>
        <v/>
      </c>
      <c r="AG77" s="363">
        <f>AG35-AF35</f>
        <v/>
      </c>
      <c r="AH77" s="363">
        <f>AH35-AG35</f>
        <v/>
      </c>
      <c r="AI77" s="363">
        <f>AI35-AH35</f>
        <v/>
      </c>
      <c r="AJ77" s="356">
        <f>SUM(H77:AH77)</f>
        <v/>
      </c>
    </row>
    <row r="78">
      <c r="A78" s="541" t="n">
        <v>4</v>
      </c>
      <c r="B78" s="541" t="inlineStr">
        <is>
          <t>3F</t>
        </is>
      </c>
      <c r="C78" s="541" t="inlineStr">
        <is>
          <t>AHU4 - BTU</t>
        </is>
      </c>
      <c r="D78" s="501" t="n"/>
      <c r="E78" s="363">
        <f>E36-D36</f>
        <v/>
      </c>
      <c r="F78" s="363">
        <f>F36-E36</f>
        <v/>
      </c>
      <c r="G78" s="363">
        <f>G36-F36</f>
        <v/>
      </c>
      <c r="H78" s="363">
        <f>H36-G36</f>
        <v/>
      </c>
      <c r="I78" s="363">
        <f>I36-H36</f>
        <v/>
      </c>
      <c r="J78" s="363">
        <f>J36-I36</f>
        <v/>
      </c>
      <c r="K78" s="363">
        <f>K36-J36</f>
        <v/>
      </c>
      <c r="L78" s="363">
        <f>L36-K36</f>
        <v/>
      </c>
      <c r="M78" s="363">
        <f>M36-L36</f>
        <v/>
      </c>
      <c r="N78" s="363">
        <f>N36-M36</f>
        <v/>
      </c>
      <c r="O78" s="363">
        <f>O36-N36</f>
        <v/>
      </c>
      <c r="P78" s="363">
        <f>P36-O36</f>
        <v/>
      </c>
      <c r="Q78" s="363">
        <f>Q36-P36</f>
        <v/>
      </c>
      <c r="R78" s="363">
        <f>R36-Q36</f>
        <v/>
      </c>
      <c r="S78" s="363">
        <f>S36-R36</f>
        <v/>
      </c>
      <c r="T78" s="363">
        <f>T36-S36</f>
        <v/>
      </c>
      <c r="U78" s="363">
        <f>U36-T36</f>
        <v/>
      </c>
      <c r="V78" s="363">
        <f>V36-U36</f>
        <v/>
      </c>
      <c r="W78" s="363">
        <f>W36-V36</f>
        <v/>
      </c>
      <c r="X78" s="363">
        <f>X36-W36</f>
        <v/>
      </c>
      <c r="Y78" s="363">
        <f>Y36-X36</f>
        <v/>
      </c>
      <c r="Z78" s="363">
        <f>Z36-Y36</f>
        <v/>
      </c>
      <c r="AA78" s="363">
        <f>AA36-Z36</f>
        <v/>
      </c>
      <c r="AB78" s="363">
        <f>AB36-AA36</f>
        <v/>
      </c>
      <c r="AC78" s="363">
        <f>AC36-AB36</f>
        <v/>
      </c>
      <c r="AD78" s="363">
        <f>AD36-AC36</f>
        <v/>
      </c>
      <c r="AE78" s="363">
        <f>AE36-AD36</f>
        <v/>
      </c>
      <c r="AF78" s="363">
        <f>AF36-AE36</f>
        <v/>
      </c>
      <c r="AG78" s="363">
        <f>AG36-AF36</f>
        <v/>
      </c>
      <c r="AH78" s="363">
        <f>AH36-AG36</f>
        <v/>
      </c>
      <c r="AI78" s="363">
        <f>AI36-AH36</f>
        <v/>
      </c>
      <c r="AJ78" s="356">
        <f>SUM(H78:AH78)</f>
        <v/>
      </c>
    </row>
    <row r="79">
      <c r="A79" s="357" t="n"/>
      <c r="B79" s="357" t="n"/>
      <c r="C79" s="553" t="inlineStr">
        <is>
          <t>Total BTU Consumption</t>
        </is>
      </c>
      <c r="D79" s="501" t="n"/>
      <c r="E79" s="358">
        <f>SUM(E75:E78)</f>
        <v/>
      </c>
      <c r="F79" s="358">
        <f>SUM(F75:F78)</f>
        <v/>
      </c>
      <c r="G79" s="358">
        <f>SUM(G75:G78)</f>
        <v/>
      </c>
      <c r="H79" s="358">
        <f>SUM(H75:H78)</f>
        <v/>
      </c>
      <c r="I79" s="358">
        <f>SUM(I75:I78)</f>
        <v/>
      </c>
      <c r="J79" s="358">
        <f>SUM(J75:J78)</f>
        <v/>
      </c>
      <c r="K79" s="358">
        <f>SUM(K75:K78)</f>
        <v/>
      </c>
      <c r="L79" s="358">
        <f>SUM(L75:L78)</f>
        <v/>
      </c>
      <c r="M79" s="358">
        <f>SUM(M75:M78)</f>
        <v/>
      </c>
      <c r="N79" s="358">
        <f>SUM(N75:N78)</f>
        <v/>
      </c>
      <c r="O79" s="358">
        <f>SUM(O75:O78)</f>
        <v/>
      </c>
      <c r="P79" s="358">
        <f>SUM(P75:P78)</f>
        <v/>
      </c>
      <c r="Q79" s="358">
        <f>SUM(Q75:Q78)</f>
        <v/>
      </c>
      <c r="R79" s="358">
        <f>SUM(R75:R78)</f>
        <v/>
      </c>
      <c r="S79" s="358">
        <f>SUM(S75:S78)</f>
        <v/>
      </c>
      <c r="T79" s="358">
        <f>SUM(T75:T78)</f>
        <v/>
      </c>
      <c r="U79" s="358">
        <f>SUM(U75:U78)</f>
        <v/>
      </c>
      <c r="V79" s="358">
        <f>SUM(V75:V78)</f>
        <v/>
      </c>
      <c r="W79" s="358">
        <f>SUM(W75:W78)</f>
        <v/>
      </c>
      <c r="X79" s="358">
        <f>SUM(X75:X78)</f>
        <v/>
      </c>
      <c r="Y79" s="358">
        <f>SUM(Y75:Y78)</f>
        <v/>
      </c>
      <c r="Z79" s="358">
        <f>SUM(Z75:Z78)</f>
        <v/>
      </c>
      <c r="AA79" s="358">
        <f>SUM(AA75:AA78)</f>
        <v/>
      </c>
      <c r="AB79" s="358">
        <f>SUM(AB75:AB78)</f>
        <v/>
      </c>
      <c r="AC79" s="358">
        <f>SUM(AC75:AC78)</f>
        <v/>
      </c>
      <c r="AD79" s="358">
        <f>SUM(AD75:AD78)</f>
        <v/>
      </c>
      <c r="AE79" s="358">
        <f>SUM(AE75:AE78)</f>
        <v/>
      </c>
      <c r="AF79" s="358">
        <f>SUM(AF75:AF78)</f>
        <v/>
      </c>
      <c r="AG79" s="358">
        <f>SUM(AG75:AG78)</f>
        <v/>
      </c>
      <c r="AH79" s="358">
        <f>SUM(AH75:AH78)</f>
        <v/>
      </c>
      <c r="AI79" s="358">
        <f>SUM(AI75:AI78)</f>
        <v/>
      </c>
      <c r="AJ79" s="358">
        <f>SUM(AJ75:AJ78)</f>
        <v/>
      </c>
    </row>
    <row r="80">
      <c r="A80" s="300" t="n"/>
      <c r="B80" s="300" t="n"/>
      <c r="C80" s="300" t="n"/>
      <c r="D80" s="300" t="n"/>
      <c r="E80" s="300" t="n"/>
      <c r="F80" s="300" t="n"/>
      <c r="G80" s="300" t="n"/>
      <c r="H80" s="300" t="n"/>
      <c r="I80" s="300" t="n"/>
      <c r="J80" s="300" t="n"/>
      <c r="K80" s="300" t="n"/>
      <c r="L80" s="300" t="n"/>
      <c r="M80" s="300" t="n"/>
      <c r="N80" s="300" t="n"/>
      <c r="O80" s="300" t="n"/>
      <c r="P80" s="300" t="n"/>
      <c r="Q80" s="300" t="n"/>
      <c r="R80" s="300" t="n"/>
      <c r="S80" s="300" t="n"/>
      <c r="T80" s="300" t="n"/>
      <c r="U80" s="300" t="n"/>
      <c r="V80" s="300" t="n"/>
      <c r="W80" s="300" t="n"/>
      <c r="X80" s="300" t="n"/>
      <c r="Y80" s="300" t="n"/>
      <c r="Z80" s="300" t="n"/>
      <c r="AA80" s="300" t="n"/>
      <c r="AB80" s="300" t="n"/>
      <c r="AC80" s="300" t="n"/>
      <c r="AD80" s="300" t="n"/>
      <c r="AE80" s="300" t="n"/>
      <c r="AF80" s="300" t="n"/>
      <c r="AG80" s="300" t="n"/>
      <c r="AH80" s="300" t="n"/>
      <c r="AI80" s="300" t="n"/>
    </row>
    <row r="81">
      <c r="A81" s="300" t="n"/>
      <c r="B81" s="300" t="n"/>
      <c r="C81" s="300" t="n"/>
      <c r="D81" s="300" t="n"/>
      <c r="E81" s="300" t="n"/>
      <c r="F81" s="300" t="n"/>
      <c r="G81" s="300" t="n"/>
      <c r="H81" s="300" t="n"/>
      <c r="I81" s="300" t="n"/>
      <c r="J81" s="300" t="n"/>
      <c r="K81" s="300" t="n"/>
      <c r="L81" s="300" t="n"/>
      <c r="M81" s="300" t="n"/>
      <c r="N81" s="300" t="n"/>
      <c r="O81" s="300" t="n"/>
      <c r="P81" s="300" t="n"/>
      <c r="Q81" s="300" t="n"/>
      <c r="R81" s="300" t="n"/>
      <c r="S81" s="300" t="n"/>
      <c r="T81" s="300" t="n"/>
      <c r="U81" s="300" t="n"/>
      <c r="V81" s="300" t="n"/>
      <c r="W81" s="300" t="n"/>
      <c r="X81" s="300" t="n"/>
      <c r="Y81" s="300" t="n"/>
      <c r="Z81" s="300" t="n"/>
      <c r="AA81" s="300" t="n"/>
      <c r="AB81" s="300" t="n"/>
      <c r="AC81" s="300" t="n"/>
      <c r="AD81" s="300" t="n"/>
      <c r="AE81" s="300" t="n"/>
      <c r="AF81" s="300" t="n"/>
      <c r="AG81" s="300" t="n"/>
      <c r="AH81" s="300" t="n"/>
      <c r="AI81" s="300" t="n"/>
    </row>
    <row r="82">
      <c r="A82" s="300" t="n"/>
      <c r="B82" s="300" t="n"/>
      <c r="C82" s="300" t="n"/>
      <c r="D82" s="300" t="n"/>
      <c r="E82" s="300" t="n"/>
      <c r="F82" s="300" t="n"/>
      <c r="G82" s="300" t="n"/>
      <c r="H82" s="300" t="n"/>
      <c r="I82" s="300" t="n"/>
      <c r="J82" s="300" t="n"/>
      <c r="K82" s="300" t="n"/>
      <c r="L82" s="300" t="n"/>
      <c r="M82" s="300" t="n"/>
      <c r="N82" s="300" t="n"/>
      <c r="O82" s="300" t="n"/>
      <c r="P82" s="300" t="n"/>
      <c r="Q82" s="300" t="n"/>
      <c r="R82" s="300" t="n"/>
      <c r="S82" s="300" t="n"/>
      <c r="T82" s="300" t="n"/>
      <c r="U82" s="300" t="n"/>
      <c r="V82" s="300" t="n"/>
      <c r="W82" s="300" t="n"/>
      <c r="X82" s="300" t="n"/>
      <c r="Y82" s="300" t="n"/>
      <c r="Z82" s="300" t="n"/>
      <c r="AA82" s="300" t="n"/>
      <c r="AB82" s="300" t="n"/>
      <c r="AC82" s="300" t="n"/>
      <c r="AD82" s="300" t="n"/>
      <c r="AE82" s="300" t="n"/>
      <c r="AF82" s="300" t="n"/>
      <c r="AG82" s="300" t="n"/>
      <c r="AH82" s="300" t="n"/>
      <c r="AI82" s="300" t="n"/>
    </row>
    <row r="83" ht="18.5" customHeight="1" s="488">
      <c r="A83" s="557" t="n"/>
      <c r="B83" s="505" t="n"/>
      <c r="C83" s="505" t="n"/>
      <c r="D83" s="506" t="n"/>
      <c r="E83" s="544" t="inlineStr">
        <is>
          <t>JUNE - 2026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505" t="n"/>
      <c r="AG83" s="505" t="n"/>
      <c r="AH83" s="506" t="n"/>
      <c r="AI83" s="544" t="inlineStr">
        <is>
          <t>JUNE - 2026    EV METER READING</t>
        </is>
      </c>
      <c r="AJ83" s="505" t="n"/>
      <c r="AK83" s="505" t="n"/>
      <c r="AL83" s="505" t="n"/>
      <c r="AM83" s="505" t="n"/>
      <c r="AN83" s="505" t="n"/>
      <c r="AO83" s="505" t="n"/>
      <c r="AP83" s="505" t="n"/>
      <c r="AQ83" s="505" t="n"/>
      <c r="AR83" s="505" t="n"/>
      <c r="AS83" s="505" t="n"/>
      <c r="AT83" s="505" t="n"/>
      <c r="AU83" s="505" t="n"/>
      <c r="AV83" s="505" t="n"/>
      <c r="AW83" s="505" t="n"/>
      <c r="AX83" s="505" t="n"/>
      <c r="AY83" s="505" t="n"/>
      <c r="AZ83" s="505" t="n"/>
      <c r="BA83" s="505" t="n"/>
      <c r="BB83" s="505" t="n"/>
      <c r="BC83" s="505" t="n"/>
      <c r="BD83" s="505" t="n"/>
      <c r="BE83" s="505" t="n"/>
      <c r="BF83" s="505" t="n"/>
      <c r="BG83" s="505" t="n"/>
      <c r="BH83" s="505" t="n"/>
      <c r="BI83" s="505" t="n"/>
      <c r="BJ83" s="505" t="n"/>
      <c r="BK83" s="505" t="n"/>
      <c r="BL83" s="506" t="n"/>
    </row>
    <row r="84">
      <c r="A84" s="550" t="inlineStr">
        <is>
          <t>Sr.No</t>
        </is>
      </c>
      <c r="B84" s="550" t="inlineStr">
        <is>
          <t>Location</t>
        </is>
      </c>
      <c r="C84" s="554" t="inlineStr">
        <is>
          <t>Meter</t>
        </is>
      </c>
      <c r="D84" s="543" t="inlineStr">
        <is>
          <t>Previous Reading</t>
        </is>
      </c>
      <c r="E84" s="301" t="n">
        <v>46204</v>
      </c>
      <c r="F84" s="301" t="n">
        <v>46205</v>
      </c>
      <c r="G84" s="301" t="n">
        <v>46206</v>
      </c>
      <c r="H84" s="301" t="n">
        <v>46207</v>
      </c>
      <c r="I84" s="301" t="n">
        <v>46208</v>
      </c>
      <c r="J84" s="301" t="n">
        <v>46209</v>
      </c>
      <c r="K84" s="301" t="n">
        <v>46210</v>
      </c>
      <c r="L84" s="301" t="n">
        <v>46211</v>
      </c>
      <c r="M84" s="301" t="n">
        <v>46212</v>
      </c>
      <c r="N84" s="301" t="n">
        <v>46213</v>
      </c>
      <c r="O84" s="301" t="n">
        <v>46214</v>
      </c>
      <c r="P84" s="301" t="n">
        <v>46215</v>
      </c>
      <c r="Q84" s="301" t="n">
        <v>46216</v>
      </c>
      <c r="R84" s="301" t="n">
        <v>46217</v>
      </c>
      <c r="S84" s="301" t="n">
        <v>46218</v>
      </c>
      <c r="T84" s="301" t="n">
        <v>46219</v>
      </c>
      <c r="U84" s="301" t="n">
        <v>46220</v>
      </c>
      <c r="V84" s="301" t="n">
        <v>46221</v>
      </c>
      <c r="W84" s="301" t="n">
        <v>46222</v>
      </c>
      <c r="X84" s="301" t="n">
        <v>46223</v>
      </c>
      <c r="Y84" s="301" t="n">
        <v>46224</v>
      </c>
      <c r="Z84" s="301" t="n">
        <v>46225</v>
      </c>
      <c r="AA84" s="301" t="n">
        <v>46226</v>
      </c>
      <c r="AB84" s="301" t="n">
        <v>46227</v>
      </c>
      <c r="AC84" s="301" t="n">
        <v>46228</v>
      </c>
      <c r="AD84" s="301" t="n">
        <v>46229</v>
      </c>
      <c r="AE84" s="301" t="n">
        <v>46230</v>
      </c>
      <c r="AF84" s="301" t="n">
        <v>46231</v>
      </c>
      <c r="AG84" s="301" t="n">
        <v>46232</v>
      </c>
      <c r="AH84" s="301" t="n">
        <v>46233</v>
      </c>
      <c r="AI84" s="301" t="n">
        <v>46234</v>
      </c>
      <c r="AJ84" s="542" t="inlineStr">
        <is>
          <t>Consumption</t>
        </is>
      </c>
    </row>
    <row r="85">
      <c r="A85" s="509" t="n"/>
      <c r="B85" s="509" t="n"/>
      <c r="C85" s="509" t="n"/>
      <c r="D85" s="509" t="n"/>
      <c r="E85" s="302" t="inlineStr">
        <is>
          <t>Fri</t>
        </is>
      </c>
      <c r="F85" s="302" t="inlineStr">
        <is>
          <t>Sat</t>
        </is>
      </c>
      <c r="G85" s="302" t="inlineStr">
        <is>
          <t>Sun</t>
        </is>
      </c>
      <c r="H85" s="302" t="inlineStr">
        <is>
          <t>Mon</t>
        </is>
      </c>
      <c r="I85" s="302" t="inlineStr">
        <is>
          <t>Tue</t>
        </is>
      </c>
      <c r="J85" s="302" t="inlineStr">
        <is>
          <t>Wed</t>
        </is>
      </c>
      <c r="K85" s="302" t="inlineStr">
        <is>
          <t>Thu</t>
        </is>
      </c>
      <c r="L85" s="302" t="inlineStr">
        <is>
          <t>Fri</t>
        </is>
      </c>
      <c r="M85" s="302" t="inlineStr">
        <is>
          <t>Sat</t>
        </is>
      </c>
      <c r="N85" s="302" t="inlineStr">
        <is>
          <t>Sun</t>
        </is>
      </c>
      <c r="O85" s="302" t="inlineStr">
        <is>
          <t>Mon</t>
        </is>
      </c>
      <c r="P85" s="302" t="inlineStr">
        <is>
          <t>Tue</t>
        </is>
      </c>
      <c r="Q85" s="302" t="inlineStr">
        <is>
          <t>Wed</t>
        </is>
      </c>
      <c r="R85" s="302" t="inlineStr">
        <is>
          <t>Thu</t>
        </is>
      </c>
      <c r="S85" s="302" t="inlineStr">
        <is>
          <t>Fri</t>
        </is>
      </c>
      <c r="T85" s="302" t="inlineStr">
        <is>
          <t>Sat</t>
        </is>
      </c>
      <c r="U85" s="302" t="inlineStr">
        <is>
          <t>Sun</t>
        </is>
      </c>
      <c r="V85" s="302" t="inlineStr">
        <is>
          <t>Mon</t>
        </is>
      </c>
      <c r="W85" s="302" t="inlineStr">
        <is>
          <t>Tue</t>
        </is>
      </c>
      <c r="X85" s="302" t="inlineStr">
        <is>
          <t>Wed</t>
        </is>
      </c>
      <c r="Y85" s="302" t="inlineStr">
        <is>
          <t>Thu</t>
        </is>
      </c>
      <c r="Z85" s="302" t="inlineStr">
        <is>
          <t>Fri</t>
        </is>
      </c>
      <c r="AA85" s="302" t="inlineStr">
        <is>
          <t>Sat</t>
        </is>
      </c>
      <c r="AB85" s="302" t="inlineStr">
        <is>
          <t>Sun</t>
        </is>
      </c>
      <c r="AC85" s="302" t="inlineStr">
        <is>
          <t>Mon</t>
        </is>
      </c>
      <c r="AD85" s="302" t="inlineStr">
        <is>
          <t>Tue</t>
        </is>
      </c>
      <c r="AE85" s="302" t="inlineStr">
        <is>
          <t>Wed</t>
        </is>
      </c>
      <c r="AF85" s="302" t="inlineStr">
        <is>
          <t>Thu</t>
        </is>
      </c>
      <c r="AG85" s="302" t="inlineStr">
        <is>
          <t>Fri</t>
        </is>
      </c>
      <c r="AH85" s="302" t="inlineStr">
        <is>
          <t>Sat</t>
        </is>
      </c>
      <c r="AI85" s="302" t="inlineStr">
        <is>
          <t>Sun</t>
        </is>
      </c>
      <c r="AJ85" s="516" t="n"/>
    </row>
    <row r="86">
      <c r="A86" s="509" t="n"/>
      <c r="B86" s="509" t="n"/>
      <c r="C86" s="509" t="n"/>
      <c r="D86" s="509" t="n"/>
      <c r="E86" s="303" t="inlineStr">
        <is>
          <t>Time</t>
        </is>
      </c>
      <c r="F86" s="303" t="inlineStr">
        <is>
          <t>Time</t>
        </is>
      </c>
      <c r="G86" s="303" t="inlineStr">
        <is>
          <t>Time</t>
        </is>
      </c>
      <c r="H86" s="303" t="inlineStr">
        <is>
          <t>Time</t>
        </is>
      </c>
      <c r="I86" s="303" t="inlineStr">
        <is>
          <t>Time</t>
        </is>
      </c>
      <c r="J86" s="303" t="inlineStr">
        <is>
          <t>Time</t>
        </is>
      </c>
      <c r="K86" s="303" t="inlineStr">
        <is>
          <t>Time</t>
        </is>
      </c>
      <c r="L86" s="303" t="inlineStr">
        <is>
          <t>Time</t>
        </is>
      </c>
      <c r="M86" s="303" t="inlineStr">
        <is>
          <t>Time</t>
        </is>
      </c>
      <c r="N86" s="303" t="inlineStr">
        <is>
          <t>Time</t>
        </is>
      </c>
      <c r="O86" s="303" t="inlineStr">
        <is>
          <t>Time</t>
        </is>
      </c>
      <c r="P86" s="303" t="inlineStr">
        <is>
          <t>Time</t>
        </is>
      </c>
      <c r="Q86" s="303" t="inlineStr">
        <is>
          <t>Time</t>
        </is>
      </c>
      <c r="R86" s="303" t="inlineStr">
        <is>
          <t>Time</t>
        </is>
      </c>
      <c r="S86" s="303" t="inlineStr">
        <is>
          <t>Time</t>
        </is>
      </c>
      <c r="T86" s="303" t="inlineStr">
        <is>
          <t>Time</t>
        </is>
      </c>
      <c r="U86" s="303" t="inlineStr">
        <is>
          <t>Time</t>
        </is>
      </c>
      <c r="V86" s="303" t="inlineStr">
        <is>
          <t>Time</t>
        </is>
      </c>
      <c r="W86" s="303" t="inlineStr">
        <is>
          <t>Time</t>
        </is>
      </c>
      <c r="X86" s="303" t="inlineStr">
        <is>
          <t>Time</t>
        </is>
      </c>
      <c r="Y86" s="303" t="inlineStr">
        <is>
          <t>Time</t>
        </is>
      </c>
      <c r="Z86" s="303" t="inlineStr">
        <is>
          <t>Time</t>
        </is>
      </c>
      <c r="AA86" s="303" t="inlineStr">
        <is>
          <t>Time</t>
        </is>
      </c>
      <c r="AB86" s="303" t="inlineStr">
        <is>
          <t>Time</t>
        </is>
      </c>
      <c r="AC86" s="303" t="inlineStr">
        <is>
          <t>Time</t>
        </is>
      </c>
      <c r="AD86" s="303" t="inlineStr">
        <is>
          <t>Time</t>
        </is>
      </c>
      <c r="AE86" s="303" t="inlineStr">
        <is>
          <t>Time</t>
        </is>
      </c>
      <c r="AF86" s="303" t="inlineStr">
        <is>
          <t>Time</t>
        </is>
      </c>
      <c r="AG86" s="303" t="inlineStr">
        <is>
          <t>Time</t>
        </is>
      </c>
      <c r="AH86" s="303" t="inlineStr">
        <is>
          <t>Time</t>
        </is>
      </c>
      <c r="AI86" s="303" t="inlineStr">
        <is>
          <t>Time</t>
        </is>
      </c>
      <c r="AJ86" s="516" t="n"/>
    </row>
    <row r="87">
      <c r="A87" s="510" t="n"/>
      <c r="B87" s="510" t="n"/>
      <c r="C87" s="510" t="n"/>
      <c r="D87" s="510" t="n"/>
      <c r="E87" s="369" t="n">
        <v>0.3333333333333333</v>
      </c>
      <c r="F87" s="369" t="n">
        <v>0.3333333333333333</v>
      </c>
      <c r="G87" s="369" t="n">
        <v>0.3333333333333333</v>
      </c>
      <c r="H87" s="369" t="n">
        <v>0.3333333333333333</v>
      </c>
      <c r="I87" s="369" t="n">
        <v>0.3333333333333333</v>
      </c>
      <c r="J87" s="369" t="n">
        <v>0.3333333333333333</v>
      </c>
      <c r="K87" s="369" t="n">
        <v>0.3333333333333333</v>
      </c>
      <c r="L87" s="369" t="n">
        <v>0.3333333333333333</v>
      </c>
      <c r="M87" s="369" t="n">
        <v>0.3333333333333333</v>
      </c>
      <c r="N87" s="369" t="n">
        <v>0.3333333333333333</v>
      </c>
      <c r="O87" s="369" t="n">
        <v>0.3333333333333333</v>
      </c>
      <c r="P87" s="369" t="n">
        <v>0.3333333333333333</v>
      </c>
      <c r="Q87" s="369" t="n">
        <v>0.3333333333333333</v>
      </c>
      <c r="R87" s="369" t="n">
        <v>0.3333333333333333</v>
      </c>
      <c r="S87" s="369" t="n">
        <v>0.3333333333333333</v>
      </c>
      <c r="T87" s="369" t="n">
        <v>0.3333333333333333</v>
      </c>
      <c r="U87" s="369" t="n">
        <v>0.3333333333333333</v>
      </c>
      <c r="V87" s="369" t="n">
        <v>0.3333333333333333</v>
      </c>
      <c r="W87" s="369" t="n">
        <v>0.3333333333333333</v>
      </c>
      <c r="X87" s="369" t="n">
        <v>0.3333333333333333</v>
      </c>
      <c r="Y87" s="369" t="n">
        <v>0.3333333333333333</v>
      </c>
      <c r="Z87" s="369" t="n">
        <v>0.3333333333333333</v>
      </c>
      <c r="AA87" s="369" t="n">
        <v>0.3333333333333333</v>
      </c>
      <c r="AB87" s="369" t="n">
        <v>0.3333333333333333</v>
      </c>
      <c r="AC87" s="369" t="n">
        <v>0.3333333333333333</v>
      </c>
      <c r="AD87" s="369" t="n">
        <v>0.3333333333333333</v>
      </c>
      <c r="AE87" s="369" t="n">
        <v>0.3333333333333333</v>
      </c>
      <c r="AF87" s="369" t="n">
        <v>0.3333333333333333</v>
      </c>
      <c r="AG87" s="369" t="n">
        <v>0.3333333333333333</v>
      </c>
      <c r="AH87" s="369" t="n">
        <v>0.3333333333333333</v>
      </c>
      <c r="AI87" s="369" t="n">
        <v>0.3333333333333333</v>
      </c>
      <c r="AJ87" s="517" t="n"/>
    </row>
    <row r="88">
      <c r="A88" s="310" t="n">
        <v>1</v>
      </c>
      <c r="B88" s="370" t="inlineStr">
        <is>
          <t>Basement:-2</t>
        </is>
      </c>
      <c r="C88" s="370" t="inlineStr">
        <is>
          <t>Liberty-170</t>
        </is>
      </c>
      <c r="D88" s="370" t="n">
        <v>3356</v>
      </c>
      <c r="E88" s="370" t="n">
        <v>3368</v>
      </c>
      <c r="F88" s="370" t="n">
        <v>3395</v>
      </c>
      <c r="G88" s="370" t="n">
        <v>3405</v>
      </c>
      <c r="H88" s="370" t="n">
        <v>3405</v>
      </c>
      <c r="I88" s="370" t="n">
        <v>3405</v>
      </c>
      <c r="J88" s="370" t="n">
        <v>3405</v>
      </c>
      <c r="K88" s="370" t="n">
        <v>3431</v>
      </c>
      <c r="L88" s="370" t="n">
        <v>3443</v>
      </c>
      <c r="M88" s="370" t="n">
        <v>3482</v>
      </c>
      <c r="N88" s="370" t="n">
        <v>3499</v>
      </c>
      <c r="O88" s="370" t="n">
        <v>3499</v>
      </c>
      <c r="P88" s="370" t="n">
        <v>3499</v>
      </c>
      <c r="Q88" s="370" t="n">
        <v>3499</v>
      </c>
      <c r="R88" s="370" t="n">
        <v>3524</v>
      </c>
      <c r="S88" s="370" t="n">
        <v>3532</v>
      </c>
      <c r="T88" s="370" t="n">
        <v>3532</v>
      </c>
      <c r="U88" s="370" t="n">
        <v>3560</v>
      </c>
      <c r="V88" s="370" t="n">
        <v>3560</v>
      </c>
      <c r="W88" s="370" t="n">
        <v>3560</v>
      </c>
      <c r="X88" s="370" t="n">
        <v>3587</v>
      </c>
      <c r="Y88" s="370" t="n">
        <v>3609</v>
      </c>
      <c r="Z88" s="370" t="n">
        <v>3609</v>
      </c>
      <c r="AA88" s="370" t="n">
        <v>3631</v>
      </c>
      <c r="AB88" s="370" t="n">
        <v>3678</v>
      </c>
      <c r="AC88" s="370" t="n">
        <v>3678</v>
      </c>
      <c r="AD88" s="370" t="n">
        <v>3678</v>
      </c>
      <c r="AE88" s="370" t="n">
        <v>3678</v>
      </c>
      <c r="AF88" s="370" t="n">
        <v>3715</v>
      </c>
      <c r="AG88" s="370" t="n">
        <v>3740</v>
      </c>
      <c r="AH88" s="370" t="n">
        <v>3781</v>
      </c>
      <c r="AI88" s="370" t="n">
        <v>3826</v>
      </c>
      <c r="AJ88" s="399" t="n"/>
    </row>
    <row r="89">
      <c r="A89" s="300" t="n"/>
      <c r="B89" s="300" t="n"/>
      <c r="C89" s="300" t="n"/>
      <c r="D89" s="300" t="n"/>
      <c r="E89" s="300" t="n"/>
      <c r="F89" s="300" t="n"/>
      <c r="G89" s="300" t="n"/>
      <c r="H89" s="300" t="n"/>
      <c r="I89" s="300" t="n"/>
      <c r="J89" s="300" t="n"/>
      <c r="K89" s="300" t="n"/>
      <c r="L89" s="300" t="n"/>
      <c r="M89" s="300" t="n"/>
      <c r="N89" s="300" t="n"/>
      <c r="O89" s="300" t="n"/>
      <c r="P89" s="300" t="n"/>
      <c r="Q89" s="300" t="n"/>
      <c r="R89" s="300" t="n"/>
      <c r="S89" s="300" t="n"/>
      <c r="T89" s="300" t="n"/>
      <c r="U89" s="300" t="n"/>
      <c r="V89" s="300" t="n"/>
      <c r="W89" s="300" t="n"/>
      <c r="X89" s="300" t="n"/>
      <c r="Y89" s="300" t="n"/>
      <c r="Z89" s="300" t="n"/>
      <c r="AA89" s="300" t="n"/>
      <c r="AB89" s="300" t="n"/>
      <c r="AC89" s="300" t="n"/>
      <c r="AD89" s="300" t="n"/>
      <c r="AE89" s="300" t="n"/>
      <c r="AF89" s="300" t="n"/>
      <c r="AG89" s="300" t="n"/>
      <c r="AH89" s="300" t="n"/>
      <c r="AI89" s="300" t="n"/>
    </row>
    <row r="90">
      <c r="A90" s="542" t="inlineStr">
        <is>
          <t>Sr.No</t>
        </is>
      </c>
      <c r="B90" s="542" t="inlineStr">
        <is>
          <t>Location</t>
        </is>
      </c>
      <c r="C90" s="542" t="inlineStr">
        <is>
          <t>Meter</t>
        </is>
      </c>
      <c r="D90" s="522" t="n"/>
      <c r="E90" s="352">
        <f>E84</f>
        <v/>
      </c>
      <c r="F90" s="352">
        <f>F84</f>
        <v/>
      </c>
      <c r="G90" s="352">
        <f>G84</f>
        <v/>
      </c>
      <c r="H90" s="352">
        <f>H84</f>
        <v/>
      </c>
      <c r="I90" s="352">
        <f>I84</f>
        <v/>
      </c>
      <c r="J90" s="352">
        <f>J84</f>
        <v/>
      </c>
      <c r="K90" s="352">
        <f>K84</f>
        <v/>
      </c>
      <c r="L90" s="352">
        <f>L84</f>
        <v/>
      </c>
      <c r="M90" s="352">
        <f>M84</f>
        <v/>
      </c>
      <c r="N90" s="352">
        <f>N84</f>
        <v/>
      </c>
      <c r="O90" s="352">
        <f>O84</f>
        <v/>
      </c>
      <c r="P90" s="352">
        <f>P84</f>
        <v/>
      </c>
      <c r="Q90" s="352">
        <f>Q84</f>
        <v/>
      </c>
      <c r="R90" s="352">
        <f>R84</f>
        <v/>
      </c>
      <c r="S90" s="352">
        <f>S84</f>
        <v/>
      </c>
      <c r="T90" s="352">
        <f>T84</f>
        <v/>
      </c>
      <c r="U90" s="352">
        <f>U84</f>
        <v/>
      </c>
      <c r="V90" s="352">
        <f>V84</f>
        <v/>
      </c>
      <c r="W90" s="352">
        <f>W84</f>
        <v/>
      </c>
      <c r="X90" s="352">
        <f>X84</f>
        <v/>
      </c>
      <c r="Y90" s="352">
        <f>Y84</f>
        <v/>
      </c>
      <c r="Z90" s="352">
        <f>Z84</f>
        <v/>
      </c>
      <c r="AA90" s="352">
        <f>AA84</f>
        <v/>
      </c>
      <c r="AB90" s="352">
        <f>AB84</f>
        <v/>
      </c>
      <c r="AC90" s="352">
        <f>AC84</f>
        <v/>
      </c>
      <c r="AD90" s="352">
        <f>AD84</f>
        <v/>
      </c>
      <c r="AE90" s="352">
        <f>AE84</f>
        <v/>
      </c>
      <c r="AF90" s="352">
        <f>AF84</f>
        <v/>
      </c>
      <c r="AG90" s="352">
        <f>AG84</f>
        <v/>
      </c>
      <c r="AH90" s="352">
        <f>AH84</f>
        <v/>
      </c>
      <c r="AI90" s="442" t="n"/>
      <c r="AJ90" s="542" t="inlineStr">
        <is>
          <t>Consumption</t>
        </is>
      </c>
    </row>
    <row r="91">
      <c r="A91" s="516" t="n"/>
      <c r="B91" s="516" t="n"/>
      <c r="C91" s="523" t="n"/>
      <c r="D91" s="524" t="n"/>
      <c r="E91" s="302" t="inlineStr">
        <is>
          <t>Fri</t>
        </is>
      </c>
      <c r="F91" s="302" t="inlineStr">
        <is>
          <t>Sat</t>
        </is>
      </c>
      <c r="G91" s="302" t="inlineStr">
        <is>
          <t>Sun</t>
        </is>
      </c>
      <c r="H91" s="302" t="inlineStr">
        <is>
          <t>Mon</t>
        </is>
      </c>
      <c r="I91" s="302" t="inlineStr">
        <is>
          <t>Tue</t>
        </is>
      </c>
      <c r="J91" s="302" t="inlineStr">
        <is>
          <t>Wed</t>
        </is>
      </c>
      <c r="K91" s="302" t="inlineStr">
        <is>
          <t>Thu</t>
        </is>
      </c>
      <c r="L91" s="302" t="inlineStr">
        <is>
          <t>Fri</t>
        </is>
      </c>
      <c r="M91" s="302" t="inlineStr">
        <is>
          <t>Sat</t>
        </is>
      </c>
      <c r="N91" s="302" t="inlineStr">
        <is>
          <t>Sun</t>
        </is>
      </c>
      <c r="O91" s="302" t="inlineStr">
        <is>
          <t>Mon</t>
        </is>
      </c>
      <c r="P91" s="302" t="inlineStr">
        <is>
          <t>Tue</t>
        </is>
      </c>
      <c r="Q91" s="302" t="inlineStr">
        <is>
          <t>Wed</t>
        </is>
      </c>
      <c r="R91" s="302" t="inlineStr">
        <is>
          <t>Thu</t>
        </is>
      </c>
      <c r="S91" s="302" t="inlineStr">
        <is>
          <t>Fri</t>
        </is>
      </c>
      <c r="T91" s="302" t="inlineStr">
        <is>
          <t>Sat</t>
        </is>
      </c>
      <c r="U91" s="302" t="inlineStr">
        <is>
          <t>Sun</t>
        </is>
      </c>
      <c r="V91" s="302" t="inlineStr">
        <is>
          <t>Mon</t>
        </is>
      </c>
      <c r="W91" s="302" t="inlineStr">
        <is>
          <t>Tue</t>
        </is>
      </c>
      <c r="X91" s="302" t="inlineStr">
        <is>
          <t>Wed</t>
        </is>
      </c>
      <c r="Y91" s="302" t="inlineStr">
        <is>
          <t>Thu</t>
        </is>
      </c>
      <c r="Z91" s="302" t="inlineStr">
        <is>
          <t>Fri</t>
        </is>
      </c>
      <c r="AA91" s="302" t="inlineStr">
        <is>
          <t>Sat</t>
        </is>
      </c>
      <c r="AB91" s="302" t="inlineStr">
        <is>
          <t>Sun</t>
        </is>
      </c>
      <c r="AC91" s="302" t="inlineStr">
        <is>
          <t>Mon</t>
        </is>
      </c>
      <c r="AD91" s="302" t="inlineStr">
        <is>
          <t>Tue</t>
        </is>
      </c>
      <c r="AE91" s="302" t="inlineStr">
        <is>
          <t>Wed</t>
        </is>
      </c>
      <c r="AF91" s="302" t="inlineStr">
        <is>
          <t>Thu</t>
        </is>
      </c>
      <c r="AG91" s="302" t="inlineStr">
        <is>
          <t>Fri</t>
        </is>
      </c>
      <c r="AH91" s="302" t="inlineStr">
        <is>
          <t>Sat</t>
        </is>
      </c>
      <c r="AI91" s="443" t="n"/>
      <c r="AJ91" s="516" t="n"/>
    </row>
    <row r="92">
      <c r="A92" s="516" t="n"/>
      <c r="B92" s="516" t="n"/>
      <c r="C92" s="523" t="n"/>
      <c r="D92" s="524" t="n"/>
      <c r="E92" s="353" t="inlineStr">
        <is>
          <t>Time</t>
        </is>
      </c>
      <c r="F92" s="353" t="inlineStr">
        <is>
          <t>Time</t>
        </is>
      </c>
      <c r="G92" s="353" t="inlineStr">
        <is>
          <t>Time</t>
        </is>
      </c>
      <c r="H92" s="353" t="inlineStr">
        <is>
          <t>Time</t>
        </is>
      </c>
      <c r="I92" s="353" t="inlineStr">
        <is>
          <t>Time</t>
        </is>
      </c>
      <c r="J92" s="353" t="inlineStr">
        <is>
          <t>Time</t>
        </is>
      </c>
      <c r="K92" s="353" t="inlineStr">
        <is>
          <t>Time</t>
        </is>
      </c>
      <c r="L92" s="353" t="inlineStr">
        <is>
          <t>Time</t>
        </is>
      </c>
      <c r="M92" s="353" t="inlineStr">
        <is>
          <t>Time</t>
        </is>
      </c>
      <c r="N92" s="353" t="inlineStr">
        <is>
          <t>Time</t>
        </is>
      </c>
      <c r="O92" s="353" t="inlineStr">
        <is>
          <t>Time</t>
        </is>
      </c>
      <c r="P92" s="353" t="inlineStr">
        <is>
          <t>Time</t>
        </is>
      </c>
      <c r="Q92" s="353" t="inlineStr">
        <is>
          <t>Time</t>
        </is>
      </c>
      <c r="R92" s="353" t="inlineStr">
        <is>
          <t>Time</t>
        </is>
      </c>
      <c r="S92" s="353" t="inlineStr">
        <is>
          <t>Time</t>
        </is>
      </c>
      <c r="T92" s="353" t="inlineStr">
        <is>
          <t>Time</t>
        </is>
      </c>
      <c r="U92" s="353" t="inlineStr">
        <is>
          <t>Time</t>
        </is>
      </c>
      <c r="V92" s="353" t="inlineStr">
        <is>
          <t>Time</t>
        </is>
      </c>
      <c r="W92" s="353" t="inlineStr">
        <is>
          <t>Time</t>
        </is>
      </c>
      <c r="X92" s="353" t="inlineStr">
        <is>
          <t>Time</t>
        </is>
      </c>
      <c r="Y92" s="353" t="inlineStr">
        <is>
          <t>Time</t>
        </is>
      </c>
      <c r="Z92" s="353" t="inlineStr">
        <is>
          <t>Time</t>
        </is>
      </c>
      <c r="AA92" s="353" t="inlineStr">
        <is>
          <t>Time</t>
        </is>
      </c>
      <c r="AB92" s="353" t="inlineStr">
        <is>
          <t>Time</t>
        </is>
      </c>
      <c r="AC92" s="353" t="inlineStr">
        <is>
          <t>Time</t>
        </is>
      </c>
      <c r="AD92" s="353" t="inlineStr">
        <is>
          <t>Time</t>
        </is>
      </c>
      <c r="AE92" s="353" t="inlineStr">
        <is>
          <t>Time</t>
        </is>
      </c>
      <c r="AF92" s="353" t="inlineStr">
        <is>
          <t>Time</t>
        </is>
      </c>
      <c r="AG92" s="353" t="inlineStr">
        <is>
          <t>Time</t>
        </is>
      </c>
      <c r="AH92" s="353" t="inlineStr">
        <is>
          <t>Time</t>
        </is>
      </c>
      <c r="AI92" s="444" t="n"/>
      <c r="AJ92" s="516" t="n"/>
    </row>
    <row r="93">
      <c r="A93" s="517" t="n"/>
      <c r="B93" s="517" t="n"/>
      <c r="C93" s="525" t="n"/>
      <c r="D93" s="526" t="n"/>
      <c r="E93" s="354" t="n">
        <v>0.3333333333333333</v>
      </c>
      <c r="F93" s="354" t="n">
        <v>0.3333333333333333</v>
      </c>
      <c r="G93" s="354" t="n">
        <v>0.3333333333333333</v>
      </c>
      <c r="H93" s="354" t="n">
        <v>0.3333333333333333</v>
      </c>
      <c r="I93" s="354" t="n">
        <v>0.3333333333333333</v>
      </c>
      <c r="J93" s="354" t="n">
        <v>0.3333333333333333</v>
      </c>
      <c r="K93" s="354" t="n">
        <v>0.3333333333333333</v>
      </c>
      <c r="L93" s="354" t="n">
        <v>0.3333333333333333</v>
      </c>
      <c r="M93" s="354" t="n">
        <v>0.3333333333333333</v>
      </c>
      <c r="N93" s="354" t="n">
        <v>0.3333333333333333</v>
      </c>
      <c r="O93" s="354" t="n">
        <v>0.3333333333333333</v>
      </c>
      <c r="P93" s="354" t="n">
        <v>0.3333333333333333</v>
      </c>
      <c r="Q93" s="354" t="n">
        <v>0.3333333333333333</v>
      </c>
      <c r="R93" s="354" t="n">
        <v>0.3333333333333333</v>
      </c>
      <c r="S93" s="354" t="n">
        <v>0.3333333333333333</v>
      </c>
      <c r="T93" s="354" t="n">
        <v>0.3333333333333333</v>
      </c>
      <c r="U93" s="354" t="n">
        <v>0.3333333333333333</v>
      </c>
      <c r="V93" s="354" t="n">
        <v>0.3333333333333333</v>
      </c>
      <c r="W93" s="354" t="n">
        <v>0.3333333333333333</v>
      </c>
      <c r="X93" s="354" t="n">
        <v>0.3333333333333333</v>
      </c>
      <c r="Y93" s="354" t="n">
        <v>0.3333333333333333</v>
      </c>
      <c r="Z93" s="354" t="n">
        <v>0.3333333333333333</v>
      </c>
      <c r="AA93" s="354" t="n">
        <v>0.3333333333333333</v>
      </c>
      <c r="AB93" s="354" t="n">
        <v>0.3333333333333333</v>
      </c>
      <c r="AC93" s="354" t="n">
        <v>0.3333333333333333</v>
      </c>
      <c r="AD93" s="354" t="n">
        <v>0.3333333333333333</v>
      </c>
      <c r="AE93" s="354" t="n">
        <v>0.3333333333333333</v>
      </c>
      <c r="AF93" s="354" t="n">
        <v>0.3333333333333333</v>
      </c>
      <c r="AG93" s="354" t="n">
        <v>0.3333333333333333</v>
      </c>
      <c r="AH93" s="354" t="n">
        <v>0.3333333333333333</v>
      </c>
      <c r="AI93" s="445" t="n"/>
      <c r="AJ93" s="517" t="n"/>
    </row>
    <row r="94">
      <c r="A94" s="558" t="n">
        <v>1</v>
      </c>
      <c r="B94" s="373" t="inlineStr">
        <is>
          <t>Basement:-2</t>
        </is>
      </c>
      <c r="C94" s="558" t="inlineStr">
        <is>
          <t>Liberty-170</t>
        </is>
      </c>
      <c r="D94" s="501" t="n"/>
      <c r="E94" s="355">
        <f>E88-D88</f>
        <v/>
      </c>
      <c r="F94" s="355">
        <f>F88-E88</f>
        <v/>
      </c>
      <c r="G94" s="355">
        <f>G88-F88</f>
        <v/>
      </c>
      <c r="H94" s="355">
        <f>H88-G88</f>
        <v/>
      </c>
      <c r="I94" s="355">
        <f>I88-H88</f>
        <v/>
      </c>
      <c r="J94" s="355">
        <f>J88-I88</f>
        <v/>
      </c>
      <c r="K94" s="355">
        <f>K88-J88</f>
        <v/>
      </c>
      <c r="L94" s="355">
        <f>L88-K88</f>
        <v/>
      </c>
      <c r="M94" s="355">
        <f>M88-L88</f>
        <v/>
      </c>
      <c r="N94" s="355">
        <f>N88-M88</f>
        <v/>
      </c>
      <c r="O94" s="355">
        <f>O88-N88</f>
        <v/>
      </c>
      <c r="P94" s="355">
        <f>P88-O88</f>
        <v/>
      </c>
      <c r="Q94" s="355">
        <f>Q88-P88</f>
        <v/>
      </c>
      <c r="R94" s="355">
        <f>R88-Q88</f>
        <v/>
      </c>
      <c r="S94" s="355">
        <f>S88-R88</f>
        <v/>
      </c>
      <c r="T94" s="355">
        <f>T88-S88</f>
        <v/>
      </c>
      <c r="U94" s="355">
        <f>U88-T88</f>
        <v/>
      </c>
      <c r="V94" s="355">
        <f>V88-U88</f>
        <v/>
      </c>
      <c r="W94" s="355">
        <f>W88-V88</f>
        <v/>
      </c>
      <c r="X94" s="355">
        <f>X88-W88</f>
        <v/>
      </c>
      <c r="Y94" s="355">
        <f>Y88-X88</f>
        <v/>
      </c>
      <c r="Z94" s="355">
        <f>Z88-Y88</f>
        <v/>
      </c>
      <c r="AA94" s="355">
        <f>AA88-Z88</f>
        <v/>
      </c>
      <c r="AB94" s="355">
        <f>AB88-AA88</f>
        <v/>
      </c>
      <c r="AC94" s="355">
        <f>AC88-AB88</f>
        <v/>
      </c>
      <c r="AD94" s="355">
        <f>AD88-AC88</f>
        <v/>
      </c>
      <c r="AE94" s="355">
        <f>AE88-AD88</f>
        <v/>
      </c>
      <c r="AF94" s="355">
        <f>AF88-AE88</f>
        <v/>
      </c>
      <c r="AG94" s="355">
        <f>AG88-AF88</f>
        <v/>
      </c>
      <c r="AH94" s="355">
        <f>AH88-AG88</f>
        <v/>
      </c>
      <c r="AI94" s="355" t="n">
        <v>45</v>
      </c>
      <c r="AJ94" s="355">
        <f>SUM(H94:AH94)</f>
        <v/>
      </c>
    </row>
  </sheetData>
  <mergeCells count="62">
    <mergeCell ref="C77:D77"/>
    <mergeCell ref="AJ40:AJ43"/>
    <mergeCell ref="D84:D87"/>
    <mergeCell ref="E83:AH83"/>
    <mergeCell ref="C62:D62"/>
    <mergeCell ref="C68:D68"/>
    <mergeCell ref="AJ90:AJ93"/>
    <mergeCell ref="C58:D58"/>
    <mergeCell ref="AI83:BL83"/>
    <mergeCell ref="C40:D43"/>
    <mergeCell ref="C45:D45"/>
    <mergeCell ref="AJ2:AJ5"/>
    <mergeCell ref="C74:D74"/>
    <mergeCell ref="C64:D64"/>
    <mergeCell ref="B2:B5"/>
    <mergeCell ref="A22:AH22"/>
    <mergeCell ref="B38:D38"/>
    <mergeCell ref="D2:D5"/>
    <mergeCell ref="C73:D73"/>
    <mergeCell ref="A90:A93"/>
    <mergeCell ref="A84:A87"/>
    <mergeCell ref="C84:C87"/>
    <mergeCell ref="C79:D79"/>
    <mergeCell ref="C90:D93"/>
    <mergeCell ref="C47:D47"/>
    <mergeCell ref="C54:D54"/>
    <mergeCell ref="A83:D83"/>
    <mergeCell ref="C94:D94"/>
    <mergeCell ref="C65:D65"/>
    <mergeCell ref="A36:AH37"/>
    <mergeCell ref="C55:D55"/>
    <mergeCell ref="C50:D50"/>
    <mergeCell ref="C75:D75"/>
    <mergeCell ref="C44:D44"/>
    <mergeCell ref="A31:AH31"/>
    <mergeCell ref="C56:D56"/>
    <mergeCell ref="A40:A43"/>
    <mergeCell ref="C59:D59"/>
    <mergeCell ref="B84:B87"/>
    <mergeCell ref="C46:D46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C72:D72"/>
    <mergeCell ref="C67:D67"/>
    <mergeCell ref="AJ84:AJ87"/>
    <mergeCell ref="C57:D57"/>
    <mergeCell ref="B90:B93"/>
    <mergeCell ref="C66:D66"/>
    <mergeCell ref="C53:D53"/>
    <mergeCell ref="B39:D39"/>
    <mergeCell ref="C78:D78"/>
    <mergeCell ref="C69:D69"/>
    <mergeCell ref="C49:D49"/>
    <mergeCell ref="A1:A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L94"/>
  <sheetViews>
    <sheetView workbookViewId="0">
      <selection activeCell="A1" sqref="A1"/>
    </sheetView>
  </sheetViews>
  <sheetFormatPr baseColWidth="8" defaultRowHeight="14.5"/>
  <cols>
    <col width="3.7265625" bestFit="1" customWidth="1" style="488" min="1" max="1"/>
    <col width="8.08984375" bestFit="1" customWidth="1" style="488" min="2" max="2"/>
    <col width="18.81640625" bestFit="1" customWidth="1" style="488" min="3" max="3"/>
    <col width="11.36328125" bestFit="1" customWidth="1" style="488" min="4" max="4"/>
    <col width="5.90625" bestFit="1" customWidth="1" style="488" min="5" max="34"/>
    <col width="6.81640625" bestFit="1" customWidth="1" style="488" min="35" max="35"/>
    <col width="8.36328125" bestFit="1" customWidth="1" style="488" min="36" max="36"/>
    <col width="14" customWidth="1" style="488" min="37" max="37"/>
    <col width="18" customWidth="1" style="488" min="38" max="38"/>
    <col width="14" customWidth="1" style="488" min="39" max="64"/>
  </cols>
  <sheetData>
    <row r="1" ht="21" customHeight="1" s="488">
      <c r="A1" s="556" t="inlineStr">
        <is>
          <t>AUGUST -  2026</t>
        </is>
      </c>
    </row>
    <row r="2">
      <c r="A2" s="550" t="inlineStr">
        <is>
          <t>Sr.No</t>
        </is>
      </c>
      <c r="B2" s="550" t="inlineStr">
        <is>
          <t>Location</t>
        </is>
      </c>
      <c r="C2" s="554" t="inlineStr">
        <is>
          <t>Meter</t>
        </is>
      </c>
      <c r="D2" s="543" t="inlineStr">
        <is>
          <t>Previous Reading</t>
        </is>
      </c>
      <c r="E2" s="301" t="n">
        <v>46235</v>
      </c>
      <c r="F2" s="301" t="n">
        <v>46236</v>
      </c>
      <c r="G2" s="301" t="n">
        <v>46237</v>
      </c>
      <c r="H2" s="301" t="n">
        <v>46238</v>
      </c>
      <c r="I2" s="301" t="n">
        <v>46239</v>
      </c>
      <c r="J2" s="301" t="n">
        <v>46240</v>
      </c>
      <c r="K2" s="301" t="n">
        <v>46241</v>
      </c>
      <c r="L2" s="301" t="n">
        <v>46242</v>
      </c>
      <c r="M2" s="301" t="n">
        <v>46243</v>
      </c>
      <c r="N2" s="301" t="n">
        <v>46244</v>
      </c>
      <c r="O2" s="301" t="n">
        <v>46245</v>
      </c>
      <c r="P2" s="301" t="n">
        <v>46246</v>
      </c>
      <c r="Q2" s="301" t="n">
        <v>46247</v>
      </c>
      <c r="R2" s="301" t="n">
        <v>46248</v>
      </c>
      <c r="S2" s="301" t="n">
        <v>46249</v>
      </c>
      <c r="T2" s="301" t="n">
        <v>46250</v>
      </c>
      <c r="U2" s="301" t="n">
        <v>46251</v>
      </c>
      <c r="V2" s="301" t="n">
        <v>46252</v>
      </c>
      <c r="W2" s="301" t="n">
        <v>46253</v>
      </c>
      <c r="X2" s="301" t="n">
        <v>46254</v>
      </c>
      <c r="Y2" s="301" t="n">
        <v>46255</v>
      </c>
      <c r="Z2" s="301" t="n">
        <v>46256</v>
      </c>
      <c r="AA2" s="301" t="n">
        <v>46257</v>
      </c>
      <c r="AB2" s="301" t="n">
        <v>46258</v>
      </c>
      <c r="AC2" s="301" t="n">
        <v>46259</v>
      </c>
      <c r="AD2" s="301" t="n">
        <v>46260</v>
      </c>
      <c r="AE2" s="301" t="n">
        <v>46261</v>
      </c>
      <c r="AF2" s="301" t="n">
        <v>46262</v>
      </c>
      <c r="AG2" s="301" t="n">
        <v>46263</v>
      </c>
      <c r="AH2" s="301" t="n">
        <v>46264</v>
      </c>
      <c r="AI2" s="301" t="n">
        <v>46265</v>
      </c>
      <c r="AJ2" s="548" t="inlineStr">
        <is>
          <t>Consumption</t>
        </is>
      </c>
    </row>
    <row r="3">
      <c r="A3" s="509" t="n"/>
      <c r="B3" s="509" t="n"/>
      <c r="C3" s="509" t="n"/>
      <c r="D3" s="509" t="n"/>
      <c r="E3" s="302" t="inlineStr">
        <is>
          <t>Sat</t>
        </is>
      </c>
      <c r="F3" s="302" t="inlineStr">
        <is>
          <t>Sun</t>
        </is>
      </c>
      <c r="G3" s="302" t="inlineStr">
        <is>
          <t>Mon</t>
        </is>
      </c>
      <c r="H3" s="302" t="inlineStr">
        <is>
          <t>Tue</t>
        </is>
      </c>
      <c r="I3" s="302" t="inlineStr">
        <is>
          <t>Wed</t>
        </is>
      </c>
      <c r="J3" s="302" t="inlineStr">
        <is>
          <t>Thu</t>
        </is>
      </c>
      <c r="K3" s="302" t="inlineStr">
        <is>
          <t>Fri</t>
        </is>
      </c>
      <c r="L3" s="302" t="inlineStr">
        <is>
          <t>Sat</t>
        </is>
      </c>
      <c r="M3" s="302" t="inlineStr">
        <is>
          <t>Sun</t>
        </is>
      </c>
      <c r="N3" s="302" t="inlineStr">
        <is>
          <t>Mon</t>
        </is>
      </c>
      <c r="O3" s="302" t="inlineStr">
        <is>
          <t>Tue</t>
        </is>
      </c>
      <c r="P3" s="302" t="inlineStr">
        <is>
          <t>Wed</t>
        </is>
      </c>
      <c r="Q3" s="302" t="inlineStr">
        <is>
          <t>Thu</t>
        </is>
      </c>
      <c r="R3" s="302" t="inlineStr">
        <is>
          <t>Fri</t>
        </is>
      </c>
      <c r="S3" s="302" t="inlineStr">
        <is>
          <t>Sat</t>
        </is>
      </c>
      <c r="T3" s="302" t="inlineStr">
        <is>
          <t>Sun</t>
        </is>
      </c>
      <c r="U3" s="302" t="inlineStr">
        <is>
          <t>Mon</t>
        </is>
      </c>
      <c r="V3" s="302" t="inlineStr">
        <is>
          <t>Tue</t>
        </is>
      </c>
      <c r="W3" s="302" t="inlineStr">
        <is>
          <t>Wed</t>
        </is>
      </c>
      <c r="X3" s="302" t="inlineStr">
        <is>
          <t>Thu</t>
        </is>
      </c>
      <c r="Y3" s="302" t="inlineStr">
        <is>
          <t>Fri</t>
        </is>
      </c>
      <c r="Z3" s="302" t="inlineStr">
        <is>
          <t>Sat</t>
        </is>
      </c>
      <c r="AA3" s="302" t="inlineStr">
        <is>
          <t>Sun</t>
        </is>
      </c>
      <c r="AB3" s="302" t="inlineStr">
        <is>
          <t>Mon</t>
        </is>
      </c>
      <c r="AC3" s="302" t="inlineStr">
        <is>
          <t>Tue</t>
        </is>
      </c>
      <c r="AD3" s="302" t="inlineStr">
        <is>
          <t>Wed</t>
        </is>
      </c>
      <c r="AE3" s="302" t="inlineStr">
        <is>
          <t>Thu</t>
        </is>
      </c>
      <c r="AF3" s="302" t="inlineStr">
        <is>
          <t>Fri</t>
        </is>
      </c>
      <c r="AG3" s="302" t="inlineStr">
        <is>
          <t>Sat</t>
        </is>
      </c>
      <c r="AH3" s="302" t="inlineStr">
        <is>
          <t>Sun</t>
        </is>
      </c>
      <c r="AI3" s="302" t="inlineStr">
        <is>
          <t>Mon</t>
        </is>
      </c>
      <c r="AJ3" s="509" t="n"/>
    </row>
    <row r="4">
      <c r="A4" s="509" t="n"/>
      <c r="B4" s="509" t="n"/>
      <c r="C4" s="509" t="n"/>
      <c r="D4" s="509" t="n"/>
      <c r="E4" s="622" t="inlineStr">
        <is>
          <t>Time</t>
        </is>
      </c>
      <c r="F4" s="622" t="inlineStr">
        <is>
          <t>Time</t>
        </is>
      </c>
      <c r="G4" s="622" t="inlineStr">
        <is>
          <t>Time</t>
        </is>
      </c>
      <c r="H4" s="622" t="inlineStr">
        <is>
          <t>Time</t>
        </is>
      </c>
      <c r="I4" s="622" t="inlineStr">
        <is>
          <t>Time</t>
        </is>
      </c>
      <c r="J4" s="622" t="inlineStr">
        <is>
          <t>Time</t>
        </is>
      </c>
      <c r="K4" s="622" t="inlineStr">
        <is>
          <t>Time</t>
        </is>
      </c>
      <c r="L4" s="622" t="inlineStr">
        <is>
          <t>Time</t>
        </is>
      </c>
      <c r="M4" s="622" t="inlineStr">
        <is>
          <t>Time</t>
        </is>
      </c>
      <c r="N4" s="622" t="inlineStr">
        <is>
          <t>Time</t>
        </is>
      </c>
      <c r="O4" s="622" t="inlineStr">
        <is>
          <t>Time</t>
        </is>
      </c>
      <c r="P4" s="622" t="inlineStr">
        <is>
          <t>Time</t>
        </is>
      </c>
      <c r="Q4" s="622" t="inlineStr">
        <is>
          <t>Time</t>
        </is>
      </c>
      <c r="R4" s="622" t="inlineStr">
        <is>
          <t>Time</t>
        </is>
      </c>
      <c r="S4" s="622" t="inlineStr">
        <is>
          <t>Time</t>
        </is>
      </c>
      <c r="T4" s="622" t="inlineStr">
        <is>
          <t>Time</t>
        </is>
      </c>
      <c r="U4" s="622" t="inlineStr">
        <is>
          <t>Time</t>
        </is>
      </c>
      <c r="V4" s="622" t="inlineStr">
        <is>
          <t>Time</t>
        </is>
      </c>
      <c r="W4" s="622" t="inlineStr">
        <is>
          <t>Time</t>
        </is>
      </c>
      <c r="X4" s="622" t="inlineStr">
        <is>
          <t>Time</t>
        </is>
      </c>
      <c r="Y4" s="622" t="inlineStr">
        <is>
          <t>Time</t>
        </is>
      </c>
      <c r="Z4" s="622" t="inlineStr">
        <is>
          <t>Time</t>
        </is>
      </c>
      <c r="AA4" s="622" t="inlineStr">
        <is>
          <t>Time</t>
        </is>
      </c>
      <c r="AB4" s="622" t="inlineStr">
        <is>
          <t>Time</t>
        </is>
      </c>
      <c r="AC4" s="622" t="inlineStr">
        <is>
          <t>Time</t>
        </is>
      </c>
      <c r="AD4" s="622" t="inlineStr">
        <is>
          <t>Time</t>
        </is>
      </c>
      <c r="AE4" s="622" t="inlineStr">
        <is>
          <t>Time</t>
        </is>
      </c>
      <c r="AF4" s="622" t="inlineStr">
        <is>
          <t>Time</t>
        </is>
      </c>
      <c r="AG4" s="622" t="inlineStr">
        <is>
          <t>Time</t>
        </is>
      </c>
      <c r="AH4" s="622" t="inlineStr">
        <is>
          <t>Time</t>
        </is>
      </c>
      <c r="AI4" s="622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304" t="n">
        <v>0.3333333333333333</v>
      </c>
      <c r="F5" s="304" t="n">
        <v>0.3333333333333333</v>
      </c>
      <c r="G5" s="304" t="n">
        <v>0.3333333333333333</v>
      </c>
      <c r="H5" s="304" t="n">
        <v>0.3333333333333333</v>
      </c>
      <c r="I5" s="304" t="n">
        <v>0.3333333333333333</v>
      </c>
      <c r="J5" s="304" t="n">
        <v>0.3333333333333333</v>
      </c>
      <c r="K5" s="304" t="n">
        <v>0.3333333333333333</v>
      </c>
      <c r="L5" s="304" t="n">
        <v>0.3333333333333333</v>
      </c>
      <c r="M5" s="304" t="n">
        <v>0.3333333333333333</v>
      </c>
      <c r="N5" s="304" t="n">
        <v>0.3333333333333333</v>
      </c>
      <c r="O5" s="304" t="n">
        <v>0.3333333333333333</v>
      </c>
      <c r="P5" s="304" t="n">
        <v>0.3333333333333333</v>
      </c>
      <c r="Q5" s="304" t="n">
        <v>0.3333333333333333</v>
      </c>
      <c r="R5" s="304" t="n">
        <v>0.3333333333333333</v>
      </c>
      <c r="S5" s="304" t="n">
        <v>0.3333333333333333</v>
      </c>
      <c r="T5" s="304" t="n">
        <v>0.3333333333333333</v>
      </c>
      <c r="U5" s="304" t="n">
        <v>0.3333333333333333</v>
      </c>
      <c r="V5" s="304" t="n">
        <v>0.3333333333333333</v>
      </c>
      <c r="W5" s="304" t="n">
        <v>0.3333333333333333</v>
      </c>
      <c r="X5" s="304" t="n">
        <v>0.3333333333333333</v>
      </c>
      <c r="Y5" s="304" t="n">
        <v>0.3333333333333333</v>
      </c>
      <c r="Z5" s="304" t="n">
        <v>0.3333333333333333</v>
      </c>
      <c r="AA5" s="304" t="n">
        <v>0.3333333333333333</v>
      </c>
      <c r="AB5" s="304" t="n">
        <v>0.3333333333333333</v>
      </c>
      <c r="AC5" s="304" t="n">
        <v>0.3333333333333333</v>
      </c>
      <c r="AD5" s="304" t="n">
        <v>0.3333333333333333</v>
      </c>
      <c r="AE5" s="304" t="n">
        <v>0.3333333333333333</v>
      </c>
      <c r="AF5" s="304" t="n">
        <v>0.3333333333333333</v>
      </c>
      <c r="AG5" s="304" t="n">
        <v>0.3333333333333333</v>
      </c>
      <c r="AH5" s="304" t="n">
        <v>0.3333333333333333</v>
      </c>
      <c r="AI5" s="304" t="n">
        <v>0.3333333333333333</v>
      </c>
      <c r="AJ5" s="510" t="n"/>
    </row>
    <row r="6">
      <c r="A6" s="305" t="n">
        <v>1</v>
      </c>
      <c r="B6" s="541" t="inlineStr">
        <is>
          <t>3F</t>
        </is>
      </c>
      <c r="C6" s="377" t="inlineStr">
        <is>
          <t>SL No 540430038840 (EB Unit)</t>
        </is>
      </c>
      <c r="D6" s="244" t="n">
        <v>217557</v>
      </c>
      <c r="E6" s="378" t="n">
        <v>210554</v>
      </c>
      <c r="F6" s="378" t="n">
        <v>210800</v>
      </c>
      <c r="G6" s="378" t="n">
        <v>211054</v>
      </c>
      <c r="H6" s="378" t="n">
        <v>211245</v>
      </c>
      <c r="I6" s="378" t="n">
        <v>211447</v>
      </c>
      <c r="J6" s="378" t="n">
        <v>211710</v>
      </c>
      <c r="K6" s="378" t="n">
        <v>211951</v>
      </c>
      <c r="L6" s="378" t="n">
        <v>212208</v>
      </c>
      <c r="M6" s="378" t="n">
        <v>212453</v>
      </c>
      <c r="N6" s="378" t="n">
        <v>212678</v>
      </c>
      <c r="O6" s="378" t="n">
        <v>212890</v>
      </c>
      <c r="P6" s="378" t="n">
        <v>213089</v>
      </c>
      <c r="Q6" s="378" t="n">
        <v>213341</v>
      </c>
      <c r="R6" s="378" t="n">
        <v>213595</v>
      </c>
      <c r="S6" s="378" t="n">
        <v>213844</v>
      </c>
      <c r="T6" s="378" t="n">
        <v>214099</v>
      </c>
      <c r="U6" s="378" t="n">
        <v>214346</v>
      </c>
      <c r="V6" s="378" t="n">
        <v>214550</v>
      </c>
      <c r="W6" s="378" t="n">
        <v>214746</v>
      </c>
      <c r="X6" s="378" t="n">
        <v>214991</v>
      </c>
      <c r="Y6" s="378" t="n">
        <v>215245</v>
      </c>
      <c r="Z6" s="378" t="n">
        <v>215310</v>
      </c>
      <c r="AA6" s="378" t="n">
        <v>215762</v>
      </c>
      <c r="AB6" s="378" t="n">
        <v>215959</v>
      </c>
      <c r="AC6" s="378" t="n">
        <v>216204</v>
      </c>
      <c r="AD6" s="378" t="n">
        <v>216400</v>
      </c>
      <c r="AE6" s="378" t="n">
        <v>216663</v>
      </c>
      <c r="AF6" s="378" t="n">
        <v>216907</v>
      </c>
      <c r="AG6" s="437" t="n">
        <v>217151</v>
      </c>
      <c r="AH6" s="437" t="n">
        <v>217410</v>
      </c>
      <c r="AI6" s="184" t="n">
        <v>217557</v>
      </c>
      <c r="AJ6" s="314">
        <f>AI6-D6</f>
        <v/>
      </c>
    </row>
    <row r="7">
      <c r="A7" s="315" t="n"/>
      <c r="B7" s="315" t="n"/>
      <c r="C7" s="325" t="inlineStr">
        <is>
          <t>DG</t>
        </is>
      </c>
      <c r="D7" s="244" t="n">
        <v>4486</v>
      </c>
      <c r="E7" s="378" t="n">
        <v>4486</v>
      </c>
      <c r="F7" s="305" t="n">
        <v>4486</v>
      </c>
      <c r="G7" s="305" t="n">
        <v>4486</v>
      </c>
      <c r="H7" s="305" t="n">
        <v>4486</v>
      </c>
      <c r="I7" s="305" t="n">
        <v>4486</v>
      </c>
      <c r="J7" s="305" t="n">
        <v>4486</v>
      </c>
      <c r="K7" s="305" t="n">
        <v>4486</v>
      </c>
      <c r="L7" s="305" t="n">
        <v>4486</v>
      </c>
      <c r="M7" s="305" t="n">
        <v>4486</v>
      </c>
      <c r="N7" s="305" t="n">
        <v>4486</v>
      </c>
      <c r="O7" s="305" t="n">
        <v>4486</v>
      </c>
      <c r="P7" s="305" t="n">
        <v>4486</v>
      </c>
      <c r="Q7" s="305" t="n">
        <v>4486</v>
      </c>
      <c r="R7" s="318" t="n">
        <v>4486</v>
      </c>
      <c r="S7" s="318" t="n">
        <v>4486</v>
      </c>
      <c r="T7" s="318" t="n">
        <v>4486</v>
      </c>
      <c r="U7" s="318" t="n">
        <v>4486</v>
      </c>
      <c r="V7" s="318" t="n">
        <v>4486</v>
      </c>
      <c r="W7" s="318" t="n">
        <v>4486</v>
      </c>
      <c r="X7" s="315" t="n">
        <v>4486</v>
      </c>
      <c r="Y7" s="315" t="n">
        <v>4486</v>
      </c>
      <c r="Z7" s="315" t="n">
        <v>4486</v>
      </c>
      <c r="AA7" s="315" t="n">
        <v>4486</v>
      </c>
      <c r="AB7" s="315" t="n">
        <v>4486</v>
      </c>
      <c r="AC7" s="315" t="n">
        <v>4486</v>
      </c>
      <c r="AD7" s="315" t="n">
        <v>4486</v>
      </c>
      <c r="AE7" s="315" t="n">
        <v>4486</v>
      </c>
      <c r="AF7" s="315" t="n">
        <v>4486</v>
      </c>
      <c r="AG7" s="315" t="n">
        <v>4486</v>
      </c>
      <c r="AH7" s="437" t="n">
        <v>4486</v>
      </c>
      <c r="AI7" s="184" t="n">
        <v>4486</v>
      </c>
      <c r="AJ7" s="314">
        <f>AI7-D7</f>
        <v/>
      </c>
    </row>
    <row r="8">
      <c r="A8" s="541" t="n">
        <v>2</v>
      </c>
      <c r="B8" s="541" t="inlineStr">
        <is>
          <t>3F</t>
        </is>
      </c>
      <c r="C8" s="322" t="inlineStr">
        <is>
          <t>SL No 540430038845 (EB Unit)</t>
        </is>
      </c>
      <c r="D8" s="244" t="n">
        <v>1956</v>
      </c>
      <c r="E8" s="378" t="n">
        <v>1956</v>
      </c>
      <c r="F8" s="378" t="n">
        <v>1956</v>
      </c>
      <c r="G8" s="378" t="n">
        <v>1956</v>
      </c>
      <c r="H8" s="305" t="n">
        <v>1956</v>
      </c>
      <c r="I8" s="305" t="n">
        <v>1956</v>
      </c>
      <c r="J8" s="305" t="n">
        <v>1956</v>
      </c>
      <c r="K8" s="305" t="n">
        <v>1956</v>
      </c>
      <c r="L8" s="305" t="n">
        <v>1956</v>
      </c>
      <c r="M8" s="305" t="n">
        <v>1956</v>
      </c>
      <c r="N8" s="305" t="n">
        <v>1956</v>
      </c>
      <c r="O8" s="305" t="n">
        <v>1956</v>
      </c>
      <c r="P8" s="305" t="n">
        <v>1956</v>
      </c>
      <c r="Q8" s="305" t="n">
        <v>1956</v>
      </c>
      <c r="R8" s="541" t="n">
        <v>1956</v>
      </c>
      <c r="S8" s="541" t="n">
        <v>1956</v>
      </c>
      <c r="T8" s="541" t="n">
        <v>1956</v>
      </c>
      <c r="U8" s="541" t="n">
        <v>1956</v>
      </c>
      <c r="V8" s="541" t="n">
        <v>1956</v>
      </c>
      <c r="W8" s="541" t="n">
        <v>1956</v>
      </c>
      <c r="X8" s="541" t="n">
        <v>1956</v>
      </c>
      <c r="Y8" s="541" t="n">
        <v>1956</v>
      </c>
      <c r="Z8" s="541" t="n">
        <v>1956</v>
      </c>
      <c r="AA8" s="541" t="n">
        <v>1956</v>
      </c>
      <c r="AB8" s="541" t="n">
        <v>1956</v>
      </c>
      <c r="AC8" s="541" t="n">
        <v>1956</v>
      </c>
      <c r="AD8" s="541" t="n">
        <v>1956</v>
      </c>
      <c r="AE8" s="541" t="n">
        <v>1956</v>
      </c>
      <c r="AF8" s="541" t="n">
        <v>1956</v>
      </c>
      <c r="AG8" s="541" t="n">
        <v>1956</v>
      </c>
      <c r="AH8" s="437" t="n">
        <v>1956</v>
      </c>
      <c r="AI8" s="184" t="n">
        <v>1956</v>
      </c>
      <c r="AJ8" s="314">
        <f>AI8-D8</f>
        <v/>
      </c>
    </row>
    <row r="9">
      <c r="A9" s="541" t="n"/>
      <c r="B9" s="541" t="n"/>
      <c r="C9" s="325" t="inlineStr">
        <is>
          <t>DG</t>
        </is>
      </c>
      <c r="D9" s="244" t="n">
        <v>28.6</v>
      </c>
      <c r="E9" s="378" t="n">
        <v>28.6</v>
      </c>
      <c r="F9" s="378" t="n">
        <v>28.6</v>
      </c>
      <c r="G9" s="378" t="n">
        <v>28.6</v>
      </c>
      <c r="H9" s="305" t="n">
        <v>28.6</v>
      </c>
      <c r="I9" s="305" t="n">
        <v>28.6</v>
      </c>
      <c r="J9" s="305" t="n">
        <v>28.6</v>
      </c>
      <c r="K9" s="305" t="n">
        <v>28.6</v>
      </c>
      <c r="L9" s="305" t="n">
        <v>28.6</v>
      </c>
      <c r="M9" s="305" t="n">
        <v>28.6</v>
      </c>
      <c r="N9" s="305" t="n">
        <v>28.6</v>
      </c>
      <c r="O9" s="305" t="n">
        <v>28.6</v>
      </c>
      <c r="P9" s="305" t="n">
        <v>28.6</v>
      </c>
      <c r="Q9" s="305" t="n">
        <v>28.6</v>
      </c>
      <c r="R9" s="309" t="n">
        <v>28.6</v>
      </c>
      <c r="S9" s="309" t="n">
        <v>28.6</v>
      </c>
      <c r="T9" s="309" t="n">
        <v>28.6</v>
      </c>
      <c r="U9" s="309" t="n">
        <v>28.6</v>
      </c>
      <c r="V9" s="309" t="n">
        <v>28.6</v>
      </c>
      <c r="W9" s="309" t="n">
        <v>28.6</v>
      </c>
      <c r="X9" s="541" t="n">
        <v>28.6</v>
      </c>
      <c r="Y9" s="541" t="n">
        <v>28.6</v>
      </c>
      <c r="Z9" s="541" t="n">
        <v>28.6</v>
      </c>
      <c r="AA9" s="541" t="n">
        <v>28.6</v>
      </c>
      <c r="AB9" s="541" t="n">
        <v>28.6</v>
      </c>
      <c r="AC9" s="541" t="n">
        <v>28.6</v>
      </c>
      <c r="AD9" s="541" t="n">
        <v>28.6</v>
      </c>
      <c r="AE9" s="541" t="n">
        <v>28.6</v>
      </c>
      <c r="AF9" s="541" t="n">
        <v>28.6</v>
      </c>
      <c r="AG9" s="541" t="n">
        <v>28.6</v>
      </c>
      <c r="AH9" s="437" t="n">
        <v>28.6</v>
      </c>
      <c r="AI9" s="184" t="n">
        <v>28.6</v>
      </c>
      <c r="AJ9" s="314">
        <f>AI9-D9</f>
        <v/>
      </c>
    </row>
    <row r="10">
      <c r="A10" s="541" t="n">
        <v>3</v>
      </c>
      <c r="B10" s="541" t="inlineStr">
        <is>
          <t>3F</t>
        </is>
      </c>
      <c r="C10" s="322" t="inlineStr">
        <is>
          <t>SL No 540430038844 (EB Unit)</t>
        </is>
      </c>
      <c r="D10" s="237" t="n">
        <v>314041</v>
      </c>
      <c r="E10" s="330" t="n">
        <v>304225</v>
      </c>
      <c r="F10" s="331" t="n">
        <v>304577</v>
      </c>
      <c r="G10" s="331" t="n">
        <v>304934</v>
      </c>
      <c r="H10" s="331" t="n">
        <v>305189</v>
      </c>
      <c r="I10" s="331" t="n">
        <v>305452</v>
      </c>
      <c r="J10" s="541" t="n">
        <v>305826</v>
      </c>
      <c r="K10" s="541" t="n">
        <v>306176</v>
      </c>
      <c r="L10" s="541" t="n">
        <v>306539</v>
      </c>
      <c r="M10" s="541" t="n">
        <v>306885</v>
      </c>
      <c r="N10" s="541" t="n">
        <v>307205</v>
      </c>
      <c r="O10" s="541" t="n">
        <v>307484</v>
      </c>
      <c r="P10" s="541" t="n">
        <v>307743</v>
      </c>
      <c r="Q10" s="541" t="n">
        <v>308105</v>
      </c>
      <c r="R10" s="541" t="n">
        <v>308467</v>
      </c>
      <c r="S10" s="541" t="n">
        <v>308830</v>
      </c>
      <c r="T10" s="541" t="n">
        <v>309196</v>
      </c>
      <c r="U10" s="541" t="n">
        <v>309540</v>
      </c>
      <c r="V10" s="541" t="n">
        <v>309816</v>
      </c>
      <c r="W10" s="541" t="n">
        <v>310071</v>
      </c>
      <c r="X10" s="541" t="n">
        <v>310418</v>
      </c>
      <c r="Y10" s="541" t="n">
        <v>310784</v>
      </c>
      <c r="Z10" s="541" t="n">
        <v>311167</v>
      </c>
      <c r="AA10" s="309" t="n">
        <v>311529</v>
      </c>
      <c r="AB10" s="315" t="n">
        <v>311864</v>
      </c>
      <c r="AC10" s="315" t="n">
        <v>312133</v>
      </c>
      <c r="AD10" s="315" t="n">
        <v>312389</v>
      </c>
      <c r="AE10" s="318" t="n">
        <v>312762</v>
      </c>
      <c r="AF10" s="318" t="n">
        <v>313109</v>
      </c>
      <c r="AG10" s="390" t="n">
        <v>313457</v>
      </c>
      <c r="AH10" s="437" t="n">
        <v>313830</v>
      </c>
      <c r="AI10" s="184" t="n">
        <v>314041</v>
      </c>
      <c r="AJ10" s="314">
        <f>AI10-D10</f>
        <v/>
      </c>
    </row>
    <row r="11">
      <c r="A11" s="541" t="n"/>
      <c r="B11" s="541" t="n"/>
      <c r="C11" s="325" t="inlineStr">
        <is>
          <t>DG</t>
        </is>
      </c>
      <c r="D11" s="244" t="n">
        <v>6713</v>
      </c>
      <c r="E11" s="378" t="n">
        <v>6713</v>
      </c>
      <c r="F11" s="305" t="n">
        <v>6713</v>
      </c>
      <c r="G11" s="305" t="n">
        <v>6713</v>
      </c>
      <c r="H11" s="305" t="n">
        <v>6713</v>
      </c>
      <c r="I11" s="305" t="n">
        <v>6713</v>
      </c>
      <c r="J11" s="305" t="n">
        <v>6713</v>
      </c>
      <c r="K11" s="305" t="n">
        <v>6713</v>
      </c>
      <c r="L11" s="305" t="n">
        <v>6713</v>
      </c>
      <c r="M11" s="305" t="n">
        <v>6713</v>
      </c>
      <c r="N11" s="305" t="n">
        <v>6713</v>
      </c>
      <c r="O11" s="305" t="n">
        <v>6713</v>
      </c>
      <c r="P11" s="305" t="n">
        <v>6713</v>
      </c>
      <c r="Q11" s="305" t="n">
        <v>6713</v>
      </c>
      <c r="R11" s="309" t="n">
        <v>6713</v>
      </c>
      <c r="S11" s="309" t="n">
        <v>6713</v>
      </c>
      <c r="T11" s="309" t="n">
        <v>6713</v>
      </c>
      <c r="U11" s="309" t="n">
        <v>6713</v>
      </c>
      <c r="V11" s="309" t="n">
        <v>6713</v>
      </c>
      <c r="W11" s="309" t="n">
        <v>6713</v>
      </c>
      <c r="X11" s="541" t="n">
        <v>6713</v>
      </c>
      <c r="Y11" s="541" t="n">
        <v>6713</v>
      </c>
      <c r="Z11" s="541" t="n">
        <v>6713</v>
      </c>
      <c r="AA11" s="541" t="n">
        <v>6713</v>
      </c>
      <c r="AB11" s="541" t="n">
        <v>6713</v>
      </c>
      <c r="AC11" s="541" t="n">
        <v>6713</v>
      </c>
      <c r="AD11" s="541" t="n">
        <v>6713</v>
      </c>
      <c r="AE11" s="541" t="n">
        <v>6713</v>
      </c>
      <c r="AF11" s="541" t="n">
        <v>6713</v>
      </c>
      <c r="AG11" s="541" t="n">
        <v>6713</v>
      </c>
      <c r="AH11" s="437" t="n">
        <v>6713</v>
      </c>
      <c r="AI11" s="184" t="n">
        <v>6713</v>
      </c>
      <c r="AJ11" s="314">
        <f>AI11-D11</f>
        <v/>
      </c>
    </row>
    <row r="12">
      <c r="A12" s="541" t="n">
        <v>4</v>
      </c>
      <c r="B12" s="541" t="inlineStr">
        <is>
          <t>3F</t>
        </is>
      </c>
      <c r="C12" s="322" t="inlineStr">
        <is>
          <t>SL No 540430038821 (EB Unit)</t>
        </is>
      </c>
      <c r="D12" s="244" t="n">
        <v>0</v>
      </c>
      <c r="E12" s="378" t="n">
        <v>0</v>
      </c>
      <c r="F12" s="378" t="n">
        <v>0</v>
      </c>
      <c r="G12" s="378" t="n">
        <v>0</v>
      </c>
      <c r="H12" s="305" t="n">
        <v>0</v>
      </c>
      <c r="I12" s="305" t="n">
        <v>0</v>
      </c>
      <c r="J12" s="305" t="n">
        <v>0</v>
      </c>
      <c r="K12" s="305" t="n">
        <v>0</v>
      </c>
      <c r="L12" s="305" t="n">
        <v>0</v>
      </c>
      <c r="M12" s="305" t="n">
        <v>0</v>
      </c>
      <c r="N12" s="305" t="n">
        <v>0</v>
      </c>
      <c r="O12" s="305" t="n">
        <v>0</v>
      </c>
      <c r="P12" s="305" t="n">
        <v>0</v>
      </c>
      <c r="Q12" s="305" t="n">
        <v>0</v>
      </c>
      <c r="R12" s="541" t="n">
        <v>0</v>
      </c>
      <c r="S12" s="541" t="n">
        <v>0</v>
      </c>
      <c r="T12" s="541" t="n">
        <v>0</v>
      </c>
      <c r="U12" s="541" t="n">
        <v>0</v>
      </c>
      <c r="V12" s="541" t="n">
        <v>0</v>
      </c>
      <c r="W12" s="541" t="n">
        <v>0</v>
      </c>
      <c r="X12" s="541" t="n">
        <v>0</v>
      </c>
      <c r="Y12" s="541" t="n">
        <v>0</v>
      </c>
      <c r="Z12" s="541" t="n">
        <v>0</v>
      </c>
      <c r="AA12" s="541" t="n">
        <v>0</v>
      </c>
      <c r="AB12" s="541" t="n">
        <v>0</v>
      </c>
      <c r="AC12" s="541" t="n">
        <v>0</v>
      </c>
      <c r="AD12" s="541" t="n">
        <v>0</v>
      </c>
      <c r="AE12" s="541" t="n">
        <v>0</v>
      </c>
      <c r="AF12" s="541" t="n">
        <v>0</v>
      </c>
      <c r="AG12" s="541" t="n">
        <v>0</v>
      </c>
      <c r="AH12" s="437" t="n">
        <v>0</v>
      </c>
      <c r="AI12" s="184" t="n">
        <v>0</v>
      </c>
      <c r="AJ12" s="314">
        <f>AI12-D12</f>
        <v/>
      </c>
    </row>
    <row r="13">
      <c r="A13" s="541" t="n"/>
      <c r="B13" s="541" t="n"/>
      <c r="C13" s="325" t="inlineStr">
        <is>
          <t>DG</t>
        </is>
      </c>
      <c r="D13" s="244" t="n">
        <v>0</v>
      </c>
      <c r="E13" s="378" t="n">
        <v>0</v>
      </c>
      <c r="F13" s="378" t="n">
        <v>0</v>
      </c>
      <c r="G13" s="378" t="n">
        <v>0</v>
      </c>
      <c r="H13" s="305" t="n">
        <v>0</v>
      </c>
      <c r="I13" s="305" t="n">
        <v>0</v>
      </c>
      <c r="J13" s="305" t="n">
        <v>0</v>
      </c>
      <c r="K13" s="305" t="n">
        <v>0</v>
      </c>
      <c r="L13" s="305" t="n">
        <v>0</v>
      </c>
      <c r="M13" s="305" t="n">
        <v>0</v>
      </c>
      <c r="N13" s="305" t="n">
        <v>0</v>
      </c>
      <c r="O13" s="305" t="n">
        <v>0</v>
      </c>
      <c r="P13" s="305" t="n">
        <v>0</v>
      </c>
      <c r="Q13" s="305" t="n">
        <v>0</v>
      </c>
      <c r="R13" s="541" t="n">
        <v>0</v>
      </c>
      <c r="S13" s="541" t="n">
        <v>0</v>
      </c>
      <c r="T13" s="541" t="n">
        <v>0</v>
      </c>
      <c r="U13" s="541" t="n">
        <v>0</v>
      </c>
      <c r="V13" s="541" t="n">
        <v>0</v>
      </c>
      <c r="W13" s="541" t="n">
        <v>0</v>
      </c>
      <c r="X13" s="541" t="n">
        <v>0</v>
      </c>
      <c r="Y13" s="541" t="n">
        <v>0</v>
      </c>
      <c r="Z13" s="541" t="n">
        <v>0</v>
      </c>
      <c r="AA13" s="541" t="n">
        <v>0</v>
      </c>
      <c r="AB13" s="541" t="n">
        <v>0</v>
      </c>
      <c r="AC13" s="541" t="n">
        <v>0</v>
      </c>
      <c r="AD13" s="541" t="n">
        <v>0</v>
      </c>
      <c r="AE13" s="541" t="n">
        <v>0</v>
      </c>
      <c r="AF13" s="541" t="n">
        <v>0</v>
      </c>
      <c r="AG13" s="541" t="n">
        <v>0</v>
      </c>
      <c r="AH13" s="437" t="n">
        <v>0</v>
      </c>
      <c r="AI13" s="184" t="n">
        <v>0</v>
      </c>
      <c r="AJ13" s="314">
        <f>AI13-D13</f>
        <v/>
      </c>
    </row>
    <row r="14">
      <c r="A14" s="541" t="n">
        <v>5</v>
      </c>
      <c r="B14" s="541" t="inlineStr">
        <is>
          <t>3F</t>
        </is>
      </c>
      <c r="C14" s="322" t="inlineStr">
        <is>
          <t>SL No 540430038849 (EB Unit)</t>
        </is>
      </c>
      <c r="D14" s="237" t="n">
        <v>166606</v>
      </c>
      <c r="E14" s="335" t="n">
        <v>161040</v>
      </c>
      <c r="F14" s="315" t="n">
        <v>161246</v>
      </c>
      <c r="G14" s="315" t="n">
        <v>161453</v>
      </c>
      <c r="H14" s="315" t="n">
        <v>161591</v>
      </c>
      <c r="I14" s="315" t="n">
        <v>161720</v>
      </c>
      <c r="J14" s="541" t="n">
        <v>161940</v>
      </c>
      <c r="K14" s="541" t="n">
        <v>162137</v>
      </c>
      <c r="L14" s="541" t="n">
        <v>162342</v>
      </c>
      <c r="M14" s="541" t="n">
        <v>162539</v>
      </c>
      <c r="N14" s="541" t="n">
        <v>162725</v>
      </c>
      <c r="O14" s="541" t="n">
        <v>162874</v>
      </c>
      <c r="P14" s="541" t="n">
        <v>163000</v>
      </c>
      <c r="Q14" s="541" t="n">
        <v>163202</v>
      </c>
      <c r="R14" s="541" t="n">
        <v>163405</v>
      </c>
      <c r="S14" s="541" t="n">
        <v>163616</v>
      </c>
      <c r="T14" s="541" t="n">
        <v>163823</v>
      </c>
      <c r="U14" s="328" t="n">
        <v>164025</v>
      </c>
      <c r="V14" s="541" t="n">
        <v>164153</v>
      </c>
      <c r="W14" s="541" t="n">
        <v>164260</v>
      </c>
      <c r="X14" s="541" t="n">
        <v>164468</v>
      </c>
      <c r="Y14" s="541" t="n">
        <v>164682</v>
      </c>
      <c r="Z14" s="541" t="n">
        <v>164682</v>
      </c>
      <c r="AA14" s="309" t="n">
        <v>165121</v>
      </c>
      <c r="AB14" s="328" t="n">
        <v>165322</v>
      </c>
      <c r="AC14" s="328" t="n">
        <v>165471</v>
      </c>
      <c r="AD14" s="328" t="n">
        <v>165600</v>
      </c>
      <c r="AE14" s="551" t="n">
        <v>165829</v>
      </c>
      <c r="AF14" s="551" t="n">
        <v>166037</v>
      </c>
      <c r="AG14" s="390" t="n">
        <v>166254</v>
      </c>
      <c r="AH14" s="437" t="n">
        <v>166475</v>
      </c>
      <c r="AI14" s="184" t="n">
        <v>166606</v>
      </c>
      <c r="AJ14" s="314">
        <f>AI14-D14</f>
        <v/>
      </c>
    </row>
    <row r="15">
      <c r="A15" s="541" t="n"/>
      <c r="B15" s="541" t="n"/>
      <c r="C15" s="325" t="inlineStr">
        <is>
          <t>DG</t>
        </is>
      </c>
      <c r="D15" s="244" t="n">
        <v>3459</v>
      </c>
      <c r="E15" s="330" t="n">
        <v>3459</v>
      </c>
      <c r="F15" s="330" t="n">
        <v>3459</v>
      </c>
      <c r="G15" s="330" t="n">
        <v>3459</v>
      </c>
      <c r="H15" s="330" t="n">
        <v>3459</v>
      </c>
      <c r="I15" s="330" t="n">
        <v>3459</v>
      </c>
      <c r="J15" s="330" t="n">
        <v>3459</v>
      </c>
      <c r="K15" s="330" t="n">
        <v>3459</v>
      </c>
      <c r="L15" s="330" t="n">
        <v>3459</v>
      </c>
      <c r="M15" s="330" t="n">
        <v>3459</v>
      </c>
      <c r="N15" s="330" t="n">
        <v>3459</v>
      </c>
      <c r="O15" s="330" t="n">
        <v>3459</v>
      </c>
      <c r="P15" s="330" t="n">
        <v>3459</v>
      </c>
      <c r="Q15" s="330" t="n">
        <v>3459</v>
      </c>
      <c r="R15" s="330" t="n">
        <v>3459</v>
      </c>
      <c r="S15" s="330" t="n">
        <v>3459</v>
      </c>
      <c r="T15" s="330" t="n">
        <v>3459</v>
      </c>
      <c r="U15" s="330" t="n">
        <v>3459</v>
      </c>
      <c r="V15" s="330" t="n">
        <v>3459</v>
      </c>
      <c r="W15" s="330" t="n">
        <v>3459</v>
      </c>
      <c r="X15" s="331" t="n">
        <v>3459</v>
      </c>
      <c r="Y15" s="331" t="n">
        <v>3459</v>
      </c>
      <c r="Z15" s="331" t="n">
        <v>3459</v>
      </c>
      <c r="AA15" s="331" t="n">
        <v>3459</v>
      </c>
      <c r="AB15" s="331" t="n">
        <v>3459</v>
      </c>
      <c r="AC15" s="331" t="n">
        <v>3459</v>
      </c>
      <c r="AD15" s="331" t="n">
        <v>3459</v>
      </c>
      <c r="AE15" s="331" t="n">
        <v>3459</v>
      </c>
      <c r="AF15" s="331" t="n">
        <v>3459</v>
      </c>
      <c r="AG15" s="331" t="n">
        <v>3459</v>
      </c>
      <c r="AH15" s="437" t="n">
        <v>3459</v>
      </c>
      <c r="AI15" s="184" t="n">
        <v>3459</v>
      </c>
      <c r="AJ15" s="314">
        <f>AI15-D15</f>
        <v/>
      </c>
    </row>
    <row r="16">
      <c r="A16" s="541" t="n">
        <v>6</v>
      </c>
      <c r="B16" s="541" t="inlineStr">
        <is>
          <t>3F</t>
        </is>
      </c>
      <c r="C16" s="322" t="inlineStr">
        <is>
          <t>SL No 540430038646 (EB Unit)</t>
        </is>
      </c>
      <c r="D16" s="237" t="n">
        <v>186794</v>
      </c>
      <c r="E16" s="332" t="n">
        <v>180108</v>
      </c>
      <c r="F16" s="309" t="n">
        <v>180355</v>
      </c>
      <c r="G16" s="305" t="n">
        <v>180610</v>
      </c>
      <c r="H16" s="311" t="n">
        <v>180732</v>
      </c>
      <c r="I16" s="541" t="n">
        <v>180853</v>
      </c>
      <c r="J16" s="541" t="n">
        <v>181122</v>
      </c>
      <c r="K16" s="309" t="n">
        <v>181389</v>
      </c>
      <c r="L16" s="333" t="n">
        <v>181656</v>
      </c>
      <c r="M16" s="310" t="n">
        <v>181902</v>
      </c>
      <c r="N16" s="310" t="n">
        <v>182148</v>
      </c>
      <c r="O16" s="310" t="n">
        <v>182302</v>
      </c>
      <c r="P16" s="310" t="n">
        <v>182423</v>
      </c>
      <c r="Q16" s="334" t="n">
        <v>182697</v>
      </c>
      <c r="R16" s="310" t="n">
        <v>182975</v>
      </c>
      <c r="S16" s="311" t="n">
        <v>183255</v>
      </c>
      <c r="T16" s="541" t="n">
        <v>183520</v>
      </c>
      <c r="U16" s="541" t="n">
        <v>183771</v>
      </c>
      <c r="V16" s="541" t="n">
        <v>183905</v>
      </c>
      <c r="W16" s="541" t="n">
        <v>184030</v>
      </c>
      <c r="X16" s="541" t="n">
        <v>184297</v>
      </c>
      <c r="Y16" s="541" t="n">
        <v>184573</v>
      </c>
      <c r="Z16" s="541" t="n">
        <v>184850</v>
      </c>
      <c r="AA16" s="309" t="n">
        <v>185116</v>
      </c>
      <c r="AB16" s="309" t="n">
        <v>185360</v>
      </c>
      <c r="AC16" s="305" t="n">
        <v>185473</v>
      </c>
      <c r="AD16" s="305" t="n">
        <v>185574</v>
      </c>
      <c r="AE16" s="313" t="n">
        <v>185853</v>
      </c>
      <c r="AF16" s="313" t="n">
        <v>186096</v>
      </c>
      <c r="AG16" s="390" t="n">
        <v>186357</v>
      </c>
      <c r="AH16" s="437" t="n">
        <v>186619</v>
      </c>
      <c r="AI16" s="184" t="n">
        <v>186794</v>
      </c>
      <c r="AJ16" s="314">
        <f>AI16-D16</f>
        <v/>
      </c>
    </row>
    <row r="17">
      <c r="A17" s="541" t="n"/>
      <c r="B17" s="541" t="n"/>
      <c r="C17" s="325" t="inlineStr">
        <is>
          <t>DG</t>
        </is>
      </c>
      <c r="D17" s="244" t="n">
        <v>4490</v>
      </c>
      <c r="E17" s="335" t="n">
        <v>4490</v>
      </c>
      <c r="F17" s="335" t="n">
        <v>4490</v>
      </c>
      <c r="G17" s="335" t="n">
        <v>4490</v>
      </c>
      <c r="H17" s="335" t="n">
        <v>4490</v>
      </c>
      <c r="I17" s="335" t="n">
        <v>4490</v>
      </c>
      <c r="J17" s="335" t="n">
        <v>4490</v>
      </c>
      <c r="K17" s="335" t="n">
        <v>4490</v>
      </c>
      <c r="L17" s="335" t="n">
        <v>4490</v>
      </c>
      <c r="M17" s="335" t="n">
        <v>4490</v>
      </c>
      <c r="N17" s="335" t="n">
        <v>4490</v>
      </c>
      <c r="O17" s="335" t="n">
        <v>4490</v>
      </c>
      <c r="P17" s="335" t="n">
        <v>4490</v>
      </c>
      <c r="Q17" s="335" t="n">
        <v>4490</v>
      </c>
      <c r="R17" s="335" t="n">
        <v>4490</v>
      </c>
      <c r="S17" s="335" t="n">
        <v>4490</v>
      </c>
      <c r="T17" s="335" t="n">
        <v>4490</v>
      </c>
      <c r="U17" s="335" t="n">
        <v>4490</v>
      </c>
      <c r="V17" s="335" t="n">
        <v>4490</v>
      </c>
      <c r="W17" s="335" t="n">
        <v>4490</v>
      </c>
      <c r="X17" s="335" t="n">
        <v>4490</v>
      </c>
      <c r="Y17" s="335" t="n">
        <v>4490</v>
      </c>
      <c r="Z17" s="335" t="n">
        <v>4490</v>
      </c>
      <c r="AA17" s="335" t="n">
        <v>4490</v>
      </c>
      <c r="AB17" s="335" t="n">
        <v>4490</v>
      </c>
      <c r="AC17" s="335" t="n">
        <v>4490</v>
      </c>
      <c r="AD17" s="335" t="n">
        <v>4490</v>
      </c>
      <c r="AE17" s="335" t="n">
        <v>4490</v>
      </c>
      <c r="AF17" s="335" t="n">
        <v>4490</v>
      </c>
      <c r="AG17" s="335" t="n">
        <v>4490</v>
      </c>
      <c r="AH17" s="437" t="n">
        <v>4490</v>
      </c>
      <c r="AI17" s="184" t="n">
        <v>4490</v>
      </c>
      <c r="AJ17" s="314">
        <f>AI17-D17</f>
        <v/>
      </c>
    </row>
    <row r="18">
      <c r="A18" s="541" t="n">
        <v>7</v>
      </c>
      <c r="B18" s="541" t="inlineStr">
        <is>
          <t>3F</t>
        </is>
      </c>
      <c r="C18" s="322" t="inlineStr">
        <is>
          <t>SL No 540430038843 (EB Unit)</t>
        </is>
      </c>
      <c r="D18" s="237" t="n">
        <v>602012</v>
      </c>
      <c r="E18" s="311" t="n">
        <v>583682</v>
      </c>
      <c r="F18" s="541" t="n">
        <v>584343</v>
      </c>
      <c r="G18" s="541" t="n">
        <v>585017</v>
      </c>
      <c r="H18" s="541" t="n">
        <v>585402</v>
      </c>
      <c r="I18" s="541" t="n">
        <v>585741</v>
      </c>
      <c r="J18" s="541" t="n">
        <v>586480</v>
      </c>
      <c r="K18" s="541" t="n">
        <v>587202</v>
      </c>
      <c r="L18" s="541" t="n">
        <v>587948</v>
      </c>
      <c r="M18" s="541" t="n">
        <v>588648</v>
      </c>
      <c r="N18" s="336" t="n">
        <v>589264</v>
      </c>
      <c r="O18" s="541" t="n">
        <v>589747</v>
      </c>
      <c r="P18" s="541" t="n">
        <v>590057</v>
      </c>
      <c r="Q18" s="541" t="n">
        <v>590772</v>
      </c>
      <c r="R18" s="315" t="n">
        <v>591465</v>
      </c>
      <c r="S18" s="336" t="n">
        <v>592158</v>
      </c>
      <c r="T18" s="541" t="n">
        <v>592854</v>
      </c>
      <c r="U18" s="541" t="n">
        <v>593597</v>
      </c>
      <c r="V18" s="541" t="n">
        <v>594009</v>
      </c>
      <c r="W18" s="541" t="n">
        <v>594357</v>
      </c>
      <c r="X18" s="328" t="n">
        <v>595057</v>
      </c>
      <c r="Y18" s="541" t="n">
        <v>595730</v>
      </c>
      <c r="Z18" s="541" t="n">
        <v>596454</v>
      </c>
      <c r="AA18" s="309" t="n">
        <v>597135</v>
      </c>
      <c r="AB18" s="305" t="n">
        <v>597777</v>
      </c>
      <c r="AC18" s="337" t="n">
        <v>598255</v>
      </c>
      <c r="AD18" s="315" t="n">
        <v>598732</v>
      </c>
      <c r="AE18" s="318" t="n">
        <v>599462</v>
      </c>
      <c r="AF18" s="318" t="n">
        <v>600149</v>
      </c>
      <c r="AG18" s="390" t="n">
        <v>600853</v>
      </c>
      <c r="AH18" s="437" t="n">
        <v>601589</v>
      </c>
      <c r="AI18" s="184" t="n">
        <v>602012</v>
      </c>
      <c r="AJ18" s="314">
        <f>AI18-D18</f>
        <v/>
      </c>
    </row>
    <row r="19">
      <c r="A19" s="541" t="n"/>
      <c r="B19" s="541" t="n"/>
      <c r="C19" s="325" t="inlineStr">
        <is>
          <t>DG</t>
        </is>
      </c>
      <c r="D19" s="244" t="n">
        <v>12192</v>
      </c>
      <c r="E19" s="311" t="n">
        <v>12192</v>
      </c>
      <c r="F19" s="311" t="n">
        <v>12192</v>
      </c>
      <c r="G19" s="311" t="n">
        <v>12192</v>
      </c>
      <c r="H19" s="311" t="n">
        <v>12192</v>
      </c>
      <c r="I19" s="311" t="n">
        <v>12192</v>
      </c>
      <c r="J19" s="311" t="n">
        <v>12192</v>
      </c>
      <c r="K19" s="311" t="n">
        <v>12192</v>
      </c>
      <c r="L19" s="311" t="n">
        <v>12192</v>
      </c>
      <c r="M19" s="541" t="n">
        <v>12192</v>
      </c>
      <c r="N19" s="541" t="n">
        <v>12192</v>
      </c>
      <c r="O19" s="541" t="n">
        <v>12192</v>
      </c>
      <c r="P19" s="541" t="n">
        <v>12192</v>
      </c>
      <c r="Q19" s="541" t="n">
        <v>12192</v>
      </c>
      <c r="R19" s="541" t="n">
        <v>12192</v>
      </c>
      <c r="S19" s="541" t="n">
        <v>12192</v>
      </c>
      <c r="T19" s="541" t="n">
        <v>12192</v>
      </c>
      <c r="U19" s="541" t="n">
        <v>12192</v>
      </c>
      <c r="V19" s="541" t="n">
        <v>12192</v>
      </c>
      <c r="W19" s="541" t="n">
        <v>12192</v>
      </c>
      <c r="X19" s="541" t="n">
        <v>12192</v>
      </c>
      <c r="Y19" s="541" t="n">
        <v>12192</v>
      </c>
      <c r="Z19" s="541" t="n">
        <v>12192</v>
      </c>
      <c r="AA19" s="541" t="n">
        <v>12192</v>
      </c>
      <c r="AB19" s="541" t="n">
        <v>12192</v>
      </c>
      <c r="AC19" s="541" t="n">
        <v>12192</v>
      </c>
      <c r="AD19" s="541" t="n">
        <v>12192</v>
      </c>
      <c r="AE19" s="541" t="n">
        <v>12192</v>
      </c>
      <c r="AF19" s="541" t="n">
        <v>12192</v>
      </c>
      <c r="AG19" s="541" t="n">
        <v>12192</v>
      </c>
      <c r="AH19" s="437" t="n">
        <v>12192</v>
      </c>
      <c r="AI19" s="184" t="n">
        <v>12192</v>
      </c>
      <c r="AJ19" s="314">
        <f>AI19-D19</f>
        <v/>
      </c>
    </row>
    <row r="20">
      <c r="A20" s="541" t="n">
        <v>8</v>
      </c>
      <c r="B20" s="541" t="inlineStr">
        <is>
          <t>3F</t>
        </is>
      </c>
      <c r="C20" s="322" t="inlineStr">
        <is>
          <t>SL No 540430038848 (EB Unit)</t>
        </is>
      </c>
      <c r="D20" s="237" t="n">
        <v>117032</v>
      </c>
      <c r="E20" s="311" t="n">
        <v>113597</v>
      </c>
      <c r="F20" s="541" t="n">
        <v>113702</v>
      </c>
      <c r="G20" s="541" t="n">
        <v>113838</v>
      </c>
      <c r="H20" s="541" t="n">
        <v>113926</v>
      </c>
      <c r="I20" s="541" t="n">
        <v>114016</v>
      </c>
      <c r="J20" s="541" t="n">
        <v>114144</v>
      </c>
      <c r="K20" s="541" t="n">
        <v>114264</v>
      </c>
      <c r="L20" s="541" t="n">
        <v>114386</v>
      </c>
      <c r="M20" s="541" t="n">
        <v>114504</v>
      </c>
      <c r="N20" s="541" t="n">
        <v>114613</v>
      </c>
      <c r="O20" s="541" t="n">
        <v>114729</v>
      </c>
      <c r="P20" s="541" t="n">
        <v>114840</v>
      </c>
      <c r="Q20" s="541" t="n">
        <v>114967</v>
      </c>
      <c r="R20" s="541" t="n">
        <v>115097</v>
      </c>
      <c r="S20" s="541" t="n">
        <v>115219</v>
      </c>
      <c r="T20" s="541" t="n">
        <v>115354</v>
      </c>
      <c r="U20" s="541" t="n">
        <v>115480</v>
      </c>
      <c r="V20" s="541" t="n">
        <v>115602</v>
      </c>
      <c r="W20" s="541" t="n">
        <v>115702</v>
      </c>
      <c r="X20" s="541" t="n">
        <v>115825</v>
      </c>
      <c r="Y20" s="541" t="n">
        <v>115930</v>
      </c>
      <c r="Z20" s="541" t="n">
        <v>116053</v>
      </c>
      <c r="AA20" s="315" t="n">
        <v>116169</v>
      </c>
      <c r="AB20" s="315" t="n">
        <v>116284</v>
      </c>
      <c r="AC20" s="315" t="n">
        <v>116379</v>
      </c>
      <c r="AD20" s="315" t="n">
        <v>116484</v>
      </c>
      <c r="AE20" s="318" t="n">
        <v>116617</v>
      </c>
      <c r="AF20" s="318" t="n">
        <v>116730</v>
      </c>
      <c r="AG20" s="390" t="n">
        <v>116840</v>
      </c>
      <c r="AH20" s="437" t="n">
        <v>116971</v>
      </c>
      <c r="AI20" s="184" t="n">
        <v>117032</v>
      </c>
      <c r="AJ20" s="314">
        <f>AI20-D20</f>
        <v/>
      </c>
    </row>
    <row r="21">
      <c r="A21" s="541" t="n"/>
      <c r="B21" s="541" t="n"/>
      <c r="C21" s="325" t="inlineStr">
        <is>
          <t>DG</t>
        </is>
      </c>
      <c r="D21" s="244" t="n">
        <v>2332</v>
      </c>
      <c r="E21" s="311" t="n">
        <v>2332</v>
      </c>
      <c r="F21" s="311" t="n">
        <v>2332</v>
      </c>
      <c r="G21" s="311" t="n">
        <v>2332</v>
      </c>
      <c r="H21" s="311" t="n">
        <v>2332</v>
      </c>
      <c r="I21" s="311" t="n">
        <v>2332</v>
      </c>
      <c r="J21" s="311" t="n">
        <v>2332</v>
      </c>
      <c r="K21" s="311" t="n">
        <v>2332</v>
      </c>
      <c r="L21" s="311" t="n">
        <v>2332</v>
      </c>
      <c r="M21" s="541" t="n">
        <v>2332</v>
      </c>
      <c r="N21" s="541" t="n">
        <v>2332</v>
      </c>
      <c r="O21" s="541" t="n">
        <v>2332</v>
      </c>
      <c r="P21" s="541" t="n">
        <v>2332</v>
      </c>
      <c r="Q21" s="541" t="n">
        <v>2332</v>
      </c>
      <c r="R21" s="541" t="n">
        <v>2332</v>
      </c>
      <c r="S21" s="541" t="n">
        <v>2332</v>
      </c>
      <c r="T21" s="541" t="n">
        <v>2332</v>
      </c>
      <c r="U21" s="541" t="n">
        <v>2332</v>
      </c>
      <c r="V21" s="541" t="n">
        <v>2332</v>
      </c>
      <c r="W21" s="541" t="n">
        <v>2332</v>
      </c>
      <c r="X21" s="541" t="n">
        <v>2332</v>
      </c>
      <c r="Y21" s="541" t="n">
        <v>2332</v>
      </c>
      <c r="Z21" s="541" t="n">
        <v>2332</v>
      </c>
      <c r="AA21" s="541" t="n">
        <v>2332</v>
      </c>
      <c r="AB21" s="541" t="n">
        <v>2332</v>
      </c>
      <c r="AC21" s="541" t="n">
        <v>2332</v>
      </c>
      <c r="AD21" s="541" t="n">
        <v>2332</v>
      </c>
      <c r="AE21" s="541" t="n">
        <v>2332</v>
      </c>
      <c r="AF21" s="541" t="n">
        <v>2332</v>
      </c>
      <c r="AG21" s="309" t="n">
        <v>2332</v>
      </c>
      <c r="AH21" s="437" t="n">
        <v>2332</v>
      </c>
      <c r="AI21" s="184" t="n">
        <v>2332</v>
      </c>
      <c r="AJ21" s="314">
        <f>AI21-D21</f>
        <v/>
      </c>
    </row>
    <row r="22">
      <c r="A22" s="551" t="n"/>
      <c r="AI22" s="400" t="n"/>
    </row>
    <row r="23">
      <c r="A23" s="541" t="n">
        <v>1</v>
      </c>
      <c r="B23" s="541" t="inlineStr">
        <is>
          <t>3F</t>
        </is>
      </c>
      <c r="C23" s="322" t="inlineStr">
        <is>
          <t>AHU1</t>
        </is>
      </c>
      <c r="D23" s="323" t="n">
        <v>64570</v>
      </c>
      <c r="E23" s="311" t="n">
        <v>62511</v>
      </c>
      <c r="F23" s="541" t="n">
        <v>62609</v>
      </c>
      <c r="G23" s="541" t="n">
        <v>62696</v>
      </c>
      <c r="H23" s="541" t="n">
        <v>62742</v>
      </c>
      <c r="I23" s="541" t="n">
        <v>62742</v>
      </c>
      <c r="J23" s="541" t="n">
        <v>62850</v>
      </c>
      <c r="K23" s="541" t="n">
        <v>62953</v>
      </c>
      <c r="L23" s="541" t="n">
        <v>63045</v>
      </c>
      <c r="M23" s="541" t="n">
        <v>63142</v>
      </c>
      <c r="N23" s="541" t="n">
        <v>63219</v>
      </c>
      <c r="O23" s="541" t="n">
        <v>63268</v>
      </c>
      <c r="P23" s="541" t="n">
        <v>63268</v>
      </c>
      <c r="Q23" s="541" t="n">
        <v>63366</v>
      </c>
      <c r="R23" s="541" t="n">
        <v>63457</v>
      </c>
      <c r="S23" s="541" t="n">
        <v>63538</v>
      </c>
      <c r="T23" s="541" t="n">
        <v>63619</v>
      </c>
      <c r="U23" s="541" t="n">
        <v>63701</v>
      </c>
      <c r="V23" s="541" t="n">
        <v>63745</v>
      </c>
      <c r="W23" s="541" t="n">
        <v>63745</v>
      </c>
      <c r="X23" s="541" t="n">
        <v>63851</v>
      </c>
      <c r="Y23" s="541" t="n">
        <v>63949</v>
      </c>
      <c r="Z23" s="541" t="n">
        <v>64036</v>
      </c>
      <c r="AA23" s="541" t="n">
        <v>64125</v>
      </c>
      <c r="AB23" s="541" t="n">
        <v>64208</v>
      </c>
      <c r="AC23" s="541" t="n">
        <v>64213</v>
      </c>
      <c r="AD23" s="541" t="n">
        <v>64213</v>
      </c>
      <c r="AE23" s="305" t="n">
        <v>64311</v>
      </c>
      <c r="AF23" s="305" t="n">
        <v>64385</v>
      </c>
      <c r="AG23" s="313" t="n">
        <v>64464</v>
      </c>
      <c r="AH23" s="313" t="n">
        <v>64540</v>
      </c>
      <c r="AI23" s="184" t="n">
        <v>64570</v>
      </c>
      <c r="AJ23" s="314">
        <f>AI23-D23</f>
        <v/>
      </c>
    </row>
    <row r="24">
      <c r="A24" s="541" t="n"/>
      <c r="B24" s="541" t="n"/>
      <c r="C24" s="338" t="inlineStr">
        <is>
          <t>DG</t>
        </is>
      </c>
      <c r="D24" s="323" t="n">
        <v>2004</v>
      </c>
      <c r="E24" s="541" t="n">
        <v>2004</v>
      </c>
      <c r="F24" s="541" t="n">
        <v>2004</v>
      </c>
      <c r="G24" s="541" t="n">
        <v>2004</v>
      </c>
      <c r="H24" s="541" t="n">
        <v>2004</v>
      </c>
      <c r="I24" s="541" t="n">
        <v>2004</v>
      </c>
      <c r="J24" s="541" t="n">
        <v>2004</v>
      </c>
      <c r="K24" s="541" t="n">
        <v>2004</v>
      </c>
      <c r="L24" s="541" t="n">
        <v>2004</v>
      </c>
      <c r="M24" s="541" t="n">
        <v>2004</v>
      </c>
      <c r="N24" s="541" t="n">
        <v>2004</v>
      </c>
      <c r="O24" s="541" t="n">
        <v>2004</v>
      </c>
      <c r="P24" s="541" t="n">
        <v>2004</v>
      </c>
      <c r="Q24" s="541" t="n">
        <v>2004</v>
      </c>
      <c r="R24" s="541" t="n">
        <v>2004</v>
      </c>
      <c r="S24" s="541" t="n">
        <v>2004</v>
      </c>
      <c r="T24" s="541" t="n">
        <v>2004</v>
      </c>
      <c r="U24" s="541" t="n">
        <v>2004</v>
      </c>
      <c r="V24" s="541" t="n">
        <v>2004</v>
      </c>
      <c r="W24" s="541" t="n">
        <v>2004</v>
      </c>
      <c r="X24" s="541" t="n">
        <v>2004</v>
      </c>
      <c r="Y24" s="328" t="n">
        <v>2004</v>
      </c>
      <c r="Z24" s="328" t="n">
        <v>2004</v>
      </c>
      <c r="AA24" s="328" t="n">
        <v>2004</v>
      </c>
      <c r="AB24" s="328" t="n">
        <v>2004</v>
      </c>
      <c r="AC24" s="328" t="n">
        <v>2004</v>
      </c>
      <c r="AD24" s="328" t="n">
        <v>2004</v>
      </c>
      <c r="AE24" s="328" t="n">
        <v>2004</v>
      </c>
      <c r="AF24" s="328" t="n">
        <v>2004</v>
      </c>
      <c r="AG24" s="328" t="n">
        <v>2004</v>
      </c>
      <c r="AH24" s="313" t="n">
        <v>2004</v>
      </c>
      <c r="AI24" s="184" t="n">
        <v>2004</v>
      </c>
      <c r="AJ24" s="314">
        <f>AI24-D24</f>
        <v/>
      </c>
    </row>
    <row r="25">
      <c r="A25" s="541" t="n">
        <v>2</v>
      </c>
      <c r="B25" s="541" t="inlineStr">
        <is>
          <t>3F</t>
        </is>
      </c>
      <c r="C25" s="319" t="inlineStr">
        <is>
          <t>AHU2</t>
        </is>
      </c>
      <c r="D25" s="438" t="n">
        <v>65986</v>
      </c>
      <c r="E25" s="541" t="n">
        <v>64566</v>
      </c>
      <c r="F25" s="541" t="n">
        <v>64641</v>
      </c>
      <c r="G25" s="541" t="n">
        <v>64701</v>
      </c>
      <c r="H25" s="541" t="n">
        <v>64730</v>
      </c>
      <c r="I25" s="541" t="n">
        <v>64730</v>
      </c>
      <c r="J25" s="541" t="n">
        <v>64797</v>
      </c>
      <c r="K25" s="541" t="n">
        <v>64850</v>
      </c>
      <c r="L25" s="541" t="n">
        <v>64900</v>
      </c>
      <c r="M25" s="541" t="n">
        <v>64947</v>
      </c>
      <c r="N25" s="541" t="n">
        <v>64987</v>
      </c>
      <c r="O25" s="541" t="n">
        <v>65020</v>
      </c>
      <c r="P25" s="541" t="n">
        <v>65020</v>
      </c>
      <c r="Q25" s="541" t="n">
        <v>65080</v>
      </c>
      <c r="R25" s="541" t="n">
        <v>65143</v>
      </c>
      <c r="S25" s="541" t="n">
        <v>65193</v>
      </c>
      <c r="T25" s="541" t="n">
        <v>65247</v>
      </c>
      <c r="U25" s="541" t="n">
        <v>65297</v>
      </c>
      <c r="V25" s="541" t="n">
        <v>65326</v>
      </c>
      <c r="W25" s="541" t="n">
        <v>65326</v>
      </c>
      <c r="X25" s="541" t="n">
        <v>65391</v>
      </c>
      <c r="Y25" s="541" t="n">
        <v>65441</v>
      </c>
      <c r="Z25" s="541" t="n">
        <v>65504</v>
      </c>
      <c r="AA25" s="541" t="n">
        <v>65559</v>
      </c>
      <c r="AB25" s="541" t="n">
        <v>65623</v>
      </c>
      <c r="AC25" s="541" t="n">
        <v>65636</v>
      </c>
      <c r="AD25" s="541" t="n">
        <v>65636</v>
      </c>
      <c r="AE25" s="305" t="n">
        <v>65718</v>
      </c>
      <c r="AF25" s="305" t="n">
        <v>65800</v>
      </c>
      <c r="AG25" s="390" t="n">
        <v>65879</v>
      </c>
      <c r="AH25" s="313" t="n">
        <v>65959</v>
      </c>
      <c r="AI25" s="184" t="n">
        <v>65986</v>
      </c>
      <c r="AJ25" s="314">
        <f>AI25-D25</f>
        <v/>
      </c>
    </row>
    <row r="26">
      <c r="A26" s="541" t="n"/>
      <c r="B26" s="541" t="n"/>
      <c r="C26" s="338" t="inlineStr">
        <is>
          <t>DG</t>
        </is>
      </c>
      <c r="D26" s="320" t="n">
        <v>2013</v>
      </c>
      <c r="E26" s="541" t="n">
        <v>2013</v>
      </c>
      <c r="F26" s="541" t="n">
        <v>2013</v>
      </c>
      <c r="G26" s="541" t="n">
        <v>2013</v>
      </c>
      <c r="H26" s="541" t="n">
        <v>2013</v>
      </c>
      <c r="I26" s="541" t="n">
        <v>2013</v>
      </c>
      <c r="J26" s="541" t="n">
        <v>2013</v>
      </c>
      <c r="K26" s="541" t="n">
        <v>2013</v>
      </c>
      <c r="L26" s="541" t="n">
        <v>2013</v>
      </c>
      <c r="M26" s="541" t="n">
        <v>2013</v>
      </c>
      <c r="N26" s="541" t="n">
        <v>2013</v>
      </c>
      <c r="O26" s="541" t="n">
        <v>2013</v>
      </c>
      <c r="P26" s="541" t="n">
        <v>2013</v>
      </c>
      <c r="Q26" s="541" t="n">
        <v>2013</v>
      </c>
      <c r="R26" s="541" t="n">
        <v>2013</v>
      </c>
      <c r="S26" s="541" t="n">
        <v>2013</v>
      </c>
      <c r="T26" s="541" t="n">
        <v>2013</v>
      </c>
      <c r="U26" s="541" t="n">
        <v>2013</v>
      </c>
      <c r="V26" s="541" t="n">
        <v>2013</v>
      </c>
      <c r="W26" s="541" t="n">
        <v>2013</v>
      </c>
      <c r="X26" s="541" t="n">
        <v>2013</v>
      </c>
      <c r="Y26" s="541" t="n">
        <v>2013</v>
      </c>
      <c r="Z26" s="541" t="n">
        <v>2013</v>
      </c>
      <c r="AA26" s="541" t="n">
        <v>2013</v>
      </c>
      <c r="AB26" s="541" t="n">
        <v>2013</v>
      </c>
      <c r="AC26" s="541" t="n">
        <v>2013</v>
      </c>
      <c r="AD26" s="541" t="n">
        <v>2013</v>
      </c>
      <c r="AE26" s="541" t="n">
        <v>2013</v>
      </c>
      <c r="AF26" s="541" t="n">
        <v>2013</v>
      </c>
      <c r="AG26" s="541" t="n">
        <v>2013</v>
      </c>
      <c r="AH26" s="313" t="n">
        <v>2013</v>
      </c>
      <c r="AI26" s="184" t="n">
        <v>2013</v>
      </c>
      <c r="AJ26" s="314">
        <f>AI26-D26</f>
        <v/>
      </c>
    </row>
    <row r="27">
      <c r="A27" s="541" t="n">
        <v>3</v>
      </c>
      <c r="B27" s="541" t="inlineStr">
        <is>
          <t>3F</t>
        </is>
      </c>
      <c r="C27" s="319" t="inlineStr">
        <is>
          <t>AHU3</t>
        </is>
      </c>
      <c r="D27" s="438" t="n">
        <v>80394</v>
      </c>
      <c r="E27" s="541" t="n">
        <v>77987</v>
      </c>
      <c r="F27" s="541" t="n">
        <v>78075</v>
      </c>
      <c r="G27" s="541" t="n">
        <v>78177</v>
      </c>
      <c r="H27" s="541" t="n">
        <v>78232</v>
      </c>
      <c r="I27" s="541" t="n">
        <v>78232</v>
      </c>
      <c r="J27" s="541" t="n">
        <v>78355</v>
      </c>
      <c r="K27" s="541" t="n">
        <v>78465</v>
      </c>
      <c r="L27" s="541" t="n">
        <v>78570</v>
      </c>
      <c r="M27" s="541" t="n">
        <v>78649</v>
      </c>
      <c r="N27" s="541" t="n">
        <v>78752</v>
      </c>
      <c r="O27" s="541" t="n">
        <v>78808</v>
      </c>
      <c r="P27" s="541" t="n">
        <v>78808</v>
      </c>
      <c r="Q27" s="541" t="n">
        <v>78912</v>
      </c>
      <c r="R27" s="541" t="n">
        <v>79017</v>
      </c>
      <c r="S27" s="541" t="n">
        <v>79111</v>
      </c>
      <c r="T27" s="541" t="n">
        <v>79220</v>
      </c>
      <c r="U27" s="541" t="n">
        <v>79309</v>
      </c>
      <c r="V27" s="541" t="n">
        <v>79361</v>
      </c>
      <c r="W27" s="541" t="n">
        <v>79361</v>
      </c>
      <c r="X27" s="541" t="n">
        <v>79461</v>
      </c>
      <c r="Y27" s="541" t="n">
        <v>79566</v>
      </c>
      <c r="Z27" s="541" t="n">
        <v>79681</v>
      </c>
      <c r="AA27" s="541" t="n">
        <v>79787</v>
      </c>
      <c r="AB27" s="541" t="n">
        <v>79889</v>
      </c>
      <c r="AC27" s="541" t="n">
        <v>79947</v>
      </c>
      <c r="AD27" s="541" t="n">
        <v>79947</v>
      </c>
      <c r="AE27" s="305" t="n">
        <v>80045</v>
      </c>
      <c r="AF27" s="324" t="n">
        <v>80156</v>
      </c>
      <c r="AG27" s="390" t="n">
        <v>80260</v>
      </c>
      <c r="AH27" s="313" t="n">
        <v>80362</v>
      </c>
      <c r="AI27" s="184" t="n">
        <v>80394</v>
      </c>
      <c r="AJ27" s="314">
        <f>AI27-D27</f>
        <v/>
      </c>
    </row>
    <row r="28">
      <c r="A28" s="541" t="n"/>
      <c r="B28" s="541" t="n"/>
      <c r="C28" s="338" t="inlineStr">
        <is>
          <t>DG</t>
        </is>
      </c>
      <c r="D28" s="547" t="n">
        <v>2166</v>
      </c>
      <c r="E28" s="541" t="n">
        <v>2166</v>
      </c>
      <c r="F28" s="541" t="n">
        <v>2166</v>
      </c>
      <c r="G28" s="541" t="n">
        <v>2166</v>
      </c>
      <c r="H28" s="541" t="n">
        <v>2166</v>
      </c>
      <c r="I28" s="541" t="n">
        <v>2166</v>
      </c>
      <c r="J28" s="541" t="n">
        <v>2166</v>
      </c>
      <c r="K28" s="541" t="n">
        <v>2166</v>
      </c>
      <c r="L28" s="541" t="n">
        <v>2166</v>
      </c>
      <c r="M28" s="541" t="n">
        <v>2166</v>
      </c>
      <c r="N28" s="541" t="n">
        <v>2166</v>
      </c>
      <c r="O28" s="541" t="n">
        <v>2166</v>
      </c>
      <c r="P28" s="541" t="n">
        <v>2166</v>
      </c>
      <c r="Q28" s="541" t="n">
        <v>2166</v>
      </c>
      <c r="R28" s="541" t="n">
        <v>2166</v>
      </c>
      <c r="S28" s="541" t="n">
        <v>2166</v>
      </c>
      <c r="T28" s="541" t="n">
        <v>2166</v>
      </c>
      <c r="U28" s="541" t="n">
        <v>2166</v>
      </c>
      <c r="V28" s="541" t="n">
        <v>2166</v>
      </c>
      <c r="W28" s="541" t="n">
        <v>2166</v>
      </c>
      <c r="X28" s="541" t="n">
        <v>2166</v>
      </c>
      <c r="Y28" s="541" t="n">
        <v>2166</v>
      </c>
      <c r="Z28" s="541" t="n">
        <v>2166</v>
      </c>
      <c r="AA28" s="541" t="n">
        <v>2166</v>
      </c>
      <c r="AB28" s="541" t="n">
        <v>2166</v>
      </c>
      <c r="AC28" s="541" t="n">
        <v>2166</v>
      </c>
      <c r="AD28" s="541" t="n">
        <v>2166</v>
      </c>
      <c r="AE28" s="541" t="n">
        <v>2166</v>
      </c>
      <c r="AF28" s="541" t="n">
        <v>2166</v>
      </c>
      <c r="AG28" s="541" t="n">
        <v>2166</v>
      </c>
      <c r="AH28" s="313" t="n">
        <v>2166</v>
      </c>
      <c r="AI28" s="184" t="n">
        <v>2166</v>
      </c>
      <c r="AJ28" s="314">
        <f>AI28-D28</f>
        <v/>
      </c>
    </row>
    <row r="29">
      <c r="A29" s="541" t="n">
        <v>4</v>
      </c>
      <c r="B29" s="541" t="inlineStr">
        <is>
          <t>3F</t>
        </is>
      </c>
      <c r="C29" s="319" t="inlineStr">
        <is>
          <t>AHU4</t>
        </is>
      </c>
      <c r="D29" s="440" t="n">
        <v>55029</v>
      </c>
      <c r="E29" s="541" t="n">
        <v>52996</v>
      </c>
      <c r="F29" s="541" t="n">
        <v>53093</v>
      </c>
      <c r="G29" s="541" t="n">
        <v>53190</v>
      </c>
      <c r="H29" s="541" t="n">
        <v>53247</v>
      </c>
      <c r="I29" s="541" t="n">
        <v>53247</v>
      </c>
      <c r="J29" s="541" t="n">
        <v>53359</v>
      </c>
      <c r="K29" s="541" t="n">
        <v>53466</v>
      </c>
      <c r="L29" s="541" t="n">
        <v>53570</v>
      </c>
      <c r="M29" s="541" t="n">
        <v>53657</v>
      </c>
      <c r="N29" s="541" t="n">
        <v>53746</v>
      </c>
      <c r="O29" s="541" t="n">
        <v>53798</v>
      </c>
      <c r="P29" s="541" t="n">
        <v>53798</v>
      </c>
      <c r="Q29" s="541" t="n">
        <v>53885</v>
      </c>
      <c r="R29" s="541" t="n">
        <v>53963</v>
      </c>
      <c r="S29" s="541" t="n">
        <v>54048</v>
      </c>
      <c r="T29" s="541" t="n">
        <v>54124</v>
      </c>
      <c r="U29" s="541" t="n">
        <v>54198</v>
      </c>
      <c r="V29" s="541" t="n">
        <v>54228</v>
      </c>
      <c r="W29" s="541" t="n">
        <v>54228</v>
      </c>
      <c r="X29" s="541" t="n">
        <v>54311</v>
      </c>
      <c r="Y29" s="541" t="n">
        <v>54385</v>
      </c>
      <c r="Z29" s="541" t="n">
        <v>54465</v>
      </c>
      <c r="AA29" s="541" t="n">
        <v>54545</v>
      </c>
      <c r="AB29" s="541" t="n">
        <v>54616</v>
      </c>
      <c r="AC29" s="541" t="n">
        <v>54621</v>
      </c>
      <c r="AD29" s="541" t="n">
        <v>54621</v>
      </c>
      <c r="AE29" s="318" t="n">
        <v>54708</v>
      </c>
      <c r="AF29" s="318" t="n">
        <v>54802</v>
      </c>
      <c r="AG29" s="313" t="n">
        <v>54899</v>
      </c>
      <c r="AH29" s="313" t="n">
        <v>54990</v>
      </c>
      <c r="AI29" s="184" t="n">
        <v>55029</v>
      </c>
      <c r="AJ29" s="314">
        <f>AI29-D29</f>
        <v/>
      </c>
    </row>
    <row r="30">
      <c r="A30" s="541" t="n"/>
      <c r="B30" s="541" t="n"/>
      <c r="C30" s="338" t="inlineStr">
        <is>
          <t>DG</t>
        </is>
      </c>
      <c r="D30" s="547" t="n">
        <v>1884</v>
      </c>
      <c r="E30" s="541" t="n">
        <v>1884</v>
      </c>
      <c r="F30" s="541" t="n">
        <v>1884</v>
      </c>
      <c r="G30" s="541" t="n">
        <v>1884</v>
      </c>
      <c r="H30" s="541" t="n">
        <v>1884</v>
      </c>
      <c r="I30" s="541" t="n">
        <v>1884</v>
      </c>
      <c r="J30" s="541" t="n">
        <v>1884</v>
      </c>
      <c r="K30" s="541" t="n">
        <v>1884</v>
      </c>
      <c r="L30" s="541" t="n">
        <v>1884</v>
      </c>
      <c r="M30" s="541" t="n">
        <v>1884</v>
      </c>
      <c r="N30" s="541" t="n">
        <v>1884</v>
      </c>
      <c r="O30" s="541" t="n">
        <v>1884</v>
      </c>
      <c r="P30" s="541" t="n">
        <v>1884</v>
      </c>
      <c r="Q30" s="541" t="n">
        <v>1884</v>
      </c>
      <c r="R30" s="541" t="n">
        <v>1884</v>
      </c>
      <c r="S30" s="541" t="n">
        <v>1884</v>
      </c>
      <c r="T30" s="541" t="n">
        <v>1884</v>
      </c>
      <c r="U30" s="541" t="n">
        <v>1884</v>
      </c>
      <c r="V30" s="541" t="n">
        <v>1884</v>
      </c>
      <c r="W30" s="541" t="n">
        <v>1884</v>
      </c>
      <c r="X30" s="541" t="n">
        <v>1884</v>
      </c>
      <c r="Y30" s="541" t="n">
        <v>1884</v>
      </c>
      <c r="Z30" s="541" t="n">
        <v>1884</v>
      </c>
      <c r="AA30" s="541" t="n">
        <v>1884</v>
      </c>
      <c r="AB30" s="541" t="n">
        <v>1884</v>
      </c>
      <c r="AC30" s="541" t="n">
        <v>1884</v>
      </c>
      <c r="AD30" s="541" t="n">
        <v>1884</v>
      </c>
      <c r="AE30" s="541" t="n">
        <v>1884</v>
      </c>
      <c r="AF30" s="541" t="n">
        <v>1884</v>
      </c>
      <c r="AG30" s="541" t="n">
        <v>1884</v>
      </c>
      <c r="AH30" s="313" t="n">
        <v>1884</v>
      </c>
      <c r="AI30" s="184" t="n">
        <v>1884</v>
      </c>
      <c r="AJ30" s="314">
        <f>AI30-D30</f>
        <v/>
      </c>
    </row>
    <row r="31">
      <c r="A31" s="551" t="inlineStr">
        <is>
          <t>.</t>
        </is>
      </c>
      <c r="AI31" s="400" t="n"/>
    </row>
    <row r="32">
      <c r="A32" s="541" t="n">
        <v>1</v>
      </c>
      <c r="B32" s="541" t="inlineStr">
        <is>
          <t>3F</t>
        </is>
      </c>
      <c r="C32" s="319" t="inlineStr">
        <is>
          <t>AHU1 - BTU</t>
        </is>
      </c>
      <c r="D32" s="441" t="n">
        <v>459002</v>
      </c>
      <c r="E32" s="382" t="n">
        <v>448760</v>
      </c>
      <c r="F32" s="383" t="n">
        <v>449035</v>
      </c>
      <c r="G32" s="383" t="n">
        <v>449440</v>
      </c>
      <c r="H32" s="383" t="n">
        <v>449627</v>
      </c>
      <c r="I32" s="383" t="n">
        <v>449627</v>
      </c>
      <c r="J32" s="383" t="n">
        <v>450163</v>
      </c>
      <c r="K32" s="383" t="n">
        <v>450658</v>
      </c>
      <c r="L32" s="383" t="n">
        <v>451051</v>
      </c>
      <c r="M32" s="382" t="n">
        <v>451376</v>
      </c>
      <c r="N32" s="383" t="n">
        <v>451693</v>
      </c>
      <c r="O32" s="383" t="n">
        <v>451854</v>
      </c>
      <c r="P32" s="383" t="n">
        <v>451854</v>
      </c>
      <c r="Q32" s="382" t="n">
        <v>452483</v>
      </c>
      <c r="R32" s="383" t="n">
        <v>453013</v>
      </c>
      <c r="S32" s="383" t="n">
        <v>453530</v>
      </c>
      <c r="T32" s="383" t="n">
        <v>453919</v>
      </c>
      <c r="U32" s="382" t="n">
        <v>454388</v>
      </c>
      <c r="V32" s="383" t="n">
        <v>454569</v>
      </c>
      <c r="W32" s="383" t="n">
        <v>454569</v>
      </c>
      <c r="X32" s="383" t="n">
        <v>455081</v>
      </c>
      <c r="Y32" s="382" t="n">
        <v>455505</v>
      </c>
      <c r="Z32" s="383" t="n">
        <v>455965</v>
      </c>
      <c r="AA32" s="383" t="n">
        <v>456401</v>
      </c>
      <c r="AB32" s="383" t="n">
        <v>456828</v>
      </c>
      <c r="AC32" s="383" t="n">
        <v>456874</v>
      </c>
      <c r="AD32" s="383" t="n">
        <v>456874</v>
      </c>
      <c r="AE32" s="383" t="n">
        <v>457460</v>
      </c>
      <c r="AF32" s="383" t="n">
        <v>457953</v>
      </c>
      <c r="AG32" s="391" t="n">
        <v>458431</v>
      </c>
      <c r="AH32" s="391" t="n">
        <v>458818</v>
      </c>
      <c r="AI32" s="184" t="n">
        <v>459002</v>
      </c>
      <c r="AJ32" s="314">
        <f>AI32-D32</f>
        <v/>
      </c>
    </row>
    <row r="33">
      <c r="A33" s="541" t="n">
        <v>2</v>
      </c>
      <c r="B33" s="541" t="inlineStr">
        <is>
          <t>3F</t>
        </is>
      </c>
      <c r="C33" s="319" t="inlineStr">
        <is>
          <t>AHU2 - BTU</t>
        </is>
      </c>
      <c r="D33" s="441" t="n">
        <v>432663</v>
      </c>
      <c r="E33" s="383" t="n">
        <v>422216</v>
      </c>
      <c r="F33" s="383" t="n">
        <v>422595</v>
      </c>
      <c r="G33" s="383" t="n">
        <v>423039</v>
      </c>
      <c r="H33" s="383" t="n">
        <v>423318</v>
      </c>
      <c r="I33" s="383" t="n">
        <v>423318</v>
      </c>
      <c r="J33" s="383" t="n">
        <v>423880</v>
      </c>
      <c r="K33" s="383" t="n">
        <v>424444</v>
      </c>
      <c r="L33" s="383" t="n">
        <v>424901</v>
      </c>
      <c r="M33" s="383" t="n">
        <v>425248</v>
      </c>
      <c r="N33" s="383" t="n">
        <v>425560</v>
      </c>
      <c r="O33" s="383" t="n">
        <v>425749</v>
      </c>
      <c r="P33" s="383" t="n">
        <v>425749</v>
      </c>
      <c r="Q33" s="383" t="n">
        <v>426281</v>
      </c>
      <c r="R33" s="383" t="n">
        <v>426829</v>
      </c>
      <c r="S33" s="383" t="n">
        <v>427298</v>
      </c>
      <c r="T33" s="383" t="n">
        <v>427709</v>
      </c>
      <c r="U33" s="383" t="n">
        <v>428245</v>
      </c>
      <c r="V33" s="383" t="n">
        <v>428450</v>
      </c>
      <c r="W33" s="383" t="n">
        <v>428450</v>
      </c>
      <c r="X33" s="383" t="n">
        <v>429092</v>
      </c>
      <c r="Y33" s="383" t="n">
        <v>429511</v>
      </c>
      <c r="Z33" s="383" t="n">
        <v>429927</v>
      </c>
      <c r="AA33" s="383" t="n">
        <v>430356</v>
      </c>
      <c r="AB33" s="383" t="n">
        <v>430712</v>
      </c>
      <c r="AC33" s="383" t="n">
        <v>430786</v>
      </c>
      <c r="AD33" s="383" t="n">
        <v>430786</v>
      </c>
      <c r="AE33" s="383" t="n">
        <v>431289</v>
      </c>
      <c r="AF33" s="383" t="n">
        <v>431714</v>
      </c>
      <c r="AG33" s="391" t="n">
        <v>432158</v>
      </c>
      <c r="AH33" s="391" t="n">
        <v>432472</v>
      </c>
      <c r="AI33" s="184" t="n">
        <v>432663</v>
      </c>
      <c r="AJ33" s="314">
        <f>AI33-D33</f>
        <v/>
      </c>
    </row>
    <row r="34">
      <c r="A34" s="541" t="n">
        <v>3</v>
      </c>
      <c r="B34" s="541" t="inlineStr">
        <is>
          <t>3F</t>
        </is>
      </c>
      <c r="C34" s="319" t="inlineStr">
        <is>
          <t>AHU3 - BTU</t>
        </is>
      </c>
      <c r="D34" s="441" t="n">
        <v>472756</v>
      </c>
      <c r="E34" s="383" t="n">
        <v>459070</v>
      </c>
      <c r="F34" s="383" t="n">
        <v>459479</v>
      </c>
      <c r="G34" s="383" t="n">
        <v>460083</v>
      </c>
      <c r="H34" s="383" t="n">
        <v>460386</v>
      </c>
      <c r="I34" s="383" t="n">
        <v>460386</v>
      </c>
      <c r="J34" s="383" t="n">
        <v>461252</v>
      </c>
      <c r="K34" s="383" t="n">
        <v>462013</v>
      </c>
      <c r="L34" s="383" t="n">
        <v>462597</v>
      </c>
      <c r="M34" s="383" t="n">
        <v>463040</v>
      </c>
      <c r="N34" s="383" t="n">
        <v>463420</v>
      </c>
      <c r="O34" s="383" t="n">
        <v>463688</v>
      </c>
      <c r="P34" s="383" t="n">
        <v>463688</v>
      </c>
      <c r="Q34" s="383" t="n">
        <v>464468</v>
      </c>
      <c r="R34" s="383" t="n">
        <v>465076</v>
      </c>
      <c r="S34" s="383" t="n">
        <v>465721</v>
      </c>
      <c r="T34" s="383" t="n">
        <v>466175</v>
      </c>
      <c r="U34" s="383" t="n">
        <v>466820</v>
      </c>
      <c r="V34" s="383" t="n">
        <v>467077</v>
      </c>
      <c r="W34" s="383" t="n">
        <v>467077</v>
      </c>
      <c r="X34" s="383" t="n">
        <v>467827</v>
      </c>
      <c r="Y34" s="383" t="n">
        <v>468370</v>
      </c>
      <c r="Z34" s="383" t="n">
        <v>468893</v>
      </c>
      <c r="AA34" s="383" t="n">
        <v>469469</v>
      </c>
      <c r="AB34" s="383" t="n">
        <v>469891</v>
      </c>
      <c r="AC34" s="433" t="n">
        <v>470202</v>
      </c>
      <c r="AD34" s="433" t="n">
        <v>470202</v>
      </c>
      <c r="AE34" s="383" t="n">
        <v>470882</v>
      </c>
      <c r="AF34" s="383" t="n">
        <v>471434</v>
      </c>
      <c r="AG34" s="391" t="n">
        <v>472006</v>
      </c>
      <c r="AH34" s="391" t="n">
        <v>472497</v>
      </c>
      <c r="AI34" s="184" t="n">
        <v>472756</v>
      </c>
      <c r="AJ34" s="314">
        <f>AI34-D34</f>
        <v/>
      </c>
    </row>
    <row r="35">
      <c r="A35" s="541" t="n">
        <v>4</v>
      </c>
      <c r="B35" s="541" t="inlineStr">
        <is>
          <t>3F</t>
        </is>
      </c>
      <c r="C35" s="319" t="inlineStr">
        <is>
          <t>AHU4 - BTU</t>
        </is>
      </c>
      <c r="D35" s="441" t="n">
        <v>531216</v>
      </c>
      <c r="E35" s="379" t="n">
        <v>510408</v>
      </c>
      <c r="F35" s="379" t="n">
        <v>511327</v>
      </c>
      <c r="G35" s="379" t="n">
        <v>512150</v>
      </c>
      <c r="H35" s="379" t="n">
        <v>512641</v>
      </c>
      <c r="I35" s="379" t="n">
        <v>512641</v>
      </c>
      <c r="J35" s="379" t="n">
        <v>513641</v>
      </c>
      <c r="K35" s="379" t="n">
        <v>514660</v>
      </c>
      <c r="L35" s="379" t="n">
        <v>515522</v>
      </c>
      <c r="M35" s="379" t="n">
        <v>516241</v>
      </c>
      <c r="N35" s="379" t="n">
        <v>516958</v>
      </c>
      <c r="O35" s="379" t="n">
        <v>517530</v>
      </c>
      <c r="P35" s="380" t="n">
        <v>517530</v>
      </c>
      <c r="Q35" s="379" t="n">
        <v>518611</v>
      </c>
      <c r="R35" s="379" t="n">
        <v>519578</v>
      </c>
      <c r="S35" s="379" t="n">
        <v>520388</v>
      </c>
      <c r="T35" s="379" t="n">
        <v>521299</v>
      </c>
      <c r="U35" s="379" t="n">
        <v>522240</v>
      </c>
      <c r="V35" s="379" t="n">
        <v>522505</v>
      </c>
      <c r="W35" s="379" t="n">
        <v>522505</v>
      </c>
      <c r="X35" s="379" t="n">
        <v>523503</v>
      </c>
      <c r="Y35" s="379" t="n">
        <v>524497</v>
      </c>
      <c r="Z35" s="379" t="n">
        <v>525352</v>
      </c>
      <c r="AA35" s="379" t="n">
        <v>526280</v>
      </c>
      <c r="AB35" s="379" t="n">
        <v>527085</v>
      </c>
      <c r="AC35" s="383" t="n">
        <v>527217</v>
      </c>
      <c r="AD35" s="383" t="n">
        <v>527217</v>
      </c>
      <c r="AE35" s="381" t="n">
        <v>528206</v>
      </c>
      <c r="AF35" s="381" t="n">
        <v>529090</v>
      </c>
      <c r="AG35" s="381" t="n">
        <v>529957</v>
      </c>
      <c r="AH35" s="391" t="n">
        <v>530867</v>
      </c>
      <c r="AI35" s="184" t="n">
        <v>531216</v>
      </c>
      <c r="AJ35" s="314">
        <f>AI35-D35</f>
        <v/>
      </c>
    </row>
    <row r="36">
      <c r="A36" s="559" t="n"/>
      <c r="AI36" s="559" t="n"/>
    </row>
    <row r="37">
      <c r="AI37" s="559" t="n"/>
    </row>
    <row r="38">
      <c r="A38" s="350" t="n"/>
      <c r="B38" s="555" t="inlineStr">
        <is>
          <t xml:space="preserve"> Daily Energy Report</t>
        </is>
      </c>
      <c r="C38" s="520" t="n"/>
      <c r="D38" s="501" t="n"/>
      <c r="E38" s="350" t="n"/>
      <c r="F38" s="350" t="n"/>
      <c r="G38" s="350" t="n"/>
      <c r="H38" s="350" t="n"/>
      <c r="I38" s="350" t="n"/>
      <c r="J38" s="350" t="n"/>
      <c r="K38" s="350" t="n"/>
      <c r="L38" s="350" t="n"/>
      <c r="M38" s="350" t="n"/>
      <c r="N38" s="350" t="n"/>
      <c r="O38" s="350" t="n"/>
      <c r="P38" s="350" t="n"/>
      <c r="Q38" s="350" t="n"/>
      <c r="R38" s="350" t="n"/>
      <c r="S38" s="350" t="n"/>
      <c r="T38" s="350" t="n"/>
      <c r="U38" s="350" t="n"/>
      <c r="V38" s="350" t="n"/>
      <c r="W38" s="350" t="n"/>
      <c r="X38" s="350" t="n"/>
      <c r="Y38" s="350" t="n"/>
      <c r="Z38" s="350" t="n"/>
      <c r="AA38" s="350" t="n"/>
      <c r="AB38" s="350" t="n"/>
      <c r="AC38" s="350" t="n"/>
      <c r="AD38" s="350" t="n"/>
      <c r="AE38" s="350" t="n"/>
      <c r="AF38" s="350" t="n"/>
      <c r="AG38" s="350" t="n"/>
      <c r="AH38" s="350" t="n"/>
      <c r="AI38" s="350" t="n"/>
      <c r="AJ38" s="350" t="n"/>
    </row>
    <row r="39">
      <c r="A39" s="351" t="n"/>
      <c r="B39" s="560" t="inlineStr">
        <is>
          <t>Electricity Consumption</t>
        </is>
      </c>
      <c r="C39" s="520" t="n"/>
      <c r="D39" s="501" t="n"/>
      <c r="E39" s="351" t="n"/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  <c r="AI39" s="351" t="n"/>
      <c r="AJ39" s="351" t="n"/>
    </row>
    <row r="40">
      <c r="A40" s="542" t="inlineStr">
        <is>
          <t>Sr.No</t>
        </is>
      </c>
      <c r="B40" s="542" t="inlineStr">
        <is>
          <t>Location</t>
        </is>
      </c>
      <c r="C40" s="542" t="inlineStr">
        <is>
          <t>Meter</t>
        </is>
      </c>
      <c r="D40" s="522" t="n"/>
      <c r="E40" s="301" t="n">
        <v>46235</v>
      </c>
      <c r="F40" s="301" t="n">
        <v>46236</v>
      </c>
      <c r="G40" s="301" t="n">
        <v>46237</v>
      </c>
      <c r="H40" s="301" t="n">
        <v>46238</v>
      </c>
      <c r="I40" s="301" t="n">
        <v>46239</v>
      </c>
      <c r="J40" s="301" t="n">
        <v>46240</v>
      </c>
      <c r="K40" s="301" t="n">
        <v>46241</v>
      </c>
      <c r="L40" s="301" t="n">
        <v>46242</v>
      </c>
      <c r="M40" s="301" t="n">
        <v>46243</v>
      </c>
      <c r="N40" s="301" t="n">
        <v>46244</v>
      </c>
      <c r="O40" s="301" t="n">
        <v>46245</v>
      </c>
      <c r="P40" s="301" t="n">
        <v>46246</v>
      </c>
      <c r="Q40" s="301" t="n">
        <v>46247</v>
      </c>
      <c r="R40" s="301" t="n">
        <v>46248</v>
      </c>
      <c r="S40" s="301" t="n">
        <v>46249</v>
      </c>
      <c r="T40" s="301" t="n">
        <v>46250</v>
      </c>
      <c r="U40" s="301" t="n">
        <v>46251</v>
      </c>
      <c r="V40" s="301" t="n">
        <v>46252</v>
      </c>
      <c r="W40" s="301" t="n">
        <v>46253</v>
      </c>
      <c r="X40" s="301" t="n">
        <v>46254</v>
      </c>
      <c r="Y40" s="301" t="n">
        <v>46255</v>
      </c>
      <c r="Z40" s="301" t="n">
        <v>46256</v>
      </c>
      <c r="AA40" s="301" t="n">
        <v>46257</v>
      </c>
      <c r="AB40" s="301" t="n">
        <v>46258</v>
      </c>
      <c r="AC40" s="301" t="n">
        <v>46259</v>
      </c>
      <c r="AD40" s="301" t="n">
        <v>46260</v>
      </c>
      <c r="AE40" s="301" t="n">
        <v>46261</v>
      </c>
      <c r="AF40" s="301" t="n">
        <v>46262</v>
      </c>
      <c r="AG40" s="301" t="n">
        <v>46263</v>
      </c>
      <c r="AH40" s="301" t="n">
        <v>46264</v>
      </c>
      <c r="AI40" s="301" t="n">
        <v>46265</v>
      </c>
      <c r="AJ40" s="542" t="inlineStr">
        <is>
          <t>Consumption</t>
        </is>
      </c>
    </row>
    <row r="41">
      <c r="A41" s="516" t="n"/>
      <c r="B41" s="516" t="n"/>
      <c r="C41" s="523" t="n"/>
      <c r="D41" s="524" t="n"/>
      <c r="E41" s="302" t="inlineStr">
        <is>
          <t>Sat</t>
        </is>
      </c>
      <c r="F41" s="302" t="inlineStr">
        <is>
          <t>Sun</t>
        </is>
      </c>
      <c r="G41" s="302" t="inlineStr">
        <is>
          <t>Mon</t>
        </is>
      </c>
      <c r="H41" s="302" t="inlineStr">
        <is>
          <t>Tue</t>
        </is>
      </c>
      <c r="I41" s="302" t="inlineStr">
        <is>
          <t>Wed</t>
        </is>
      </c>
      <c r="J41" s="302" t="inlineStr">
        <is>
          <t>Thu</t>
        </is>
      </c>
      <c r="K41" s="302" t="inlineStr">
        <is>
          <t>Fri</t>
        </is>
      </c>
      <c r="L41" s="302" t="inlineStr">
        <is>
          <t>Sat</t>
        </is>
      </c>
      <c r="M41" s="302" t="inlineStr">
        <is>
          <t>Sun</t>
        </is>
      </c>
      <c r="N41" s="302" t="inlineStr">
        <is>
          <t>Mon</t>
        </is>
      </c>
      <c r="O41" s="302" t="inlineStr">
        <is>
          <t>Tue</t>
        </is>
      </c>
      <c r="P41" s="302" t="inlineStr">
        <is>
          <t>Wed</t>
        </is>
      </c>
      <c r="Q41" s="302" t="inlineStr">
        <is>
          <t>Thu</t>
        </is>
      </c>
      <c r="R41" s="302" t="inlineStr">
        <is>
          <t>Fri</t>
        </is>
      </c>
      <c r="S41" s="302" t="inlineStr">
        <is>
          <t>Sat</t>
        </is>
      </c>
      <c r="T41" s="302" t="inlineStr">
        <is>
          <t>Sun</t>
        </is>
      </c>
      <c r="U41" s="302" t="inlineStr">
        <is>
          <t>Mon</t>
        </is>
      </c>
      <c r="V41" s="302" t="inlineStr">
        <is>
          <t>Tue</t>
        </is>
      </c>
      <c r="W41" s="302" t="inlineStr">
        <is>
          <t>Wed</t>
        </is>
      </c>
      <c r="X41" s="302" t="inlineStr">
        <is>
          <t>Thu</t>
        </is>
      </c>
      <c r="Y41" s="302" t="inlineStr">
        <is>
          <t>Fri</t>
        </is>
      </c>
      <c r="Z41" s="302" t="inlineStr">
        <is>
          <t>Sat</t>
        </is>
      </c>
      <c r="AA41" s="302" t="inlineStr">
        <is>
          <t>Sun</t>
        </is>
      </c>
      <c r="AB41" s="302" t="inlineStr">
        <is>
          <t>Mon</t>
        </is>
      </c>
      <c r="AC41" s="302" t="inlineStr">
        <is>
          <t>Tue</t>
        </is>
      </c>
      <c r="AD41" s="302" t="inlineStr">
        <is>
          <t>Wed</t>
        </is>
      </c>
      <c r="AE41" s="302" t="inlineStr">
        <is>
          <t>Thu</t>
        </is>
      </c>
      <c r="AF41" s="302" t="inlineStr">
        <is>
          <t>Fri</t>
        </is>
      </c>
      <c r="AG41" s="302" t="inlineStr">
        <is>
          <t>Sat</t>
        </is>
      </c>
      <c r="AH41" s="302" t="inlineStr">
        <is>
          <t>Sun</t>
        </is>
      </c>
      <c r="AI41" s="302" t="inlineStr">
        <is>
          <t>Mon</t>
        </is>
      </c>
      <c r="AJ41" s="516" t="n"/>
    </row>
    <row r="42">
      <c r="A42" s="516" t="n"/>
      <c r="B42" s="516" t="n"/>
      <c r="C42" s="523" t="n"/>
      <c r="D42" s="524" t="n"/>
      <c r="E42" s="353" t="inlineStr">
        <is>
          <t>Time</t>
        </is>
      </c>
      <c r="F42" s="353" t="inlineStr">
        <is>
          <t>Time</t>
        </is>
      </c>
      <c r="G42" s="353" t="inlineStr">
        <is>
          <t>Time</t>
        </is>
      </c>
      <c r="H42" s="353" t="inlineStr">
        <is>
          <t>Time</t>
        </is>
      </c>
      <c r="I42" s="353" t="inlineStr">
        <is>
          <t>Time</t>
        </is>
      </c>
      <c r="J42" s="353" t="inlineStr">
        <is>
          <t>Time</t>
        </is>
      </c>
      <c r="K42" s="353" t="inlineStr">
        <is>
          <t>Time</t>
        </is>
      </c>
      <c r="L42" s="353" t="inlineStr">
        <is>
          <t>Time</t>
        </is>
      </c>
      <c r="M42" s="353" t="inlineStr">
        <is>
          <t>Time</t>
        </is>
      </c>
      <c r="N42" s="353" t="inlineStr">
        <is>
          <t>Time</t>
        </is>
      </c>
      <c r="O42" s="353" t="inlineStr">
        <is>
          <t>Time</t>
        </is>
      </c>
      <c r="P42" s="353" t="inlineStr">
        <is>
          <t>Time</t>
        </is>
      </c>
      <c r="Q42" s="353" t="inlineStr">
        <is>
          <t>Time</t>
        </is>
      </c>
      <c r="R42" s="353" t="inlineStr">
        <is>
          <t>Time</t>
        </is>
      </c>
      <c r="S42" s="353" t="inlineStr">
        <is>
          <t>Time</t>
        </is>
      </c>
      <c r="T42" s="353" t="inlineStr">
        <is>
          <t>Time</t>
        </is>
      </c>
      <c r="U42" s="353" t="inlineStr">
        <is>
          <t>Time</t>
        </is>
      </c>
      <c r="V42" s="353" t="inlineStr">
        <is>
          <t>Time</t>
        </is>
      </c>
      <c r="W42" s="353" t="inlineStr">
        <is>
          <t>Time</t>
        </is>
      </c>
      <c r="X42" s="353" t="inlineStr">
        <is>
          <t>Time</t>
        </is>
      </c>
      <c r="Y42" s="353" t="inlineStr">
        <is>
          <t>Time</t>
        </is>
      </c>
      <c r="Z42" s="353" t="inlineStr">
        <is>
          <t>Time</t>
        </is>
      </c>
      <c r="AA42" s="353" t="inlineStr">
        <is>
          <t>Time</t>
        </is>
      </c>
      <c r="AB42" s="353" t="inlineStr">
        <is>
          <t>Time</t>
        </is>
      </c>
      <c r="AC42" s="353" t="inlineStr">
        <is>
          <t>Time</t>
        </is>
      </c>
      <c r="AD42" s="353" t="inlineStr">
        <is>
          <t>Time</t>
        </is>
      </c>
      <c r="AE42" s="352" t="inlineStr">
        <is>
          <t>Time</t>
        </is>
      </c>
      <c r="AF42" s="303" t="inlineStr">
        <is>
          <t>Time</t>
        </is>
      </c>
      <c r="AG42" s="353" t="inlineStr">
        <is>
          <t>Time</t>
        </is>
      </c>
      <c r="AH42" s="353" t="inlineStr">
        <is>
          <t>Time</t>
        </is>
      </c>
      <c r="AI42" s="353" t="inlineStr">
        <is>
          <t>Time</t>
        </is>
      </c>
      <c r="AJ42" s="516" t="n"/>
    </row>
    <row r="43">
      <c r="A43" s="517" t="n"/>
      <c r="B43" s="517" t="n"/>
      <c r="C43" s="525" t="n"/>
      <c r="D43" s="526" t="n"/>
      <c r="E43" s="354" t="n">
        <v>0.3333333333333333</v>
      </c>
      <c r="F43" s="354" t="n">
        <v>0.3333333333333333</v>
      </c>
      <c r="G43" s="354" t="n">
        <v>0.3333333333333333</v>
      </c>
      <c r="H43" s="354" t="n">
        <v>0.3333333333333333</v>
      </c>
      <c r="I43" s="354" t="n">
        <v>0.3333333333333333</v>
      </c>
      <c r="J43" s="354" t="n">
        <v>0.3333333333333333</v>
      </c>
      <c r="K43" s="354" t="n">
        <v>0.3333333333333333</v>
      </c>
      <c r="L43" s="354" t="n">
        <v>0.3333333333333333</v>
      </c>
      <c r="M43" s="354" t="n">
        <v>0.3333333333333333</v>
      </c>
      <c r="N43" s="354" t="n">
        <v>0.3333333333333333</v>
      </c>
      <c r="O43" s="354" t="n">
        <v>0.3333333333333333</v>
      </c>
      <c r="P43" s="354" t="n">
        <v>0.3333333333333333</v>
      </c>
      <c r="Q43" s="354" t="n">
        <v>0.3333333333333333</v>
      </c>
      <c r="R43" s="354" t="n">
        <v>0.3333333333333333</v>
      </c>
      <c r="S43" s="354" t="n">
        <v>0.3333333333333333</v>
      </c>
      <c r="T43" s="354" t="n">
        <v>0.3333333333333333</v>
      </c>
      <c r="U43" s="354" t="n">
        <v>0.3333333333333333</v>
      </c>
      <c r="V43" s="354" t="n">
        <v>0.3333333333333333</v>
      </c>
      <c r="W43" s="354" t="n">
        <v>0.3333333333333333</v>
      </c>
      <c r="X43" s="354" t="n">
        <v>0.3333333333333333</v>
      </c>
      <c r="Y43" s="354" t="n">
        <v>0.3333333333333333</v>
      </c>
      <c r="Z43" s="354" t="n">
        <v>0.3333333333333333</v>
      </c>
      <c r="AA43" s="354" t="n">
        <v>0.3333333333333333</v>
      </c>
      <c r="AB43" s="354" t="n">
        <v>0.3333333333333333</v>
      </c>
      <c r="AC43" s="354" t="n">
        <v>0.3333333333333333</v>
      </c>
      <c r="AD43" s="354" t="n">
        <v>0.3333333333333333</v>
      </c>
      <c r="AE43" s="354" t="n">
        <v>0.3333333333333333</v>
      </c>
      <c r="AF43" s="304" t="n">
        <v>0.3333333333333333</v>
      </c>
      <c r="AG43" s="354" t="n">
        <v>0.3333333333333333</v>
      </c>
      <c r="AH43" s="354" t="n">
        <v>0.3333333333333333</v>
      </c>
      <c r="AI43" s="354" t="n">
        <v>0.3333333333333333</v>
      </c>
      <c r="AJ43" s="517" t="n"/>
    </row>
    <row r="44">
      <c r="A44" s="541" t="n">
        <v>1</v>
      </c>
      <c r="B44" s="541" t="inlineStr">
        <is>
          <t>3F</t>
        </is>
      </c>
      <c r="C44" s="541" t="inlineStr">
        <is>
          <t>SL No 540430038840 (EB Unit)</t>
        </is>
      </c>
      <c r="D44" s="501" t="n"/>
      <c r="E44" s="355">
        <f>E6-D6</f>
        <v/>
      </c>
      <c r="F44" s="355">
        <f>F6-E6</f>
        <v/>
      </c>
      <c r="G44" s="355">
        <f>G6-F6</f>
        <v/>
      </c>
      <c r="H44" s="355">
        <f>H6-G6</f>
        <v/>
      </c>
      <c r="I44" s="355">
        <f>I6-H6</f>
        <v/>
      </c>
      <c r="J44" s="355">
        <f>J6-I6</f>
        <v/>
      </c>
      <c r="K44" s="355">
        <f>K6-J6</f>
        <v/>
      </c>
      <c r="L44" s="355">
        <f>L6-K6</f>
        <v/>
      </c>
      <c r="M44" s="355">
        <f>M6-L6</f>
        <v/>
      </c>
      <c r="N44" s="355">
        <f>N6-M6</f>
        <v/>
      </c>
      <c r="O44" s="355">
        <f>O6-N6</f>
        <v/>
      </c>
      <c r="P44" s="355">
        <f>P6-O6</f>
        <v/>
      </c>
      <c r="Q44" s="355">
        <f>Q6-P6</f>
        <v/>
      </c>
      <c r="R44" s="355">
        <f>R6-Q6</f>
        <v/>
      </c>
      <c r="S44" s="355">
        <f>S6-R6</f>
        <v/>
      </c>
      <c r="T44" s="355">
        <f>T6-S6</f>
        <v/>
      </c>
      <c r="U44" s="355">
        <f>U6-T6</f>
        <v/>
      </c>
      <c r="V44" s="355">
        <f>V6-U6</f>
        <v/>
      </c>
      <c r="W44" s="355">
        <f>W6-V6</f>
        <v/>
      </c>
      <c r="X44" s="355">
        <f>X6-W6</f>
        <v/>
      </c>
      <c r="Y44" s="355">
        <f>Y6-X6</f>
        <v/>
      </c>
      <c r="Z44" s="355">
        <f>Z6-Y6</f>
        <v/>
      </c>
      <c r="AA44" s="355">
        <f>AA6-Z6</f>
        <v/>
      </c>
      <c r="AB44" s="355">
        <f>AB6-AA6</f>
        <v/>
      </c>
      <c r="AC44" s="355">
        <f>AC6-AB6</f>
        <v/>
      </c>
      <c r="AD44" s="355">
        <f>AD6-AC6</f>
        <v/>
      </c>
      <c r="AE44" s="355">
        <f>AE6-AD6</f>
        <v/>
      </c>
      <c r="AF44" s="355">
        <f>AF6-AE6</f>
        <v/>
      </c>
      <c r="AG44" s="355">
        <f>AG6-AF6</f>
        <v/>
      </c>
      <c r="AH44" s="355">
        <f>AH6-AG6</f>
        <v/>
      </c>
      <c r="AI44" s="355">
        <f>AI6-AH6</f>
        <v/>
      </c>
      <c r="AJ44" s="356">
        <f>SUM(E44:AI44)</f>
        <v/>
      </c>
    </row>
    <row r="45">
      <c r="A45" s="541" t="n"/>
      <c r="B45" s="541" t="n"/>
      <c r="C45" s="547" t="inlineStr">
        <is>
          <t>DG</t>
        </is>
      </c>
      <c r="D45" s="501" t="n"/>
      <c r="E45" s="355">
        <f>E7-D7</f>
        <v/>
      </c>
      <c r="F45" s="355">
        <f>F7-E7</f>
        <v/>
      </c>
      <c r="G45" s="355">
        <f>G7-F7</f>
        <v/>
      </c>
      <c r="H45" s="355">
        <f>H7-G7</f>
        <v/>
      </c>
      <c r="I45" s="355">
        <f>I7-H7</f>
        <v/>
      </c>
      <c r="J45" s="355">
        <f>J7-I7</f>
        <v/>
      </c>
      <c r="K45" s="355">
        <f>K7-J7</f>
        <v/>
      </c>
      <c r="L45" s="355">
        <f>L7-K7</f>
        <v/>
      </c>
      <c r="M45" s="355">
        <f>M7-L7</f>
        <v/>
      </c>
      <c r="N45" s="355">
        <f>N7-M7</f>
        <v/>
      </c>
      <c r="O45" s="355">
        <f>O7-N7</f>
        <v/>
      </c>
      <c r="P45" s="355">
        <f>P7-O7</f>
        <v/>
      </c>
      <c r="Q45" s="355">
        <f>Q7-P7</f>
        <v/>
      </c>
      <c r="R45" s="355">
        <f>R7-Q7</f>
        <v/>
      </c>
      <c r="S45" s="355">
        <f>S7-R7</f>
        <v/>
      </c>
      <c r="T45" s="355">
        <f>T7-S7</f>
        <v/>
      </c>
      <c r="U45" s="355">
        <f>U7-T7</f>
        <v/>
      </c>
      <c r="V45" s="355">
        <f>V7-U7</f>
        <v/>
      </c>
      <c r="W45" s="355">
        <f>W7-V7</f>
        <v/>
      </c>
      <c r="X45" s="355">
        <f>X7-W7</f>
        <v/>
      </c>
      <c r="Y45" s="355">
        <f>Y7-X7</f>
        <v/>
      </c>
      <c r="Z45" s="355">
        <f>Z7-Y7</f>
        <v/>
      </c>
      <c r="AA45" s="355">
        <f>AA7-Z7</f>
        <v/>
      </c>
      <c r="AB45" s="355">
        <f>AB7-AA7</f>
        <v/>
      </c>
      <c r="AC45" s="355">
        <f>AC7-AB7</f>
        <v/>
      </c>
      <c r="AD45" s="355">
        <f>AD7-AC7</f>
        <v/>
      </c>
      <c r="AE45" s="355">
        <f>AE7-AD7</f>
        <v/>
      </c>
      <c r="AF45" s="355">
        <f>AF7-AE7</f>
        <v/>
      </c>
      <c r="AG45" s="355">
        <f>AG7-AF7</f>
        <v/>
      </c>
      <c r="AH45" s="355">
        <f>AH7-AG7</f>
        <v/>
      </c>
      <c r="AI45" s="355">
        <f>AI7-AH7</f>
        <v/>
      </c>
      <c r="AJ45" s="356">
        <f>SUM(E45:AI45)</f>
        <v/>
      </c>
    </row>
    <row r="46">
      <c r="A46" s="541" t="n">
        <v>2</v>
      </c>
      <c r="B46" s="541" t="inlineStr">
        <is>
          <t>3F</t>
        </is>
      </c>
      <c r="C46" s="541" t="inlineStr">
        <is>
          <t>SL No 540430038845 (EB Unit)</t>
        </is>
      </c>
      <c r="D46" s="501" t="n"/>
      <c r="E46" s="355">
        <f>E8-D8</f>
        <v/>
      </c>
      <c r="F46" s="355">
        <f>F8-E8</f>
        <v/>
      </c>
      <c r="G46" s="355">
        <f>G8-F8</f>
        <v/>
      </c>
      <c r="H46" s="355">
        <f>H8-G8</f>
        <v/>
      </c>
      <c r="I46" s="355">
        <f>I8-H8</f>
        <v/>
      </c>
      <c r="J46" s="355">
        <f>J8-I8</f>
        <v/>
      </c>
      <c r="K46" s="355">
        <f>K8-J8</f>
        <v/>
      </c>
      <c r="L46" s="355">
        <f>L8-K8</f>
        <v/>
      </c>
      <c r="M46" s="355">
        <f>M8-L8</f>
        <v/>
      </c>
      <c r="N46" s="355">
        <f>N8-M8</f>
        <v/>
      </c>
      <c r="O46" s="355">
        <f>O8-N8</f>
        <v/>
      </c>
      <c r="P46" s="355">
        <f>P8-O8</f>
        <v/>
      </c>
      <c r="Q46" s="355">
        <f>Q8-P8</f>
        <v/>
      </c>
      <c r="R46" s="355">
        <f>R8-Q8</f>
        <v/>
      </c>
      <c r="S46" s="355">
        <f>S8-R8</f>
        <v/>
      </c>
      <c r="T46" s="355">
        <f>T8-S8</f>
        <v/>
      </c>
      <c r="U46" s="355">
        <f>U8-T8</f>
        <v/>
      </c>
      <c r="V46" s="355">
        <f>V8-U8</f>
        <v/>
      </c>
      <c r="W46" s="355">
        <f>W8-V8</f>
        <v/>
      </c>
      <c r="X46" s="355">
        <f>X8-W8</f>
        <v/>
      </c>
      <c r="Y46" s="355">
        <f>Y8-X8</f>
        <v/>
      </c>
      <c r="Z46" s="355">
        <f>Z8-Y8</f>
        <v/>
      </c>
      <c r="AA46" s="355">
        <f>AA8-Z8</f>
        <v/>
      </c>
      <c r="AB46" s="355">
        <f>AB8-AA8</f>
        <v/>
      </c>
      <c r="AC46" s="355">
        <f>AC8-AB8</f>
        <v/>
      </c>
      <c r="AD46" s="355">
        <f>AD8-AC8</f>
        <v/>
      </c>
      <c r="AE46" s="355">
        <f>AE8-AD8</f>
        <v/>
      </c>
      <c r="AF46" s="355">
        <f>AF8-AE8</f>
        <v/>
      </c>
      <c r="AG46" s="355">
        <f>AG8-AF8</f>
        <v/>
      </c>
      <c r="AH46" s="355">
        <f>AH8-AG8</f>
        <v/>
      </c>
      <c r="AI46" s="355">
        <f>AI8-AH8</f>
        <v/>
      </c>
      <c r="AJ46" s="356">
        <f>SUM(E46:AI46)</f>
        <v/>
      </c>
    </row>
    <row r="47">
      <c r="A47" s="541" t="n"/>
      <c r="B47" s="541" t="n"/>
      <c r="C47" s="547" t="inlineStr">
        <is>
          <t>DG</t>
        </is>
      </c>
      <c r="D47" s="501" t="n"/>
      <c r="E47" s="355">
        <f>E9-D9</f>
        <v/>
      </c>
      <c r="F47" s="355">
        <f>F9-E9</f>
        <v/>
      </c>
      <c r="G47" s="355">
        <f>G9-F9</f>
        <v/>
      </c>
      <c r="H47" s="355">
        <f>H9-G9</f>
        <v/>
      </c>
      <c r="I47" s="355">
        <f>I9-H9</f>
        <v/>
      </c>
      <c r="J47" s="355">
        <f>J9-I9</f>
        <v/>
      </c>
      <c r="K47" s="355">
        <f>K9-J9</f>
        <v/>
      </c>
      <c r="L47" s="355">
        <f>L9-K9</f>
        <v/>
      </c>
      <c r="M47" s="355">
        <f>M9-L9</f>
        <v/>
      </c>
      <c r="N47" s="355">
        <f>N9-M9</f>
        <v/>
      </c>
      <c r="O47" s="355">
        <f>O9-N9</f>
        <v/>
      </c>
      <c r="P47" s="355">
        <f>P9-O9</f>
        <v/>
      </c>
      <c r="Q47" s="355">
        <f>Q9-P9</f>
        <v/>
      </c>
      <c r="R47" s="355">
        <f>R9-Q9</f>
        <v/>
      </c>
      <c r="S47" s="355">
        <f>S9-R9</f>
        <v/>
      </c>
      <c r="T47" s="355">
        <f>T9-S9</f>
        <v/>
      </c>
      <c r="U47" s="355">
        <f>U9-T9</f>
        <v/>
      </c>
      <c r="V47" s="355">
        <f>V9-U9</f>
        <v/>
      </c>
      <c r="W47" s="355">
        <f>W9-V9</f>
        <v/>
      </c>
      <c r="X47" s="355">
        <f>X9-W9</f>
        <v/>
      </c>
      <c r="Y47" s="355">
        <f>Y9-X9</f>
        <v/>
      </c>
      <c r="Z47" s="355">
        <f>Z9-Y9</f>
        <v/>
      </c>
      <c r="AA47" s="355">
        <f>AA9-Z9</f>
        <v/>
      </c>
      <c r="AB47" s="355">
        <f>AB9-AA9</f>
        <v/>
      </c>
      <c r="AC47" s="355">
        <f>AC9-AB9</f>
        <v/>
      </c>
      <c r="AD47" s="355">
        <f>AD9-AC9</f>
        <v/>
      </c>
      <c r="AE47" s="355">
        <f>AE9-AD9</f>
        <v/>
      </c>
      <c r="AF47" s="355">
        <f>AF9-AE9</f>
        <v/>
      </c>
      <c r="AG47" s="355">
        <f>AG9-AF9</f>
        <v/>
      </c>
      <c r="AH47" s="355">
        <f>AH9-AG9</f>
        <v/>
      </c>
      <c r="AI47" s="355">
        <f>AI9-AH9</f>
        <v/>
      </c>
      <c r="AJ47" s="356">
        <f>SUM(E47:AI47)</f>
        <v/>
      </c>
    </row>
    <row r="48">
      <c r="A48" s="541" t="n">
        <v>3</v>
      </c>
      <c r="B48" s="541" t="inlineStr">
        <is>
          <t>3F</t>
        </is>
      </c>
      <c r="C48" s="541" t="inlineStr">
        <is>
          <t>SL No 540430038844 (EB Unit)</t>
        </is>
      </c>
      <c r="D48" s="501" t="n"/>
      <c r="E48" s="355">
        <f>E10-D10</f>
        <v/>
      </c>
      <c r="F48" s="355">
        <f>F10-E10</f>
        <v/>
      </c>
      <c r="G48" s="355">
        <f>G10-F10</f>
        <v/>
      </c>
      <c r="H48" s="355">
        <f>H10-G10</f>
        <v/>
      </c>
      <c r="I48" s="355">
        <f>I10-H10</f>
        <v/>
      </c>
      <c r="J48" s="355">
        <f>J10-I10</f>
        <v/>
      </c>
      <c r="K48" s="355">
        <f>K10-J10</f>
        <v/>
      </c>
      <c r="L48" s="355">
        <f>L10-K10</f>
        <v/>
      </c>
      <c r="M48" s="355">
        <f>M10-L10</f>
        <v/>
      </c>
      <c r="N48" s="355">
        <f>N10-M10</f>
        <v/>
      </c>
      <c r="O48" s="355">
        <f>O10-N10</f>
        <v/>
      </c>
      <c r="P48" s="355">
        <f>P10-O10</f>
        <v/>
      </c>
      <c r="Q48" s="355">
        <f>Q10-P10</f>
        <v/>
      </c>
      <c r="R48" s="355">
        <f>R10-Q10</f>
        <v/>
      </c>
      <c r="S48" s="355">
        <f>S10-R10</f>
        <v/>
      </c>
      <c r="T48" s="355">
        <f>T10-S10</f>
        <v/>
      </c>
      <c r="U48" s="355">
        <f>U10-T10</f>
        <v/>
      </c>
      <c r="V48" s="355">
        <f>V10-U10</f>
        <v/>
      </c>
      <c r="W48" s="355">
        <f>W10-V10</f>
        <v/>
      </c>
      <c r="X48" s="355">
        <f>X10-W10</f>
        <v/>
      </c>
      <c r="Y48" s="355">
        <f>Y10-X10</f>
        <v/>
      </c>
      <c r="Z48" s="355">
        <f>Z10-Y10</f>
        <v/>
      </c>
      <c r="AA48" s="355">
        <f>AA10-Z10</f>
        <v/>
      </c>
      <c r="AB48" s="355">
        <f>AB10-AA10</f>
        <v/>
      </c>
      <c r="AC48" s="355">
        <f>AC10-AB10</f>
        <v/>
      </c>
      <c r="AD48" s="355">
        <f>AD10-AC10</f>
        <v/>
      </c>
      <c r="AE48" s="355">
        <f>AE10-AD10</f>
        <v/>
      </c>
      <c r="AF48" s="355">
        <f>AF10-AE10</f>
        <v/>
      </c>
      <c r="AG48" s="355">
        <f>AG10-AF10</f>
        <v/>
      </c>
      <c r="AH48" s="355">
        <f>AH10-AG10</f>
        <v/>
      </c>
      <c r="AI48" s="355">
        <f>AI10-AH10</f>
        <v/>
      </c>
      <c r="AJ48" s="356">
        <f>SUM(E48:AI48)</f>
        <v/>
      </c>
    </row>
    <row r="49">
      <c r="A49" s="541" t="n"/>
      <c r="B49" s="541" t="n"/>
      <c r="C49" s="547" t="inlineStr">
        <is>
          <t>DG</t>
        </is>
      </c>
      <c r="D49" s="501" t="n"/>
      <c r="E49" s="355">
        <f>E11-D11</f>
        <v/>
      </c>
      <c r="F49" s="355">
        <f>F11-E11</f>
        <v/>
      </c>
      <c r="G49" s="355">
        <f>G11-F11</f>
        <v/>
      </c>
      <c r="H49" s="355">
        <f>H11-G11</f>
        <v/>
      </c>
      <c r="I49" s="355">
        <f>I11-H11</f>
        <v/>
      </c>
      <c r="J49" s="355">
        <f>J11-I11</f>
        <v/>
      </c>
      <c r="K49" s="355">
        <f>K11-J11</f>
        <v/>
      </c>
      <c r="L49" s="355">
        <f>L11-K11</f>
        <v/>
      </c>
      <c r="M49" s="355">
        <f>M11-L11</f>
        <v/>
      </c>
      <c r="N49" s="355">
        <f>N11-M11</f>
        <v/>
      </c>
      <c r="O49" s="355">
        <f>O11-N11</f>
        <v/>
      </c>
      <c r="P49" s="355">
        <f>P11-O11</f>
        <v/>
      </c>
      <c r="Q49" s="355">
        <f>Q11-P11</f>
        <v/>
      </c>
      <c r="R49" s="355">
        <f>R11-Q11</f>
        <v/>
      </c>
      <c r="S49" s="355">
        <f>S11-R11</f>
        <v/>
      </c>
      <c r="T49" s="355">
        <f>T11-S11</f>
        <v/>
      </c>
      <c r="U49" s="355">
        <f>U11-T11</f>
        <v/>
      </c>
      <c r="V49" s="355">
        <f>V11-U11</f>
        <v/>
      </c>
      <c r="W49" s="355">
        <f>W11-V11</f>
        <v/>
      </c>
      <c r="X49" s="355">
        <f>X11-W11</f>
        <v/>
      </c>
      <c r="Y49" s="355">
        <f>Y11-X11</f>
        <v/>
      </c>
      <c r="Z49" s="355">
        <f>Z11-Y11</f>
        <v/>
      </c>
      <c r="AA49" s="355">
        <f>AA11-Z11</f>
        <v/>
      </c>
      <c r="AB49" s="355">
        <f>AB11-AA11</f>
        <v/>
      </c>
      <c r="AC49" s="355">
        <f>AC11-AB11</f>
        <v/>
      </c>
      <c r="AD49" s="355">
        <f>AD11-AC11</f>
        <v/>
      </c>
      <c r="AE49" s="355">
        <f>AE11-AD11</f>
        <v/>
      </c>
      <c r="AF49" s="355">
        <f>AF11-AE11</f>
        <v/>
      </c>
      <c r="AG49" s="355">
        <f>AG11-AF11</f>
        <v/>
      </c>
      <c r="AH49" s="355">
        <f>AH11-AG11</f>
        <v/>
      </c>
      <c r="AI49" s="355">
        <f>AI11-AH11</f>
        <v/>
      </c>
      <c r="AJ49" s="356">
        <f>SUM(E49:AI49)</f>
        <v/>
      </c>
    </row>
    <row r="50">
      <c r="A50" s="541" t="n">
        <v>4</v>
      </c>
      <c r="B50" s="541" t="inlineStr">
        <is>
          <t>3F</t>
        </is>
      </c>
      <c r="C50" s="541" t="inlineStr">
        <is>
          <t>SL No 540430038821 (EB Unit)</t>
        </is>
      </c>
      <c r="D50" s="501" t="n"/>
      <c r="E50" s="355">
        <f>E12-D12</f>
        <v/>
      </c>
      <c r="F50" s="355">
        <f>F12-E12</f>
        <v/>
      </c>
      <c r="G50" s="355">
        <f>G12-F12</f>
        <v/>
      </c>
      <c r="H50" s="355">
        <f>H12-G12</f>
        <v/>
      </c>
      <c r="I50" s="355">
        <f>I12-H12</f>
        <v/>
      </c>
      <c r="J50" s="355">
        <f>J12-I12</f>
        <v/>
      </c>
      <c r="K50" s="355">
        <f>K12-J12</f>
        <v/>
      </c>
      <c r="L50" s="355">
        <f>L12-K12</f>
        <v/>
      </c>
      <c r="M50" s="355">
        <f>M12-L12</f>
        <v/>
      </c>
      <c r="N50" s="355">
        <f>N12-M12</f>
        <v/>
      </c>
      <c r="O50" s="355">
        <f>O12-N12</f>
        <v/>
      </c>
      <c r="P50" s="355">
        <f>P12-O12</f>
        <v/>
      </c>
      <c r="Q50" s="355">
        <f>Q12-P12</f>
        <v/>
      </c>
      <c r="R50" s="355">
        <f>R12-Q12</f>
        <v/>
      </c>
      <c r="S50" s="355">
        <f>S12-R12</f>
        <v/>
      </c>
      <c r="T50" s="355">
        <f>T12-S12</f>
        <v/>
      </c>
      <c r="U50" s="355">
        <f>U12-T12</f>
        <v/>
      </c>
      <c r="V50" s="355">
        <f>V12-U12</f>
        <v/>
      </c>
      <c r="W50" s="355">
        <f>W12-V12</f>
        <v/>
      </c>
      <c r="X50" s="355">
        <f>X12-W12</f>
        <v/>
      </c>
      <c r="Y50" s="355">
        <f>Y12-X12</f>
        <v/>
      </c>
      <c r="Z50" s="355">
        <f>Z12-Y12</f>
        <v/>
      </c>
      <c r="AA50" s="355">
        <f>AA12-Z12</f>
        <v/>
      </c>
      <c r="AB50" s="355">
        <f>AB12-AA12</f>
        <v/>
      </c>
      <c r="AC50" s="355">
        <f>AC12-AB12</f>
        <v/>
      </c>
      <c r="AD50" s="355">
        <f>AD12-AC12</f>
        <v/>
      </c>
      <c r="AE50" s="355">
        <f>AE12-AD12</f>
        <v/>
      </c>
      <c r="AF50" s="355">
        <f>AF12-AE12</f>
        <v/>
      </c>
      <c r="AG50" s="355">
        <f>AG12-AF12</f>
        <v/>
      </c>
      <c r="AH50" s="355">
        <f>AH12-AG12</f>
        <v/>
      </c>
      <c r="AI50" s="355">
        <f>AI12-AH12</f>
        <v/>
      </c>
      <c r="AJ50" s="356">
        <f>SUM(E50:AI50)</f>
        <v/>
      </c>
    </row>
    <row r="51">
      <c r="A51" s="541" t="n"/>
      <c r="B51" s="541" t="n"/>
      <c r="C51" s="547" t="inlineStr">
        <is>
          <t>DG</t>
        </is>
      </c>
      <c r="D51" s="501" t="n"/>
      <c r="E51" s="355">
        <f>E13-D13</f>
        <v/>
      </c>
      <c r="F51" s="355">
        <f>F13-E13</f>
        <v/>
      </c>
      <c r="G51" s="355">
        <f>G13-F13</f>
        <v/>
      </c>
      <c r="H51" s="355">
        <f>H13-G13</f>
        <v/>
      </c>
      <c r="I51" s="355">
        <f>I13-H13</f>
        <v/>
      </c>
      <c r="J51" s="355">
        <f>J13-I13</f>
        <v/>
      </c>
      <c r="K51" s="355">
        <f>K13-J13</f>
        <v/>
      </c>
      <c r="L51" s="355">
        <f>L13-K13</f>
        <v/>
      </c>
      <c r="M51" s="355">
        <f>M13-L13</f>
        <v/>
      </c>
      <c r="N51" s="355">
        <f>N13-M13</f>
        <v/>
      </c>
      <c r="O51" s="355">
        <f>O13-N13</f>
        <v/>
      </c>
      <c r="P51" s="355">
        <f>P13-O13</f>
        <v/>
      </c>
      <c r="Q51" s="355">
        <f>Q13-P13</f>
        <v/>
      </c>
      <c r="R51" s="355">
        <f>R13-Q13</f>
        <v/>
      </c>
      <c r="S51" s="355">
        <f>S13-R13</f>
        <v/>
      </c>
      <c r="T51" s="355">
        <f>T13-S13</f>
        <v/>
      </c>
      <c r="U51" s="355">
        <f>U13-T13</f>
        <v/>
      </c>
      <c r="V51" s="355">
        <f>V13-U13</f>
        <v/>
      </c>
      <c r="W51" s="355">
        <f>W13-V13</f>
        <v/>
      </c>
      <c r="X51" s="355">
        <f>X13-W13</f>
        <v/>
      </c>
      <c r="Y51" s="355">
        <f>Y13-X13</f>
        <v/>
      </c>
      <c r="Z51" s="355">
        <f>Z13-Y13</f>
        <v/>
      </c>
      <c r="AA51" s="355">
        <f>AA13-Z13</f>
        <v/>
      </c>
      <c r="AB51" s="355">
        <f>AB13-AA13</f>
        <v/>
      </c>
      <c r="AC51" s="355">
        <f>AC13-AB13</f>
        <v/>
      </c>
      <c r="AD51" s="355">
        <f>AD13-AC13</f>
        <v/>
      </c>
      <c r="AE51" s="355">
        <f>AE13-AD13</f>
        <v/>
      </c>
      <c r="AF51" s="355">
        <f>AF13-AE13</f>
        <v/>
      </c>
      <c r="AG51" s="355">
        <f>AG13-AF13</f>
        <v/>
      </c>
      <c r="AH51" s="355">
        <f>AH13-AG13</f>
        <v/>
      </c>
      <c r="AI51" s="355">
        <f>AI13-AH13</f>
        <v/>
      </c>
      <c r="AJ51" s="356">
        <f>SUM(E51:AI51)</f>
        <v/>
      </c>
    </row>
    <row r="52">
      <c r="A52" s="541" t="n">
        <v>5</v>
      </c>
      <c r="B52" s="541" t="inlineStr">
        <is>
          <t>3F</t>
        </is>
      </c>
      <c r="C52" s="541" t="inlineStr">
        <is>
          <t>SL No 540430038849 (EB Unit)</t>
        </is>
      </c>
      <c r="D52" s="501" t="n"/>
      <c r="E52" s="355">
        <f>E14-D14</f>
        <v/>
      </c>
      <c r="F52" s="355">
        <f>F14-E14</f>
        <v/>
      </c>
      <c r="G52" s="355">
        <f>G14-F14</f>
        <v/>
      </c>
      <c r="H52" s="355">
        <f>H14-G14</f>
        <v/>
      </c>
      <c r="I52" s="355">
        <f>I14-H14</f>
        <v/>
      </c>
      <c r="J52" s="355">
        <f>J14-I14</f>
        <v/>
      </c>
      <c r="K52" s="355">
        <f>K14-J14</f>
        <v/>
      </c>
      <c r="L52" s="355">
        <f>L14-K14</f>
        <v/>
      </c>
      <c r="M52" s="355">
        <f>M14-L14</f>
        <v/>
      </c>
      <c r="N52" s="355">
        <f>N14-M14</f>
        <v/>
      </c>
      <c r="O52" s="355">
        <f>O14-N14</f>
        <v/>
      </c>
      <c r="P52" s="355">
        <f>P14-O14</f>
        <v/>
      </c>
      <c r="Q52" s="355">
        <f>Q14-P14</f>
        <v/>
      </c>
      <c r="R52" s="355">
        <f>R14-Q14</f>
        <v/>
      </c>
      <c r="S52" s="355">
        <f>S14-R14</f>
        <v/>
      </c>
      <c r="T52" s="355">
        <f>T14-S14</f>
        <v/>
      </c>
      <c r="U52" s="355">
        <f>U14-T14</f>
        <v/>
      </c>
      <c r="V52" s="355">
        <f>V14-U14</f>
        <v/>
      </c>
      <c r="W52" s="355">
        <f>W14-V14</f>
        <v/>
      </c>
      <c r="X52" s="355">
        <f>X14-W14</f>
        <v/>
      </c>
      <c r="Y52" s="355">
        <f>Y14-X14</f>
        <v/>
      </c>
      <c r="Z52" s="355">
        <f>Z14-Y14</f>
        <v/>
      </c>
      <c r="AA52" s="355">
        <f>AA14-Z14</f>
        <v/>
      </c>
      <c r="AB52" s="355">
        <f>AB14-AA14</f>
        <v/>
      </c>
      <c r="AC52" s="355">
        <f>AC14-AB14</f>
        <v/>
      </c>
      <c r="AD52" s="355">
        <f>AD14-AC14</f>
        <v/>
      </c>
      <c r="AE52" s="355">
        <f>AE14-AD14</f>
        <v/>
      </c>
      <c r="AF52" s="355">
        <f>AF14-AE14</f>
        <v/>
      </c>
      <c r="AG52" s="355">
        <f>AG14-AF14</f>
        <v/>
      </c>
      <c r="AH52" s="355">
        <f>AH14-AG14</f>
        <v/>
      </c>
      <c r="AI52" s="355">
        <f>AI14-AH14</f>
        <v/>
      </c>
      <c r="AJ52" s="356">
        <f>SUM(E52:AI52)</f>
        <v/>
      </c>
    </row>
    <row r="53">
      <c r="A53" s="541" t="n"/>
      <c r="B53" s="541" t="n"/>
      <c r="C53" s="547" t="inlineStr">
        <is>
          <t>DG</t>
        </is>
      </c>
      <c r="D53" s="501" t="n"/>
      <c r="E53" s="355">
        <f>E15-D15</f>
        <v/>
      </c>
      <c r="F53" s="355">
        <f>F15-E15</f>
        <v/>
      </c>
      <c r="G53" s="355">
        <f>G15-F15</f>
        <v/>
      </c>
      <c r="H53" s="355">
        <f>H15-G15</f>
        <v/>
      </c>
      <c r="I53" s="355">
        <f>I15-H15</f>
        <v/>
      </c>
      <c r="J53" s="355">
        <f>J15-I15</f>
        <v/>
      </c>
      <c r="K53" s="355">
        <f>K15-J15</f>
        <v/>
      </c>
      <c r="L53" s="355">
        <f>L15-K15</f>
        <v/>
      </c>
      <c r="M53" s="355">
        <f>M15-L15</f>
        <v/>
      </c>
      <c r="N53" s="355">
        <f>N15-M15</f>
        <v/>
      </c>
      <c r="O53" s="355">
        <f>O15-N15</f>
        <v/>
      </c>
      <c r="P53" s="355">
        <f>P15-O15</f>
        <v/>
      </c>
      <c r="Q53" s="355">
        <f>Q15-P15</f>
        <v/>
      </c>
      <c r="R53" s="355">
        <f>R15-Q15</f>
        <v/>
      </c>
      <c r="S53" s="355">
        <f>S15-R15</f>
        <v/>
      </c>
      <c r="T53" s="355">
        <f>T15-S15</f>
        <v/>
      </c>
      <c r="U53" s="355">
        <f>U15-T15</f>
        <v/>
      </c>
      <c r="V53" s="355">
        <f>V15-U15</f>
        <v/>
      </c>
      <c r="W53" s="355">
        <f>W15-V15</f>
        <v/>
      </c>
      <c r="X53" s="355">
        <f>X15-W15</f>
        <v/>
      </c>
      <c r="Y53" s="355">
        <f>Y15-X15</f>
        <v/>
      </c>
      <c r="Z53" s="355">
        <f>Z15-Y15</f>
        <v/>
      </c>
      <c r="AA53" s="355">
        <f>AA15-Z15</f>
        <v/>
      </c>
      <c r="AB53" s="355">
        <f>AB15-AA15</f>
        <v/>
      </c>
      <c r="AC53" s="355">
        <f>AC15-AB15</f>
        <v/>
      </c>
      <c r="AD53" s="355">
        <f>AD15-AC15</f>
        <v/>
      </c>
      <c r="AE53" s="355">
        <f>AE15-AD15</f>
        <v/>
      </c>
      <c r="AF53" s="355">
        <f>AF15-AE15</f>
        <v/>
      </c>
      <c r="AG53" s="355">
        <f>AG15-AF15</f>
        <v/>
      </c>
      <c r="AH53" s="355">
        <f>AH15-AG15</f>
        <v/>
      </c>
      <c r="AI53" s="355">
        <f>AI15-AH15</f>
        <v/>
      </c>
      <c r="AJ53" s="356">
        <f>SUM(E53:AI53)</f>
        <v/>
      </c>
    </row>
    <row r="54">
      <c r="A54" s="541" t="n">
        <v>6</v>
      </c>
      <c r="B54" s="541" t="inlineStr">
        <is>
          <t>3F</t>
        </is>
      </c>
      <c r="C54" s="541" t="inlineStr">
        <is>
          <t>SL No 540430038696 (EB Unit)</t>
        </is>
      </c>
      <c r="D54" s="501" t="n"/>
      <c r="E54" s="355">
        <f>E16-D16</f>
        <v/>
      </c>
      <c r="F54" s="355">
        <f>F16-E16</f>
        <v/>
      </c>
      <c r="G54" s="355">
        <f>G16-F16</f>
        <v/>
      </c>
      <c r="H54" s="355">
        <f>H16-G16</f>
        <v/>
      </c>
      <c r="I54" s="355">
        <f>I16-H16</f>
        <v/>
      </c>
      <c r="J54" s="355">
        <f>J16-I16</f>
        <v/>
      </c>
      <c r="K54" s="355">
        <f>K16-J16</f>
        <v/>
      </c>
      <c r="L54" s="355">
        <f>L16-K16</f>
        <v/>
      </c>
      <c r="M54" s="355">
        <f>M16-L16</f>
        <v/>
      </c>
      <c r="N54" s="355">
        <f>N16-M16</f>
        <v/>
      </c>
      <c r="O54" s="355">
        <f>O16-N16</f>
        <v/>
      </c>
      <c r="P54" s="355">
        <f>P16-O16</f>
        <v/>
      </c>
      <c r="Q54" s="355">
        <f>Q16-P16</f>
        <v/>
      </c>
      <c r="R54" s="355">
        <f>R16-Q16</f>
        <v/>
      </c>
      <c r="S54" s="355">
        <f>S16-R16</f>
        <v/>
      </c>
      <c r="T54" s="355">
        <f>T16-S16</f>
        <v/>
      </c>
      <c r="U54" s="355">
        <f>U16-T16</f>
        <v/>
      </c>
      <c r="V54" s="355">
        <f>V16-U16</f>
        <v/>
      </c>
      <c r="W54" s="355">
        <f>W16-V16</f>
        <v/>
      </c>
      <c r="X54" s="355">
        <f>X16-W16</f>
        <v/>
      </c>
      <c r="Y54" s="355">
        <f>Y16-X16</f>
        <v/>
      </c>
      <c r="Z54" s="355">
        <f>Z16-Y16</f>
        <v/>
      </c>
      <c r="AA54" s="355">
        <f>AA16-Z16</f>
        <v/>
      </c>
      <c r="AB54" s="355">
        <f>AB16-AA16</f>
        <v/>
      </c>
      <c r="AC54" s="355">
        <f>AC16-AB16</f>
        <v/>
      </c>
      <c r="AD54" s="355">
        <f>AD16-AC16</f>
        <v/>
      </c>
      <c r="AE54" s="355">
        <f>AE16-AD16</f>
        <v/>
      </c>
      <c r="AF54" s="355">
        <f>AF16-AE16</f>
        <v/>
      </c>
      <c r="AG54" s="355">
        <f>AG16-AF16</f>
        <v/>
      </c>
      <c r="AH54" s="355">
        <f>AH16-AG16</f>
        <v/>
      </c>
      <c r="AI54" s="355">
        <f>AI16-AH16</f>
        <v/>
      </c>
      <c r="AJ54" s="356">
        <f>SUM(E54:AI54)</f>
        <v/>
      </c>
    </row>
    <row r="55">
      <c r="A55" s="541" t="n"/>
      <c r="B55" s="541" t="n"/>
      <c r="C55" s="547" t="inlineStr">
        <is>
          <t>DG</t>
        </is>
      </c>
      <c r="D55" s="501" t="n"/>
      <c r="E55" s="355">
        <f>E17-D17</f>
        <v/>
      </c>
      <c r="F55" s="355">
        <f>F17-E17</f>
        <v/>
      </c>
      <c r="G55" s="355">
        <f>G17-F17</f>
        <v/>
      </c>
      <c r="H55" s="355">
        <f>H17-G17</f>
        <v/>
      </c>
      <c r="I55" s="355">
        <f>I17-H17</f>
        <v/>
      </c>
      <c r="J55" s="355">
        <f>J17-I17</f>
        <v/>
      </c>
      <c r="K55" s="355">
        <f>K17-J17</f>
        <v/>
      </c>
      <c r="L55" s="355">
        <f>L17-K17</f>
        <v/>
      </c>
      <c r="M55" s="355">
        <f>M17-L17</f>
        <v/>
      </c>
      <c r="N55" s="355">
        <f>N17-M17</f>
        <v/>
      </c>
      <c r="O55" s="355">
        <f>O17-N17</f>
        <v/>
      </c>
      <c r="P55" s="355">
        <f>P17-O17</f>
        <v/>
      </c>
      <c r="Q55" s="355">
        <f>Q17-P17</f>
        <v/>
      </c>
      <c r="R55" s="355">
        <f>R17-Q17</f>
        <v/>
      </c>
      <c r="S55" s="355">
        <f>S17-R17</f>
        <v/>
      </c>
      <c r="T55" s="355">
        <f>T17-S17</f>
        <v/>
      </c>
      <c r="U55" s="355">
        <f>U17-T17</f>
        <v/>
      </c>
      <c r="V55" s="355">
        <f>V17-U17</f>
        <v/>
      </c>
      <c r="W55" s="355">
        <f>W17-V17</f>
        <v/>
      </c>
      <c r="X55" s="355">
        <f>X17-W17</f>
        <v/>
      </c>
      <c r="Y55" s="355">
        <f>Y17-X17</f>
        <v/>
      </c>
      <c r="Z55" s="355">
        <f>Z17-Y17</f>
        <v/>
      </c>
      <c r="AA55" s="355">
        <f>AA17-Z17</f>
        <v/>
      </c>
      <c r="AB55" s="355">
        <f>AB17-AA17</f>
        <v/>
      </c>
      <c r="AC55" s="355">
        <f>AC17-AB17</f>
        <v/>
      </c>
      <c r="AD55" s="355">
        <f>AD17-AC17</f>
        <v/>
      </c>
      <c r="AE55" s="355">
        <f>AE17-AD17</f>
        <v/>
      </c>
      <c r="AF55" s="355">
        <f>AF17-AE17</f>
        <v/>
      </c>
      <c r="AG55" s="355">
        <f>AG17-AF17</f>
        <v/>
      </c>
      <c r="AH55" s="355">
        <f>AH17-AG17</f>
        <v/>
      </c>
      <c r="AI55" s="355">
        <f>AI17-AH17</f>
        <v/>
      </c>
      <c r="AJ55" s="356">
        <f>SUM(E55:AI55)</f>
        <v/>
      </c>
    </row>
    <row r="56">
      <c r="A56" s="541" t="n">
        <v>7</v>
      </c>
      <c r="B56" s="541" t="inlineStr">
        <is>
          <t>3F</t>
        </is>
      </c>
      <c r="C56" s="541" t="inlineStr">
        <is>
          <t>SL No 540430038843 (EB Unit)</t>
        </is>
      </c>
      <c r="D56" s="501" t="n"/>
      <c r="E56" s="355">
        <f>E18-D18</f>
        <v/>
      </c>
      <c r="F56" s="355">
        <f>F18-E18</f>
        <v/>
      </c>
      <c r="G56" s="355">
        <f>G18-F18</f>
        <v/>
      </c>
      <c r="H56" s="355">
        <f>H18-G18</f>
        <v/>
      </c>
      <c r="I56" s="355">
        <f>I18-H18</f>
        <v/>
      </c>
      <c r="J56" s="355">
        <f>J18-I18</f>
        <v/>
      </c>
      <c r="K56" s="355">
        <f>K18-J18</f>
        <v/>
      </c>
      <c r="L56" s="355">
        <f>L18-K18</f>
        <v/>
      </c>
      <c r="M56" s="355">
        <f>M18-L18</f>
        <v/>
      </c>
      <c r="N56" s="355">
        <f>N18-M18</f>
        <v/>
      </c>
      <c r="O56" s="355">
        <f>O18-N18</f>
        <v/>
      </c>
      <c r="P56" s="355">
        <f>P18-O18</f>
        <v/>
      </c>
      <c r="Q56" s="355">
        <f>Q18-P18</f>
        <v/>
      </c>
      <c r="R56" s="355">
        <f>R18-Q18</f>
        <v/>
      </c>
      <c r="S56" s="355">
        <f>S18-R18</f>
        <v/>
      </c>
      <c r="T56" s="355">
        <f>T18-S18</f>
        <v/>
      </c>
      <c r="U56" s="355">
        <f>U18-T18</f>
        <v/>
      </c>
      <c r="V56" s="355">
        <f>V18-U18</f>
        <v/>
      </c>
      <c r="W56" s="355">
        <f>W18-V18</f>
        <v/>
      </c>
      <c r="X56" s="355">
        <f>X18-W18</f>
        <v/>
      </c>
      <c r="Y56" s="355">
        <f>Y18-X18</f>
        <v/>
      </c>
      <c r="Z56" s="355">
        <f>Z18-Y18</f>
        <v/>
      </c>
      <c r="AA56" s="355">
        <f>AA18-Z18</f>
        <v/>
      </c>
      <c r="AB56" s="355">
        <f>AB18-AA18</f>
        <v/>
      </c>
      <c r="AC56" s="355">
        <f>AC18-AB18</f>
        <v/>
      </c>
      <c r="AD56" s="355">
        <f>AD18-AC18</f>
        <v/>
      </c>
      <c r="AE56" s="355">
        <f>AE18-AD18</f>
        <v/>
      </c>
      <c r="AF56" s="355">
        <f>AF18-AE18</f>
        <v/>
      </c>
      <c r="AG56" s="355">
        <f>AG18-AF18</f>
        <v/>
      </c>
      <c r="AH56" s="355">
        <f>AH18-AG18</f>
        <v/>
      </c>
      <c r="AI56" s="355">
        <f>AI18-AH18</f>
        <v/>
      </c>
      <c r="AJ56" s="356">
        <f>SUM(E56:AI56)</f>
        <v/>
      </c>
    </row>
    <row r="57">
      <c r="A57" s="541" t="n"/>
      <c r="B57" s="541" t="n"/>
      <c r="C57" s="547" t="inlineStr">
        <is>
          <t>DG</t>
        </is>
      </c>
      <c r="D57" s="501" t="n"/>
      <c r="E57" s="355">
        <f>E19-D19</f>
        <v/>
      </c>
      <c r="F57" s="355">
        <f>F19-E19</f>
        <v/>
      </c>
      <c r="G57" s="355">
        <f>G19-F19</f>
        <v/>
      </c>
      <c r="H57" s="355">
        <f>H19-G19</f>
        <v/>
      </c>
      <c r="I57" s="355">
        <f>I19-H19</f>
        <v/>
      </c>
      <c r="J57" s="355">
        <f>J19-I19</f>
        <v/>
      </c>
      <c r="K57" s="355">
        <f>K19-J19</f>
        <v/>
      </c>
      <c r="L57" s="355">
        <f>L19-K19</f>
        <v/>
      </c>
      <c r="M57" s="355">
        <f>M19-L19</f>
        <v/>
      </c>
      <c r="N57" s="355">
        <f>N19-M19</f>
        <v/>
      </c>
      <c r="O57" s="355">
        <f>O19-N19</f>
        <v/>
      </c>
      <c r="P57" s="355">
        <f>P19-O19</f>
        <v/>
      </c>
      <c r="Q57" s="355">
        <f>Q19-P19</f>
        <v/>
      </c>
      <c r="R57" s="355">
        <f>R19-Q19</f>
        <v/>
      </c>
      <c r="S57" s="355">
        <f>S19-R19</f>
        <v/>
      </c>
      <c r="T57" s="355">
        <f>T19-S19</f>
        <v/>
      </c>
      <c r="U57" s="355">
        <f>U19-T19</f>
        <v/>
      </c>
      <c r="V57" s="355">
        <f>V19-U19</f>
        <v/>
      </c>
      <c r="W57" s="355">
        <f>W19-V19</f>
        <v/>
      </c>
      <c r="X57" s="355">
        <f>X19-W19</f>
        <v/>
      </c>
      <c r="Y57" s="355">
        <f>Y19-X19</f>
        <v/>
      </c>
      <c r="Z57" s="355">
        <f>Z19-Y19</f>
        <v/>
      </c>
      <c r="AA57" s="355">
        <f>AA19-Z19</f>
        <v/>
      </c>
      <c r="AB57" s="355">
        <f>AB19-AA19</f>
        <v/>
      </c>
      <c r="AC57" s="355">
        <f>AC19-AB19</f>
        <v/>
      </c>
      <c r="AD57" s="355">
        <f>AD19-AC19</f>
        <v/>
      </c>
      <c r="AE57" s="355">
        <f>AE19-AD19</f>
        <v/>
      </c>
      <c r="AF57" s="355">
        <f>AF19-AE19</f>
        <v/>
      </c>
      <c r="AG57" s="355">
        <f>AG19-AF19</f>
        <v/>
      </c>
      <c r="AH57" s="355">
        <f>AH19-AG19</f>
        <v/>
      </c>
      <c r="AI57" s="355">
        <f>AI19-AH19</f>
        <v/>
      </c>
      <c r="AJ57" s="356">
        <f>SUM(E57:AI57)</f>
        <v/>
      </c>
    </row>
    <row r="58">
      <c r="A58" s="541" t="n">
        <v>8</v>
      </c>
      <c r="B58" s="541" t="inlineStr">
        <is>
          <t>3F</t>
        </is>
      </c>
      <c r="C58" s="541" t="inlineStr">
        <is>
          <t>SL No 540430038848 (EB Unit)</t>
        </is>
      </c>
      <c r="D58" s="501" t="n"/>
      <c r="E58" s="355">
        <f>E20-D20</f>
        <v/>
      </c>
      <c r="F58" s="355">
        <f>F20-E20</f>
        <v/>
      </c>
      <c r="G58" s="355">
        <f>G20-F20</f>
        <v/>
      </c>
      <c r="H58" s="355">
        <f>H20-G20</f>
        <v/>
      </c>
      <c r="I58" s="355">
        <f>I20-H20</f>
        <v/>
      </c>
      <c r="J58" s="355">
        <f>J20-I20</f>
        <v/>
      </c>
      <c r="K58" s="355">
        <f>K20-J20</f>
        <v/>
      </c>
      <c r="L58" s="355">
        <f>L20-K20</f>
        <v/>
      </c>
      <c r="M58" s="355">
        <f>M20-L20</f>
        <v/>
      </c>
      <c r="N58" s="355">
        <f>N20-M20</f>
        <v/>
      </c>
      <c r="O58" s="355">
        <f>O20-N20</f>
        <v/>
      </c>
      <c r="P58" s="355">
        <f>P20-O20</f>
        <v/>
      </c>
      <c r="Q58" s="355">
        <f>Q20-P20</f>
        <v/>
      </c>
      <c r="R58" s="355">
        <f>R20-Q20</f>
        <v/>
      </c>
      <c r="S58" s="355">
        <f>S20-R20</f>
        <v/>
      </c>
      <c r="T58" s="355">
        <f>T20-S20</f>
        <v/>
      </c>
      <c r="U58" s="355">
        <f>U20-T20</f>
        <v/>
      </c>
      <c r="V58" s="355">
        <f>V20-U20</f>
        <v/>
      </c>
      <c r="W58" s="355">
        <f>W20-V20</f>
        <v/>
      </c>
      <c r="X58" s="355">
        <f>X20-W20</f>
        <v/>
      </c>
      <c r="Y58" s="355">
        <f>Y20-X20</f>
        <v/>
      </c>
      <c r="Z58" s="355">
        <f>Z20-Y20</f>
        <v/>
      </c>
      <c r="AA58" s="355">
        <f>AA20-Z20</f>
        <v/>
      </c>
      <c r="AB58" s="355">
        <f>AB20-AA20</f>
        <v/>
      </c>
      <c r="AC58" s="355">
        <f>AC20-AB20</f>
        <v/>
      </c>
      <c r="AD58" s="355">
        <f>AD20-AC20</f>
        <v/>
      </c>
      <c r="AE58" s="355">
        <f>AE20-AD20</f>
        <v/>
      </c>
      <c r="AF58" s="355">
        <f>AF20-AE20</f>
        <v/>
      </c>
      <c r="AG58" s="355">
        <f>AG20-AF20</f>
        <v/>
      </c>
      <c r="AH58" s="355">
        <f>AH20-AG20</f>
        <v/>
      </c>
      <c r="AI58" s="355">
        <f>AI20-AH20</f>
        <v/>
      </c>
      <c r="AJ58" s="356">
        <f>SUM(E58:AI58)</f>
        <v/>
      </c>
    </row>
    <row r="59" ht="12.75" customHeight="1" s="488">
      <c r="A59" s="541" t="n"/>
      <c r="B59" s="541" t="n"/>
      <c r="C59" s="547" t="inlineStr">
        <is>
          <t>DG</t>
        </is>
      </c>
      <c r="D59" s="501" t="n"/>
      <c r="E59" s="355">
        <f>E21-D21</f>
        <v/>
      </c>
      <c r="F59" s="355">
        <f>F21-E21</f>
        <v/>
      </c>
      <c r="G59" s="355">
        <f>G21-F21</f>
        <v/>
      </c>
      <c r="H59" s="355">
        <f>H21-G21</f>
        <v/>
      </c>
      <c r="I59" s="355">
        <f>I21-H21</f>
        <v/>
      </c>
      <c r="J59" s="355">
        <f>J21-I21</f>
        <v/>
      </c>
      <c r="K59" s="355">
        <f>K21-J21</f>
        <v/>
      </c>
      <c r="L59" s="355">
        <f>L21-K21</f>
        <v/>
      </c>
      <c r="M59" s="355">
        <f>M21-L21</f>
        <v/>
      </c>
      <c r="N59" s="355">
        <f>N21-M21</f>
        <v/>
      </c>
      <c r="O59" s="355">
        <f>O21-N21</f>
        <v/>
      </c>
      <c r="P59" s="355">
        <f>P21-O21</f>
        <v/>
      </c>
      <c r="Q59" s="355">
        <f>Q21-P21</f>
        <v/>
      </c>
      <c r="R59" s="355">
        <f>R21-Q21</f>
        <v/>
      </c>
      <c r="S59" s="355">
        <f>S21-R21</f>
        <v/>
      </c>
      <c r="T59" s="355">
        <f>T21-S21</f>
        <v/>
      </c>
      <c r="U59" s="355">
        <f>U21-T21</f>
        <v/>
      </c>
      <c r="V59" s="355">
        <f>V21-U21</f>
        <v/>
      </c>
      <c r="W59" s="355">
        <f>W21-V21</f>
        <v/>
      </c>
      <c r="X59" s="355">
        <f>X21-W21</f>
        <v/>
      </c>
      <c r="Y59" s="355">
        <f>Y21-X21</f>
        <v/>
      </c>
      <c r="Z59" s="355">
        <f>Z21-Y21</f>
        <v/>
      </c>
      <c r="AA59" s="355">
        <f>AA21-Z21</f>
        <v/>
      </c>
      <c r="AB59" s="355">
        <f>AB21-AA21</f>
        <v/>
      </c>
      <c r="AC59" s="355">
        <f>AC21-AB21</f>
        <v/>
      </c>
      <c r="AD59" s="355">
        <f>AD21-AC21</f>
        <v/>
      </c>
      <c r="AE59" s="355">
        <f>AE21-AD21</f>
        <v/>
      </c>
      <c r="AF59" s="355">
        <f>AF21-AE21</f>
        <v/>
      </c>
      <c r="AG59" s="355">
        <f>AG21-AF21</f>
        <v/>
      </c>
      <c r="AH59" s="355">
        <f>AH21-AG21</f>
        <v/>
      </c>
      <c r="AI59" s="355">
        <f>AI21-AH21</f>
        <v/>
      </c>
      <c r="AJ59" s="356">
        <f>SUM(E59:AI59)</f>
        <v/>
      </c>
    </row>
    <row r="60">
      <c r="A60" s="357" t="n"/>
      <c r="B60" s="357" t="n"/>
      <c r="C60" s="553" t="inlineStr">
        <is>
          <t>Total Power - EB Unit</t>
        </is>
      </c>
      <c r="D60" s="501" t="n"/>
      <c r="E60" s="358">
        <f>SUM(E58,E56,E54,E52,E50,E48,E46,E44)</f>
        <v/>
      </c>
      <c r="F60" s="358">
        <f>SUM(F58,F56,F54,F52,F50,F48,F46,F44)</f>
        <v/>
      </c>
      <c r="G60" s="358">
        <f>SUM(G58,G56,G54,G52,G50,G48,G46,G44)</f>
        <v/>
      </c>
      <c r="H60" s="358">
        <f>SUM(H58,H56,H54,H52,H50,H48,H46,H44)</f>
        <v/>
      </c>
      <c r="I60" s="358">
        <f>SUM(I58,I56,I54,I52,I50,I48,I46,I44)</f>
        <v/>
      </c>
      <c r="J60" s="358">
        <f>SUM(J58,J56,J54,J52,J50,J48,J46,J44)</f>
        <v/>
      </c>
      <c r="K60" s="358">
        <f>SUM(K58,K56,K54,K52,K50,K48,K46,K44)</f>
        <v/>
      </c>
      <c r="L60" s="358">
        <f>SUM(L58,L56,L54,L52,L50,L48,L46,L44)</f>
        <v/>
      </c>
      <c r="M60" s="358">
        <f>SUM(M58,M56,M54,M52,M50,M48,M46,M44)</f>
        <v/>
      </c>
      <c r="N60" s="358">
        <f>SUM(N58,N56,N54,N52,N50,N48,N46,N44)</f>
        <v/>
      </c>
      <c r="O60" s="358">
        <f>SUM(O58,O56,O54,O52,O50,O48,O46,O44)</f>
        <v/>
      </c>
      <c r="P60" s="358">
        <f>SUM(P58,P56,P54,P52,P50,P48,P46,P44)</f>
        <v/>
      </c>
      <c r="Q60" s="358">
        <f>SUM(Q58,Q56,Q54,Q52,Q50,Q48,Q46,Q44)</f>
        <v/>
      </c>
      <c r="R60" s="358">
        <f>SUM(R58,R56,R54,R52,R50,R48,R46,R44)</f>
        <v/>
      </c>
      <c r="S60" s="358">
        <f>SUM(S58,S56,S54,S52,S50,S48,S46,S44)</f>
        <v/>
      </c>
      <c r="T60" s="358">
        <f>SUM(T58,T56,T54,T52,T50,T48,T46,T44)</f>
        <v/>
      </c>
      <c r="U60" s="358">
        <f>SUM(U58,U56,U54,U52,U50,U48,U46,U44)</f>
        <v/>
      </c>
      <c r="V60" s="358">
        <f>SUM(V58,V56,V54,V52,V50,V48,V46,V44)</f>
        <v/>
      </c>
      <c r="W60" s="358">
        <f>SUM(W58,W56,W54,W52,W50,W48,W46,W44)</f>
        <v/>
      </c>
      <c r="X60" s="358">
        <f>SUM(X58,X56,X54,X52,X50,X48,X46,X44)</f>
        <v/>
      </c>
      <c r="Y60" s="358">
        <f>SUM(Y58,Y56,Y54,Y52,Y50,Y48,Y46,Y44)</f>
        <v/>
      </c>
      <c r="Z60" s="358">
        <f>SUM(Z58,Z56,Z54,Z52,Z50,Z48,Z46,Z44)</f>
        <v/>
      </c>
      <c r="AA60" s="358">
        <f>SUM(AA58,AA56,AA54,AA52,AA50,AA48,AA46,AA44)</f>
        <v/>
      </c>
      <c r="AB60" s="358">
        <f>SUM(AB58,AB56,AB54,AB52,AB50,AB48,AB46,AB44)</f>
        <v/>
      </c>
      <c r="AC60" s="358">
        <f>SUM(AC58,AC56,AC54,AC52,AC50,AC48,AC46,AC44)</f>
        <v/>
      </c>
      <c r="AD60" s="358">
        <f>SUM(AD58,AD56,AD54,AD52,AD50,AD48,AD46,AD44)</f>
        <v/>
      </c>
      <c r="AE60" s="358">
        <f>SUM(AE58,AE56,AE54,AE52,AE50,AE48,AE46,AE44)</f>
        <v/>
      </c>
      <c r="AF60" s="358">
        <f>SUM(AF58,AF56,AF54,AF52,AF50,AF48,AF46,AF44)</f>
        <v/>
      </c>
      <c r="AG60" s="358">
        <f>SUM(AG58,AG56,AG54,AG52,AG50,AG48,AG46,AG44)</f>
        <v/>
      </c>
      <c r="AH60" s="358">
        <f>SUM(AH58,AH56,AH54,AH52,AH50,AH48,AH46,AH44)</f>
        <v/>
      </c>
      <c r="AI60" s="358">
        <f>SUM(AI58,AI56,AI54,AI52,AI50,AI48,AI46,AI44)</f>
        <v/>
      </c>
      <c r="AJ60" s="359">
        <f>SUM(E60:AI60)</f>
        <v/>
      </c>
    </row>
    <row r="61" ht="16.5" customHeight="1" s="488">
      <c r="A61" s="357" t="n"/>
      <c r="B61" s="357" t="n"/>
      <c r="C61" s="360" t="inlineStr">
        <is>
          <t>Total Power- DG</t>
        </is>
      </c>
      <c r="D61" s="361" t="n"/>
      <c r="E61" s="358">
        <f>SUM(E45,E47,E49,E51,E53,E55,E57,E59)</f>
        <v/>
      </c>
      <c r="F61" s="358">
        <f>SUM(F45,F47,F49,F51,F53,F55,F57,F59)</f>
        <v/>
      </c>
      <c r="G61" s="358">
        <f>SUM(G45,G47,G49,G51,G53,G55,G57,G59)</f>
        <v/>
      </c>
      <c r="H61" s="358">
        <f>SUM(H45,H47,H49,H51,H53,H55,H57,H59)</f>
        <v/>
      </c>
      <c r="I61" s="358">
        <f>SUM(I45,I47,I49,I51,I53,I55,I57,I59)</f>
        <v/>
      </c>
      <c r="J61" s="358">
        <f>SUM(J45,J47,J49,J51,J53,J55,J57,J59)</f>
        <v/>
      </c>
      <c r="K61" s="358">
        <f>SUM(K45,K47,K49,K51,K53,K55,K57,K59)</f>
        <v/>
      </c>
      <c r="L61" s="358">
        <f>SUM(L45,L47,L49,L51,L53,L55,L57,L59)</f>
        <v/>
      </c>
      <c r="M61" s="358">
        <f>SUM(M45,M47,M49,M51,M53,M55,M57,M59)</f>
        <v/>
      </c>
      <c r="N61" s="358">
        <f>SUM(N45,N47,N49,N51,N53,N55,N57,N59)</f>
        <v/>
      </c>
      <c r="O61" s="358">
        <f>SUM(O45,O47,O49,O51,O53,O55,O57,O59)</f>
        <v/>
      </c>
      <c r="P61" s="358">
        <f>SUM(P45,P47,P49,P51,P53,P55,P57,P59)</f>
        <v/>
      </c>
      <c r="Q61" s="358">
        <f>SUM(Q45,Q47,Q49,Q51,Q53,Q55,Q57,Q59)</f>
        <v/>
      </c>
      <c r="R61" s="358">
        <f>SUM(R45,R47,R49,R51,R53,R55,R57,R59)</f>
        <v/>
      </c>
      <c r="S61" s="358">
        <f>SUM(S45,S47,S49,S51,S53,S55,S57,S59)</f>
        <v/>
      </c>
      <c r="T61" s="358">
        <f>SUM(T45,T47,T49,T51,T53,T55,T57,T59)</f>
        <v/>
      </c>
      <c r="U61" s="358">
        <f>SUM(U45,U47,U49,U51,U53,U55,U57,U59)</f>
        <v/>
      </c>
      <c r="V61" s="358">
        <f>SUM(V45,V47,V49,V51,V53,V55,V57,V59)</f>
        <v/>
      </c>
      <c r="W61" s="358">
        <f>SUM(W45,W47,W49,W51,W53,W55,W57,W59)</f>
        <v/>
      </c>
      <c r="X61" s="358">
        <f>SUM(X45,X47,X49,X51,X53,X55,X57,X59)</f>
        <v/>
      </c>
      <c r="Y61" s="358">
        <f>SUM(Y45,Y47,Y49,Y51,Y53,Y55,Y57,Y59)</f>
        <v/>
      </c>
      <c r="Z61" s="358">
        <f>SUM(Z45,Z47,Z49,Z51,Z53,Z55,Z57,Z59)</f>
        <v/>
      </c>
      <c r="AA61" s="358">
        <f>SUM(AA45,AA47,AA49,AA51,AA53,AA55,AA57,AA59)</f>
        <v/>
      </c>
      <c r="AB61" s="358">
        <f>SUM(AB45,AB47,AB49,AB51,AB53,AB55,AB57,AB59)</f>
        <v/>
      </c>
      <c r="AC61" s="358">
        <f>SUM(AC45,AC47,AC49,AC51,AC53,AC55,AC57,AC59)</f>
        <v/>
      </c>
      <c r="AD61" s="358">
        <f>SUM(AD45,AD47,AD49,AD51,AD53,AD55,AD57,AD59)</f>
        <v/>
      </c>
      <c r="AE61" s="358">
        <f>SUM(AE45,AE47,AE49,AE51,AE53,AE55,AE57,AE59)</f>
        <v/>
      </c>
      <c r="AF61" s="358">
        <f>SUM(AF45,AF47,AF49,AF51,AF53,AF55,AF57,AF59)</f>
        <v/>
      </c>
      <c r="AG61" s="358">
        <f>SUM(AG45,AG47,AG49,AG51,AG53,AG55,AG57,AG59)</f>
        <v/>
      </c>
      <c r="AH61" s="358">
        <f>SUM(AH45,AH47,AH49,AH51,AH53,AH55,AH57,AH59)</f>
        <v/>
      </c>
      <c r="AI61" s="358">
        <f>SUM(AI45,AI47,AI49,AI51,AI53,AI55,AI57,AI59)</f>
        <v/>
      </c>
      <c r="AJ61" s="359">
        <f>SUM(E61:AI61)</f>
        <v/>
      </c>
    </row>
    <row r="62">
      <c r="A62" s="555" t="n"/>
      <c r="B62" s="555" t="n"/>
      <c r="C62" s="545" t="inlineStr">
        <is>
          <t>Total Power Cumulative</t>
        </is>
      </c>
      <c r="D62" s="501" t="n"/>
      <c r="E62" s="363">
        <f>E60</f>
        <v/>
      </c>
      <c r="F62" s="363">
        <f>F60</f>
        <v/>
      </c>
      <c r="G62" s="363">
        <f>G60</f>
        <v/>
      </c>
      <c r="H62" s="363">
        <f>H60</f>
        <v/>
      </c>
      <c r="I62" s="363">
        <f>I60</f>
        <v/>
      </c>
      <c r="J62" s="363">
        <f>J60</f>
        <v/>
      </c>
      <c r="K62" s="363">
        <f>K60</f>
        <v/>
      </c>
      <c r="L62" s="363">
        <f>L60</f>
        <v/>
      </c>
      <c r="M62" s="363">
        <f>M60</f>
        <v/>
      </c>
      <c r="N62" s="363">
        <f>N60</f>
        <v/>
      </c>
      <c r="O62" s="363">
        <f>O60</f>
        <v/>
      </c>
      <c r="P62" s="363">
        <f>P60</f>
        <v/>
      </c>
      <c r="Q62" s="363">
        <f>Q60</f>
        <v/>
      </c>
      <c r="R62" s="363">
        <f>R60</f>
        <v/>
      </c>
      <c r="S62" s="363">
        <f>S60</f>
        <v/>
      </c>
      <c r="T62" s="363">
        <f>T60</f>
        <v/>
      </c>
      <c r="U62" s="363">
        <f>U60</f>
        <v/>
      </c>
      <c r="V62" s="363">
        <f>V60</f>
        <v/>
      </c>
      <c r="W62" s="363">
        <f>W60</f>
        <v/>
      </c>
      <c r="X62" s="363">
        <f>X60</f>
        <v/>
      </c>
      <c r="Y62" s="363">
        <f>Y60</f>
        <v/>
      </c>
      <c r="Z62" s="363">
        <f>Z60</f>
        <v/>
      </c>
      <c r="AA62" s="363">
        <f>AA60</f>
        <v/>
      </c>
      <c r="AB62" s="363">
        <f>AB60</f>
        <v/>
      </c>
      <c r="AC62" s="363">
        <f>AC60</f>
        <v/>
      </c>
      <c r="AD62" s="363">
        <f>AD60</f>
        <v/>
      </c>
      <c r="AE62" s="363">
        <f>AE60</f>
        <v/>
      </c>
      <c r="AF62" s="363">
        <f>AF60</f>
        <v/>
      </c>
      <c r="AG62" s="363">
        <f>AG60</f>
        <v/>
      </c>
      <c r="AH62" s="363">
        <f>AH60</f>
        <v/>
      </c>
      <c r="AI62" s="363">
        <f>AI60</f>
        <v/>
      </c>
      <c r="AJ62" s="363">
        <f>AJ60</f>
        <v/>
      </c>
    </row>
    <row r="63">
      <c r="A63" s="351" t="n"/>
      <c r="B63" s="560" t="n"/>
      <c r="C63" s="365" t="n"/>
      <c r="D63" s="366" t="n"/>
      <c r="E63" s="351" t="n"/>
      <c r="F63" s="351" t="n"/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  <c r="AJ63" s="351" t="n"/>
    </row>
    <row r="64">
      <c r="A64" s="367" t="inlineStr">
        <is>
          <t>S No</t>
        </is>
      </c>
      <c r="B64" s="367" t="inlineStr">
        <is>
          <t>Location</t>
        </is>
      </c>
      <c r="C64" s="552" t="inlineStr">
        <is>
          <t>Meter</t>
        </is>
      </c>
      <c r="D64" s="501" t="n"/>
      <c r="E64" s="367" t="n"/>
      <c r="F64" s="367" t="n"/>
      <c r="G64" s="367" t="n"/>
      <c r="H64" s="367" t="n"/>
      <c r="I64" s="367" t="n"/>
      <c r="J64" s="367" t="n"/>
      <c r="K64" s="367" t="n"/>
      <c r="L64" s="367" t="n"/>
      <c r="M64" s="367" t="n"/>
      <c r="N64" s="367" t="n"/>
      <c r="O64" s="367" t="n"/>
      <c r="P64" s="367" t="n"/>
      <c r="Q64" s="367" t="n"/>
      <c r="R64" s="367" t="n"/>
      <c r="S64" s="367" t="n"/>
      <c r="T64" s="367" t="n"/>
      <c r="U64" s="367" t="n"/>
      <c r="V64" s="367" t="n"/>
      <c r="W64" s="367" t="n"/>
      <c r="X64" s="367" t="n"/>
      <c r="Y64" s="367" t="n"/>
      <c r="Z64" s="367" t="n"/>
      <c r="AA64" s="367" t="n"/>
      <c r="AB64" s="367" t="n"/>
      <c r="AC64" s="367" t="n"/>
      <c r="AD64" s="367" t="n"/>
      <c r="AE64" s="367" t="n"/>
      <c r="AF64" s="367" t="n"/>
      <c r="AG64" s="367" t="n"/>
      <c r="AH64" s="367" t="n"/>
      <c r="AI64" s="367" t="n"/>
      <c r="AJ64" s="368" t="n"/>
    </row>
    <row r="65">
      <c r="A65" s="541" t="n">
        <v>1</v>
      </c>
      <c r="B65" s="541" t="inlineStr">
        <is>
          <t>3F</t>
        </is>
      </c>
      <c r="C65" s="558" t="inlineStr">
        <is>
          <t>AHU1</t>
        </is>
      </c>
      <c r="D65" s="501" t="n"/>
      <c r="E65" s="363">
        <f>E23-D23</f>
        <v/>
      </c>
      <c r="F65" s="363">
        <f>F23-E23</f>
        <v/>
      </c>
      <c r="G65" s="363">
        <f>G23-F23</f>
        <v/>
      </c>
      <c r="H65" s="363">
        <f>H23-G23</f>
        <v/>
      </c>
      <c r="I65" s="363">
        <f>I23-H23</f>
        <v/>
      </c>
      <c r="J65" s="363">
        <f>J23-I23</f>
        <v/>
      </c>
      <c r="K65" s="363">
        <f>K23-J23</f>
        <v/>
      </c>
      <c r="L65" s="363">
        <f>L23-K23</f>
        <v/>
      </c>
      <c r="M65" s="363">
        <f>M23-L23</f>
        <v/>
      </c>
      <c r="N65" s="363">
        <f>N23-M23</f>
        <v/>
      </c>
      <c r="O65" s="363">
        <f>O23-N23</f>
        <v/>
      </c>
      <c r="P65" s="363">
        <f>P23-O23</f>
        <v/>
      </c>
      <c r="Q65" s="363">
        <f>Q23-P23</f>
        <v/>
      </c>
      <c r="R65" s="363">
        <f>R23-Q23</f>
        <v/>
      </c>
      <c r="S65" s="363">
        <f>S23-R23</f>
        <v/>
      </c>
      <c r="T65" s="363">
        <f>T23-S23</f>
        <v/>
      </c>
      <c r="U65" s="363">
        <f>U23-T23</f>
        <v/>
      </c>
      <c r="V65" s="363">
        <f>V23-U23</f>
        <v/>
      </c>
      <c r="W65" s="363">
        <f>W23-V23</f>
        <v/>
      </c>
      <c r="X65" s="363">
        <f>X23-W23</f>
        <v/>
      </c>
      <c r="Y65" s="363">
        <f>Y23-X23</f>
        <v/>
      </c>
      <c r="Z65" s="363">
        <f>Z23-Y23</f>
        <v/>
      </c>
      <c r="AA65" s="363">
        <f>AA23-Z23</f>
        <v/>
      </c>
      <c r="AB65" s="363">
        <f>AB23-AA23</f>
        <v/>
      </c>
      <c r="AC65" s="363">
        <f>AC23-AB23</f>
        <v/>
      </c>
      <c r="AD65" s="363">
        <f>AD23-AC23</f>
        <v/>
      </c>
      <c r="AE65" s="363">
        <f>AE23-AD23</f>
        <v/>
      </c>
      <c r="AF65" s="363">
        <f>AF23-AE23</f>
        <v/>
      </c>
      <c r="AG65" s="363">
        <f>AG23-AF23</f>
        <v/>
      </c>
      <c r="AH65" s="363">
        <f>AH23-AG23</f>
        <v/>
      </c>
      <c r="AI65" s="363">
        <f>AI23-AH23</f>
        <v/>
      </c>
      <c r="AJ65" s="356">
        <f>SUM(E65:AI65)</f>
        <v/>
      </c>
    </row>
    <row r="66">
      <c r="A66" s="541" t="n"/>
      <c r="B66" s="541" t="n"/>
      <c r="C66" s="546" t="inlineStr">
        <is>
          <t>DG</t>
        </is>
      </c>
      <c r="D66" s="501" t="n"/>
      <c r="E66" s="363">
        <f>E24-D24</f>
        <v/>
      </c>
      <c r="F66" s="363">
        <f>F24-E24</f>
        <v/>
      </c>
      <c r="G66" s="363">
        <f>G24-F24</f>
        <v/>
      </c>
      <c r="H66" s="363">
        <f>H24-G24</f>
        <v/>
      </c>
      <c r="I66" s="363">
        <f>I24-H24</f>
        <v/>
      </c>
      <c r="J66" s="363">
        <f>J24-I24</f>
        <v/>
      </c>
      <c r="K66" s="363">
        <f>K24-J24</f>
        <v/>
      </c>
      <c r="L66" s="363">
        <f>L24-K24</f>
        <v/>
      </c>
      <c r="M66" s="363">
        <f>M24-L24</f>
        <v/>
      </c>
      <c r="N66" s="363">
        <f>N24-M24</f>
        <v/>
      </c>
      <c r="O66" s="363">
        <f>O24-N24</f>
        <v/>
      </c>
      <c r="P66" s="363">
        <f>P24-O24</f>
        <v/>
      </c>
      <c r="Q66" s="363">
        <f>Q24-P24</f>
        <v/>
      </c>
      <c r="R66" s="363">
        <f>R24-Q24</f>
        <v/>
      </c>
      <c r="S66" s="363">
        <f>S24-R24</f>
        <v/>
      </c>
      <c r="T66" s="363">
        <f>T24-S24</f>
        <v/>
      </c>
      <c r="U66" s="363">
        <f>U24-T24</f>
        <v/>
      </c>
      <c r="V66" s="363">
        <f>V24-U24</f>
        <v/>
      </c>
      <c r="W66" s="363">
        <f>W24-V24</f>
        <v/>
      </c>
      <c r="X66" s="363">
        <f>X24-W24</f>
        <v/>
      </c>
      <c r="Y66" s="363">
        <f>Y24-X24</f>
        <v/>
      </c>
      <c r="Z66" s="363">
        <f>Z24-Y24</f>
        <v/>
      </c>
      <c r="AA66" s="363">
        <f>AA24-Z24</f>
        <v/>
      </c>
      <c r="AB66" s="363">
        <f>AB24-AA24</f>
        <v/>
      </c>
      <c r="AC66" s="363">
        <f>AC24-AB24</f>
        <v/>
      </c>
      <c r="AD66" s="363">
        <f>AD24-AC24</f>
        <v/>
      </c>
      <c r="AE66" s="363">
        <f>AE24-AD24</f>
        <v/>
      </c>
      <c r="AF66" s="363">
        <f>AF24-AE24</f>
        <v/>
      </c>
      <c r="AG66" s="363">
        <f>AG24-AF24</f>
        <v/>
      </c>
      <c r="AH66" s="363">
        <f>AH24-AG24</f>
        <v/>
      </c>
      <c r="AI66" s="363">
        <f>AI24-AH24</f>
        <v/>
      </c>
      <c r="AJ66" s="356">
        <f>SUM(H66:AH66)</f>
        <v/>
      </c>
    </row>
    <row r="67">
      <c r="A67" s="541" t="n">
        <v>2</v>
      </c>
      <c r="B67" s="541" t="inlineStr">
        <is>
          <t>3F</t>
        </is>
      </c>
      <c r="C67" s="558" t="inlineStr">
        <is>
          <t>AHU2</t>
        </is>
      </c>
      <c r="D67" s="501" t="n"/>
      <c r="E67" s="363">
        <f>E25-D25</f>
        <v/>
      </c>
      <c r="F67" s="363">
        <f>F25-E25</f>
        <v/>
      </c>
      <c r="G67" s="363">
        <f>G25-F25</f>
        <v/>
      </c>
      <c r="H67" s="363">
        <f>H25-G25</f>
        <v/>
      </c>
      <c r="I67" s="363">
        <f>I25-H25</f>
        <v/>
      </c>
      <c r="J67" s="363">
        <f>J25-I25</f>
        <v/>
      </c>
      <c r="K67" s="363">
        <f>K25-J25</f>
        <v/>
      </c>
      <c r="L67" s="363">
        <f>L25-K25</f>
        <v/>
      </c>
      <c r="M67" s="363">
        <f>M25-L25</f>
        <v/>
      </c>
      <c r="N67" s="363">
        <f>N25-M25</f>
        <v/>
      </c>
      <c r="O67" s="363">
        <f>O25-N25</f>
        <v/>
      </c>
      <c r="P67" s="363">
        <f>P25-O25</f>
        <v/>
      </c>
      <c r="Q67" s="363">
        <f>Q25-P25</f>
        <v/>
      </c>
      <c r="R67" s="363">
        <f>R25-Q25</f>
        <v/>
      </c>
      <c r="S67" s="363">
        <f>S25-R25</f>
        <v/>
      </c>
      <c r="T67" s="363">
        <f>T25-S25</f>
        <v/>
      </c>
      <c r="U67" s="363">
        <f>U25-T25</f>
        <v/>
      </c>
      <c r="V67" s="363">
        <f>V25-U25</f>
        <v/>
      </c>
      <c r="W67" s="363">
        <f>W25-V25</f>
        <v/>
      </c>
      <c r="X67" s="363">
        <f>X25-W25</f>
        <v/>
      </c>
      <c r="Y67" s="363">
        <f>Y25-X25</f>
        <v/>
      </c>
      <c r="Z67" s="363">
        <f>Z25-Y25</f>
        <v/>
      </c>
      <c r="AA67" s="363">
        <f>AA25-Z25</f>
        <v/>
      </c>
      <c r="AB67" s="363">
        <f>AB25-AA25</f>
        <v/>
      </c>
      <c r="AC67" s="363">
        <f>AC25-AB25</f>
        <v/>
      </c>
      <c r="AD67" s="363">
        <f>AD25-AC25</f>
        <v/>
      </c>
      <c r="AE67" s="363">
        <f>AE25-AD25</f>
        <v/>
      </c>
      <c r="AF67" s="363">
        <f>AF25-AE25</f>
        <v/>
      </c>
      <c r="AG67" s="363">
        <f>AG25-AF25</f>
        <v/>
      </c>
      <c r="AH67" s="363">
        <f>AH25-AG25</f>
        <v/>
      </c>
      <c r="AI67" s="363">
        <f>AI25-AH25</f>
        <v/>
      </c>
      <c r="AJ67" s="356">
        <f>SUM(H67:AH67)</f>
        <v/>
      </c>
    </row>
    <row r="68">
      <c r="A68" s="541" t="n"/>
      <c r="B68" s="541" t="n"/>
      <c r="C68" s="546" t="inlineStr">
        <is>
          <t>DG</t>
        </is>
      </c>
      <c r="D68" s="501" t="n"/>
      <c r="E68" s="363">
        <f>E26-D26</f>
        <v/>
      </c>
      <c r="F68" s="363">
        <f>F26-E26</f>
        <v/>
      </c>
      <c r="G68" s="363">
        <f>G26-F26</f>
        <v/>
      </c>
      <c r="H68" s="363">
        <f>H26-G26</f>
        <v/>
      </c>
      <c r="I68" s="363">
        <f>I26-H26</f>
        <v/>
      </c>
      <c r="J68" s="363">
        <f>J26-I26</f>
        <v/>
      </c>
      <c r="K68" s="363">
        <f>K26-J26</f>
        <v/>
      </c>
      <c r="L68" s="363">
        <f>L26-K26</f>
        <v/>
      </c>
      <c r="M68" s="363">
        <f>M26-L26</f>
        <v/>
      </c>
      <c r="N68" s="363">
        <f>N26-M26</f>
        <v/>
      </c>
      <c r="O68" s="363">
        <f>O26-N26</f>
        <v/>
      </c>
      <c r="P68" s="363">
        <f>P26-O26</f>
        <v/>
      </c>
      <c r="Q68" s="363">
        <f>Q26-P26</f>
        <v/>
      </c>
      <c r="R68" s="363">
        <f>R26-Q26</f>
        <v/>
      </c>
      <c r="S68" s="363">
        <f>S26-R26</f>
        <v/>
      </c>
      <c r="T68" s="363">
        <f>T26-S26</f>
        <v/>
      </c>
      <c r="U68" s="363">
        <f>U26-T26</f>
        <v/>
      </c>
      <c r="V68" s="363">
        <f>V26-U26</f>
        <v/>
      </c>
      <c r="W68" s="363">
        <f>W26-V26</f>
        <v/>
      </c>
      <c r="X68" s="363">
        <f>X26-W26</f>
        <v/>
      </c>
      <c r="Y68" s="363">
        <f>Y26-X26</f>
        <v/>
      </c>
      <c r="Z68" s="363">
        <f>Z26-Y26</f>
        <v/>
      </c>
      <c r="AA68" s="363">
        <f>AA26-Z26</f>
        <v/>
      </c>
      <c r="AB68" s="363">
        <f>AB26-AA26</f>
        <v/>
      </c>
      <c r="AC68" s="363">
        <f>AC26-AB26</f>
        <v/>
      </c>
      <c r="AD68" s="363">
        <f>AD26-AC26</f>
        <v/>
      </c>
      <c r="AE68" s="363">
        <f>AE26-AD26</f>
        <v/>
      </c>
      <c r="AF68" s="363">
        <f>AF26-AE26</f>
        <v/>
      </c>
      <c r="AG68" s="363">
        <f>AG26-AF26</f>
        <v/>
      </c>
      <c r="AH68" s="363">
        <f>AH26-AG26</f>
        <v/>
      </c>
      <c r="AI68" s="363">
        <f>AI26-AH26</f>
        <v/>
      </c>
      <c r="AJ68" s="356">
        <f>SUM(H68:AH68)</f>
        <v/>
      </c>
      <c r="AK68" s="115" t="inlineStr">
        <is>
          <t>EB</t>
        </is>
      </c>
      <c r="AL68" s="116">
        <f>AJ60</f>
        <v/>
      </c>
    </row>
    <row r="69">
      <c r="A69" s="541" t="n">
        <v>3</v>
      </c>
      <c r="B69" s="541" t="inlineStr">
        <is>
          <t>3F</t>
        </is>
      </c>
      <c r="C69" s="558" t="inlineStr">
        <is>
          <t>AHU3</t>
        </is>
      </c>
      <c r="D69" s="501" t="n"/>
      <c r="E69" s="363">
        <f>E27-D27</f>
        <v/>
      </c>
      <c r="F69" s="363">
        <f>F27-E27</f>
        <v/>
      </c>
      <c r="G69" s="363">
        <f>G27-F27</f>
        <v/>
      </c>
      <c r="H69" s="363">
        <f>H27-G27</f>
        <v/>
      </c>
      <c r="I69" s="363">
        <f>I27-H27</f>
        <v/>
      </c>
      <c r="J69" s="363">
        <f>J27-I27</f>
        <v/>
      </c>
      <c r="K69" s="363">
        <f>K27-J27</f>
        <v/>
      </c>
      <c r="L69" s="363">
        <f>L27-K27</f>
        <v/>
      </c>
      <c r="M69" s="363">
        <f>M27-L27</f>
        <v/>
      </c>
      <c r="N69" s="363">
        <f>N27-M27</f>
        <v/>
      </c>
      <c r="O69" s="363">
        <f>O27-N27</f>
        <v/>
      </c>
      <c r="P69" s="363">
        <f>P27-O27</f>
        <v/>
      </c>
      <c r="Q69" s="363">
        <f>Q27-P27</f>
        <v/>
      </c>
      <c r="R69" s="363">
        <f>R27-Q27</f>
        <v/>
      </c>
      <c r="S69" s="363">
        <f>S27-R27</f>
        <v/>
      </c>
      <c r="T69" s="363">
        <f>T27-S27</f>
        <v/>
      </c>
      <c r="U69" s="363">
        <f>U27-T27</f>
        <v/>
      </c>
      <c r="V69" s="363">
        <f>V27-U27</f>
        <v/>
      </c>
      <c r="W69" s="363">
        <f>W27-V27</f>
        <v/>
      </c>
      <c r="X69" s="363">
        <f>X27-W27</f>
        <v/>
      </c>
      <c r="Y69" s="363">
        <f>Y27-X27</f>
        <v/>
      </c>
      <c r="Z69" s="363">
        <f>Z27-Y27</f>
        <v/>
      </c>
      <c r="AA69" s="363">
        <f>AA27-Z27</f>
        <v/>
      </c>
      <c r="AB69" s="363">
        <f>AB27-AA27</f>
        <v/>
      </c>
      <c r="AC69" s="363">
        <f>AC27-AB27</f>
        <v/>
      </c>
      <c r="AD69" s="363">
        <f>AD27-AC27</f>
        <v/>
      </c>
      <c r="AE69" s="363">
        <f>AE27-AD27</f>
        <v/>
      </c>
      <c r="AF69" s="363">
        <f>AF27-AE27</f>
        <v/>
      </c>
      <c r="AG69" s="363">
        <f>AG27-AF27</f>
        <v/>
      </c>
      <c r="AH69" s="363">
        <f>AH27-AG27</f>
        <v/>
      </c>
      <c r="AI69" s="363">
        <f>AI27-AH27</f>
        <v/>
      </c>
      <c r="AJ69" s="356">
        <f>SUM(H69:AH69)</f>
        <v/>
      </c>
      <c r="AK69" s="115" t="inlineStr">
        <is>
          <t>AHU</t>
        </is>
      </c>
      <c r="AL69" s="116">
        <f>AJ73</f>
        <v/>
      </c>
    </row>
    <row r="70">
      <c r="A70" s="541" t="n"/>
      <c r="B70" s="541" t="n"/>
      <c r="C70" s="546" t="inlineStr">
        <is>
          <t>DG</t>
        </is>
      </c>
      <c r="D70" s="501" t="n"/>
      <c r="E70" s="363">
        <f>E28-D28</f>
        <v/>
      </c>
      <c r="F70" s="363">
        <f>F28-E28</f>
        <v/>
      </c>
      <c r="G70" s="363">
        <f>G28-F28</f>
        <v/>
      </c>
      <c r="H70" s="363">
        <f>H28-G28</f>
        <v/>
      </c>
      <c r="I70" s="363">
        <f>I28-H28</f>
        <v/>
      </c>
      <c r="J70" s="363">
        <f>J28-I28</f>
        <v/>
      </c>
      <c r="K70" s="363">
        <f>K28-J28</f>
        <v/>
      </c>
      <c r="L70" s="363">
        <f>L28-K28</f>
        <v/>
      </c>
      <c r="M70" s="363">
        <f>M28-L28</f>
        <v/>
      </c>
      <c r="N70" s="363">
        <f>N28-M28</f>
        <v/>
      </c>
      <c r="O70" s="363">
        <f>O28-N28</f>
        <v/>
      </c>
      <c r="P70" s="363">
        <f>P28-O28</f>
        <v/>
      </c>
      <c r="Q70" s="363">
        <f>Q28-P28</f>
        <v/>
      </c>
      <c r="R70" s="363">
        <f>R28-Q28</f>
        <v/>
      </c>
      <c r="S70" s="363">
        <f>S28-R28</f>
        <v/>
      </c>
      <c r="T70" s="363">
        <f>T28-S28</f>
        <v/>
      </c>
      <c r="U70" s="363">
        <f>U28-T28</f>
        <v/>
      </c>
      <c r="V70" s="363">
        <f>V28-U28</f>
        <v/>
      </c>
      <c r="W70" s="363">
        <f>W28-V28</f>
        <v/>
      </c>
      <c r="X70" s="363">
        <f>X28-W28</f>
        <v/>
      </c>
      <c r="Y70" s="363">
        <f>Y28-X28</f>
        <v/>
      </c>
      <c r="Z70" s="363">
        <f>Z28-Y28</f>
        <v/>
      </c>
      <c r="AA70" s="363">
        <f>AA28-Z28</f>
        <v/>
      </c>
      <c r="AB70" s="363">
        <f>AB28-AA28</f>
        <v/>
      </c>
      <c r="AC70" s="363">
        <f>AC28-AB28</f>
        <v/>
      </c>
      <c r="AD70" s="363">
        <f>AD28-AC28</f>
        <v/>
      </c>
      <c r="AE70" s="363">
        <f>AE28-AD28</f>
        <v/>
      </c>
      <c r="AF70" s="363">
        <f>AF28-AE28</f>
        <v/>
      </c>
      <c r="AG70" s="363">
        <f>AG28-AF28</f>
        <v/>
      </c>
      <c r="AH70" s="363">
        <f>AH28-AG28</f>
        <v/>
      </c>
      <c r="AI70" s="363">
        <f>AI28-AH28</f>
        <v/>
      </c>
      <c r="AJ70" s="356">
        <f>SUM(H70:AH70)</f>
        <v/>
      </c>
      <c r="AK70" s="115" t="inlineStr">
        <is>
          <t>BTU</t>
        </is>
      </c>
      <c r="AL70" s="116">
        <f>AJ79*40%</f>
        <v/>
      </c>
    </row>
    <row r="71">
      <c r="A71" s="541" t="n">
        <v>4</v>
      </c>
      <c r="B71" s="541" t="inlineStr">
        <is>
          <t>3F</t>
        </is>
      </c>
      <c r="C71" s="558" t="inlineStr">
        <is>
          <t>AHU4</t>
        </is>
      </c>
      <c r="D71" s="501" t="n"/>
      <c r="E71" s="363">
        <f>E29-D29</f>
        <v/>
      </c>
      <c r="F71" s="363">
        <f>F29-E29</f>
        <v/>
      </c>
      <c r="G71" s="363">
        <f>G29-F29</f>
        <v/>
      </c>
      <c r="H71" s="363">
        <f>H29-G29</f>
        <v/>
      </c>
      <c r="I71" s="363">
        <f>I29-H29</f>
        <v/>
      </c>
      <c r="J71" s="363">
        <f>J29-I29</f>
        <v/>
      </c>
      <c r="K71" s="363">
        <f>K29-J29</f>
        <v/>
      </c>
      <c r="L71" s="363">
        <f>L29-K29</f>
        <v/>
      </c>
      <c r="M71" s="363">
        <f>M29-L29</f>
        <v/>
      </c>
      <c r="N71" s="363">
        <f>N29-M29</f>
        <v/>
      </c>
      <c r="O71" s="363">
        <f>O29-N29</f>
        <v/>
      </c>
      <c r="P71" s="363">
        <f>P29-O29</f>
        <v/>
      </c>
      <c r="Q71" s="363">
        <f>Q29-P29</f>
        <v/>
      </c>
      <c r="R71" s="363">
        <f>R29-Q29</f>
        <v/>
      </c>
      <c r="S71" s="363">
        <f>S29-R29</f>
        <v/>
      </c>
      <c r="T71" s="363">
        <f>T29-S29</f>
        <v/>
      </c>
      <c r="U71" s="363">
        <f>U29-T29</f>
        <v/>
      </c>
      <c r="V71" s="363">
        <f>V29-U29</f>
        <v/>
      </c>
      <c r="W71" s="363">
        <f>W29-V29</f>
        <v/>
      </c>
      <c r="X71" s="363">
        <f>X29-W29</f>
        <v/>
      </c>
      <c r="Y71" s="363">
        <f>Y29-X29</f>
        <v/>
      </c>
      <c r="Z71" s="363">
        <f>Z29-Y29</f>
        <v/>
      </c>
      <c r="AA71" s="363">
        <f>AA29-Z29</f>
        <v/>
      </c>
      <c r="AB71" s="363">
        <f>AB29-AA29</f>
        <v/>
      </c>
      <c r="AC71" s="363">
        <f>AC29-AB29</f>
        <v/>
      </c>
      <c r="AD71" s="363">
        <f>AD29-AC29</f>
        <v/>
      </c>
      <c r="AE71" s="363">
        <f>AE29-AD29</f>
        <v/>
      </c>
      <c r="AF71" s="363">
        <f>AF29-AE29</f>
        <v/>
      </c>
      <c r="AG71" s="363">
        <f>AG29-AF29</f>
        <v/>
      </c>
      <c r="AH71" s="363">
        <f>AH29-AG29</f>
        <v/>
      </c>
      <c r="AI71" s="363">
        <f>AI29-AH29</f>
        <v/>
      </c>
      <c r="AJ71" s="356">
        <f>SUM(H71:AH71)</f>
        <v/>
      </c>
      <c r="AK71" s="117" t="inlineStr">
        <is>
          <t>DG</t>
        </is>
      </c>
      <c r="AL71" s="118">
        <f>AJ74+AJ61</f>
        <v/>
      </c>
    </row>
    <row r="72">
      <c r="A72" s="541" t="n"/>
      <c r="B72" s="541" t="n"/>
      <c r="C72" s="546" t="inlineStr">
        <is>
          <t>DG</t>
        </is>
      </c>
      <c r="D72" s="501" t="n"/>
      <c r="E72" s="363">
        <f>E30-D30</f>
        <v/>
      </c>
      <c r="F72" s="363">
        <f>F30-E30</f>
        <v/>
      </c>
      <c r="G72" s="363">
        <f>G30-F30</f>
        <v/>
      </c>
      <c r="H72" s="363">
        <f>H30-G30</f>
        <v/>
      </c>
      <c r="I72" s="363">
        <f>I30-H30</f>
        <v/>
      </c>
      <c r="J72" s="363">
        <f>J30-I30</f>
        <v/>
      </c>
      <c r="K72" s="363">
        <f>K30-J30</f>
        <v/>
      </c>
      <c r="L72" s="363">
        <f>L30-K30</f>
        <v/>
      </c>
      <c r="M72" s="363">
        <f>M30-L30</f>
        <v/>
      </c>
      <c r="N72" s="363">
        <f>N30-M30</f>
        <v/>
      </c>
      <c r="O72" s="363">
        <f>O30-N30</f>
        <v/>
      </c>
      <c r="P72" s="363">
        <f>P30-O30</f>
        <v/>
      </c>
      <c r="Q72" s="363">
        <f>Q30-P30</f>
        <v/>
      </c>
      <c r="R72" s="363">
        <f>R30-Q30</f>
        <v/>
      </c>
      <c r="S72" s="363">
        <f>S30-R30</f>
        <v/>
      </c>
      <c r="T72" s="363">
        <f>T30-S30</f>
        <v/>
      </c>
      <c r="U72" s="363">
        <f>U30-T30</f>
        <v/>
      </c>
      <c r="V72" s="363">
        <f>V30-U30</f>
        <v/>
      </c>
      <c r="W72" s="363">
        <f>W30-V30</f>
        <v/>
      </c>
      <c r="X72" s="363">
        <f>X30-W30</f>
        <v/>
      </c>
      <c r="Y72" s="363">
        <f>Y30-X30</f>
        <v/>
      </c>
      <c r="Z72" s="363">
        <f>Z30-Y30</f>
        <v/>
      </c>
      <c r="AA72" s="363">
        <f>AA30-Z30</f>
        <v/>
      </c>
      <c r="AB72" s="363">
        <f>AB30-AA30</f>
        <v/>
      </c>
      <c r="AC72" s="363">
        <f>AC30-AB30</f>
        <v/>
      </c>
      <c r="AD72" s="363">
        <f>AD30-AC30</f>
        <v/>
      </c>
      <c r="AE72" s="363">
        <f>AE30-AD30</f>
        <v/>
      </c>
      <c r="AF72" s="363">
        <f>AF30-AE30</f>
        <v/>
      </c>
      <c r="AG72" s="363">
        <f>AG30-AF30</f>
        <v/>
      </c>
      <c r="AH72" s="363">
        <f>AH30-AG30</f>
        <v/>
      </c>
      <c r="AI72" s="363">
        <f>AI30-AH30</f>
        <v/>
      </c>
      <c r="AJ72" s="356">
        <f>SUM(H72:AH72)</f>
        <v/>
      </c>
    </row>
    <row r="73" ht="27" customHeight="1" s="488">
      <c r="A73" s="357" t="n"/>
      <c r="B73" s="357" t="n"/>
      <c r="C73" s="553" t="inlineStr">
        <is>
          <t>Total AHU Power Consumption</t>
        </is>
      </c>
      <c r="D73" s="501" t="n"/>
      <c r="E73" s="358">
        <f>SUM(E65,E67,E69,E71)</f>
        <v/>
      </c>
      <c r="F73" s="358">
        <f>SUM(F65,F67,F69,F71)</f>
        <v/>
      </c>
      <c r="G73" s="358">
        <f>SUM(G65,G67,G69,G71)</f>
        <v/>
      </c>
      <c r="H73" s="358">
        <f>SUM(H65,H67,H69,H71)</f>
        <v/>
      </c>
      <c r="I73" s="358">
        <f>SUM(I65,I67,I69,I71)</f>
        <v/>
      </c>
      <c r="J73" s="358">
        <f>SUM(J65,J67,J69,J71)</f>
        <v/>
      </c>
      <c r="K73" s="358">
        <f>SUM(K65,K67,K69,K71)</f>
        <v/>
      </c>
      <c r="L73" s="358">
        <f>SUM(L65,L67,L69,L71)</f>
        <v/>
      </c>
      <c r="M73" s="358">
        <f>SUM(M65,M67,M69,M71)</f>
        <v/>
      </c>
      <c r="N73" s="358">
        <f>SUM(N65,N67,N69,N71)</f>
        <v/>
      </c>
      <c r="O73" s="358">
        <f>SUM(O65,O67,O69,O71)</f>
        <v/>
      </c>
      <c r="P73" s="358">
        <f>SUM(P65,P67,P69,P71)</f>
        <v/>
      </c>
      <c r="Q73" s="358">
        <f>SUM(Q65,Q67,Q69,Q71)</f>
        <v/>
      </c>
      <c r="R73" s="358">
        <f>SUM(R65,R67,R69,R71)</f>
        <v/>
      </c>
      <c r="S73" s="358">
        <f>SUM(S65,S67,S69,S71)</f>
        <v/>
      </c>
      <c r="T73" s="358">
        <f>SUM(T65,T67,T69,T71)</f>
        <v/>
      </c>
      <c r="U73" s="358">
        <f>SUM(U65,U67,U69,U71)</f>
        <v/>
      </c>
      <c r="V73" s="358">
        <f>SUM(V65,V67,V69,V71)</f>
        <v/>
      </c>
      <c r="W73" s="358">
        <f>SUM(W65,W67,W69,W71)</f>
        <v/>
      </c>
      <c r="X73" s="358">
        <f>SUM(X65,X67,X69,X71)</f>
        <v/>
      </c>
      <c r="Y73" s="358">
        <f>SUM(Y65,Y67,Y69,Y71)</f>
        <v/>
      </c>
      <c r="Z73" s="358">
        <f>SUM(Z65,Z67,Z69,Z71)</f>
        <v/>
      </c>
      <c r="AA73" s="358">
        <f>SUM(AA65,AA67,AA69,AA71)</f>
        <v/>
      </c>
      <c r="AB73" s="358">
        <f>SUM(AB65,AB67,AB69,AB71)</f>
        <v/>
      </c>
      <c r="AC73" s="358">
        <f>SUM(AC65,AC67,AC69,AC71)</f>
        <v/>
      </c>
      <c r="AD73" s="358">
        <f>SUM(AD65,AD67,AD69,AD71)</f>
        <v/>
      </c>
      <c r="AE73" s="358">
        <f>SUM(AE65,AE67,AE69,AE71)</f>
        <v/>
      </c>
      <c r="AF73" s="358">
        <f>SUM(AF65,AF67,AF69,AF71)</f>
        <v/>
      </c>
      <c r="AG73" s="358">
        <f>SUM(AG65,AG67,AG69,AG71)</f>
        <v/>
      </c>
      <c r="AH73" s="358">
        <f>SUM(AH65,AH67,AH69,AH71)</f>
        <v/>
      </c>
      <c r="AI73" s="358">
        <f>SUM(AI65,AI67,AI69,AI71)</f>
        <v/>
      </c>
      <c r="AJ73" s="358">
        <f>SUM(AJ65,AJ67,AJ69,AJ71)</f>
        <v/>
      </c>
    </row>
    <row r="74" ht="25.5" customHeight="1" s="488">
      <c r="A74" s="357" t="n"/>
      <c r="B74" s="357" t="n"/>
      <c r="C74" s="549" t="inlineStr">
        <is>
          <t>Total AHU DG consumption</t>
        </is>
      </c>
      <c r="D74" s="501" t="n"/>
      <c r="E74" s="358">
        <f>SUM(E66,E68,E70,E72)</f>
        <v/>
      </c>
      <c r="F74" s="358">
        <f>SUM(F66,F68,F70,F72)</f>
        <v/>
      </c>
      <c r="G74" s="358">
        <f>SUM(G66,G68,G70,G72)</f>
        <v/>
      </c>
      <c r="H74" s="358">
        <f>SUM(H66,H68,H70,H72)</f>
        <v/>
      </c>
      <c r="I74" s="358">
        <f>SUM(I66,I68,I70,I72)</f>
        <v/>
      </c>
      <c r="J74" s="358">
        <f>SUM(J66,J68,J70,J72)</f>
        <v/>
      </c>
      <c r="K74" s="358">
        <f>SUM(K66,K68,K70,K72)</f>
        <v/>
      </c>
      <c r="L74" s="358">
        <f>SUM(L66,L68,L70,L72)</f>
        <v/>
      </c>
      <c r="M74" s="358">
        <f>SUM(M66,M68,M70,M72)</f>
        <v/>
      </c>
      <c r="N74" s="358">
        <f>SUM(N66,N68,N70,N72)</f>
        <v/>
      </c>
      <c r="O74" s="358">
        <f>SUM(O66,O68,O70,O72)</f>
        <v/>
      </c>
      <c r="P74" s="358">
        <f>SUM(P66,P68,P70,P72)</f>
        <v/>
      </c>
      <c r="Q74" s="358">
        <f>SUM(Q66,Q68,Q70,Q72)</f>
        <v/>
      </c>
      <c r="R74" s="358">
        <f>SUM(R66,R68,R70,R72)</f>
        <v/>
      </c>
      <c r="S74" s="358">
        <f>SUM(S66,S68,S70,S72)</f>
        <v/>
      </c>
      <c r="T74" s="358">
        <f>SUM(T66,T68,T70,T72)</f>
        <v/>
      </c>
      <c r="U74" s="358">
        <f>SUM(U66,U68,U70,U72)</f>
        <v/>
      </c>
      <c r="V74" s="358">
        <f>SUM(V66,V68,V70,V72)</f>
        <v/>
      </c>
      <c r="W74" s="358">
        <f>SUM(W66,W68,W70,W72)</f>
        <v/>
      </c>
      <c r="X74" s="358">
        <f>SUM(X66,X68,X70,X72)</f>
        <v/>
      </c>
      <c r="Y74" s="358">
        <f>SUM(Y66,Y68,Y70,Y72)</f>
        <v/>
      </c>
      <c r="Z74" s="358">
        <f>SUM(Z66,Z68,Z70,Z72)</f>
        <v/>
      </c>
      <c r="AA74" s="358">
        <f>SUM(AA66,AA68,AA70,AA72)</f>
        <v/>
      </c>
      <c r="AB74" s="358">
        <f>SUM(AB66,AB68,AB70,AB72)</f>
        <v/>
      </c>
      <c r="AC74" s="358">
        <f>SUM(AC66,AC68,AC70,AC72)</f>
        <v/>
      </c>
      <c r="AD74" s="358">
        <f>SUM(AD66,AD68,AD70,AD72)</f>
        <v/>
      </c>
      <c r="AE74" s="358">
        <f>SUM(AE66,AE68,AE70,AE72)</f>
        <v/>
      </c>
      <c r="AF74" s="358">
        <f>SUM(AF66,AF68,AF70,AF72)</f>
        <v/>
      </c>
      <c r="AG74" s="358">
        <f>SUM(AG66,AG68,AG70,AG72)</f>
        <v/>
      </c>
      <c r="AH74" s="358">
        <f>SUM(AH66,AH68,AH70,AH72)</f>
        <v/>
      </c>
      <c r="AI74" s="358">
        <f>SUM(AI66,AI68,AI70,AI72)</f>
        <v/>
      </c>
      <c r="AJ74" s="358">
        <f>SUM(AJ66,AJ68,AJ70,AJ72)</f>
        <v/>
      </c>
    </row>
    <row r="75">
      <c r="A75" s="541" t="n">
        <v>1</v>
      </c>
      <c r="B75" s="541" t="inlineStr">
        <is>
          <t>3F</t>
        </is>
      </c>
      <c r="C75" s="541" t="inlineStr">
        <is>
          <t>AHU1 - BTU</t>
        </is>
      </c>
      <c r="D75" s="501" t="n"/>
      <c r="E75" s="363">
        <f>E33-D33</f>
        <v/>
      </c>
      <c r="F75" s="363">
        <f>F33-E33</f>
        <v/>
      </c>
      <c r="G75" s="363">
        <f>G33-F33</f>
        <v/>
      </c>
      <c r="H75" s="363">
        <f>H33-G33</f>
        <v/>
      </c>
      <c r="I75" s="363">
        <f>I33-H33</f>
        <v/>
      </c>
      <c r="J75" s="363">
        <f>J33-I33</f>
        <v/>
      </c>
      <c r="K75" s="363">
        <f>K33-J33</f>
        <v/>
      </c>
      <c r="L75" s="363">
        <f>L33-K33</f>
        <v/>
      </c>
      <c r="M75" s="363">
        <f>M33-L33</f>
        <v/>
      </c>
      <c r="N75" s="363">
        <f>N33-M33</f>
        <v/>
      </c>
      <c r="O75" s="363">
        <f>O33-N33</f>
        <v/>
      </c>
      <c r="P75" s="363">
        <f>P33-O33</f>
        <v/>
      </c>
      <c r="Q75" s="363">
        <f>Q33-P33</f>
        <v/>
      </c>
      <c r="R75" s="363">
        <f>R33-Q33</f>
        <v/>
      </c>
      <c r="S75" s="363">
        <f>S33-R33</f>
        <v/>
      </c>
      <c r="T75" s="363">
        <f>T33-S33</f>
        <v/>
      </c>
      <c r="U75" s="363">
        <f>U33-T33</f>
        <v/>
      </c>
      <c r="V75" s="363">
        <f>V33-U33</f>
        <v/>
      </c>
      <c r="W75" s="363">
        <f>W33-V33</f>
        <v/>
      </c>
      <c r="X75" s="363">
        <f>X33-W33</f>
        <v/>
      </c>
      <c r="Y75" s="363">
        <f>Y33-X33</f>
        <v/>
      </c>
      <c r="Z75" s="363">
        <f>Z33-Y33</f>
        <v/>
      </c>
      <c r="AA75" s="363">
        <f>AA33-Z33</f>
        <v/>
      </c>
      <c r="AB75" s="363">
        <f>AB33-AA33</f>
        <v/>
      </c>
      <c r="AC75" s="363">
        <f>AC33-AB33</f>
        <v/>
      </c>
      <c r="AD75" s="363">
        <f>AD33-AC33</f>
        <v/>
      </c>
      <c r="AE75" s="363">
        <f>AE33-AD33</f>
        <v/>
      </c>
      <c r="AF75" s="363">
        <f>AF33-AE33</f>
        <v/>
      </c>
      <c r="AG75" s="363">
        <f>AG33-AF33</f>
        <v/>
      </c>
      <c r="AH75" s="363">
        <f>AH33-AG33</f>
        <v/>
      </c>
      <c r="AI75" s="363">
        <f>AI33-AH33</f>
        <v/>
      </c>
      <c r="AJ75" s="356">
        <f>SUM(H75:AH75)</f>
        <v/>
      </c>
    </row>
    <row r="76">
      <c r="A76" s="541" t="n">
        <v>2</v>
      </c>
      <c r="B76" s="541" t="inlineStr">
        <is>
          <t>3F</t>
        </is>
      </c>
      <c r="C76" s="541" t="inlineStr">
        <is>
          <t>AHU2 - BTU</t>
        </is>
      </c>
      <c r="D76" s="501" t="n"/>
      <c r="E76" s="363">
        <f>E34-D34</f>
        <v/>
      </c>
      <c r="F76" s="363">
        <f>F34-E34</f>
        <v/>
      </c>
      <c r="G76" s="363">
        <f>G34-F34</f>
        <v/>
      </c>
      <c r="H76" s="363">
        <f>H34-G34</f>
        <v/>
      </c>
      <c r="I76" s="363">
        <f>I34-H34</f>
        <v/>
      </c>
      <c r="J76" s="363">
        <f>J34-I34</f>
        <v/>
      </c>
      <c r="K76" s="363">
        <f>K34-J34</f>
        <v/>
      </c>
      <c r="L76" s="363">
        <f>L34-K34</f>
        <v/>
      </c>
      <c r="M76" s="363">
        <f>M34-L34</f>
        <v/>
      </c>
      <c r="N76" s="363">
        <f>N34-M34</f>
        <v/>
      </c>
      <c r="O76" s="363">
        <f>O34-N34</f>
        <v/>
      </c>
      <c r="P76" s="363">
        <f>P34-O34</f>
        <v/>
      </c>
      <c r="Q76" s="363">
        <f>Q34-P34</f>
        <v/>
      </c>
      <c r="R76" s="363">
        <f>R34-Q34</f>
        <v/>
      </c>
      <c r="S76" s="363">
        <f>S34-R34</f>
        <v/>
      </c>
      <c r="T76" s="363">
        <f>T34-S34</f>
        <v/>
      </c>
      <c r="U76" s="363">
        <f>U34-T34</f>
        <v/>
      </c>
      <c r="V76" s="363">
        <f>V34-U34</f>
        <v/>
      </c>
      <c r="W76" s="363">
        <f>W34-V34</f>
        <v/>
      </c>
      <c r="X76" s="363">
        <f>X34-W34</f>
        <v/>
      </c>
      <c r="Y76" s="363">
        <f>Y34-X34</f>
        <v/>
      </c>
      <c r="Z76" s="363">
        <f>Z34-Y34</f>
        <v/>
      </c>
      <c r="AA76" s="363">
        <f>AA34-Z34</f>
        <v/>
      </c>
      <c r="AB76" s="363">
        <f>AB34-AA34</f>
        <v/>
      </c>
      <c r="AC76" s="363">
        <f>AC34-AB34</f>
        <v/>
      </c>
      <c r="AD76" s="363">
        <f>AD34-AC34</f>
        <v/>
      </c>
      <c r="AE76" s="363">
        <f>AE34-AD34</f>
        <v/>
      </c>
      <c r="AF76" s="363">
        <f>AF34-AE34</f>
        <v/>
      </c>
      <c r="AG76" s="363">
        <f>AG34-AF34</f>
        <v/>
      </c>
      <c r="AH76" s="363">
        <f>AH34-AG34</f>
        <v/>
      </c>
      <c r="AI76" s="363">
        <f>AI34-AH34</f>
        <v/>
      </c>
      <c r="AJ76" s="356">
        <f>SUM(H76:AH76)</f>
        <v/>
      </c>
    </row>
    <row r="77">
      <c r="A77" s="541" t="n">
        <v>3</v>
      </c>
      <c r="B77" s="541" t="inlineStr">
        <is>
          <t>3F</t>
        </is>
      </c>
      <c r="C77" s="541" t="inlineStr">
        <is>
          <t>AHU3 - BTU</t>
        </is>
      </c>
      <c r="D77" s="501" t="n"/>
      <c r="E77" s="363">
        <f>E35-D35</f>
        <v/>
      </c>
      <c r="F77" s="363">
        <f>F35-E35</f>
        <v/>
      </c>
      <c r="G77" s="363">
        <f>G35-F35</f>
        <v/>
      </c>
      <c r="H77" s="363">
        <f>H35-G35</f>
        <v/>
      </c>
      <c r="I77" s="363">
        <f>I35-H35</f>
        <v/>
      </c>
      <c r="J77" s="363">
        <f>J35-I35</f>
        <v/>
      </c>
      <c r="K77" s="363">
        <f>K35-J35</f>
        <v/>
      </c>
      <c r="L77" s="363">
        <f>L35-K35</f>
        <v/>
      </c>
      <c r="M77" s="363">
        <f>M35-L35</f>
        <v/>
      </c>
      <c r="N77" s="363">
        <f>N35-M35</f>
        <v/>
      </c>
      <c r="O77" s="363">
        <f>O35-N35</f>
        <v/>
      </c>
      <c r="P77" s="363">
        <f>P35-O35</f>
        <v/>
      </c>
      <c r="Q77" s="363">
        <f>Q35-P35</f>
        <v/>
      </c>
      <c r="R77" s="363">
        <f>R35-Q35</f>
        <v/>
      </c>
      <c r="S77" s="363">
        <f>S35-R35</f>
        <v/>
      </c>
      <c r="T77" s="363">
        <f>T35-S35</f>
        <v/>
      </c>
      <c r="U77" s="363">
        <f>U35-T35</f>
        <v/>
      </c>
      <c r="V77" s="363">
        <f>V35-U35</f>
        <v/>
      </c>
      <c r="W77" s="363">
        <f>W35-V35</f>
        <v/>
      </c>
      <c r="X77" s="363">
        <f>X35-W35</f>
        <v/>
      </c>
      <c r="Y77" s="363">
        <f>Y35-X35</f>
        <v/>
      </c>
      <c r="Z77" s="363">
        <f>Z35-Y35</f>
        <v/>
      </c>
      <c r="AA77" s="363">
        <f>AA35-Z35</f>
        <v/>
      </c>
      <c r="AB77" s="363">
        <f>AB35-AA35</f>
        <v/>
      </c>
      <c r="AC77" s="363">
        <f>AC35-AB35</f>
        <v/>
      </c>
      <c r="AD77" s="363">
        <f>AD35-AC35</f>
        <v/>
      </c>
      <c r="AE77" s="363">
        <f>AE35-AD35</f>
        <v/>
      </c>
      <c r="AF77" s="363">
        <f>AF35-AE35</f>
        <v/>
      </c>
      <c r="AG77" s="363">
        <f>AG35-AF35</f>
        <v/>
      </c>
      <c r="AH77" s="363">
        <f>AH35-AG35</f>
        <v/>
      </c>
      <c r="AI77" s="363">
        <f>AI35-AH35</f>
        <v/>
      </c>
      <c r="AJ77" s="356">
        <f>SUM(H77:AH77)</f>
        <v/>
      </c>
    </row>
    <row r="78">
      <c r="A78" s="541" t="n">
        <v>4</v>
      </c>
      <c r="B78" s="541" t="inlineStr">
        <is>
          <t>3F</t>
        </is>
      </c>
      <c r="C78" s="541" t="inlineStr">
        <is>
          <t>AHU4 - BTU</t>
        </is>
      </c>
      <c r="D78" s="501" t="n"/>
      <c r="E78" s="363">
        <f>E36-D36</f>
        <v/>
      </c>
      <c r="F78" s="363">
        <f>F36-E36</f>
        <v/>
      </c>
      <c r="G78" s="363">
        <f>G36-F36</f>
        <v/>
      </c>
      <c r="H78" s="363">
        <f>H36-G36</f>
        <v/>
      </c>
      <c r="I78" s="363">
        <f>I36-H36</f>
        <v/>
      </c>
      <c r="J78" s="363">
        <f>J36-I36</f>
        <v/>
      </c>
      <c r="K78" s="363">
        <f>K36-J36</f>
        <v/>
      </c>
      <c r="L78" s="363">
        <f>L36-K36</f>
        <v/>
      </c>
      <c r="M78" s="363">
        <f>M36-L36</f>
        <v/>
      </c>
      <c r="N78" s="363">
        <f>N36-M36</f>
        <v/>
      </c>
      <c r="O78" s="363">
        <f>O36-N36</f>
        <v/>
      </c>
      <c r="P78" s="363">
        <f>P36-O36</f>
        <v/>
      </c>
      <c r="Q78" s="363">
        <f>Q36-P36</f>
        <v/>
      </c>
      <c r="R78" s="363">
        <f>R36-Q36</f>
        <v/>
      </c>
      <c r="S78" s="363">
        <f>S36-R36</f>
        <v/>
      </c>
      <c r="T78" s="363">
        <f>T36-S36</f>
        <v/>
      </c>
      <c r="U78" s="363">
        <f>U36-T36</f>
        <v/>
      </c>
      <c r="V78" s="363">
        <f>V36-U36</f>
        <v/>
      </c>
      <c r="W78" s="363">
        <f>W36-V36</f>
        <v/>
      </c>
      <c r="X78" s="363">
        <f>X36-W36</f>
        <v/>
      </c>
      <c r="Y78" s="363">
        <f>Y36-X36</f>
        <v/>
      </c>
      <c r="Z78" s="363">
        <f>Z36-Y36</f>
        <v/>
      </c>
      <c r="AA78" s="363">
        <f>AA36-Z36</f>
        <v/>
      </c>
      <c r="AB78" s="363">
        <f>AB36-AA36</f>
        <v/>
      </c>
      <c r="AC78" s="363">
        <f>AC36-AB36</f>
        <v/>
      </c>
      <c r="AD78" s="363">
        <f>AD36-AC36</f>
        <v/>
      </c>
      <c r="AE78" s="363">
        <f>AE36-AD36</f>
        <v/>
      </c>
      <c r="AF78" s="363">
        <f>AF36-AE36</f>
        <v/>
      </c>
      <c r="AG78" s="363">
        <f>AG36-AF36</f>
        <v/>
      </c>
      <c r="AH78" s="363">
        <f>AH36-AG36</f>
        <v/>
      </c>
      <c r="AI78" s="363">
        <f>AI36-AH36</f>
        <v/>
      </c>
      <c r="AJ78" s="356">
        <f>SUM(H78:AH78)</f>
        <v/>
      </c>
    </row>
    <row r="79">
      <c r="A79" s="357" t="n"/>
      <c r="B79" s="357" t="n"/>
      <c r="C79" s="553" t="inlineStr">
        <is>
          <t>Total BTU Consumption</t>
        </is>
      </c>
      <c r="D79" s="501" t="n"/>
      <c r="E79" s="358">
        <f>SUM(E75:E78)</f>
        <v/>
      </c>
      <c r="F79" s="358">
        <f>SUM(F75:F78)</f>
        <v/>
      </c>
      <c r="G79" s="358">
        <f>SUM(G75:G78)</f>
        <v/>
      </c>
      <c r="H79" s="358">
        <f>SUM(H75:H78)</f>
        <v/>
      </c>
      <c r="I79" s="358">
        <f>SUM(I75:I78)</f>
        <v/>
      </c>
      <c r="J79" s="358">
        <f>SUM(J75:J78)</f>
        <v/>
      </c>
      <c r="K79" s="358">
        <f>SUM(K75:K78)</f>
        <v/>
      </c>
      <c r="L79" s="358">
        <f>SUM(L75:L78)</f>
        <v/>
      </c>
      <c r="M79" s="358">
        <f>SUM(M75:M78)</f>
        <v/>
      </c>
      <c r="N79" s="358">
        <f>SUM(N75:N78)</f>
        <v/>
      </c>
      <c r="O79" s="358">
        <f>SUM(O75:O78)</f>
        <v/>
      </c>
      <c r="P79" s="358">
        <f>SUM(P75:P78)</f>
        <v/>
      </c>
      <c r="Q79" s="358">
        <f>SUM(Q75:Q78)</f>
        <v/>
      </c>
      <c r="R79" s="358">
        <f>SUM(R75:R78)</f>
        <v/>
      </c>
      <c r="S79" s="358">
        <f>SUM(S75:S78)</f>
        <v/>
      </c>
      <c r="T79" s="358">
        <f>SUM(T75:T78)</f>
        <v/>
      </c>
      <c r="U79" s="358">
        <f>SUM(U75:U78)</f>
        <v/>
      </c>
      <c r="V79" s="358">
        <f>SUM(V75:V78)</f>
        <v/>
      </c>
      <c r="W79" s="358">
        <f>SUM(W75:W78)</f>
        <v/>
      </c>
      <c r="X79" s="358">
        <f>SUM(X75:X78)</f>
        <v/>
      </c>
      <c r="Y79" s="358">
        <f>SUM(Y75:Y78)</f>
        <v/>
      </c>
      <c r="Z79" s="358">
        <f>SUM(Z75:Z78)</f>
        <v/>
      </c>
      <c r="AA79" s="358">
        <f>SUM(AA75:AA78)</f>
        <v/>
      </c>
      <c r="AB79" s="358">
        <f>SUM(AB75:AB78)</f>
        <v/>
      </c>
      <c r="AC79" s="358">
        <f>SUM(AC75:AC78)</f>
        <v/>
      </c>
      <c r="AD79" s="358">
        <f>SUM(AD75:AD78)</f>
        <v/>
      </c>
      <c r="AE79" s="358">
        <f>SUM(AE75:AE78)</f>
        <v/>
      </c>
      <c r="AF79" s="358">
        <f>SUM(AF75:AF78)</f>
        <v/>
      </c>
      <c r="AG79" s="358">
        <f>SUM(AG75:AG78)</f>
        <v/>
      </c>
      <c r="AH79" s="358">
        <f>SUM(AH75:AH78)</f>
        <v/>
      </c>
      <c r="AI79" s="358">
        <f>SUM(AI75:AI78)</f>
        <v/>
      </c>
      <c r="AJ79" s="358">
        <f>SUM(AJ75:AJ78)</f>
        <v/>
      </c>
    </row>
    <row r="80">
      <c r="A80" s="300" t="n"/>
      <c r="B80" s="300" t="n"/>
      <c r="C80" s="300" t="n"/>
      <c r="D80" s="300" t="n"/>
      <c r="E80" s="300" t="n"/>
      <c r="F80" s="300" t="n"/>
      <c r="G80" s="300" t="n"/>
      <c r="H80" s="300" t="n"/>
      <c r="I80" s="300" t="n"/>
      <c r="J80" s="300" t="n"/>
      <c r="K80" s="300" t="n"/>
      <c r="L80" s="300" t="n"/>
      <c r="M80" s="300" t="n"/>
      <c r="N80" s="300" t="n"/>
      <c r="O80" s="300" t="n"/>
      <c r="P80" s="300" t="n"/>
      <c r="Q80" s="300" t="n"/>
      <c r="R80" s="300" t="n"/>
      <c r="S80" s="300" t="n"/>
      <c r="T80" s="300" t="n"/>
      <c r="U80" s="300" t="n"/>
      <c r="V80" s="300" t="n"/>
      <c r="W80" s="300" t="n"/>
      <c r="X80" s="300" t="n"/>
      <c r="Y80" s="300" t="n"/>
      <c r="Z80" s="300" t="n"/>
      <c r="AA80" s="300" t="n"/>
      <c r="AB80" s="300" t="n"/>
      <c r="AC80" s="300" t="n"/>
      <c r="AD80" s="300" t="n"/>
      <c r="AE80" s="300" t="n"/>
      <c r="AF80" s="300" t="n"/>
      <c r="AG80" s="300" t="n"/>
      <c r="AH80" s="300" t="n"/>
      <c r="AI80" s="300" t="n"/>
    </row>
    <row r="81">
      <c r="A81" s="300" t="n"/>
      <c r="B81" s="300" t="n"/>
      <c r="C81" s="300" t="n"/>
      <c r="D81" s="300" t="n"/>
      <c r="E81" s="300" t="n"/>
      <c r="F81" s="300" t="n"/>
      <c r="G81" s="300" t="n"/>
      <c r="H81" s="300" t="n"/>
      <c r="I81" s="300" t="n"/>
      <c r="J81" s="300" t="n"/>
      <c r="K81" s="300" t="n"/>
      <c r="L81" s="300" t="n"/>
      <c r="M81" s="300" t="n"/>
      <c r="N81" s="300" t="n"/>
      <c r="O81" s="300" t="n"/>
      <c r="P81" s="300" t="n"/>
      <c r="Q81" s="300" t="n"/>
      <c r="R81" s="300" t="n"/>
      <c r="S81" s="300" t="n"/>
      <c r="T81" s="300" t="n"/>
      <c r="U81" s="300" t="n"/>
      <c r="V81" s="300" t="n"/>
      <c r="W81" s="300" t="n"/>
      <c r="X81" s="300" t="n"/>
      <c r="Y81" s="300" t="n"/>
      <c r="Z81" s="300" t="n"/>
      <c r="AA81" s="300" t="n"/>
      <c r="AB81" s="300" t="n"/>
      <c r="AC81" s="300" t="n"/>
      <c r="AD81" s="300" t="n"/>
      <c r="AE81" s="300" t="n"/>
      <c r="AF81" s="300" t="n"/>
      <c r="AG81" s="300" t="n"/>
      <c r="AH81" s="300" t="n"/>
      <c r="AI81" s="300" t="n"/>
    </row>
    <row r="82">
      <c r="A82" s="300" t="n"/>
      <c r="B82" s="300" t="n"/>
      <c r="C82" s="300" t="n"/>
      <c r="D82" s="300" t="n"/>
      <c r="E82" s="300" t="n"/>
      <c r="F82" s="300" t="n"/>
      <c r="G82" s="300" t="n"/>
      <c r="H82" s="300" t="n"/>
      <c r="I82" s="300" t="n"/>
      <c r="J82" s="300" t="n"/>
      <c r="K82" s="300" t="n"/>
      <c r="L82" s="300" t="n"/>
      <c r="M82" s="300" t="n"/>
      <c r="N82" s="300" t="n"/>
      <c r="O82" s="300" t="n"/>
      <c r="P82" s="300" t="n"/>
      <c r="Q82" s="300" t="n"/>
      <c r="R82" s="300" t="n"/>
      <c r="S82" s="300" t="n"/>
      <c r="T82" s="300" t="n"/>
      <c r="U82" s="300" t="n"/>
      <c r="V82" s="300" t="n"/>
      <c r="W82" s="300" t="n"/>
      <c r="X82" s="300" t="n"/>
      <c r="Y82" s="300" t="n"/>
      <c r="Z82" s="300" t="n"/>
      <c r="AA82" s="300" t="n"/>
      <c r="AB82" s="300" t="n"/>
      <c r="AC82" s="300" t="n"/>
      <c r="AD82" s="300" t="n"/>
      <c r="AE82" s="300" t="n"/>
      <c r="AF82" s="300" t="n"/>
      <c r="AG82" s="300" t="n"/>
      <c r="AH82" s="300" t="n"/>
      <c r="AI82" s="300" t="n"/>
    </row>
    <row r="83" ht="18.5" customHeight="1" s="488">
      <c r="A83" s="557" t="n"/>
      <c r="B83" s="505" t="n"/>
      <c r="C83" s="505" t="n"/>
      <c r="D83" s="506" t="n"/>
      <c r="E83" s="544" t="inlineStr">
        <is>
          <t>AUGUST - 2026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505" t="n"/>
      <c r="AG83" s="505" t="n"/>
      <c r="AH83" s="506" t="n"/>
      <c r="AI83" s="544" t="inlineStr">
        <is>
          <t>JUNE - 2026    EV METER READING</t>
        </is>
      </c>
      <c r="AJ83" s="505" t="n"/>
      <c r="AK83" s="505" t="n"/>
      <c r="AL83" s="505" t="n"/>
      <c r="AM83" s="505" t="n"/>
      <c r="AN83" s="505" t="n"/>
      <c r="AO83" s="505" t="n"/>
      <c r="AP83" s="505" t="n"/>
      <c r="AQ83" s="505" t="n"/>
      <c r="AR83" s="505" t="n"/>
      <c r="AS83" s="505" t="n"/>
      <c r="AT83" s="505" t="n"/>
      <c r="AU83" s="505" t="n"/>
      <c r="AV83" s="505" t="n"/>
      <c r="AW83" s="505" t="n"/>
      <c r="AX83" s="505" t="n"/>
      <c r="AY83" s="505" t="n"/>
      <c r="AZ83" s="505" t="n"/>
      <c r="BA83" s="505" t="n"/>
      <c r="BB83" s="505" t="n"/>
      <c r="BC83" s="505" t="n"/>
      <c r="BD83" s="505" t="n"/>
      <c r="BE83" s="505" t="n"/>
      <c r="BF83" s="505" t="n"/>
      <c r="BG83" s="505" t="n"/>
      <c r="BH83" s="505" t="n"/>
      <c r="BI83" s="505" t="n"/>
      <c r="BJ83" s="505" t="n"/>
      <c r="BK83" s="505" t="n"/>
      <c r="BL83" s="506" t="n"/>
    </row>
    <row r="84">
      <c r="A84" s="550" t="inlineStr">
        <is>
          <t>Sr.No</t>
        </is>
      </c>
      <c r="B84" s="550" t="inlineStr">
        <is>
          <t>Location</t>
        </is>
      </c>
      <c r="C84" s="554" t="inlineStr">
        <is>
          <t>Meter</t>
        </is>
      </c>
      <c r="D84" s="543" t="inlineStr">
        <is>
          <t>Previous Reading</t>
        </is>
      </c>
      <c r="E84" s="301" t="n">
        <v>46235</v>
      </c>
      <c r="F84" s="301" t="n">
        <v>46236</v>
      </c>
      <c r="G84" s="301" t="n">
        <v>46237</v>
      </c>
      <c r="H84" s="301" t="n">
        <v>46238</v>
      </c>
      <c r="I84" s="301" t="n">
        <v>46239</v>
      </c>
      <c r="J84" s="301" t="n">
        <v>46240</v>
      </c>
      <c r="K84" s="301" t="n">
        <v>46241</v>
      </c>
      <c r="L84" s="301" t="n">
        <v>46242</v>
      </c>
      <c r="M84" s="301" t="n">
        <v>46243</v>
      </c>
      <c r="N84" s="301" t="n">
        <v>46244</v>
      </c>
      <c r="O84" s="301" t="n">
        <v>46245</v>
      </c>
      <c r="P84" s="301" t="n">
        <v>46246</v>
      </c>
      <c r="Q84" s="301" t="n">
        <v>46247</v>
      </c>
      <c r="R84" s="301" t="n">
        <v>46248</v>
      </c>
      <c r="S84" s="301" t="n">
        <v>46249</v>
      </c>
      <c r="T84" s="301" t="n">
        <v>46250</v>
      </c>
      <c r="U84" s="301" t="n">
        <v>46251</v>
      </c>
      <c r="V84" s="301" t="n">
        <v>46252</v>
      </c>
      <c r="W84" s="301" t="n">
        <v>46253</v>
      </c>
      <c r="X84" s="301" t="n">
        <v>46254</v>
      </c>
      <c r="Y84" s="301" t="n">
        <v>46255</v>
      </c>
      <c r="Z84" s="301" t="n">
        <v>46256</v>
      </c>
      <c r="AA84" s="301" t="n">
        <v>46257</v>
      </c>
      <c r="AB84" s="301" t="n">
        <v>46258</v>
      </c>
      <c r="AC84" s="301" t="n">
        <v>46259</v>
      </c>
      <c r="AD84" s="301" t="n">
        <v>46260</v>
      </c>
      <c r="AE84" s="301" t="n">
        <v>46261</v>
      </c>
      <c r="AF84" s="301" t="n">
        <v>46262</v>
      </c>
      <c r="AG84" s="301" t="n">
        <v>46263</v>
      </c>
      <c r="AH84" s="301" t="n">
        <v>46264</v>
      </c>
      <c r="AI84" s="301" t="n">
        <v>46265</v>
      </c>
      <c r="AJ84" s="542" t="inlineStr">
        <is>
          <t>Consumption</t>
        </is>
      </c>
    </row>
    <row r="85">
      <c r="A85" s="509" t="n"/>
      <c r="B85" s="509" t="n"/>
      <c r="C85" s="509" t="n"/>
      <c r="D85" s="509" t="n"/>
      <c r="E85" s="302" t="inlineStr">
        <is>
          <t>Sat</t>
        </is>
      </c>
      <c r="F85" s="302" t="inlineStr">
        <is>
          <t>Sun</t>
        </is>
      </c>
      <c r="G85" s="302" t="inlineStr">
        <is>
          <t>Mon</t>
        </is>
      </c>
      <c r="H85" s="302" t="inlineStr">
        <is>
          <t>Tue</t>
        </is>
      </c>
      <c r="I85" s="302" t="inlineStr">
        <is>
          <t>Wed</t>
        </is>
      </c>
      <c r="J85" s="302" t="inlineStr">
        <is>
          <t>Thu</t>
        </is>
      </c>
      <c r="K85" s="302" t="inlineStr">
        <is>
          <t>Fri</t>
        </is>
      </c>
      <c r="L85" s="302" t="inlineStr">
        <is>
          <t>Sat</t>
        </is>
      </c>
      <c r="M85" s="302" t="inlineStr">
        <is>
          <t>Sun</t>
        </is>
      </c>
      <c r="N85" s="302" t="inlineStr">
        <is>
          <t>Mon</t>
        </is>
      </c>
      <c r="O85" s="302" t="inlineStr">
        <is>
          <t>Tue</t>
        </is>
      </c>
      <c r="P85" s="302" t="inlineStr">
        <is>
          <t>Wed</t>
        </is>
      </c>
      <c r="Q85" s="302" t="inlineStr">
        <is>
          <t>Thu</t>
        </is>
      </c>
      <c r="R85" s="302" t="inlineStr">
        <is>
          <t>Fri</t>
        </is>
      </c>
      <c r="S85" s="302" t="inlineStr">
        <is>
          <t>Sat</t>
        </is>
      </c>
      <c r="T85" s="302" t="inlineStr">
        <is>
          <t>Sun</t>
        </is>
      </c>
      <c r="U85" s="302" t="inlineStr">
        <is>
          <t>Mon</t>
        </is>
      </c>
      <c r="V85" s="302" t="inlineStr">
        <is>
          <t>Tue</t>
        </is>
      </c>
      <c r="W85" s="302" t="inlineStr">
        <is>
          <t>Wed</t>
        </is>
      </c>
      <c r="X85" s="302" t="inlineStr">
        <is>
          <t>Thu</t>
        </is>
      </c>
      <c r="Y85" s="302" t="inlineStr">
        <is>
          <t>Fri</t>
        </is>
      </c>
      <c r="Z85" s="302" t="inlineStr">
        <is>
          <t>Sat</t>
        </is>
      </c>
      <c r="AA85" s="302" t="inlineStr">
        <is>
          <t>Sun</t>
        </is>
      </c>
      <c r="AB85" s="302" t="inlineStr">
        <is>
          <t>Mon</t>
        </is>
      </c>
      <c r="AC85" s="302" t="inlineStr">
        <is>
          <t>Tue</t>
        </is>
      </c>
      <c r="AD85" s="302" t="inlineStr">
        <is>
          <t>Wed</t>
        </is>
      </c>
      <c r="AE85" s="302" t="inlineStr">
        <is>
          <t>Thu</t>
        </is>
      </c>
      <c r="AF85" s="302" t="inlineStr">
        <is>
          <t>Fri</t>
        </is>
      </c>
      <c r="AG85" s="302" t="inlineStr">
        <is>
          <t>Sat</t>
        </is>
      </c>
      <c r="AH85" s="302" t="inlineStr">
        <is>
          <t>Sun</t>
        </is>
      </c>
      <c r="AI85" s="302" t="inlineStr">
        <is>
          <t>Mon</t>
        </is>
      </c>
      <c r="AJ85" s="516" t="n"/>
    </row>
    <row r="86">
      <c r="A86" s="509" t="n"/>
      <c r="B86" s="509" t="n"/>
      <c r="C86" s="509" t="n"/>
      <c r="D86" s="509" t="n"/>
      <c r="E86" s="303" t="inlineStr">
        <is>
          <t>Time</t>
        </is>
      </c>
      <c r="F86" s="303" t="inlineStr">
        <is>
          <t>Time</t>
        </is>
      </c>
      <c r="G86" s="303" t="inlineStr">
        <is>
          <t>Time</t>
        </is>
      </c>
      <c r="H86" s="303" t="inlineStr">
        <is>
          <t>Time</t>
        </is>
      </c>
      <c r="I86" s="303" t="inlineStr">
        <is>
          <t>Time</t>
        </is>
      </c>
      <c r="J86" s="303" t="inlineStr">
        <is>
          <t>Time</t>
        </is>
      </c>
      <c r="K86" s="303" t="inlineStr">
        <is>
          <t>Time</t>
        </is>
      </c>
      <c r="L86" s="303" t="inlineStr">
        <is>
          <t>Time</t>
        </is>
      </c>
      <c r="M86" s="303" t="inlineStr">
        <is>
          <t>Time</t>
        </is>
      </c>
      <c r="N86" s="303" t="inlineStr">
        <is>
          <t>Time</t>
        </is>
      </c>
      <c r="O86" s="303" t="inlineStr">
        <is>
          <t>Time</t>
        </is>
      </c>
      <c r="P86" s="303" t="inlineStr">
        <is>
          <t>Time</t>
        </is>
      </c>
      <c r="Q86" s="303" t="inlineStr">
        <is>
          <t>Time</t>
        </is>
      </c>
      <c r="R86" s="303" t="inlineStr">
        <is>
          <t>Time</t>
        </is>
      </c>
      <c r="S86" s="303" t="inlineStr">
        <is>
          <t>Time</t>
        </is>
      </c>
      <c r="T86" s="303" t="inlineStr">
        <is>
          <t>Time</t>
        </is>
      </c>
      <c r="U86" s="303" t="inlineStr">
        <is>
          <t>Time</t>
        </is>
      </c>
      <c r="V86" s="303" t="inlineStr">
        <is>
          <t>Time</t>
        </is>
      </c>
      <c r="W86" s="303" t="inlineStr">
        <is>
          <t>Time</t>
        </is>
      </c>
      <c r="X86" s="303" t="inlineStr">
        <is>
          <t>Time</t>
        </is>
      </c>
      <c r="Y86" s="303" t="inlineStr">
        <is>
          <t>Time</t>
        </is>
      </c>
      <c r="Z86" s="303" t="inlineStr">
        <is>
          <t>Time</t>
        </is>
      </c>
      <c r="AA86" s="303" t="inlineStr">
        <is>
          <t>Time</t>
        </is>
      </c>
      <c r="AB86" s="303" t="inlineStr">
        <is>
          <t>Time</t>
        </is>
      </c>
      <c r="AC86" s="303" t="inlineStr">
        <is>
          <t>Time</t>
        </is>
      </c>
      <c r="AD86" s="303" t="inlineStr">
        <is>
          <t>Time</t>
        </is>
      </c>
      <c r="AE86" s="303" t="inlineStr">
        <is>
          <t>Time</t>
        </is>
      </c>
      <c r="AF86" s="303" t="inlineStr">
        <is>
          <t>Time</t>
        </is>
      </c>
      <c r="AG86" s="303" t="inlineStr">
        <is>
          <t>Time</t>
        </is>
      </c>
      <c r="AH86" s="303" t="inlineStr">
        <is>
          <t>Time</t>
        </is>
      </c>
      <c r="AI86" s="303" t="inlineStr">
        <is>
          <t>Time</t>
        </is>
      </c>
      <c r="AJ86" s="516" t="n"/>
    </row>
    <row r="87">
      <c r="A87" s="510" t="n"/>
      <c r="B87" s="510" t="n"/>
      <c r="C87" s="510" t="n"/>
      <c r="D87" s="510" t="n"/>
      <c r="E87" s="369" t="n">
        <v>0.3333333333333333</v>
      </c>
      <c r="F87" s="369" t="n">
        <v>0.3333333333333333</v>
      </c>
      <c r="G87" s="369" t="n">
        <v>0.3333333333333333</v>
      </c>
      <c r="H87" s="369" t="n">
        <v>0.3333333333333333</v>
      </c>
      <c r="I87" s="369" t="n">
        <v>0.3333333333333333</v>
      </c>
      <c r="J87" s="369" t="n">
        <v>0.3333333333333333</v>
      </c>
      <c r="K87" s="369" t="n">
        <v>0.3333333333333333</v>
      </c>
      <c r="L87" s="369" t="n">
        <v>0.3333333333333333</v>
      </c>
      <c r="M87" s="369" t="n">
        <v>0.3333333333333333</v>
      </c>
      <c r="N87" s="369" t="n">
        <v>0.3333333333333333</v>
      </c>
      <c r="O87" s="369" t="n">
        <v>0.3333333333333333</v>
      </c>
      <c r="P87" s="369" t="n">
        <v>0.3333333333333333</v>
      </c>
      <c r="Q87" s="369" t="n">
        <v>0.3333333333333333</v>
      </c>
      <c r="R87" s="369" t="n">
        <v>0.3333333333333333</v>
      </c>
      <c r="S87" s="369" t="n">
        <v>0.3333333333333333</v>
      </c>
      <c r="T87" s="369" t="n">
        <v>0.3333333333333333</v>
      </c>
      <c r="U87" s="369" t="n">
        <v>0.3333333333333333</v>
      </c>
      <c r="V87" s="369" t="n">
        <v>0.3333333333333333</v>
      </c>
      <c r="W87" s="369" t="n">
        <v>0.3333333333333333</v>
      </c>
      <c r="X87" s="369" t="n">
        <v>0.3333333333333333</v>
      </c>
      <c r="Y87" s="369" t="n">
        <v>0.3333333333333333</v>
      </c>
      <c r="Z87" s="369" t="n">
        <v>0.3333333333333333</v>
      </c>
      <c r="AA87" s="369" t="n">
        <v>0.3333333333333333</v>
      </c>
      <c r="AB87" s="369" t="n">
        <v>0.3333333333333333</v>
      </c>
      <c r="AC87" s="369" t="n">
        <v>0.3333333333333333</v>
      </c>
      <c r="AD87" s="369" t="n">
        <v>0.3333333333333333</v>
      </c>
      <c r="AE87" s="369" t="n">
        <v>0.3333333333333333</v>
      </c>
      <c r="AF87" s="369" t="n">
        <v>0.3333333333333333</v>
      </c>
      <c r="AG87" s="369" t="n">
        <v>0.3333333333333333</v>
      </c>
      <c r="AH87" s="369" t="n">
        <v>0.3333333333333333</v>
      </c>
      <c r="AI87" s="369" t="n">
        <v>0.3333333333333333</v>
      </c>
      <c r="AJ87" s="517" t="n"/>
    </row>
    <row r="88">
      <c r="A88" s="310" t="n">
        <v>1</v>
      </c>
      <c r="B88" s="370" t="inlineStr">
        <is>
          <t>Basement:-2</t>
        </is>
      </c>
      <c r="C88" s="370" t="inlineStr">
        <is>
          <t>Liberty-170</t>
        </is>
      </c>
      <c r="D88" s="370" t="n">
        <v>3826</v>
      </c>
      <c r="E88" s="370" t="n">
        <v>3368</v>
      </c>
      <c r="F88" s="370" t="n">
        <v>3395</v>
      </c>
      <c r="G88" s="370" t="n">
        <v>3405</v>
      </c>
      <c r="H88" s="370" t="n">
        <v>3405</v>
      </c>
      <c r="I88" s="370" t="n">
        <v>3405</v>
      </c>
      <c r="J88" s="370" t="n">
        <v>3405</v>
      </c>
      <c r="K88" s="370" t="n">
        <v>3431</v>
      </c>
      <c r="L88" s="370" t="n">
        <v>3443</v>
      </c>
      <c r="M88" s="370" t="n">
        <v>3482</v>
      </c>
      <c r="N88" s="370" t="n">
        <v>3499</v>
      </c>
      <c r="O88" s="370" t="n">
        <v>3499</v>
      </c>
      <c r="P88" s="370" t="n">
        <v>3499</v>
      </c>
      <c r="Q88" s="370" t="n">
        <v>3499</v>
      </c>
      <c r="R88" s="370" t="n">
        <v>3524</v>
      </c>
      <c r="S88" s="370" t="n">
        <v>3532</v>
      </c>
      <c r="T88" s="370" t="n">
        <v>3532</v>
      </c>
      <c r="U88" s="370" t="n">
        <v>3560</v>
      </c>
      <c r="V88" s="370" t="n">
        <v>3560</v>
      </c>
      <c r="W88" s="370" t="n">
        <v>3560</v>
      </c>
      <c r="X88" s="370" t="n">
        <v>3587</v>
      </c>
      <c r="Y88" s="370" t="n">
        <v>3609</v>
      </c>
      <c r="Z88" s="370" t="n">
        <v>3609</v>
      </c>
      <c r="AA88" s="370" t="n">
        <v>3631</v>
      </c>
      <c r="AB88" s="370" t="n">
        <v>3678</v>
      </c>
      <c r="AC88" s="370" t="n">
        <v>3678</v>
      </c>
      <c r="AD88" s="370" t="n">
        <v>3678</v>
      </c>
      <c r="AE88" s="370" t="n">
        <v>3678</v>
      </c>
      <c r="AF88" s="370" t="n">
        <v>3715</v>
      </c>
      <c r="AG88" s="370" t="n">
        <v>3740</v>
      </c>
      <c r="AH88" s="370" t="n">
        <v>3781</v>
      </c>
      <c r="AI88" s="370" t="n">
        <v>3826</v>
      </c>
      <c r="AJ88" s="399" t="n"/>
    </row>
    <row r="89">
      <c r="A89" s="300" t="n"/>
      <c r="B89" s="300" t="n"/>
      <c r="C89" s="300" t="n"/>
      <c r="D89" s="300" t="n"/>
      <c r="E89" s="300" t="n"/>
      <c r="F89" s="300" t="n"/>
      <c r="G89" s="300" t="n"/>
      <c r="H89" s="300" t="n"/>
      <c r="I89" s="300" t="n"/>
      <c r="J89" s="300" t="n"/>
      <c r="K89" s="300" t="n"/>
      <c r="L89" s="300" t="n"/>
      <c r="M89" s="300" t="n"/>
      <c r="N89" s="300" t="n"/>
      <c r="O89" s="300" t="n"/>
      <c r="P89" s="300" t="n"/>
      <c r="Q89" s="300" t="n"/>
      <c r="R89" s="300" t="n"/>
      <c r="S89" s="300" t="n"/>
      <c r="T89" s="300" t="n"/>
      <c r="U89" s="300" t="n"/>
      <c r="V89" s="300" t="n"/>
      <c r="W89" s="300" t="n"/>
      <c r="X89" s="300" t="n"/>
      <c r="Y89" s="300" t="n"/>
      <c r="Z89" s="300" t="n"/>
      <c r="AA89" s="300" t="n"/>
      <c r="AB89" s="300" t="n"/>
      <c r="AC89" s="300" t="n"/>
      <c r="AD89" s="300" t="n"/>
      <c r="AE89" s="300" t="n"/>
      <c r="AF89" s="300" t="n"/>
      <c r="AG89" s="300" t="n"/>
      <c r="AH89" s="300" t="n"/>
      <c r="AI89" s="300" t="n"/>
    </row>
    <row r="90">
      <c r="A90" s="542" t="inlineStr">
        <is>
          <t>Sr.No</t>
        </is>
      </c>
      <c r="B90" s="542" t="inlineStr">
        <is>
          <t>Location</t>
        </is>
      </c>
      <c r="C90" s="542" t="inlineStr">
        <is>
          <t>Meter</t>
        </is>
      </c>
      <c r="D90" s="522" t="n"/>
      <c r="E90" s="352">
        <f>E84</f>
        <v/>
      </c>
      <c r="F90" s="352">
        <f>F84</f>
        <v/>
      </c>
      <c r="G90" s="352">
        <f>G84</f>
        <v/>
      </c>
      <c r="H90" s="352">
        <f>H84</f>
        <v/>
      </c>
      <c r="I90" s="352">
        <f>I84</f>
        <v/>
      </c>
      <c r="J90" s="352">
        <f>J84</f>
        <v/>
      </c>
      <c r="K90" s="352">
        <f>K84</f>
        <v/>
      </c>
      <c r="L90" s="352">
        <f>L84</f>
        <v/>
      </c>
      <c r="M90" s="352">
        <f>M84</f>
        <v/>
      </c>
      <c r="N90" s="352">
        <f>N84</f>
        <v/>
      </c>
      <c r="O90" s="352">
        <f>O84</f>
        <v/>
      </c>
      <c r="P90" s="352">
        <f>P84</f>
        <v/>
      </c>
      <c r="Q90" s="352">
        <f>Q84</f>
        <v/>
      </c>
      <c r="R90" s="352">
        <f>R84</f>
        <v/>
      </c>
      <c r="S90" s="352">
        <f>S84</f>
        <v/>
      </c>
      <c r="T90" s="352">
        <f>T84</f>
        <v/>
      </c>
      <c r="U90" s="352">
        <f>U84</f>
        <v/>
      </c>
      <c r="V90" s="352">
        <f>V84</f>
        <v/>
      </c>
      <c r="W90" s="352">
        <f>W84</f>
        <v/>
      </c>
      <c r="X90" s="352">
        <f>X84</f>
        <v/>
      </c>
      <c r="Y90" s="352">
        <f>Y84</f>
        <v/>
      </c>
      <c r="Z90" s="352">
        <f>Z84</f>
        <v/>
      </c>
      <c r="AA90" s="352">
        <f>AA84</f>
        <v/>
      </c>
      <c r="AB90" s="352">
        <f>AB84</f>
        <v/>
      </c>
      <c r="AC90" s="352">
        <f>AC84</f>
        <v/>
      </c>
      <c r="AD90" s="352">
        <f>AD84</f>
        <v/>
      </c>
      <c r="AE90" s="352">
        <f>AE84</f>
        <v/>
      </c>
      <c r="AF90" s="352">
        <f>AF84</f>
        <v/>
      </c>
      <c r="AG90" s="352">
        <f>AG84</f>
        <v/>
      </c>
      <c r="AH90" s="352">
        <f>AH84</f>
        <v/>
      </c>
      <c r="AI90" s="442">
        <f>AI84</f>
        <v/>
      </c>
      <c r="AJ90" s="542" t="inlineStr">
        <is>
          <t>Consumption</t>
        </is>
      </c>
    </row>
    <row r="91">
      <c r="A91" s="516" t="n"/>
      <c r="B91" s="516" t="n"/>
      <c r="C91" s="523" t="n"/>
      <c r="D91" s="524" t="n"/>
      <c r="E91" s="302" t="inlineStr">
        <is>
          <t>Sat</t>
        </is>
      </c>
      <c r="F91" s="302" t="inlineStr">
        <is>
          <t>Sun</t>
        </is>
      </c>
      <c r="G91" s="302" t="inlineStr">
        <is>
          <t>Mon</t>
        </is>
      </c>
      <c r="H91" s="302" t="inlineStr">
        <is>
          <t>Tue</t>
        </is>
      </c>
      <c r="I91" s="302" t="inlineStr">
        <is>
          <t>Wed</t>
        </is>
      </c>
      <c r="J91" s="302" t="inlineStr">
        <is>
          <t>Thu</t>
        </is>
      </c>
      <c r="K91" s="302" t="inlineStr">
        <is>
          <t>Fri</t>
        </is>
      </c>
      <c r="L91" s="302" t="inlineStr">
        <is>
          <t>Sat</t>
        </is>
      </c>
      <c r="M91" s="302" t="inlineStr">
        <is>
          <t>Sun</t>
        </is>
      </c>
      <c r="N91" s="302" t="inlineStr">
        <is>
          <t>Mon</t>
        </is>
      </c>
      <c r="O91" s="302" t="inlineStr">
        <is>
          <t>Tue</t>
        </is>
      </c>
      <c r="P91" s="302" t="inlineStr">
        <is>
          <t>Wed</t>
        </is>
      </c>
      <c r="Q91" s="302" t="inlineStr">
        <is>
          <t>Thu</t>
        </is>
      </c>
      <c r="R91" s="302" t="inlineStr">
        <is>
          <t>Fri</t>
        </is>
      </c>
      <c r="S91" s="302" t="inlineStr">
        <is>
          <t>Sat</t>
        </is>
      </c>
      <c r="T91" s="302" t="inlineStr">
        <is>
          <t>Sun</t>
        </is>
      </c>
      <c r="U91" s="302" t="inlineStr">
        <is>
          <t>Mon</t>
        </is>
      </c>
      <c r="V91" s="302" t="inlineStr">
        <is>
          <t>Tue</t>
        </is>
      </c>
      <c r="W91" s="302" t="inlineStr">
        <is>
          <t>Wed</t>
        </is>
      </c>
      <c r="X91" s="302" t="inlineStr">
        <is>
          <t>Thu</t>
        </is>
      </c>
      <c r="Y91" s="302" t="inlineStr">
        <is>
          <t>Fri</t>
        </is>
      </c>
      <c r="Z91" s="302" t="inlineStr">
        <is>
          <t>Sat</t>
        </is>
      </c>
      <c r="AA91" s="302" t="inlineStr">
        <is>
          <t>Sun</t>
        </is>
      </c>
      <c r="AB91" s="302" t="inlineStr">
        <is>
          <t>Mon</t>
        </is>
      </c>
      <c r="AC91" s="302" t="inlineStr">
        <is>
          <t>Tue</t>
        </is>
      </c>
      <c r="AD91" s="302" t="inlineStr">
        <is>
          <t>Wed</t>
        </is>
      </c>
      <c r="AE91" s="302" t="inlineStr">
        <is>
          <t>Thu</t>
        </is>
      </c>
      <c r="AF91" s="302" t="inlineStr">
        <is>
          <t>Fri</t>
        </is>
      </c>
      <c r="AG91" s="302" t="inlineStr">
        <is>
          <t>Sat</t>
        </is>
      </c>
      <c r="AH91" s="302" t="inlineStr">
        <is>
          <t>Sun</t>
        </is>
      </c>
      <c r="AI91" s="443" t="inlineStr">
        <is>
          <t>Mon</t>
        </is>
      </c>
      <c r="AJ91" s="516" t="n"/>
    </row>
    <row r="92">
      <c r="A92" s="516" t="n"/>
      <c r="B92" s="516" t="n"/>
      <c r="C92" s="523" t="n"/>
      <c r="D92" s="524" t="n"/>
      <c r="E92" s="353" t="inlineStr">
        <is>
          <t>Time</t>
        </is>
      </c>
      <c r="F92" s="353" t="inlineStr">
        <is>
          <t>Time</t>
        </is>
      </c>
      <c r="G92" s="353" t="inlineStr">
        <is>
          <t>Time</t>
        </is>
      </c>
      <c r="H92" s="353" t="inlineStr">
        <is>
          <t>Time</t>
        </is>
      </c>
      <c r="I92" s="353" t="inlineStr">
        <is>
          <t>Time</t>
        </is>
      </c>
      <c r="J92" s="353" t="inlineStr">
        <is>
          <t>Time</t>
        </is>
      </c>
      <c r="K92" s="353" t="inlineStr">
        <is>
          <t>Time</t>
        </is>
      </c>
      <c r="L92" s="353" t="inlineStr">
        <is>
          <t>Time</t>
        </is>
      </c>
      <c r="M92" s="353" t="inlineStr">
        <is>
          <t>Time</t>
        </is>
      </c>
      <c r="N92" s="353" t="inlineStr">
        <is>
          <t>Time</t>
        </is>
      </c>
      <c r="O92" s="353" t="inlineStr">
        <is>
          <t>Time</t>
        </is>
      </c>
      <c r="P92" s="353" t="inlineStr">
        <is>
          <t>Time</t>
        </is>
      </c>
      <c r="Q92" s="353" t="inlineStr">
        <is>
          <t>Time</t>
        </is>
      </c>
      <c r="R92" s="353" t="inlineStr">
        <is>
          <t>Time</t>
        </is>
      </c>
      <c r="S92" s="353" t="inlineStr">
        <is>
          <t>Time</t>
        </is>
      </c>
      <c r="T92" s="353" t="inlineStr">
        <is>
          <t>Time</t>
        </is>
      </c>
      <c r="U92" s="353" t="inlineStr">
        <is>
          <t>Time</t>
        </is>
      </c>
      <c r="V92" s="353" t="inlineStr">
        <is>
          <t>Time</t>
        </is>
      </c>
      <c r="W92" s="353" t="inlineStr">
        <is>
          <t>Time</t>
        </is>
      </c>
      <c r="X92" s="353" t="inlineStr">
        <is>
          <t>Time</t>
        </is>
      </c>
      <c r="Y92" s="353" t="inlineStr">
        <is>
          <t>Time</t>
        </is>
      </c>
      <c r="Z92" s="353" t="inlineStr">
        <is>
          <t>Time</t>
        </is>
      </c>
      <c r="AA92" s="353" t="inlineStr">
        <is>
          <t>Time</t>
        </is>
      </c>
      <c r="AB92" s="353" t="inlineStr">
        <is>
          <t>Time</t>
        </is>
      </c>
      <c r="AC92" s="353" t="inlineStr">
        <is>
          <t>Time</t>
        </is>
      </c>
      <c r="AD92" s="353" t="inlineStr">
        <is>
          <t>Time</t>
        </is>
      </c>
      <c r="AE92" s="353" t="inlineStr">
        <is>
          <t>Time</t>
        </is>
      </c>
      <c r="AF92" s="353" t="inlineStr">
        <is>
          <t>Time</t>
        </is>
      </c>
      <c r="AG92" s="353" t="inlineStr">
        <is>
          <t>Time</t>
        </is>
      </c>
      <c r="AH92" s="353" t="inlineStr">
        <is>
          <t>Time</t>
        </is>
      </c>
      <c r="AI92" s="444" t="inlineStr">
        <is>
          <t>Time</t>
        </is>
      </c>
      <c r="AJ92" s="516" t="n"/>
    </row>
    <row r="93">
      <c r="A93" s="517" t="n"/>
      <c r="B93" s="517" t="n"/>
      <c r="C93" s="525" t="n"/>
      <c r="D93" s="526" t="n"/>
      <c r="E93" s="354" t="n">
        <v>0.3333333333333333</v>
      </c>
      <c r="F93" s="354" t="n">
        <v>0.3333333333333333</v>
      </c>
      <c r="G93" s="354" t="n">
        <v>0.3333333333333333</v>
      </c>
      <c r="H93" s="354" t="n">
        <v>0.3333333333333333</v>
      </c>
      <c r="I93" s="354" t="n">
        <v>0.3333333333333333</v>
      </c>
      <c r="J93" s="354" t="n">
        <v>0.3333333333333333</v>
      </c>
      <c r="K93" s="354" t="n">
        <v>0.3333333333333333</v>
      </c>
      <c r="L93" s="354" t="n">
        <v>0.3333333333333333</v>
      </c>
      <c r="M93" s="354" t="n">
        <v>0.3333333333333333</v>
      </c>
      <c r="N93" s="354" t="n">
        <v>0.3333333333333333</v>
      </c>
      <c r="O93" s="354" t="n">
        <v>0.3333333333333333</v>
      </c>
      <c r="P93" s="354" t="n">
        <v>0.3333333333333333</v>
      </c>
      <c r="Q93" s="354" t="n">
        <v>0.3333333333333333</v>
      </c>
      <c r="R93" s="354" t="n">
        <v>0.3333333333333333</v>
      </c>
      <c r="S93" s="354" t="n">
        <v>0.3333333333333333</v>
      </c>
      <c r="T93" s="354" t="n">
        <v>0.3333333333333333</v>
      </c>
      <c r="U93" s="354" t="n">
        <v>0.3333333333333333</v>
      </c>
      <c r="V93" s="354" t="n">
        <v>0.3333333333333333</v>
      </c>
      <c r="W93" s="354" t="n">
        <v>0.3333333333333333</v>
      </c>
      <c r="X93" s="354" t="n">
        <v>0.3333333333333333</v>
      </c>
      <c r="Y93" s="354" t="n">
        <v>0.3333333333333333</v>
      </c>
      <c r="Z93" s="354" t="n">
        <v>0.3333333333333333</v>
      </c>
      <c r="AA93" s="354" t="n">
        <v>0.3333333333333333</v>
      </c>
      <c r="AB93" s="354" t="n">
        <v>0.3333333333333333</v>
      </c>
      <c r="AC93" s="354" t="n">
        <v>0.3333333333333333</v>
      </c>
      <c r="AD93" s="354" t="n">
        <v>0.3333333333333333</v>
      </c>
      <c r="AE93" s="354" t="n">
        <v>0.3333333333333333</v>
      </c>
      <c r="AF93" s="354" t="n">
        <v>0.3333333333333333</v>
      </c>
      <c r="AG93" s="354" t="n">
        <v>0.3333333333333333</v>
      </c>
      <c r="AH93" s="354" t="n">
        <v>0.3333333333333333</v>
      </c>
      <c r="AI93" s="445" t="n">
        <v>0.3333333333333333</v>
      </c>
      <c r="AJ93" s="517" t="n"/>
    </row>
    <row r="94">
      <c r="A94" s="558" t="n">
        <v>1</v>
      </c>
      <c r="B94" s="373" t="inlineStr">
        <is>
          <t>Basement:-2</t>
        </is>
      </c>
      <c r="C94" s="558" t="inlineStr">
        <is>
          <t>Liberty-170</t>
        </is>
      </c>
      <c r="D94" s="501" t="n"/>
      <c r="E94" s="355">
        <f>E88-D88</f>
        <v/>
      </c>
      <c r="F94" s="355">
        <f>F88-E88</f>
        <v/>
      </c>
      <c r="G94" s="355">
        <f>G88-F88</f>
        <v/>
      </c>
      <c r="H94" s="355">
        <f>H88-G88</f>
        <v/>
      </c>
      <c r="I94" s="355">
        <f>I88-H88</f>
        <v/>
      </c>
      <c r="J94" s="355">
        <f>J88-I88</f>
        <v/>
      </c>
      <c r="K94" s="355">
        <f>K88-J88</f>
        <v/>
      </c>
      <c r="L94" s="355">
        <f>L88-K88</f>
        <v/>
      </c>
      <c r="M94" s="355">
        <f>M88-L88</f>
        <v/>
      </c>
      <c r="N94" s="355">
        <f>N88-M88</f>
        <v/>
      </c>
      <c r="O94" s="355">
        <f>O88-N88</f>
        <v/>
      </c>
      <c r="P94" s="355">
        <f>P88-O88</f>
        <v/>
      </c>
      <c r="Q94" s="355">
        <f>Q88-P88</f>
        <v/>
      </c>
      <c r="R94" s="355">
        <f>R88-Q88</f>
        <v/>
      </c>
      <c r="S94" s="355">
        <f>S88-R88</f>
        <v/>
      </c>
      <c r="T94" s="355">
        <f>T88-S88</f>
        <v/>
      </c>
      <c r="U94" s="355">
        <f>U88-T88</f>
        <v/>
      </c>
      <c r="V94" s="355">
        <f>V88-U88</f>
        <v/>
      </c>
      <c r="W94" s="355">
        <f>W88-V88</f>
        <v/>
      </c>
      <c r="X94" s="355">
        <f>X88-W88</f>
        <v/>
      </c>
      <c r="Y94" s="355">
        <f>Y88-X88</f>
        <v/>
      </c>
      <c r="Z94" s="355">
        <f>Z88-Y88</f>
        <v/>
      </c>
      <c r="AA94" s="355">
        <f>AA88-Z88</f>
        <v/>
      </c>
      <c r="AB94" s="355">
        <f>AB88-AA88</f>
        <v/>
      </c>
      <c r="AC94" s="355">
        <f>AC88-AB88</f>
        <v/>
      </c>
      <c r="AD94" s="355">
        <f>AD88-AC88</f>
        <v/>
      </c>
      <c r="AE94" s="355">
        <f>AE88-AD88</f>
        <v/>
      </c>
      <c r="AF94" s="355">
        <f>AF88-AE88</f>
        <v/>
      </c>
      <c r="AG94" s="355">
        <f>AG88-AF88</f>
        <v/>
      </c>
      <c r="AH94" s="355">
        <f>AH88-AG88</f>
        <v/>
      </c>
      <c r="AI94" s="355" t="n">
        <v>45</v>
      </c>
      <c r="AJ94" s="355">
        <f>SUM(H94:AH94)</f>
        <v/>
      </c>
    </row>
  </sheetData>
  <mergeCells count="62">
    <mergeCell ref="C77:D77"/>
    <mergeCell ref="AJ40:AJ43"/>
    <mergeCell ref="D84:D87"/>
    <mergeCell ref="E83:AH83"/>
    <mergeCell ref="C62:D62"/>
    <mergeCell ref="C68:D68"/>
    <mergeCell ref="AJ90:AJ93"/>
    <mergeCell ref="C58:D58"/>
    <mergeCell ref="AI83:BL83"/>
    <mergeCell ref="C40:D43"/>
    <mergeCell ref="C45:D45"/>
    <mergeCell ref="AJ2:AJ5"/>
    <mergeCell ref="C74:D74"/>
    <mergeCell ref="C64:D64"/>
    <mergeCell ref="B2:B5"/>
    <mergeCell ref="A22:AH22"/>
    <mergeCell ref="B38:D38"/>
    <mergeCell ref="D2:D5"/>
    <mergeCell ref="C73:D73"/>
    <mergeCell ref="A90:A93"/>
    <mergeCell ref="A84:A87"/>
    <mergeCell ref="C84:C87"/>
    <mergeCell ref="C79:D79"/>
    <mergeCell ref="C90:D93"/>
    <mergeCell ref="C47:D47"/>
    <mergeCell ref="C54:D54"/>
    <mergeCell ref="A83:D83"/>
    <mergeCell ref="C94:D94"/>
    <mergeCell ref="C65:D65"/>
    <mergeCell ref="A36:AH37"/>
    <mergeCell ref="C55:D55"/>
    <mergeCell ref="C50:D50"/>
    <mergeCell ref="C75:D75"/>
    <mergeCell ref="C44:D44"/>
    <mergeCell ref="A31:AH31"/>
    <mergeCell ref="C56:D56"/>
    <mergeCell ref="A40:A43"/>
    <mergeCell ref="C59:D59"/>
    <mergeCell ref="B84:B87"/>
    <mergeCell ref="C46:D46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C72:D72"/>
    <mergeCell ref="C67:D67"/>
    <mergeCell ref="AJ84:AJ87"/>
    <mergeCell ref="C57:D57"/>
    <mergeCell ref="B90:B93"/>
    <mergeCell ref="C66:D66"/>
    <mergeCell ref="C53:D53"/>
    <mergeCell ref="B39:D39"/>
    <mergeCell ref="C78:D78"/>
    <mergeCell ref="C69:D69"/>
    <mergeCell ref="C49:D49"/>
    <mergeCell ref="A1:A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94"/>
  <sheetViews>
    <sheetView topLeftCell="AD57" workbookViewId="0">
      <selection activeCell="AJ68" sqref="AJ68:AK71"/>
    </sheetView>
  </sheetViews>
  <sheetFormatPr baseColWidth="8" defaultRowHeight="14.5"/>
  <cols>
    <col width="16" customWidth="1" style="488" min="1" max="1"/>
    <col width="27" customWidth="1" style="488" min="2" max="2"/>
    <col width="32" bestFit="1" customWidth="1" style="488" min="3" max="3"/>
    <col width="20" customWidth="1" style="488" min="4" max="4"/>
    <col width="35" customWidth="1" style="488" min="5" max="5"/>
    <col width="23" customWidth="1" style="488" min="6" max="28"/>
    <col width="23" bestFit="1" customWidth="1" style="488" min="29" max="29"/>
    <col width="23" customWidth="1" style="488" min="30" max="34"/>
    <col width="18" customWidth="1" style="488" min="35" max="35"/>
    <col width="14" customWidth="1" style="488" min="36" max="36"/>
    <col width="18" customWidth="1" style="488" min="37" max="37"/>
  </cols>
  <sheetData>
    <row r="1" ht="21" customHeight="1" s="488">
      <c r="A1" s="556" t="inlineStr">
        <is>
          <t>JUNE -  2026</t>
        </is>
      </c>
    </row>
    <row r="2">
      <c r="A2" s="550" t="inlineStr">
        <is>
          <t>Sr.No</t>
        </is>
      </c>
      <c r="B2" s="550" t="inlineStr">
        <is>
          <t>Location</t>
        </is>
      </c>
      <c r="C2" s="554" t="inlineStr">
        <is>
          <t>Meter</t>
        </is>
      </c>
      <c r="D2" s="543" t="inlineStr">
        <is>
          <t>Previous Reading</t>
        </is>
      </c>
      <c r="E2" s="301" t="n">
        <v>46174</v>
      </c>
      <c r="F2" s="301" t="n">
        <v>46175</v>
      </c>
      <c r="G2" s="301" t="n">
        <v>46176</v>
      </c>
      <c r="H2" s="301" t="n">
        <v>46177</v>
      </c>
      <c r="I2" s="301" t="n">
        <v>46178</v>
      </c>
      <c r="J2" s="301" t="n">
        <v>46179</v>
      </c>
      <c r="K2" s="301" t="n">
        <v>46180</v>
      </c>
      <c r="L2" s="301" t="n">
        <v>46181</v>
      </c>
      <c r="M2" s="301" t="n">
        <v>46182</v>
      </c>
      <c r="N2" s="301" t="n">
        <v>46183</v>
      </c>
      <c r="O2" s="301" t="n">
        <v>46184</v>
      </c>
      <c r="P2" s="301" t="n">
        <v>46185</v>
      </c>
      <c r="Q2" s="301" t="n">
        <v>46186</v>
      </c>
      <c r="R2" s="301" t="n">
        <v>46187</v>
      </c>
      <c r="S2" s="301" t="n">
        <v>46188</v>
      </c>
      <c r="T2" s="301" t="n">
        <v>46189</v>
      </c>
      <c r="U2" s="301" t="n">
        <v>46190</v>
      </c>
      <c r="V2" s="301" t="n">
        <v>46191</v>
      </c>
      <c r="W2" s="301" t="n">
        <v>46192</v>
      </c>
      <c r="X2" s="301" t="n">
        <v>46193</v>
      </c>
      <c r="Y2" s="301" t="n">
        <v>46194</v>
      </c>
      <c r="Z2" s="301" t="n">
        <v>46195</v>
      </c>
      <c r="AA2" s="301" t="n">
        <v>46196</v>
      </c>
      <c r="AB2" s="301" t="n">
        <v>46197</v>
      </c>
      <c r="AC2" s="301" t="n">
        <v>46198</v>
      </c>
      <c r="AD2" s="301" t="n">
        <v>46199</v>
      </c>
      <c r="AE2" s="301" t="n">
        <v>46200</v>
      </c>
      <c r="AF2" s="301" t="n">
        <v>46201</v>
      </c>
      <c r="AG2" s="301" t="n">
        <v>46202</v>
      </c>
      <c r="AH2" s="301" t="n">
        <v>46203</v>
      </c>
      <c r="AI2" s="548" t="inlineStr">
        <is>
          <t>Consumption</t>
        </is>
      </c>
    </row>
    <row r="3">
      <c r="A3" s="509" t="n"/>
      <c r="B3" s="509" t="n"/>
      <c r="C3" s="509" t="n"/>
      <c r="D3" s="509" t="n"/>
      <c r="E3" s="302" t="inlineStr">
        <is>
          <t>Mon</t>
        </is>
      </c>
      <c r="F3" s="302" t="inlineStr">
        <is>
          <t>Tue</t>
        </is>
      </c>
      <c r="G3" s="302" t="inlineStr">
        <is>
          <t>Wed</t>
        </is>
      </c>
      <c r="H3" s="302" t="inlineStr">
        <is>
          <t>Thu</t>
        </is>
      </c>
      <c r="I3" s="302" t="inlineStr">
        <is>
          <t>Fri</t>
        </is>
      </c>
      <c r="J3" s="302" t="inlineStr">
        <is>
          <t>Sat</t>
        </is>
      </c>
      <c r="K3" s="302" t="inlineStr">
        <is>
          <t>Sun</t>
        </is>
      </c>
      <c r="L3" s="302" t="inlineStr">
        <is>
          <t>Mon</t>
        </is>
      </c>
      <c r="M3" s="302" t="inlineStr">
        <is>
          <t>Tue</t>
        </is>
      </c>
      <c r="N3" s="302" t="inlineStr">
        <is>
          <t>Wed</t>
        </is>
      </c>
      <c r="O3" s="302" t="inlineStr">
        <is>
          <t>Thu</t>
        </is>
      </c>
      <c r="P3" s="302" t="inlineStr">
        <is>
          <t>Fri</t>
        </is>
      </c>
      <c r="Q3" s="302" t="inlineStr">
        <is>
          <t>Sat</t>
        </is>
      </c>
      <c r="R3" s="302" t="inlineStr">
        <is>
          <t>Sun</t>
        </is>
      </c>
      <c r="S3" s="302" t="inlineStr">
        <is>
          <t>Mon</t>
        </is>
      </c>
      <c r="T3" s="302" t="inlineStr">
        <is>
          <t>Tue</t>
        </is>
      </c>
      <c r="U3" s="302" t="inlineStr">
        <is>
          <t>Wed</t>
        </is>
      </c>
      <c r="V3" s="302" t="inlineStr">
        <is>
          <t>Thu</t>
        </is>
      </c>
      <c r="W3" s="302" t="inlineStr">
        <is>
          <t>Fri</t>
        </is>
      </c>
      <c r="X3" s="302" t="inlineStr">
        <is>
          <t>Sat</t>
        </is>
      </c>
      <c r="Y3" s="302" t="inlineStr">
        <is>
          <t>Sun</t>
        </is>
      </c>
      <c r="Z3" s="302" t="inlineStr">
        <is>
          <t>Mon</t>
        </is>
      </c>
      <c r="AA3" s="302" t="inlineStr">
        <is>
          <t>Tue</t>
        </is>
      </c>
      <c r="AB3" s="302" t="inlineStr">
        <is>
          <t>Wed</t>
        </is>
      </c>
      <c r="AC3" s="302" t="inlineStr">
        <is>
          <t>Thu</t>
        </is>
      </c>
      <c r="AD3" s="302" t="inlineStr">
        <is>
          <t>Fri</t>
        </is>
      </c>
      <c r="AE3" s="302" t="inlineStr">
        <is>
          <t>Sat</t>
        </is>
      </c>
      <c r="AF3" s="302" t="inlineStr">
        <is>
          <t>Sun</t>
        </is>
      </c>
      <c r="AG3" s="302" t="inlineStr">
        <is>
          <t>Mon</t>
        </is>
      </c>
      <c r="AH3" s="302" t="inlineStr">
        <is>
          <t>Tue</t>
        </is>
      </c>
      <c r="AI3" s="509" t="n"/>
    </row>
    <row r="4">
      <c r="A4" s="509" t="n"/>
      <c r="B4" s="509" t="n"/>
      <c r="C4" s="509" t="n"/>
      <c r="D4" s="509" t="n"/>
      <c r="E4" s="303" t="inlineStr">
        <is>
          <t>Time</t>
        </is>
      </c>
      <c r="F4" s="303" t="inlineStr">
        <is>
          <t>Time</t>
        </is>
      </c>
      <c r="G4" s="303" t="inlineStr">
        <is>
          <t>Time</t>
        </is>
      </c>
      <c r="H4" s="303" t="inlineStr">
        <is>
          <t>Time</t>
        </is>
      </c>
      <c r="I4" s="303" t="inlineStr">
        <is>
          <t>Time</t>
        </is>
      </c>
      <c r="J4" s="303" t="inlineStr">
        <is>
          <t>Time</t>
        </is>
      </c>
      <c r="K4" s="303" t="inlineStr">
        <is>
          <t>Time</t>
        </is>
      </c>
      <c r="L4" s="303" t="inlineStr">
        <is>
          <t>Time</t>
        </is>
      </c>
      <c r="M4" s="303" t="inlineStr">
        <is>
          <t>Time</t>
        </is>
      </c>
      <c r="N4" s="303" t="inlineStr">
        <is>
          <t>Time</t>
        </is>
      </c>
      <c r="O4" s="303" t="inlineStr">
        <is>
          <t>Time</t>
        </is>
      </c>
      <c r="P4" s="303" t="inlineStr">
        <is>
          <t>Time</t>
        </is>
      </c>
      <c r="Q4" s="303" t="inlineStr">
        <is>
          <t>Time</t>
        </is>
      </c>
      <c r="R4" s="303" t="inlineStr">
        <is>
          <t>Time</t>
        </is>
      </c>
      <c r="S4" s="303" t="inlineStr">
        <is>
          <t>Time</t>
        </is>
      </c>
      <c r="T4" s="303" t="inlineStr">
        <is>
          <t>Time</t>
        </is>
      </c>
      <c r="U4" s="303" t="inlineStr">
        <is>
          <t>Time</t>
        </is>
      </c>
      <c r="V4" s="303" t="inlineStr">
        <is>
          <t>Time</t>
        </is>
      </c>
      <c r="W4" s="303" t="inlineStr">
        <is>
          <t>Time</t>
        </is>
      </c>
      <c r="X4" s="303" t="inlineStr">
        <is>
          <t>Time</t>
        </is>
      </c>
      <c r="Y4" s="303" t="inlineStr">
        <is>
          <t>Time</t>
        </is>
      </c>
      <c r="Z4" s="303" t="inlineStr">
        <is>
          <t>Time</t>
        </is>
      </c>
      <c r="AA4" s="303" t="inlineStr">
        <is>
          <t>Time</t>
        </is>
      </c>
      <c r="AB4" s="303" t="inlineStr">
        <is>
          <t>Time</t>
        </is>
      </c>
      <c r="AC4" s="303" t="inlineStr">
        <is>
          <t>Time</t>
        </is>
      </c>
      <c r="AD4" s="303" t="inlineStr">
        <is>
          <t>Time</t>
        </is>
      </c>
      <c r="AE4" s="303" t="inlineStr">
        <is>
          <t>Time</t>
        </is>
      </c>
      <c r="AF4" s="303" t="inlineStr">
        <is>
          <t>Time</t>
        </is>
      </c>
      <c r="AG4" s="303" t="inlineStr">
        <is>
          <t>Time</t>
        </is>
      </c>
      <c r="AH4" s="303" t="inlineStr">
        <is>
          <t>Time</t>
        </is>
      </c>
      <c r="AI4" s="509" t="n"/>
    </row>
    <row r="5">
      <c r="A5" s="510" t="n"/>
      <c r="B5" s="510" t="n"/>
      <c r="C5" s="510" t="n"/>
      <c r="D5" s="510" t="n"/>
      <c r="E5" s="304" t="n">
        <v>0.3333333333333333</v>
      </c>
      <c r="F5" s="304" t="n">
        <v>0.3333333333333333</v>
      </c>
      <c r="G5" s="304" t="n">
        <v>0.3333333333333333</v>
      </c>
      <c r="H5" s="304" t="n">
        <v>0.3333333333333333</v>
      </c>
      <c r="I5" s="304" t="n">
        <v>0.3333333333333333</v>
      </c>
      <c r="J5" s="304" t="n">
        <v>0.3333333333333333</v>
      </c>
      <c r="K5" s="304" t="n">
        <v>0.3333333333333333</v>
      </c>
      <c r="L5" s="304" t="n">
        <v>0.3333333333333333</v>
      </c>
      <c r="M5" s="304" t="n">
        <v>0.3333333333333333</v>
      </c>
      <c r="N5" s="304" t="n">
        <v>0.3333333333333333</v>
      </c>
      <c r="O5" s="304" t="n">
        <v>0.3333333333333333</v>
      </c>
      <c r="P5" s="304" t="n">
        <v>0.3333333333333333</v>
      </c>
      <c r="Q5" s="304" t="n">
        <v>0.3333333333333333</v>
      </c>
      <c r="R5" s="304" t="n">
        <v>0.3333333333333333</v>
      </c>
      <c r="S5" s="304" t="n">
        <v>0.3333333333333333</v>
      </c>
      <c r="T5" s="304" t="n">
        <v>0.3333333333333333</v>
      </c>
      <c r="U5" s="304" t="n">
        <v>0.3333333333333333</v>
      </c>
      <c r="V5" s="304" t="n">
        <v>0.3333333333333333</v>
      </c>
      <c r="W5" s="304" t="n">
        <v>0.3333333333333333</v>
      </c>
      <c r="X5" s="304" t="n">
        <v>0.3333333333333333</v>
      </c>
      <c r="Y5" s="304" t="n">
        <v>0.3333333333333333</v>
      </c>
      <c r="Z5" s="304" t="n">
        <v>0.3333333333333333</v>
      </c>
      <c r="AA5" s="304" t="n">
        <v>0.3333333333333333</v>
      </c>
      <c r="AB5" s="304" t="n">
        <v>0.3333333333333333</v>
      </c>
      <c r="AC5" s="304" t="n">
        <v>0.3333333333333333</v>
      </c>
      <c r="AD5" s="304" t="n">
        <v>0.3333333333333333</v>
      </c>
      <c r="AE5" s="304" t="n">
        <v>0.3333333333333333</v>
      </c>
      <c r="AF5" s="304" t="n">
        <v>0.3333333333333333</v>
      </c>
      <c r="AG5" s="304" t="n">
        <v>0.3333333333333333</v>
      </c>
      <c r="AH5" s="304" t="n">
        <v>0.3333333333333333</v>
      </c>
      <c r="AI5" s="510" t="n"/>
    </row>
    <row r="6">
      <c r="A6" s="305" t="n">
        <v>1</v>
      </c>
      <c r="B6" s="541" t="inlineStr">
        <is>
          <t>3F</t>
        </is>
      </c>
      <c r="C6" s="377" t="inlineStr">
        <is>
          <t>SL No 540430038840 (EB Unit)</t>
        </is>
      </c>
      <c r="D6" s="398" t="n">
        <v>203246</v>
      </c>
      <c r="E6" s="378" t="n">
        <v>203478</v>
      </c>
      <c r="F6" s="378" t="n">
        <v>203736</v>
      </c>
      <c r="G6" s="378" t="n">
        <v>203987</v>
      </c>
      <c r="H6" s="378" t="n">
        <v>204223</v>
      </c>
      <c r="I6" s="378" t="n">
        <v>204466</v>
      </c>
      <c r="J6" s="378" t="n">
        <v>204671</v>
      </c>
      <c r="K6" s="378" t="n">
        <v>204876</v>
      </c>
      <c r="L6" s="378" t="n">
        <v>205060</v>
      </c>
      <c r="M6" s="378" t="n">
        <v>205245</v>
      </c>
      <c r="N6" s="378" t="n">
        <v>205506</v>
      </c>
      <c r="O6" s="378" t="n">
        <v>205765</v>
      </c>
      <c r="P6" s="378" t="n">
        <v>206011</v>
      </c>
      <c r="Q6" s="378" t="n">
        <v>206216</v>
      </c>
      <c r="R6" s="378" t="n">
        <v>206421</v>
      </c>
      <c r="S6" s="378" t="n">
        <v>206679</v>
      </c>
      <c r="T6" s="378" t="n">
        <v>206930</v>
      </c>
      <c r="U6" s="378" t="n">
        <v>207193</v>
      </c>
      <c r="V6" s="378" t="n">
        <v>207440</v>
      </c>
      <c r="W6" s="378" t="n">
        <v>207689</v>
      </c>
      <c r="X6" s="378" t="n">
        <v>207908</v>
      </c>
      <c r="Y6" s="378" t="n">
        <v>208110</v>
      </c>
      <c r="Z6" s="378" t="n">
        <v>208360</v>
      </c>
      <c r="AA6" s="378" t="n">
        <v>208616</v>
      </c>
      <c r="AB6" s="378" t="n">
        <v>208877</v>
      </c>
      <c r="AC6" s="378" t="n">
        <v>209124</v>
      </c>
      <c r="AD6" s="378" t="n">
        <v>209375</v>
      </c>
      <c r="AE6" s="378" t="n">
        <v>209584</v>
      </c>
      <c r="AF6" s="378" t="n">
        <v>209799</v>
      </c>
      <c r="AG6" s="378" t="n">
        <v>210051</v>
      </c>
      <c r="AH6" s="378" t="n">
        <v>210307</v>
      </c>
      <c r="AI6" s="314">
        <f>AH6-D6</f>
        <v/>
      </c>
    </row>
    <row r="7">
      <c r="A7" s="315" t="n"/>
      <c r="B7" s="315" t="n"/>
      <c r="C7" s="325" t="inlineStr">
        <is>
          <t>DG</t>
        </is>
      </c>
      <c r="D7" s="398" t="n">
        <v>4343</v>
      </c>
      <c r="E7" s="305" t="n">
        <v>4343</v>
      </c>
      <c r="F7" s="305" t="n">
        <v>4343</v>
      </c>
      <c r="G7" s="305" t="n">
        <v>4343</v>
      </c>
      <c r="H7" s="305" t="n">
        <v>4343</v>
      </c>
      <c r="I7" s="305" t="n">
        <v>4343</v>
      </c>
      <c r="J7" s="305" t="n">
        <v>4343</v>
      </c>
      <c r="K7" s="305" t="n">
        <v>4343</v>
      </c>
      <c r="L7" s="305" t="n">
        <v>4412</v>
      </c>
      <c r="M7" s="305" t="n">
        <v>4486</v>
      </c>
      <c r="N7" s="305" t="n">
        <v>4486</v>
      </c>
      <c r="O7" s="305" t="n">
        <v>4486</v>
      </c>
      <c r="P7" s="305" t="n">
        <v>4486</v>
      </c>
      <c r="Q7" s="305" t="n">
        <v>4486</v>
      </c>
      <c r="R7" s="318" t="n">
        <v>4486</v>
      </c>
      <c r="S7" s="318" t="n">
        <v>4486</v>
      </c>
      <c r="T7" s="318" t="n">
        <v>4486</v>
      </c>
      <c r="U7" s="318" t="n">
        <v>4486</v>
      </c>
      <c r="V7" s="315" t="n">
        <v>4486</v>
      </c>
      <c r="W7" s="315" t="n">
        <v>4486</v>
      </c>
      <c r="X7" s="315" t="n">
        <v>4486</v>
      </c>
      <c r="Y7" s="315" t="n">
        <v>4486</v>
      </c>
      <c r="Z7" s="315" t="n">
        <v>4486</v>
      </c>
      <c r="AA7" s="315" t="n">
        <v>4486</v>
      </c>
      <c r="AB7" s="315" t="n">
        <v>4486</v>
      </c>
      <c r="AC7" s="315" t="n">
        <v>4486</v>
      </c>
      <c r="AD7" s="315" t="n">
        <v>4486</v>
      </c>
      <c r="AE7" s="315" t="n">
        <v>4486</v>
      </c>
      <c r="AF7" s="315" t="n">
        <v>4486</v>
      </c>
      <c r="AG7" s="315" t="n">
        <v>4486</v>
      </c>
      <c r="AH7" s="315" t="n">
        <v>4486</v>
      </c>
      <c r="AI7" s="314">
        <f>AH7-D7</f>
        <v/>
      </c>
    </row>
    <row r="8">
      <c r="A8" s="541" t="n">
        <v>2</v>
      </c>
      <c r="B8" s="541" t="inlineStr">
        <is>
          <t>3F</t>
        </is>
      </c>
      <c r="C8" s="322" t="inlineStr">
        <is>
          <t>SL No 540430038845 (EB Unit)</t>
        </is>
      </c>
      <c r="D8" s="398" t="n">
        <v>1956</v>
      </c>
      <c r="E8" s="305" t="n">
        <v>1956</v>
      </c>
      <c r="F8" s="305" t="n">
        <v>1956</v>
      </c>
      <c r="G8" s="305" t="n">
        <v>1956</v>
      </c>
      <c r="H8" s="305" t="n">
        <v>1956</v>
      </c>
      <c r="I8" s="305" t="n">
        <v>1956</v>
      </c>
      <c r="J8" s="305" t="n">
        <v>1956</v>
      </c>
      <c r="K8" s="305" t="n">
        <v>1956</v>
      </c>
      <c r="L8" s="305" t="n">
        <v>1956</v>
      </c>
      <c r="M8" s="305" t="n">
        <v>1956</v>
      </c>
      <c r="N8" s="305" t="n">
        <v>1956</v>
      </c>
      <c r="O8" s="305" t="n">
        <v>1956</v>
      </c>
      <c r="P8" s="305" t="n">
        <v>1956</v>
      </c>
      <c r="Q8" s="305" t="n">
        <v>1956</v>
      </c>
      <c r="R8" s="541" t="n">
        <v>1956</v>
      </c>
      <c r="S8" s="541" t="n">
        <v>1956</v>
      </c>
      <c r="T8" s="541" t="n">
        <v>1956</v>
      </c>
      <c r="U8" s="541" t="n">
        <v>1956</v>
      </c>
      <c r="V8" s="541" t="n">
        <v>1956</v>
      </c>
      <c r="W8" s="541" t="n">
        <v>1956</v>
      </c>
      <c r="X8" s="541" t="n">
        <v>1956</v>
      </c>
      <c r="Y8" s="541" t="n">
        <v>1956</v>
      </c>
      <c r="Z8" s="541" t="n">
        <v>1956</v>
      </c>
      <c r="AA8" s="541" t="n">
        <v>1956</v>
      </c>
      <c r="AB8" s="541" t="n">
        <v>1956</v>
      </c>
      <c r="AC8" s="541" t="n">
        <v>1956</v>
      </c>
      <c r="AD8" s="541" t="n">
        <v>1956</v>
      </c>
      <c r="AE8" s="541" t="n">
        <v>1956</v>
      </c>
      <c r="AF8" s="541" t="n">
        <v>1956</v>
      </c>
      <c r="AG8" s="541" t="n">
        <v>1956</v>
      </c>
      <c r="AH8" s="541" t="n">
        <v>1956</v>
      </c>
      <c r="AI8" s="314">
        <f>AH8-D8</f>
        <v/>
      </c>
    </row>
    <row r="9">
      <c r="A9" s="541" t="n"/>
      <c r="B9" s="541" t="n"/>
      <c r="C9" s="325" t="inlineStr">
        <is>
          <t>DG</t>
        </is>
      </c>
      <c r="D9" s="398" t="n">
        <v>28.6</v>
      </c>
      <c r="E9" s="305" t="n">
        <v>28.6</v>
      </c>
      <c r="F9" s="305" t="n">
        <v>28.6</v>
      </c>
      <c r="G9" s="305" t="n">
        <v>28.6</v>
      </c>
      <c r="H9" s="305" t="n">
        <v>28.6</v>
      </c>
      <c r="I9" s="305" t="n">
        <v>28.6</v>
      </c>
      <c r="J9" s="305" t="n">
        <v>28.6</v>
      </c>
      <c r="K9" s="305" t="n">
        <v>28.6</v>
      </c>
      <c r="L9" s="305" t="n">
        <v>28.6</v>
      </c>
      <c r="M9" s="305" t="n">
        <v>28.6</v>
      </c>
      <c r="N9" s="305" t="n">
        <v>28.6</v>
      </c>
      <c r="O9" s="305" t="n">
        <v>28.6</v>
      </c>
      <c r="P9" s="305" t="n">
        <v>28.6</v>
      </c>
      <c r="Q9" s="305" t="n">
        <v>28.6</v>
      </c>
      <c r="R9" s="309" t="n">
        <v>28.6</v>
      </c>
      <c r="S9" s="309" t="n">
        <v>28.6</v>
      </c>
      <c r="T9" s="309" t="n">
        <v>28.6</v>
      </c>
      <c r="U9" s="309" t="n">
        <v>28.6</v>
      </c>
      <c r="V9" s="309" t="n">
        <v>28.6</v>
      </c>
      <c r="W9" s="309" t="n">
        <v>28.6</v>
      </c>
      <c r="X9" s="541" t="n">
        <v>28.6</v>
      </c>
      <c r="Y9" s="541" t="n">
        <v>28.6</v>
      </c>
      <c r="Z9" s="541" t="n">
        <v>28.6</v>
      </c>
      <c r="AA9" s="541" t="n">
        <v>28.6</v>
      </c>
      <c r="AB9" s="541" t="n">
        <v>28.6</v>
      </c>
      <c r="AC9" s="541" t="n">
        <v>28.6</v>
      </c>
      <c r="AD9" s="541" t="n">
        <v>28.6</v>
      </c>
      <c r="AE9" s="541" t="n">
        <v>28.6</v>
      </c>
      <c r="AF9" s="541" t="n">
        <v>28.6</v>
      </c>
      <c r="AG9" s="541" t="n">
        <v>28.6</v>
      </c>
      <c r="AH9" s="541" t="n">
        <v>28.6</v>
      </c>
      <c r="AI9" s="314">
        <f>AH9-D9</f>
        <v/>
      </c>
    </row>
    <row r="10">
      <c r="A10" s="541" t="n">
        <v>3</v>
      </c>
      <c r="B10" s="541" t="inlineStr">
        <is>
          <t>3F</t>
        </is>
      </c>
      <c r="C10" s="322" t="inlineStr">
        <is>
          <t>SL No 540430038844 (EB Unit)</t>
        </is>
      </c>
      <c r="D10" s="398" t="n">
        <v>293912</v>
      </c>
      <c r="E10" s="330" t="n">
        <v>294244</v>
      </c>
      <c r="F10" s="331" t="n">
        <v>294613</v>
      </c>
      <c r="G10" s="331" t="n">
        <v>294973</v>
      </c>
      <c r="H10" s="331" t="n">
        <v>295313</v>
      </c>
      <c r="I10" s="331" t="n">
        <v>295654</v>
      </c>
      <c r="J10" s="541" t="n">
        <v>295928</v>
      </c>
      <c r="K10" s="541" t="n">
        <v>296200</v>
      </c>
      <c r="L10" s="541" t="n">
        <v>296455</v>
      </c>
      <c r="M10" s="541" t="n">
        <v>296712</v>
      </c>
      <c r="N10" s="541" t="n">
        <v>297095</v>
      </c>
      <c r="O10" s="541" t="n">
        <v>297467</v>
      </c>
      <c r="P10" s="541" t="n">
        <v>297817</v>
      </c>
      <c r="Q10" s="541" t="n">
        <v>298090</v>
      </c>
      <c r="R10" s="541" t="n">
        <v>298360</v>
      </c>
      <c r="S10" s="541" t="n">
        <v>298731</v>
      </c>
      <c r="T10" s="541" t="n">
        <v>299094</v>
      </c>
      <c r="U10" s="541" t="n">
        <v>299475</v>
      </c>
      <c r="V10" s="541" t="n">
        <v>299832</v>
      </c>
      <c r="W10" s="541" t="n">
        <v>300190</v>
      </c>
      <c r="X10" s="541" t="n">
        <v>300482</v>
      </c>
      <c r="Y10" s="541" t="n">
        <v>300746</v>
      </c>
      <c r="Z10" s="541" t="n">
        <v>301109</v>
      </c>
      <c r="AA10" s="309" t="n">
        <v>301477</v>
      </c>
      <c r="AB10" s="315" t="n">
        <v>301858</v>
      </c>
      <c r="AC10" s="315" t="n">
        <v>302214</v>
      </c>
      <c r="AD10" s="315" t="n">
        <v>302574</v>
      </c>
      <c r="AE10" s="318" t="n">
        <v>302855</v>
      </c>
      <c r="AF10" s="318" t="n">
        <v>303142</v>
      </c>
      <c r="AG10" s="390" t="n">
        <v>303503</v>
      </c>
      <c r="AH10" s="390" t="n">
        <v>303867</v>
      </c>
      <c r="AI10" s="314">
        <f>AH10-D10</f>
        <v/>
      </c>
    </row>
    <row r="11">
      <c r="A11" s="541" t="n"/>
      <c r="B11" s="541" t="n"/>
      <c r="C11" s="325" t="inlineStr">
        <is>
          <t>DG</t>
        </is>
      </c>
      <c r="D11" s="398" t="n">
        <v>6492</v>
      </c>
      <c r="E11" s="305" t="n">
        <v>6492</v>
      </c>
      <c r="F11" s="305" t="n">
        <v>6492</v>
      </c>
      <c r="G11" s="305" t="n">
        <v>6492</v>
      </c>
      <c r="H11" s="305" t="n">
        <v>6492</v>
      </c>
      <c r="I11" s="305" t="n">
        <v>6492</v>
      </c>
      <c r="J11" s="305" t="n">
        <v>6492</v>
      </c>
      <c r="K11" s="305" t="n">
        <v>6492</v>
      </c>
      <c r="L11" s="305" t="n">
        <v>6599</v>
      </c>
      <c r="M11" s="305" t="n">
        <v>6713</v>
      </c>
      <c r="N11" s="305" t="n">
        <v>6713</v>
      </c>
      <c r="O11" s="305" t="n">
        <v>6713</v>
      </c>
      <c r="P11" s="305" t="n">
        <v>6713</v>
      </c>
      <c r="Q11" s="305" t="n">
        <v>6713</v>
      </c>
      <c r="R11" s="309" t="n">
        <v>6713</v>
      </c>
      <c r="S11" s="309" t="n">
        <v>6713</v>
      </c>
      <c r="T11" s="309" t="n">
        <v>6713</v>
      </c>
      <c r="U11" s="309" t="n">
        <v>6713</v>
      </c>
      <c r="V11" s="541" t="n">
        <v>6713</v>
      </c>
      <c r="W11" s="541" t="n">
        <v>6713</v>
      </c>
      <c r="X11" s="541" t="n">
        <v>6713</v>
      </c>
      <c r="Y11" s="541" t="n">
        <v>6713</v>
      </c>
      <c r="Z11" s="541" t="n">
        <v>6713</v>
      </c>
      <c r="AA11" s="541" t="n">
        <v>6713</v>
      </c>
      <c r="AB11" s="541" t="n">
        <v>6713</v>
      </c>
      <c r="AC11" s="541" t="n">
        <v>6713</v>
      </c>
      <c r="AD11" s="541" t="n">
        <v>6713</v>
      </c>
      <c r="AE11" s="541" t="n">
        <v>6713</v>
      </c>
      <c r="AF11" s="541" t="n">
        <v>6713</v>
      </c>
      <c r="AG11" s="541" t="n">
        <v>6713</v>
      </c>
      <c r="AH11" s="541" t="n">
        <v>6713</v>
      </c>
      <c r="AI11" s="314">
        <f>AH11-D11</f>
        <v/>
      </c>
    </row>
    <row r="12">
      <c r="A12" s="541" t="n">
        <v>4</v>
      </c>
      <c r="B12" s="541" t="inlineStr">
        <is>
          <t>3F</t>
        </is>
      </c>
      <c r="C12" s="322" t="inlineStr">
        <is>
          <t>SL No 540430038821 (EB Unit)</t>
        </is>
      </c>
      <c r="D12" s="398" t="n">
        <v>0</v>
      </c>
      <c r="E12" s="305" t="n">
        <v>0</v>
      </c>
      <c r="F12" s="305" t="n">
        <v>0</v>
      </c>
      <c r="G12" s="305" t="n">
        <v>0</v>
      </c>
      <c r="H12" s="305" t="n">
        <v>0</v>
      </c>
      <c r="I12" s="305" t="n">
        <v>0</v>
      </c>
      <c r="J12" s="305" t="n">
        <v>0</v>
      </c>
      <c r="K12" s="305" t="n">
        <v>0</v>
      </c>
      <c r="L12" s="305" t="n">
        <v>0</v>
      </c>
      <c r="M12" s="305" t="n">
        <v>0</v>
      </c>
      <c r="N12" s="305" t="n">
        <v>0</v>
      </c>
      <c r="O12" s="305" t="n">
        <v>0</v>
      </c>
      <c r="P12" s="305" t="n">
        <v>0</v>
      </c>
      <c r="Q12" s="305" t="n">
        <v>0</v>
      </c>
      <c r="R12" s="541" t="n">
        <v>0</v>
      </c>
      <c r="S12" s="541" t="n">
        <v>0</v>
      </c>
      <c r="T12" s="541" t="n">
        <v>0</v>
      </c>
      <c r="U12" s="541" t="n">
        <v>0</v>
      </c>
      <c r="V12" s="541" t="n">
        <v>0</v>
      </c>
      <c r="W12" s="541" t="n">
        <v>0</v>
      </c>
      <c r="X12" s="541" t="n">
        <v>0</v>
      </c>
      <c r="Y12" s="541" t="n">
        <v>0</v>
      </c>
      <c r="Z12" s="541" t="n">
        <v>0</v>
      </c>
      <c r="AA12" s="541" t="n">
        <v>0</v>
      </c>
      <c r="AB12" s="541" t="n">
        <v>0</v>
      </c>
      <c r="AC12" s="541" t="n">
        <v>0</v>
      </c>
      <c r="AD12" s="541" t="n">
        <v>0</v>
      </c>
      <c r="AE12" s="541" t="n">
        <v>0</v>
      </c>
      <c r="AF12" s="541" t="n">
        <v>0</v>
      </c>
      <c r="AG12" s="541" t="n">
        <v>0</v>
      </c>
      <c r="AH12" s="541" t="n">
        <v>0</v>
      </c>
      <c r="AI12" s="314">
        <f>AH12-D12</f>
        <v/>
      </c>
    </row>
    <row r="13">
      <c r="A13" s="541" t="n"/>
      <c r="B13" s="541" t="n"/>
      <c r="C13" s="325" t="inlineStr">
        <is>
          <t>DG</t>
        </is>
      </c>
      <c r="D13" s="398" t="n">
        <v>0</v>
      </c>
      <c r="E13" s="305" t="n">
        <v>0</v>
      </c>
      <c r="F13" s="305" t="n">
        <v>0</v>
      </c>
      <c r="G13" s="305" t="n">
        <v>0</v>
      </c>
      <c r="H13" s="305" t="n">
        <v>0</v>
      </c>
      <c r="I13" s="305" t="n">
        <v>0</v>
      </c>
      <c r="J13" s="305" t="n">
        <v>0</v>
      </c>
      <c r="K13" s="305" t="n">
        <v>0</v>
      </c>
      <c r="L13" s="305" t="n">
        <v>0</v>
      </c>
      <c r="M13" s="305" t="n">
        <v>0</v>
      </c>
      <c r="N13" s="305" t="n">
        <v>0</v>
      </c>
      <c r="O13" s="305" t="n">
        <v>0</v>
      </c>
      <c r="P13" s="305" t="n">
        <v>0</v>
      </c>
      <c r="Q13" s="305" t="n">
        <v>0</v>
      </c>
      <c r="R13" s="541" t="n">
        <v>0</v>
      </c>
      <c r="S13" s="541" t="n">
        <v>0</v>
      </c>
      <c r="T13" s="541" t="n">
        <v>0</v>
      </c>
      <c r="U13" s="541" t="n">
        <v>0</v>
      </c>
      <c r="V13" s="541" t="n">
        <v>0</v>
      </c>
      <c r="W13" s="541" t="n">
        <v>0</v>
      </c>
      <c r="X13" s="541" t="n">
        <v>0</v>
      </c>
      <c r="Y13" s="541" t="n">
        <v>0</v>
      </c>
      <c r="Z13" s="541" t="n">
        <v>0</v>
      </c>
      <c r="AA13" s="541" t="n">
        <v>0</v>
      </c>
      <c r="AB13" s="541" t="n">
        <v>0</v>
      </c>
      <c r="AC13" s="541" t="n">
        <v>0</v>
      </c>
      <c r="AD13" s="541" t="n">
        <v>0</v>
      </c>
      <c r="AE13" s="541" t="n">
        <v>0</v>
      </c>
      <c r="AF13" s="541" t="n">
        <v>0</v>
      </c>
      <c r="AG13" s="541" t="n">
        <v>0</v>
      </c>
      <c r="AH13" s="541" t="n">
        <v>0</v>
      </c>
      <c r="AI13" s="314">
        <f>AH13-D13</f>
        <v/>
      </c>
    </row>
    <row r="14">
      <c r="A14" s="541" t="n">
        <v>5</v>
      </c>
      <c r="B14" s="541" t="inlineStr">
        <is>
          <t>3F</t>
        </is>
      </c>
      <c r="C14" s="322" t="inlineStr">
        <is>
          <t>SL No 540430038849 (EB Unit)</t>
        </is>
      </c>
      <c r="D14" s="398" t="n">
        <v>155368</v>
      </c>
      <c r="E14" s="335" t="n">
        <v>155561</v>
      </c>
      <c r="F14" s="315" t="n">
        <v>155767</v>
      </c>
      <c r="G14" s="315" t="n">
        <v>155872</v>
      </c>
      <c r="H14" s="315" t="n">
        <v>156167</v>
      </c>
      <c r="I14" s="315" t="n">
        <v>156360</v>
      </c>
      <c r="J14" s="541" t="n">
        <v>156506</v>
      </c>
      <c r="K14" s="541" t="n">
        <v>156633</v>
      </c>
      <c r="L14" s="541" t="n">
        <v>156776</v>
      </c>
      <c r="M14" s="541" t="n">
        <v>156919</v>
      </c>
      <c r="N14" s="541" t="n">
        <v>157131</v>
      </c>
      <c r="O14" s="541" t="n">
        <v>157342</v>
      </c>
      <c r="P14" s="541" t="n">
        <v>157537</v>
      </c>
      <c r="Q14" s="541" t="n">
        <v>157667</v>
      </c>
      <c r="R14" s="541" t="n">
        <v>157783</v>
      </c>
      <c r="S14" s="541" t="n">
        <v>157992</v>
      </c>
      <c r="T14" s="541" t="n">
        <v>158186</v>
      </c>
      <c r="U14" s="328" t="n">
        <v>158409</v>
      </c>
      <c r="V14" s="541" t="n">
        <v>158598</v>
      </c>
      <c r="W14" s="541" t="n">
        <v>158790</v>
      </c>
      <c r="X14" s="541" t="n">
        <v>158938</v>
      </c>
      <c r="Y14" s="541" t="n">
        <v>159067</v>
      </c>
      <c r="Z14" s="541" t="n">
        <v>159278</v>
      </c>
      <c r="AA14" s="309" t="n">
        <v>159493</v>
      </c>
      <c r="AB14" s="328" t="n">
        <v>159710</v>
      </c>
      <c r="AC14" s="328" t="n">
        <v>159915</v>
      </c>
      <c r="AD14" s="328" t="n">
        <v>160116</v>
      </c>
      <c r="AE14" s="551" t="n">
        <v>160267</v>
      </c>
      <c r="AF14" s="551" t="n">
        <v>160407</v>
      </c>
      <c r="AG14" s="390" t="n">
        <v>160623</v>
      </c>
      <c r="AH14" s="390" t="n">
        <v>160838</v>
      </c>
      <c r="AI14" s="314">
        <f>AH14-D14</f>
        <v/>
      </c>
    </row>
    <row r="15">
      <c r="A15" s="541" t="n"/>
      <c r="B15" s="541" t="n"/>
      <c r="C15" s="325" t="inlineStr">
        <is>
          <t>DG</t>
        </is>
      </c>
      <c r="D15" s="398" t="n">
        <v>3327</v>
      </c>
      <c r="E15" s="330" t="n">
        <v>3327</v>
      </c>
      <c r="F15" s="330" t="n">
        <v>3327</v>
      </c>
      <c r="G15" s="330" t="n">
        <v>3327</v>
      </c>
      <c r="H15" s="330" t="n">
        <v>3327</v>
      </c>
      <c r="I15" s="330" t="n">
        <v>3327</v>
      </c>
      <c r="J15" s="330" t="n">
        <v>3327</v>
      </c>
      <c r="K15" s="330" t="n">
        <v>3327</v>
      </c>
      <c r="L15" s="330" t="n">
        <v>3390</v>
      </c>
      <c r="M15" s="330" t="n">
        <v>3459</v>
      </c>
      <c r="N15" s="330" t="n">
        <v>3459</v>
      </c>
      <c r="O15" s="330" t="n">
        <v>3459</v>
      </c>
      <c r="P15" s="330" t="n">
        <v>3459</v>
      </c>
      <c r="Q15" s="330" t="n">
        <v>3459</v>
      </c>
      <c r="R15" s="330" t="n">
        <v>3459</v>
      </c>
      <c r="S15" s="330" t="n">
        <v>3459</v>
      </c>
      <c r="T15" s="330" t="n">
        <v>3459</v>
      </c>
      <c r="U15" s="330" t="n">
        <v>3459</v>
      </c>
      <c r="V15" s="331" t="n">
        <v>3459</v>
      </c>
      <c r="W15" s="331" t="n">
        <v>3459</v>
      </c>
      <c r="X15" s="331" t="n">
        <v>3459</v>
      </c>
      <c r="Y15" s="331" t="n">
        <v>3459</v>
      </c>
      <c r="Z15" s="331" t="n">
        <v>3459</v>
      </c>
      <c r="AA15" s="331" t="n">
        <v>3459</v>
      </c>
      <c r="AB15" s="331" t="n">
        <v>3459</v>
      </c>
      <c r="AC15" s="331" t="n">
        <v>3459</v>
      </c>
      <c r="AD15" s="331" t="n">
        <v>3459</v>
      </c>
      <c r="AE15" s="331" t="n">
        <v>3459</v>
      </c>
      <c r="AF15" s="331" t="n">
        <v>3459</v>
      </c>
      <c r="AG15" s="331" t="n">
        <v>3459</v>
      </c>
      <c r="AH15" s="331" t="n">
        <v>3459</v>
      </c>
      <c r="AI15" s="314">
        <f>AH15-D15</f>
        <v/>
      </c>
    </row>
    <row r="16">
      <c r="A16" s="541" t="n">
        <v>6</v>
      </c>
      <c r="B16" s="541" t="inlineStr">
        <is>
          <t>3F</t>
        </is>
      </c>
      <c r="C16" s="322" t="inlineStr">
        <is>
          <t>SL No 540430038646 (EB Unit)</t>
        </is>
      </c>
      <c r="D16" s="398" t="n">
        <v>173457</v>
      </c>
      <c r="E16" s="332" t="n">
        <v>173696</v>
      </c>
      <c r="F16" s="309" t="n">
        <v>173957</v>
      </c>
      <c r="G16" s="305" t="n">
        <v>174206</v>
      </c>
      <c r="H16" s="311" t="n">
        <v>174453</v>
      </c>
      <c r="I16" s="541" t="n">
        <v>174694</v>
      </c>
      <c r="J16" s="541" t="n">
        <v>174828</v>
      </c>
      <c r="K16" s="309" t="n">
        <v>174919</v>
      </c>
      <c r="L16" s="333" t="n">
        <v>175108</v>
      </c>
      <c r="M16" s="310" t="n">
        <v>175282</v>
      </c>
      <c r="N16" s="310" t="n">
        <v>175559</v>
      </c>
      <c r="O16" s="310" t="n">
        <v>175812</v>
      </c>
      <c r="P16" s="310" t="n">
        <v>176061</v>
      </c>
      <c r="Q16" s="334" t="n">
        <v>176168</v>
      </c>
      <c r="R16" s="310" t="n">
        <v>176268</v>
      </c>
      <c r="S16" s="311" t="n">
        <v>176513</v>
      </c>
      <c r="T16" s="541" t="n">
        <v>176754</v>
      </c>
      <c r="U16" s="541" t="n">
        <v>177006</v>
      </c>
      <c r="V16" s="541" t="n">
        <v>177266</v>
      </c>
      <c r="W16" s="541" t="n">
        <v>177498</v>
      </c>
      <c r="X16" s="541" t="n">
        <v>177632</v>
      </c>
      <c r="Y16" s="541" t="n">
        <v>177722</v>
      </c>
      <c r="Z16" s="541" t="n">
        <v>177962</v>
      </c>
      <c r="AA16" s="309" t="n">
        <v>178221</v>
      </c>
      <c r="AB16" s="309" t="n">
        <v>178506</v>
      </c>
      <c r="AC16" s="305" t="n">
        <v>178761</v>
      </c>
      <c r="AD16" s="305" t="n">
        <v>179023</v>
      </c>
      <c r="AE16" s="313" t="n">
        <v>179166</v>
      </c>
      <c r="AF16" s="313" t="n">
        <v>179314</v>
      </c>
      <c r="AG16" s="390" t="n">
        <v>179563</v>
      </c>
      <c r="AH16" s="390" t="n">
        <v>179845</v>
      </c>
      <c r="AI16" s="314">
        <f>AH16-D16</f>
        <v/>
      </c>
    </row>
    <row r="17">
      <c r="A17" s="541" t="n"/>
      <c r="B17" s="541" t="n"/>
      <c r="C17" s="325" t="inlineStr">
        <is>
          <t>DG</t>
        </is>
      </c>
      <c r="D17" s="398" t="n">
        <v>4311</v>
      </c>
      <c r="E17" s="335" t="n">
        <v>4311</v>
      </c>
      <c r="F17" s="335" t="n">
        <v>4311</v>
      </c>
      <c r="G17" s="335" t="n">
        <v>4311</v>
      </c>
      <c r="H17" s="335" t="n">
        <v>4311</v>
      </c>
      <c r="I17" s="335" t="n">
        <v>4311</v>
      </c>
      <c r="J17" s="335" t="n">
        <v>4311</v>
      </c>
      <c r="K17" s="335" t="n">
        <v>4311</v>
      </c>
      <c r="L17" s="335" t="n">
        <v>4395</v>
      </c>
      <c r="M17" s="335" t="n">
        <v>4490</v>
      </c>
      <c r="N17" s="335" t="n">
        <v>4490</v>
      </c>
      <c r="O17" s="335" t="n">
        <v>4490</v>
      </c>
      <c r="P17" s="335" t="n">
        <v>4490</v>
      </c>
      <c r="Q17" s="335" t="n">
        <v>4490</v>
      </c>
      <c r="R17" s="335" t="n">
        <v>4490</v>
      </c>
      <c r="S17" s="335" t="n">
        <v>4490</v>
      </c>
      <c r="T17" s="335" t="n">
        <v>4490</v>
      </c>
      <c r="U17" s="335" t="n">
        <v>4490</v>
      </c>
      <c r="V17" s="335" t="n">
        <v>4490</v>
      </c>
      <c r="W17" s="335" t="n">
        <v>4490</v>
      </c>
      <c r="X17" s="335" t="n">
        <v>4490</v>
      </c>
      <c r="Y17" s="335" t="n">
        <v>4490</v>
      </c>
      <c r="Z17" s="335" t="n">
        <v>4490</v>
      </c>
      <c r="AA17" s="335" t="n">
        <v>4490</v>
      </c>
      <c r="AB17" s="335" t="n">
        <v>4490</v>
      </c>
      <c r="AC17" s="335" t="n">
        <v>4490</v>
      </c>
      <c r="AD17" s="335" t="n">
        <v>4490</v>
      </c>
      <c r="AE17" s="335" t="n">
        <v>4490</v>
      </c>
      <c r="AF17" s="335" t="n">
        <v>4490</v>
      </c>
      <c r="AG17" s="335" t="n">
        <v>4490</v>
      </c>
      <c r="AH17" s="335" t="n">
        <v>4490</v>
      </c>
      <c r="AI17" s="314">
        <f>AH17-D17</f>
        <v/>
      </c>
    </row>
    <row r="18">
      <c r="A18" s="541" t="n">
        <v>7</v>
      </c>
      <c r="B18" s="541" t="inlineStr">
        <is>
          <t>3F</t>
        </is>
      </c>
      <c r="C18" s="322" t="inlineStr">
        <is>
          <t>SL No 540430038843 (EB Unit)</t>
        </is>
      </c>
      <c r="D18" s="398" t="n">
        <v>565472</v>
      </c>
      <c r="E18" s="311" t="n">
        <v>566108</v>
      </c>
      <c r="F18" s="541" t="n">
        <v>566781</v>
      </c>
      <c r="G18" s="541" t="n">
        <v>567438</v>
      </c>
      <c r="H18" s="541" t="n">
        <v>568082</v>
      </c>
      <c r="I18" s="541" t="n">
        <v>568742</v>
      </c>
      <c r="J18" s="541" t="n">
        <v>569192</v>
      </c>
      <c r="K18" s="541" t="n">
        <v>569499</v>
      </c>
      <c r="L18" s="541" t="n">
        <v>569499</v>
      </c>
      <c r="M18" s="541" t="n">
        <v>569989</v>
      </c>
      <c r="N18" s="336" t="n">
        <v>570454</v>
      </c>
      <c r="O18" s="541" t="n">
        <v>571141</v>
      </c>
      <c r="P18" s="541" t="n">
        <v>571814</v>
      </c>
      <c r="Q18" s="541" t="n">
        <v>572447</v>
      </c>
      <c r="R18" s="315" t="n">
        <v>572820</v>
      </c>
      <c r="S18" s="336" t="n">
        <v>573100</v>
      </c>
      <c r="T18" s="541" t="n">
        <v>573823</v>
      </c>
      <c r="U18" s="541" t="n">
        <v>574514</v>
      </c>
      <c r="V18" s="541" t="n">
        <v>575218</v>
      </c>
      <c r="W18" s="541" t="n">
        <v>575872</v>
      </c>
      <c r="X18" s="328" t="n">
        <v>575638</v>
      </c>
      <c r="Y18" s="541" t="n">
        <v>577093</v>
      </c>
      <c r="Z18" s="541" t="n">
        <v>578071</v>
      </c>
      <c r="AA18" s="309" t="n">
        <v>578778</v>
      </c>
      <c r="AB18" s="305" t="n">
        <v>579457</v>
      </c>
      <c r="AC18" s="337" t="n">
        <v>580131</v>
      </c>
      <c r="AD18" s="315" t="n">
        <v>580812</v>
      </c>
      <c r="AE18" s="318" t="n">
        <v>581259</v>
      </c>
      <c r="AF18" s="318" t="n">
        <v>581611</v>
      </c>
      <c r="AG18" s="390" t="n">
        <v>582306</v>
      </c>
      <c r="AH18" s="390" t="n">
        <v>582999</v>
      </c>
      <c r="AI18" s="314">
        <f>AH18-D18</f>
        <v/>
      </c>
    </row>
    <row r="19">
      <c r="A19" s="541" t="n"/>
      <c r="B19" s="541" t="n"/>
      <c r="C19" s="325" t="inlineStr">
        <is>
          <t>DG</t>
        </is>
      </c>
      <c r="D19" s="398" t="n">
        <v>11782</v>
      </c>
      <c r="E19" s="311" t="n">
        <v>11782</v>
      </c>
      <c r="F19" s="311" t="n">
        <v>11782</v>
      </c>
      <c r="G19" s="311" t="n">
        <v>11782</v>
      </c>
      <c r="H19" s="311" t="n">
        <v>11782</v>
      </c>
      <c r="I19" s="311" t="n">
        <v>11782</v>
      </c>
      <c r="J19" s="311" t="n">
        <v>11782</v>
      </c>
      <c r="K19" s="311" t="n">
        <v>11782</v>
      </c>
      <c r="L19" s="311" t="n">
        <v>11986</v>
      </c>
      <c r="M19" s="541" t="n">
        <v>12192</v>
      </c>
      <c r="N19" s="541" t="n">
        <v>12192</v>
      </c>
      <c r="O19" s="541" t="n">
        <v>12192</v>
      </c>
      <c r="P19" s="541" t="n">
        <v>12192</v>
      </c>
      <c r="Q19" s="541" t="n">
        <v>12192</v>
      </c>
      <c r="R19" s="541" t="n">
        <v>12192</v>
      </c>
      <c r="S19" s="541" t="n">
        <v>12192</v>
      </c>
      <c r="T19" s="541" t="n">
        <v>12192</v>
      </c>
      <c r="U19" s="541" t="n">
        <v>12192</v>
      </c>
      <c r="V19" s="541" t="n">
        <v>12192</v>
      </c>
      <c r="W19" s="541" t="n">
        <v>12192</v>
      </c>
      <c r="X19" s="541" t="n">
        <v>12192</v>
      </c>
      <c r="Y19" s="541" t="n">
        <v>12192</v>
      </c>
      <c r="Z19" s="541" t="n">
        <v>12192</v>
      </c>
      <c r="AA19" s="541" t="n">
        <v>12192</v>
      </c>
      <c r="AB19" s="541" t="n">
        <v>12192</v>
      </c>
      <c r="AC19" s="541" t="n">
        <v>12192</v>
      </c>
      <c r="AD19" s="541" t="n">
        <v>12192</v>
      </c>
      <c r="AE19" s="541" t="n">
        <v>12192</v>
      </c>
      <c r="AF19" s="541" t="n">
        <v>12192</v>
      </c>
      <c r="AG19" s="541" t="n">
        <v>12192</v>
      </c>
      <c r="AH19" s="541" t="n">
        <v>12192</v>
      </c>
      <c r="AI19" s="314">
        <f>AH19-D19</f>
        <v/>
      </c>
    </row>
    <row r="20">
      <c r="A20" s="541" t="n">
        <v>8</v>
      </c>
      <c r="B20" s="541" t="inlineStr">
        <is>
          <t>3F</t>
        </is>
      </c>
      <c r="C20" s="322" t="inlineStr">
        <is>
          <t>SL No 540430038848 (EB Unit)</t>
        </is>
      </c>
      <c r="D20" s="398" t="n">
        <v>109469</v>
      </c>
      <c r="E20" s="311" t="n">
        <v>109597</v>
      </c>
      <c r="F20" s="541" t="n">
        <v>109740</v>
      </c>
      <c r="G20" s="541" t="n">
        <v>109888</v>
      </c>
      <c r="H20" s="541" t="n">
        <v>110021</v>
      </c>
      <c r="I20" s="541" t="n">
        <v>110165</v>
      </c>
      <c r="J20" s="541" t="n">
        <v>110298</v>
      </c>
      <c r="K20" s="541" t="n">
        <v>110432</v>
      </c>
      <c r="L20" s="541" t="n">
        <v>110540</v>
      </c>
      <c r="M20" s="541" t="n">
        <v>110659</v>
      </c>
      <c r="N20" s="541" t="n">
        <v>110814</v>
      </c>
      <c r="O20" s="541" t="n">
        <v>110968</v>
      </c>
      <c r="P20" s="541" t="n">
        <v>111094</v>
      </c>
      <c r="Q20" s="541" t="n">
        <v>111205</v>
      </c>
      <c r="R20" s="541" t="n">
        <v>111324</v>
      </c>
      <c r="S20" s="541" t="n">
        <v>111467</v>
      </c>
      <c r="T20" s="541" t="n">
        <v>111594</v>
      </c>
      <c r="U20" s="541" t="n">
        <v>111740</v>
      </c>
      <c r="V20" s="541" t="n">
        <v>111864</v>
      </c>
      <c r="W20" s="541" t="n">
        <v>112011</v>
      </c>
      <c r="X20" s="541" t="n">
        <v>112152</v>
      </c>
      <c r="Y20" s="541" t="n">
        <v>112282</v>
      </c>
      <c r="Z20" s="541" t="n">
        <v>112430</v>
      </c>
      <c r="AA20" s="315" t="n">
        <v>112565</v>
      </c>
      <c r="AB20" s="315" t="n">
        <v>112683</v>
      </c>
      <c r="AC20" s="315" t="n">
        <v>112809</v>
      </c>
      <c r="AD20" s="315" t="n">
        <v>112921</v>
      </c>
      <c r="AE20" s="318" t="n">
        <v>113039</v>
      </c>
      <c r="AF20" s="318" t="n">
        <v>113159</v>
      </c>
      <c r="AG20" s="390" t="n">
        <v>113338</v>
      </c>
      <c r="AH20" s="390" t="n">
        <v>113483</v>
      </c>
      <c r="AI20" s="314">
        <f>AH20-D20</f>
        <v/>
      </c>
    </row>
    <row r="21">
      <c r="A21" s="541" t="n"/>
      <c r="B21" s="541" t="n"/>
      <c r="C21" s="325" t="inlineStr">
        <is>
          <t>DG</t>
        </is>
      </c>
      <c r="D21" s="398" t="n">
        <v>2240</v>
      </c>
      <c r="E21" s="311" t="n">
        <v>2240</v>
      </c>
      <c r="F21" s="311" t="n">
        <v>2240</v>
      </c>
      <c r="G21" s="311" t="n">
        <v>2240</v>
      </c>
      <c r="H21" s="311" t="n">
        <v>2240</v>
      </c>
      <c r="I21" s="311" t="n">
        <v>2240</v>
      </c>
      <c r="J21" s="311" t="n">
        <v>2240</v>
      </c>
      <c r="K21" s="311" t="n">
        <v>2240</v>
      </c>
      <c r="L21" s="311" t="n">
        <v>2289</v>
      </c>
      <c r="M21" s="541" t="n">
        <v>2332</v>
      </c>
      <c r="N21" s="541" t="n">
        <v>2332</v>
      </c>
      <c r="O21" s="541" t="n">
        <v>2332</v>
      </c>
      <c r="P21" s="541" t="n">
        <v>2332</v>
      </c>
      <c r="Q21" s="541" t="n">
        <v>2332</v>
      </c>
      <c r="R21" s="541" t="n">
        <v>2332</v>
      </c>
      <c r="S21" s="541" t="n">
        <v>2332</v>
      </c>
      <c r="T21" s="541" t="n">
        <v>2332</v>
      </c>
      <c r="U21" s="541" t="n">
        <v>2332</v>
      </c>
      <c r="V21" s="541" t="n">
        <v>2332</v>
      </c>
      <c r="W21" s="541" t="n">
        <v>2332</v>
      </c>
      <c r="X21" s="541" t="n">
        <v>2332</v>
      </c>
      <c r="Y21" s="541" t="n">
        <v>2332</v>
      </c>
      <c r="Z21" s="541" t="n">
        <v>2332</v>
      </c>
      <c r="AA21" s="541" t="n">
        <v>2332</v>
      </c>
      <c r="AB21" s="541" t="n">
        <v>2332</v>
      </c>
      <c r="AC21" s="541" t="n">
        <v>2332</v>
      </c>
      <c r="AD21" s="541" t="n">
        <v>2332</v>
      </c>
      <c r="AE21" s="541" t="n">
        <v>2332</v>
      </c>
      <c r="AF21" s="541" t="n">
        <v>2332</v>
      </c>
      <c r="AG21" s="541" t="n">
        <v>2332</v>
      </c>
      <c r="AH21" s="541" t="n">
        <v>2332</v>
      </c>
      <c r="AI21" s="314">
        <f>AH21-D21</f>
        <v/>
      </c>
    </row>
    <row r="22">
      <c r="A22" s="551" t="n"/>
    </row>
    <row r="23">
      <c r="A23" s="541" t="n">
        <v>1</v>
      </c>
      <c r="B23" s="541" t="inlineStr">
        <is>
          <t>3F</t>
        </is>
      </c>
      <c r="C23" s="322" t="inlineStr">
        <is>
          <t>AHU1</t>
        </is>
      </c>
      <c r="D23" s="398" t="n">
        <v>60602</v>
      </c>
      <c r="E23" s="311" t="n">
        <v>60700</v>
      </c>
      <c r="F23" s="541" t="n">
        <v>60805</v>
      </c>
      <c r="G23" s="541" t="n">
        <v>60893</v>
      </c>
      <c r="H23" s="541" t="n">
        <v>60975</v>
      </c>
      <c r="I23" s="541" t="n">
        <v>61058</v>
      </c>
      <c r="J23" s="541" t="n">
        <v>61109</v>
      </c>
      <c r="K23" s="541" t="n">
        <v>61109</v>
      </c>
      <c r="L23" s="541" t="n">
        <v>61168</v>
      </c>
      <c r="M23" s="541" t="n">
        <v>61206</v>
      </c>
      <c r="N23" s="541" t="n">
        <v>61279</v>
      </c>
      <c r="O23" s="541" t="n">
        <v>61346</v>
      </c>
      <c r="P23" s="541" t="n">
        <v>61402</v>
      </c>
      <c r="Q23" s="541" t="n">
        <v>61420</v>
      </c>
      <c r="R23" s="541" t="n">
        <v>61420</v>
      </c>
      <c r="S23" s="541" t="n">
        <v>61489</v>
      </c>
      <c r="T23" s="541" t="n">
        <v>61545</v>
      </c>
      <c r="U23" s="541" t="n">
        <v>61612</v>
      </c>
      <c r="V23" s="541" t="n">
        <v>61672</v>
      </c>
      <c r="W23" s="541" t="n">
        <v>61730</v>
      </c>
      <c r="X23" s="541" t="n">
        <v>61763</v>
      </c>
      <c r="Y23" s="541" t="n">
        <v>61763</v>
      </c>
      <c r="Z23" s="541" t="n">
        <v>61840</v>
      </c>
      <c r="AA23" s="541" t="n">
        <v>61911</v>
      </c>
      <c r="AB23" s="541" t="n">
        <v>61990</v>
      </c>
      <c r="AC23" s="541" t="n">
        <v>62075</v>
      </c>
      <c r="AD23" s="309" t="n">
        <v>62160</v>
      </c>
      <c r="AE23" s="305" t="n">
        <v>62196</v>
      </c>
      <c r="AF23" s="305" t="n">
        <v>62196</v>
      </c>
      <c r="AG23" s="305" t="n">
        <v>62310</v>
      </c>
      <c r="AH23" s="305" t="n">
        <v>62404</v>
      </c>
      <c r="AI23" s="384">
        <f>AH23-D23</f>
        <v/>
      </c>
    </row>
    <row r="24">
      <c r="A24" s="541" t="n"/>
      <c r="B24" s="541" t="n"/>
      <c r="C24" s="338" t="inlineStr">
        <is>
          <t>DG</t>
        </is>
      </c>
      <c r="D24" s="398" t="n">
        <v>1992</v>
      </c>
      <c r="E24" s="541" t="n">
        <v>1922</v>
      </c>
      <c r="F24" s="541" t="n">
        <v>1922</v>
      </c>
      <c r="G24" s="541" t="n">
        <v>1929</v>
      </c>
      <c r="H24" s="541" t="n">
        <v>1929</v>
      </c>
      <c r="I24" s="541" t="n">
        <v>1929</v>
      </c>
      <c r="J24" s="541" t="n">
        <v>1929</v>
      </c>
      <c r="K24" s="541" t="n">
        <v>1929</v>
      </c>
      <c r="L24" s="541" t="n">
        <v>1972</v>
      </c>
      <c r="M24" s="541" t="n">
        <v>2004</v>
      </c>
      <c r="N24" s="541" t="n">
        <v>2004</v>
      </c>
      <c r="O24" s="541" t="n">
        <v>2004</v>
      </c>
      <c r="P24" s="541" t="n">
        <v>2004</v>
      </c>
      <c r="Q24" s="541" t="n">
        <v>2004</v>
      </c>
      <c r="R24" s="541" t="n">
        <v>2004</v>
      </c>
      <c r="S24" s="541" t="n">
        <v>2004</v>
      </c>
      <c r="T24" s="541" t="n">
        <v>2004</v>
      </c>
      <c r="U24" s="541" t="n">
        <v>2004</v>
      </c>
      <c r="V24" s="541" t="n">
        <v>2004</v>
      </c>
      <c r="W24" s="541" t="n">
        <v>2004</v>
      </c>
      <c r="X24" s="541" t="n">
        <v>2004</v>
      </c>
      <c r="Y24" s="328" t="n">
        <v>2004</v>
      </c>
      <c r="Z24" s="328" t="n">
        <v>2004</v>
      </c>
      <c r="AA24" s="328" t="n">
        <v>2004</v>
      </c>
      <c r="AB24" s="328" t="n">
        <v>2004</v>
      </c>
      <c r="AC24" s="328" t="n">
        <v>2004</v>
      </c>
      <c r="AD24" s="328" t="n">
        <v>2004</v>
      </c>
      <c r="AE24" s="328" t="n">
        <v>2004</v>
      </c>
      <c r="AF24" s="328" t="n">
        <v>2004</v>
      </c>
      <c r="AG24" s="328" t="n">
        <v>2004</v>
      </c>
      <c r="AH24" s="305" t="n">
        <v>2004</v>
      </c>
      <c r="AI24" s="384">
        <f>AH24-D24</f>
        <v/>
      </c>
    </row>
    <row r="25">
      <c r="A25" s="541" t="n">
        <v>2</v>
      </c>
      <c r="B25" s="541" t="inlineStr">
        <is>
          <t>3F</t>
        </is>
      </c>
      <c r="C25" s="319" t="inlineStr">
        <is>
          <t>AHU2</t>
        </is>
      </c>
      <c r="D25" s="398" t="n">
        <v>62620</v>
      </c>
      <c r="E25" s="541" t="n">
        <v>62701</v>
      </c>
      <c r="F25" s="541" t="n">
        <v>62779</v>
      </c>
      <c r="G25" s="541" t="n">
        <v>62853</v>
      </c>
      <c r="H25" s="541" t="n">
        <v>62926</v>
      </c>
      <c r="I25" s="541" t="n">
        <v>63001</v>
      </c>
      <c r="J25" s="541" t="n">
        <v>63042</v>
      </c>
      <c r="K25" s="541" t="n">
        <v>63042</v>
      </c>
      <c r="L25" s="541" t="n">
        <v>63090</v>
      </c>
      <c r="M25" s="541" t="n">
        <v>63139</v>
      </c>
      <c r="N25" s="541" t="n">
        <v>63220</v>
      </c>
      <c r="O25" s="541" t="n">
        <v>63291</v>
      </c>
      <c r="P25" s="541" t="n">
        <v>63367</v>
      </c>
      <c r="Q25" s="541" t="n">
        <v>63388</v>
      </c>
      <c r="R25" s="541" t="n">
        <v>63388</v>
      </c>
      <c r="S25" s="541" t="n">
        <v>63474</v>
      </c>
      <c r="T25" s="541" t="n">
        <v>63548</v>
      </c>
      <c r="U25" s="541" t="n">
        <v>63622</v>
      </c>
      <c r="V25" s="541" t="n">
        <v>63691</v>
      </c>
      <c r="W25" s="541" t="n">
        <v>63767</v>
      </c>
      <c r="X25" s="541" t="n">
        <v>63805</v>
      </c>
      <c r="Y25" s="541" t="n">
        <v>63805</v>
      </c>
      <c r="Z25" s="541" t="n">
        <v>63887</v>
      </c>
      <c r="AA25" s="541" t="n">
        <v>63973</v>
      </c>
      <c r="AB25" s="541" t="n">
        <v>64066</v>
      </c>
      <c r="AC25" s="541" t="n">
        <v>64171</v>
      </c>
      <c r="AD25" s="309" t="n">
        <v>64246</v>
      </c>
      <c r="AE25" s="305" t="n">
        <v>64284</v>
      </c>
      <c r="AF25" s="305" t="n">
        <v>64284</v>
      </c>
      <c r="AG25" s="390" t="n">
        <v>64388</v>
      </c>
      <c r="AH25" s="390" t="n">
        <v>64476</v>
      </c>
      <c r="AI25" s="384">
        <f>AH25-D25</f>
        <v/>
      </c>
    </row>
    <row r="26">
      <c r="A26" s="541" t="n"/>
      <c r="B26" s="541" t="n"/>
      <c r="C26" s="338" t="inlineStr">
        <is>
          <t>DG</t>
        </is>
      </c>
      <c r="D26" s="398" t="n">
        <v>1945</v>
      </c>
      <c r="E26" s="541" t="n">
        <v>1945</v>
      </c>
      <c r="F26" s="541" t="n">
        <v>1945</v>
      </c>
      <c r="G26" s="541" t="n">
        <v>1945</v>
      </c>
      <c r="H26" s="541" t="n">
        <v>1945</v>
      </c>
      <c r="I26" s="541" t="n">
        <v>1945</v>
      </c>
      <c r="J26" s="541" t="n">
        <v>1945</v>
      </c>
      <c r="K26" s="541" t="n">
        <v>1945</v>
      </c>
      <c r="L26" s="541" t="n">
        <v>1978</v>
      </c>
      <c r="M26" s="541" t="n">
        <v>2013</v>
      </c>
      <c r="N26" s="541" t="n">
        <v>2013</v>
      </c>
      <c r="O26" s="541" t="n">
        <v>2013</v>
      </c>
      <c r="P26" s="541" t="n">
        <v>2013</v>
      </c>
      <c r="Q26" s="541" t="n">
        <v>2013</v>
      </c>
      <c r="R26" s="541" t="n">
        <v>2013</v>
      </c>
      <c r="S26" s="541" t="n">
        <v>2013</v>
      </c>
      <c r="T26" s="541" t="n">
        <v>2013</v>
      </c>
      <c r="U26" s="541" t="n">
        <v>2013</v>
      </c>
      <c r="V26" s="541" t="n">
        <v>2013</v>
      </c>
      <c r="W26" s="541" t="n">
        <v>2013</v>
      </c>
      <c r="X26" s="541" t="n">
        <v>2013</v>
      </c>
      <c r="Y26" s="541" t="n">
        <v>2013</v>
      </c>
      <c r="Z26" s="541" t="n">
        <v>2013</v>
      </c>
      <c r="AA26" s="541" t="n">
        <v>2013</v>
      </c>
      <c r="AB26" s="541" t="n">
        <v>2013</v>
      </c>
      <c r="AC26" s="541" t="n">
        <v>2013</v>
      </c>
      <c r="AD26" s="541" t="n">
        <v>2013</v>
      </c>
      <c r="AE26" s="541" t="n">
        <v>2013</v>
      </c>
      <c r="AF26" s="541" t="n">
        <v>2013</v>
      </c>
      <c r="AG26" s="541" t="n">
        <v>2013</v>
      </c>
      <c r="AH26" s="309" t="n">
        <v>2013</v>
      </c>
      <c r="AI26" s="384">
        <f>AH26-D26</f>
        <v/>
      </c>
    </row>
    <row r="27">
      <c r="A27" s="541" t="n">
        <v>3</v>
      </c>
      <c r="B27" s="541" t="inlineStr">
        <is>
          <t>3F</t>
        </is>
      </c>
      <c r="C27" s="319" t="inlineStr">
        <is>
          <t>AHU3</t>
        </is>
      </c>
      <c r="D27" s="398" t="n">
        <v>75704</v>
      </c>
      <c r="E27" s="541" t="n">
        <v>75802</v>
      </c>
      <c r="F27" s="541" t="n">
        <v>75907</v>
      </c>
      <c r="G27" s="541" t="n">
        <v>75991</v>
      </c>
      <c r="H27" s="541" t="n">
        <v>76075</v>
      </c>
      <c r="I27" s="541" t="n">
        <v>76152</v>
      </c>
      <c r="J27" s="541" t="n">
        <v>76206</v>
      </c>
      <c r="K27" s="541" t="n">
        <v>76206</v>
      </c>
      <c r="L27" s="541" t="n">
        <v>76262</v>
      </c>
      <c r="M27" s="541" t="n">
        <v>76319</v>
      </c>
      <c r="N27" s="541" t="n">
        <v>76420</v>
      </c>
      <c r="O27" s="541" t="n">
        <v>76515</v>
      </c>
      <c r="P27" s="541" t="n">
        <v>76608</v>
      </c>
      <c r="Q27" s="541" t="n">
        <v>76659</v>
      </c>
      <c r="R27" s="541" t="n">
        <v>76659</v>
      </c>
      <c r="S27" s="541" t="n">
        <v>76754</v>
      </c>
      <c r="T27" s="541" t="n">
        <v>76833</v>
      </c>
      <c r="U27" s="541" t="n">
        <v>76913</v>
      </c>
      <c r="V27" s="541" t="n">
        <v>76997</v>
      </c>
      <c r="W27" s="541" t="n">
        <v>77075</v>
      </c>
      <c r="X27" s="541" t="n">
        <v>77120</v>
      </c>
      <c r="Y27" s="541" t="n">
        <v>77120</v>
      </c>
      <c r="Z27" s="541" t="n">
        <v>77219</v>
      </c>
      <c r="AA27" s="541" t="n">
        <v>77330</v>
      </c>
      <c r="AB27" s="541" t="n">
        <v>77424</v>
      </c>
      <c r="AC27" s="541" t="n">
        <v>77523</v>
      </c>
      <c r="AD27" s="309" t="n">
        <v>77622</v>
      </c>
      <c r="AE27" s="305" t="n">
        <v>77671</v>
      </c>
      <c r="AF27" s="324" t="n">
        <v>77671</v>
      </c>
      <c r="AG27" s="390" t="n">
        <v>77797</v>
      </c>
      <c r="AH27" s="390" t="n">
        <v>77898</v>
      </c>
      <c r="AI27" s="384">
        <f>AH27-D27</f>
        <v/>
      </c>
    </row>
    <row r="28">
      <c r="A28" s="541" t="n"/>
      <c r="B28" s="541" t="n"/>
      <c r="C28" s="338" t="inlineStr">
        <is>
          <t>DG</t>
        </is>
      </c>
      <c r="D28" s="398" t="n">
        <v>2075</v>
      </c>
      <c r="E28" s="541" t="n">
        <v>2075</v>
      </c>
      <c r="F28" s="541" t="n">
        <v>2075</v>
      </c>
      <c r="G28" s="541" t="n">
        <v>2075</v>
      </c>
      <c r="H28" s="541" t="n">
        <v>2075</v>
      </c>
      <c r="I28" s="541" t="n">
        <v>2075</v>
      </c>
      <c r="J28" s="541" t="n">
        <v>2075</v>
      </c>
      <c r="K28" s="541" t="n">
        <v>2075</v>
      </c>
      <c r="L28" s="541" t="n">
        <v>2121</v>
      </c>
      <c r="M28" s="541" t="n">
        <v>2166</v>
      </c>
      <c r="N28" s="541" t="n">
        <v>2166</v>
      </c>
      <c r="O28" s="541" t="n">
        <v>2166</v>
      </c>
      <c r="P28" s="541" t="n">
        <v>2166</v>
      </c>
      <c r="Q28" s="541" t="n">
        <v>2166</v>
      </c>
      <c r="R28" s="541" t="n">
        <v>2166</v>
      </c>
      <c r="S28" s="541" t="n">
        <v>2166</v>
      </c>
      <c r="T28" s="541" t="n">
        <v>2166</v>
      </c>
      <c r="U28" s="541" t="n">
        <v>2166</v>
      </c>
      <c r="V28" s="541" t="n">
        <v>2166</v>
      </c>
      <c r="W28" s="541" t="n">
        <v>2166</v>
      </c>
      <c r="X28" s="541" t="n">
        <v>2166</v>
      </c>
      <c r="Y28" s="541" t="n">
        <v>2166</v>
      </c>
      <c r="Z28" s="541" t="n">
        <v>2166</v>
      </c>
      <c r="AA28" s="541" t="n">
        <v>2166</v>
      </c>
      <c r="AB28" s="541" t="n">
        <v>2166</v>
      </c>
      <c r="AC28" s="541" t="n">
        <v>2166</v>
      </c>
      <c r="AD28" s="541" t="n">
        <v>2166</v>
      </c>
      <c r="AE28" s="541" t="n">
        <v>2166</v>
      </c>
      <c r="AF28" s="541" t="n">
        <v>2166</v>
      </c>
      <c r="AG28" s="331" t="n">
        <v>2166</v>
      </c>
      <c r="AH28" s="541" t="n">
        <v>2166</v>
      </c>
      <c r="AI28" s="384">
        <f>AH28-D28</f>
        <v/>
      </c>
    </row>
    <row r="29">
      <c r="A29" s="541" t="n">
        <v>4</v>
      </c>
      <c r="B29" s="541" t="inlineStr">
        <is>
          <t>3F</t>
        </is>
      </c>
      <c r="C29" s="319" t="inlineStr">
        <is>
          <t>AHU4</t>
        </is>
      </c>
      <c r="D29" s="398" t="n">
        <v>51063</v>
      </c>
      <c r="E29" s="541" t="n">
        <v>51141</v>
      </c>
      <c r="F29" s="541" t="n">
        <v>51216</v>
      </c>
      <c r="G29" s="541" t="n">
        <v>51290</v>
      </c>
      <c r="H29" s="541" t="n">
        <v>51353</v>
      </c>
      <c r="I29" s="541" t="n">
        <v>51417</v>
      </c>
      <c r="J29" s="541" t="n">
        <v>51436</v>
      </c>
      <c r="K29" s="541" t="n">
        <v>51436</v>
      </c>
      <c r="L29" s="541" t="n">
        <v>51489</v>
      </c>
      <c r="M29" s="541" t="n">
        <v>51544</v>
      </c>
      <c r="N29" s="541" t="n">
        <v>51633</v>
      </c>
      <c r="O29" s="541" t="n">
        <v>51719</v>
      </c>
      <c r="P29" s="541" t="n">
        <v>51802</v>
      </c>
      <c r="Q29" s="541" t="n">
        <v>51804</v>
      </c>
      <c r="R29" s="541" t="n">
        <v>51804</v>
      </c>
      <c r="S29" s="541" t="n">
        <v>51886</v>
      </c>
      <c r="T29" s="541" t="n">
        <v>51960</v>
      </c>
      <c r="U29" s="541" t="n">
        <v>52033</v>
      </c>
      <c r="V29" s="541" t="n">
        <v>52108</v>
      </c>
      <c r="W29" s="541" t="n">
        <v>52176</v>
      </c>
      <c r="X29" s="541" t="n">
        <v>52217</v>
      </c>
      <c r="Y29" s="541" t="n">
        <v>52217</v>
      </c>
      <c r="Z29" s="541" t="n">
        <v>52303</v>
      </c>
      <c r="AA29" s="541" t="n">
        <v>52392</v>
      </c>
      <c r="AB29" s="541" t="n">
        <v>52467</v>
      </c>
      <c r="AC29" s="541" t="n">
        <v>52545</v>
      </c>
      <c r="AD29" s="541" t="n">
        <v>52618</v>
      </c>
      <c r="AE29" s="318" t="n">
        <v>52663</v>
      </c>
      <c r="AF29" s="318" t="n">
        <v>52663</v>
      </c>
      <c r="AG29" s="305" t="n">
        <v>52782</v>
      </c>
      <c r="AH29" s="400" t="n">
        <v>52893</v>
      </c>
      <c r="AI29" s="384">
        <f>AH29-D29</f>
        <v/>
      </c>
    </row>
    <row r="30">
      <c r="A30" s="541" t="n"/>
      <c r="B30" s="541" t="n"/>
      <c r="C30" s="338" t="inlineStr">
        <is>
          <t>DG</t>
        </is>
      </c>
      <c r="D30" s="398" t="n">
        <v>1793</v>
      </c>
      <c r="E30" s="541" t="n">
        <v>1793</v>
      </c>
      <c r="F30" s="541" t="n">
        <v>1793</v>
      </c>
      <c r="G30" s="541" t="n">
        <v>1793</v>
      </c>
      <c r="H30" s="541" t="n">
        <v>1793</v>
      </c>
      <c r="I30" s="541" t="n">
        <v>1793</v>
      </c>
      <c r="J30" s="541" t="n">
        <v>1793</v>
      </c>
      <c r="K30" s="541" t="n">
        <v>1793</v>
      </c>
      <c r="L30" s="541" t="n">
        <v>1844</v>
      </c>
      <c r="M30" s="541" t="n">
        <v>1884</v>
      </c>
      <c r="N30" s="541" t="n">
        <v>1884</v>
      </c>
      <c r="O30" s="541" t="n">
        <v>1884</v>
      </c>
      <c r="P30" s="541" t="n">
        <v>1884</v>
      </c>
      <c r="Q30" s="541" t="n">
        <v>1884</v>
      </c>
      <c r="R30" s="541" t="n">
        <v>1884</v>
      </c>
      <c r="S30" s="541" t="n">
        <v>1884</v>
      </c>
      <c r="T30" s="541" t="n">
        <v>1884</v>
      </c>
      <c r="U30" s="541" t="n">
        <v>1884</v>
      </c>
      <c r="V30" s="541" t="n">
        <v>1884</v>
      </c>
      <c r="W30" s="541" t="n">
        <v>1884</v>
      </c>
      <c r="X30" s="541" t="n">
        <v>1884</v>
      </c>
      <c r="Y30" s="541" t="n">
        <v>1884</v>
      </c>
      <c r="Z30" s="541" t="n">
        <v>1884</v>
      </c>
      <c r="AA30" s="541" t="n">
        <v>1884</v>
      </c>
      <c r="AB30" s="541" t="n">
        <v>1884</v>
      </c>
      <c r="AC30" s="541" t="n">
        <v>1884</v>
      </c>
      <c r="AD30" s="541" t="n">
        <v>1884</v>
      </c>
      <c r="AE30" s="541" t="n">
        <v>1884</v>
      </c>
      <c r="AF30" s="541" t="n">
        <v>1884</v>
      </c>
      <c r="AG30" s="315" t="n">
        <v>1884</v>
      </c>
      <c r="AH30" s="541" t="n">
        <v>1884</v>
      </c>
      <c r="AI30" s="384">
        <f>AH30-D30</f>
        <v/>
      </c>
    </row>
    <row r="31">
      <c r="A31" s="551" t="inlineStr">
        <is>
          <t>.</t>
        </is>
      </c>
    </row>
    <row r="32">
      <c r="A32" s="541" t="n">
        <v>1</v>
      </c>
      <c r="B32" s="541" t="inlineStr">
        <is>
          <t>3F</t>
        </is>
      </c>
      <c r="C32" s="319" t="inlineStr">
        <is>
          <t>AHU1 - BTU</t>
        </is>
      </c>
      <c r="D32" s="398" t="n">
        <v>436512</v>
      </c>
      <c r="E32" s="382" t="n">
        <v>437036</v>
      </c>
      <c r="F32" s="383" t="n">
        <v>437505</v>
      </c>
      <c r="G32" s="383" t="n">
        <v>437972</v>
      </c>
      <c r="H32" s="383" t="n">
        <v>438400</v>
      </c>
      <c r="I32" s="383" t="n">
        <v>438774</v>
      </c>
      <c r="J32" s="383" t="n">
        <v>438930</v>
      </c>
      <c r="K32" s="383" t="n">
        <v>438930</v>
      </c>
      <c r="L32" s="383" t="n">
        <v>439432</v>
      </c>
      <c r="M32" s="382" t="n">
        <v>439996</v>
      </c>
      <c r="N32" s="383" t="n">
        <v>440530</v>
      </c>
      <c r="O32" s="383" t="n">
        <v>441100</v>
      </c>
      <c r="P32" s="383" t="n">
        <v>441493</v>
      </c>
      <c r="Q32" s="382" t="n">
        <v>441642</v>
      </c>
      <c r="R32" s="383" t="n">
        <v>441642</v>
      </c>
      <c r="S32" s="383" t="n">
        <v>442135</v>
      </c>
      <c r="T32" s="383" t="n">
        <v>442586</v>
      </c>
      <c r="U32" s="382" t="n">
        <v>443090</v>
      </c>
      <c r="V32" s="383" t="n">
        <v>443495</v>
      </c>
      <c r="W32" s="383" t="n">
        <v>443908</v>
      </c>
      <c r="X32" s="383" t="n">
        <v>444122</v>
      </c>
      <c r="Y32" s="382" t="n">
        <v>444122</v>
      </c>
      <c r="Z32" s="383" t="n">
        <v>444658</v>
      </c>
      <c r="AA32" s="383" t="n">
        <v>445174</v>
      </c>
      <c r="AB32" s="383" t="n">
        <v>445659</v>
      </c>
      <c r="AC32" s="383" t="n">
        <v>446257</v>
      </c>
      <c r="AD32" s="382" t="n">
        <v>446737</v>
      </c>
      <c r="AE32" s="383" t="n">
        <v>447059</v>
      </c>
      <c r="AF32" s="383" t="n">
        <v>447059</v>
      </c>
      <c r="AG32" s="383" t="n">
        <v>447656</v>
      </c>
      <c r="AH32" s="383" t="n">
        <v>448252</v>
      </c>
      <c r="AI32" s="384">
        <f>AH32-D32</f>
        <v/>
      </c>
    </row>
    <row r="33">
      <c r="A33" s="541" t="n">
        <v>2</v>
      </c>
      <c r="B33" s="541" t="inlineStr">
        <is>
          <t>3F</t>
        </is>
      </c>
      <c r="C33" s="319" t="inlineStr">
        <is>
          <t>AHU2 - BTU</t>
        </is>
      </c>
      <c r="D33" s="398" t="n">
        <v>410185</v>
      </c>
      <c r="E33" s="383" t="n">
        <v>410652</v>
      </c>
      <c r="F33" s="383" t="n">
        <v>411116</v>
      </c>
      <c r="G33" s="383" t="n">
        <v>411652</v>
      </c>
      <c r="H33" s="383" t="n">
        <v>411997</v>
      </c>
      <c r="I33" s="383" t="n">
        <v>412469</v>
      </c>
      <c r="J33" s="383" t="n">
        <v>412713</v>
      </c>
      <c r="K33" s="383" t="n">
        <v>412713</v>
      </c>
      <c r="L33" s="383" t="n">
        <v>413193</v>
      </c>
      <c r="M33" s="383" t="n">
        <v>413707</v>
      </c>
      <c r="N33" s="383" t="n">
        <v>414175</v>
      </c>
      <c r="O33" s="383" t="n">
        <v>414708</v>
      </c>
      <c r="P33" s="383" t="n">
        <v>415135</v>
      </c>
      <c r="Q33" s="383" t="n">
        <v>415332</v>
      </c>
      <c r="R33" s="383" t="n">
        <v>415332</v>
      </c>
      <c r="S33" s="383" t="n">
        <v>415824</v>
      </c>
      <c r="T33" s="383" t="n">
        <v>416263</v>
      </c>
      <c r="U33" s="383" t="n">
        <v>416766</v>
      </c>
      <c r="V33" s="383" t="n">
        <v>417208</v>
      </c>
      <c r="W33" s="383" t="n">
        <v>417664</v>
      </c>
      <c r="X33" s="383" t="n">
        <v>417933</v>
      </c>
      <c r="Y33" s="383" t="n">
        <v>417933</v>
      </c>
      <c r="Z33" s="383" t="n">
        <v>418442</v>
      </c>
      <c r="AA33" s="383" t="n">
        <v>448890</v>
      </c>
      <c r="AB33" s="383" t="n">
        <v>419367</v>
      </c>
      <c r="AC33" s="383" t="n">
        <v>419910</v>
      </c>
      <c r="AD33" s="383" t="n">
        <v>420368</v>
      </c>
      <c r="AE33" s="383" t="n">
        <v>420611</v>
      </c>
      <c r="AF33" s="383" t="n">
        <v>420611</v>
      </c>
      <c r="AG33" s="383" t="n">
        <v>421191</v>
      </c>
      <c r="AH33" s="383" t="n">
        <v>421761</v>
      </c>
      <c r="AI33" s="384">
        <f>AH33-D33</f>
        <v/>
      </c>
    </row>
    <row r="34">
      <c r="A34" s="541" t="n">
        <v>3</v>
      </c>
      <c r="B34" s="541" t="inlineStr">
        <is>
          <t>3F</t>
        </is>
      </c>
      <c r="C34" s="319" t="inlineStr">
        <is>
          <t>AHU3 - BTU</t>
        </is>
      </c>
      <c r="D34" s="398" t="n">
        <v>444498</v>
      </c>
      <c r="E34" s="383" t="n">
        <v>445220</v>
      </c>
      <c r="F34" s="383" t="n">
        <v>445724</v>
      </c>
      <c r="G34" s="383" t="n">
        <v>446303</v>
      </c>
      <c r="H34" s="383" t="n">
        <v>446812</v>
      </c>
      <c r="I34" s="383" t="n">
        <v>447291</v>
      </c>
      <c r="J34" s="383" t="n">
        <v>447578</v>
      </c>
      <c r="K34" s="383" t="n">
        <v>447578</v>
      </c>
      <c r="L34" s="383" t="n">
        <v>448286</v>
      </c>
      <c r="M34" s="383" t="n">
        <v>448952</v>
      </c>
      <c r="N34" s="383" t="n">
        <v>449387</v>
      </c>
      <c r="O34" s="383" t="n">
        <v>450006</v>
      </c>
      <c r="P34" s="383" t="n">
        <v>450377</v>
      </c>
      <c r="Q34" s="383" t="n">
        <v>450684</v>
      </c>
      <c r="R34" s="383" t="n">
        <v>450684</v>
      </c>
      <c r="S34" s="383" t="n">
        <v>451371</v>
      </c>
      <c r="T34" s="383" t="n">
        <v>451805</v>
      </c>
      <c r="U34" s="383" t="n">
        <v>452224</v>
      </c>
      <c r="V34" s="383" t="n">
        <v>452645</v>
      </c>
      <c r="W34" s="383" t="n">
        <v>453039</v>
      </c>
      <c r="X34" s="383" t="n">
        <v>453324</v>
      </c>
      <c r="Y34" s="383" t="n">
        <v>453324</v>
      </c>
      <c r="Z34" s="383" t="n">
        <v>453978</v>
      </c>
      <c r="AA34" s="383" t="n">
        <v>454566</v>
      </c>
      <c r="AB34" s="383" t="n">
        <v>455079</v>
      </c>
      <c r="AC34" s="433" t="n">
        <v>455675</v>
      </c>
      <c r="AD34" s="383" t="n">
        <v>456327</v>
      </c>
      <c r="AE34" s="383" t="n">
        <v>456734</v>
      </c>
      <c r="AF34" s="383" t="n">
        <v>456734</v>
      </c>
      <c r="AG34" s="383" t="n">
        <v>457569</v>
      </c>
      <c r="AH34" s="383" t="n">
        <v>458458</v>
      </c>
      <c r="AI34" s="384">
        <f>AH34-D34</f>
        <v/>
      </c>
    </row>
    <row r="35">
      <c r="A35" s="541" t="n">
        <v>4</v>
      </c>
      <c r="B35" s="541" t="inlineStr">
        <is>
          <t>3F</t>
        </is>
      </c>
      <c r="C35" s="319" t="inlineStr">
        <is>
          <t>AHU4 - BTU</t>
        </is>
      </c>
      <c r="D35" s="398" t="n">
        <v>489616</v>
      </c>
      <c r="E35" s="379" t="n">
        <v>490429</v>
      </c>
      <c r="F35" s="379" t="n">
        <v>491240</v>
      </c>
      <c r="G35" s="379" t="n">
        <v>492012</v>
      </c>
      <c r="H35" s="379" t="n">
        <v>492777</v>
      </c>
      <c r="I35" s="379" t="n">
        <v>493455</v>
      </c>
      <c r="J35" s="379" t="n">
        <v>493710</v>
      </c>
      <c r="K35" s="379" t="n">
        <v>493710</v>
      </c>
      <c r="L35" s="379" t="n">
        <v>494532</v>
      </c>
      <c r="M35" s="379" t="n">
        <v>495500</v>
      </c>
      <c r="N35" s="379" t="n">
        <v>496239</v>
      </c>
      <c r="O35" s="379" t="n">
        <v>497238</v>
      </c>
      <c r="P35" s="380" t="n">
        <v>498008</v>
      </c>
      <c r="Q35" s="379" t="n">
        <v>498190</v>
      </c>
      <c r="R35" s="379" t="n">
        <v>498190</v>
      </c>
      <c r="S35" s="379" t="n">
        <v>499113</v>
      </c>
      <c r="T35" s="379" t="n">
        <v>499861</v>
      </c>
      <c r="U35" s="379" t="n">
        <v>500719</v>
      </c>
      <c r="V35" s="379" t="n">
        <v>501571</v>
      </c>
      <c r="W35" s="379" t="n">
        <v>502320</v>
      </c>
      <c r="X35" s="379" t="n">
        <v>502682</v>
      </c>
      <c r="Y35" s="379" t="n">
        <v>502682</v>
      </c>
      <c r="Z35" s="379" t="n">
        <v>503553</v>
      </c>
      <c r="AA35" s="379" t="n">
        <v>504389</v>
      </c>
      <c r="AB35" s="379" t="n">
        <v>505322</v>
      </c>
      <c r="AC35" s="383" t="n">
        <v>506094</v>
      </c>
      <c r="AD35" s="379" t="n">
        <v>506963</v>
      </c>
      <c r="AE35" s="381" t="n">
        <v>507414</v>
      </c>
      <c r="AF35" s="381" t="n">
        <v>507414</v>
      </c>
      <c r="AG35" s="381" t="n">
        <v>508346</v>
      </c>
      <c r="AH35" s="383" t="n">
        <v>509335</v>
      </c>
      <c r="AI35" s="384">
        <f>AH35-D35</f>
        <v/>
      </c>
    </row>
    <row r="36">
      <c r="A36" s="559" t="n"/>
    </row>
    <row r="37"/>
    <row r="38">
      <c r="A38" s="350" t="n"/>
      <c r="B38" s="555" t="inlineStr">
        <is>
          <t xml:space="preserve"> Daily Energy Report</t>
        </is>
      </c>
      <c r="C38" s="520" t="n"/>
      <c r="D38" s="501" t="n"/>
      <c r="E38" s="350" t="n"/>
      <c r="F38" s="350" t="n"/>
      <c r="G38" s="350" t="n"/>
      <c r="H38" s="350" t="n"/>
      <c r="I38" s="350" t="n"/>
      <c r="J38" s="350" t="n"/>
      <c r="K38" s="350" t="n"/>
      <c r="L38" s="350" t="n"/>
      <c r="M38" s="350" t="n"/>
      <c r="N38" s="350" t="n"/>
      <c r="O38" s="350" t="n"/>
      <c r="P38" s="350" t="n"/>
      <c r="Q38" s="350" t="n"/>
      <c r="R38" s="350" t="n"/>
      <c r="S38" s="350" t="n"/>
      <c r="T38" s="350" t="n"/>
      <c r="U38" s="350" t="n"/>
      <c r="V38" s="350" t="n"/>
      <c r="W38" s="350" t="n"/>
      <c r="X38" s="350" t="n"/>
      <c r="Y38" s="350" t="n"/>
      <c r="Z38" s="350" t="n"/>
      <c r="AA38" s="350" t="n"/>
      <c r="AB38" s="350" t="n"/>
      <c r="AC38" s="350" t="n"/>
      <c r="AD38" s="350" t="n"/>
      <c r="AE38" s="350" t="n"/>
      <c r="AF38" s="350" t="n"/>
      <c r="AG38" s="350" t="n"/>
      <c r="AH38" s="350" t="n"/>
    </row>
    <row r="39">
      <c r="A39" s="351" t="n"/>
      <c r="B39" s="560" t="inlineStr">
        <is>
          <t>Electricity Consumption</t>
        </is>
      </c>
      <c r="C39" s="520" t="n"/>
      <c r="D39" s="501" t="n"/>
      <c r="E39" s="351" t="n"/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</row>
    <row r="40">
      <c r="A40" s="542" t="inlineStr">
        <is>
          <t>Sr.No</t>
        </is>
      </c>
      <c r="B40" s="542" t="inlineStr">
        <is>
          <t>Location</t>
        </is>
      </c>
      <c r="C40" s="542" t="inlineStr">
        <is>
          <t>Meter</t>
        </is>
      </c>
      <c r="D40" s="522" t="n"/>
      <c r="E40" s="301" t="n">
        <v>46174</v>
      </c>
      <c r="F40" s="301" t="n">
        <v>46175</v>
      </c>
      <c r="G40" s="301" t="n">
        <v>46176</v>
      </c>
      <c r="H40" s="301" t="n">
        <v>46177</v>
      </c>
      <c r="I40" s="301" t="n">
        <v>46178</v>
      </c>
      <c r="J40" s="301" t="n">
        <v>46179</v>
      </c>
      <c r="K40" s="301" t="n">
        <v>46180</v>
      </c>
      <c r="L40" s="301" t="n">
        <v>46181</v>
      </c>
      <c r="M40" s="301" t="n">
        <v>46182</v>
      </c>
      <c r="N40" s="301" t="n">
        <v>46183</v>
      </c>
      <c r="O40" s="301" t="n">
        <v>46184</v>
      </c>
      <c r="P40" s="301" t="n">
        <v>46185</v>
      </c>
      <c r="Q40" s="301" t="n">
        <v>46186</v>
      </c>
      <c r="R40" s="301" t="n">
        <v>46187</v>
      </c>
      <c r="S40" s="301" t="n">
        <v>46188</v>
      </c>
      <c r="T40" s="301" t="n">
        <v>46189</v>
      </c>
      <c r="U40" s="301" t="n">
        <v>46190</v>
      </c>
      <c r="V40" s="301" t="n">
        <v>46191</v>
      </c>
      <c r="W40" s="301" t="n">
        <v>46192</v>
      </c>
      <c r="X40" s="301" t="n">
        <v>46193</v>
      </c>
      <c r="Y40" s="301" t="n">
        <v>46194</v>
      </c>
      <c r="Z40" s="301" t="n">
        <v>46195</v>
      </c>
      <c r="AA40" s="301" t="n">
        <v>46196</v>
      </c>
      <c r="AB40" s="301" t="n">
        <v>46197</v>
      </c>
      <c r="AC40" s="301" t="n">
        <v>46198</v>
      </c>
      <c r="AD40" s="301" t="n">
        <v>46199</v>
      </c>
      <c r="AE40" s="301" t="n">
        <v>46200</v>
      </c>
      <c r="AF40" s="301" t="n">
        <v>46201</v>
      </c>
      <c r="AG40" s="301" t="n">
        <v>46202</v>
      </c>
      <c r="AH40" s="301" t="n">
        <v>46203</v>
      </c>
      <c r="AI40" s="542" t="inlineStr">
        <is>
          <t>Consumption</t>
        </is>
      </c>
    </row>
    <row r="41">
      <c r="A41" s="516" t="n"/>
      <c r="B41" s="516" t="n"/>
      <c r="C41" s="523" t="n"/>
      <c r="D41" s="524" t="n"/>
      <c r="E41" s="302" t="inlineStr">
        <is>
          <t>Fri</t>
        </is>
      </c>
      <c r="F41" s="302" t="inlineStr">
        <is>
          <t>Sat</t>
        </is>
      </c>
      <c r="G41" s="302" t="inlineStr">
        <is>
          <t>Sun</t>
        </is>
      </c>
      <c r="H41" s="302" t="inlineStr">
        <is>
          <t>Mon</t>
        </is>
      </c>
      <c r="I41" s="302" t="inlineStr">
        <is>
          <t>Tue</t>
        </is>
      </c>
      <c r="J41" s="302" t="inlineStr">
        <is>
          <t>Wed</t>
        </is>
      </c>
      <c r="K41" s="302" t="inlineStr">
        <is>
          <t>Thu</t>
        </is>
      </c>
      <c r="L41" s="302" t="inlineStr">
        <is>
          <t>Fri</t>
        </is>
      </c>
      <c r="M41" s="302" t="inlineStr">
        <is>
          <t>Sat</t>
        </is>
      </c>
      <c r="N41" s="302" t="inlineStr">
        <is>
          <t>Sun</t>
        </is>
      </c>
      <c r="O41" s="302" t="inlineStr">
        <is>
          <t>Mon</t>
        </is>
      </c>
      <c r="P41" s="302" t="inlineStr">
        <is>
          <t>Tue</t>
        </is>
      </c>
      <c r="Q41" s="302" t="inlineStr">
        <is>
          <t>Wed</t>
        </is>
      </c>
      <c r="R41" s="302" t="inlineStr">
        <is>
          <t>Thu</t>
        </is>
      </c>
      <c r="S41" s="302" t="inlineStr">
        <is>
          <t>Fri</t>
        </is>
      </c>
      <c r="T41" s="302" t="inlineStr">
        <is>
          <t>Sat</t>
        </is>
      </c>
      <c r="U41" s="302" t="inlineStr">
        <is>
          <t>Sun</t>
        </is>
      </c>
      <c r="V41" s="302" t="inlineStr">
        <is>
          <t>Mon</t>
        </is>
      </c>
      <c r="W41" s="302" t="inlineStr">
        <is>
          <t>Tue</t>
        </is>
      </c>
      <c r="X41" s="302" t="inlineStr">
        <is>
          <t>Wed</t>
        </is>
      </c>
      <c r="Y41" s="302" t="inlineStr">
        <is>
          <t>Thu</t>
        </is>
      </c>
      <c r="Z41" s="302" t="inlineStr">
        <is>
          <t>Fri</t>
        </is>
      </c>
      <c r="AA41" s="302" t="inlineStr">
        <is>
          <t>Sat</t>
        </is>
      </c>
      <c r="AB41" s="302" t="inlineStr">
        <is>
          <t>Sun</t>
        </is>
      </c>
      <c r="AC41" s="302" t="inlineStr">
        <is>
          <t>Mon</t>
        </is>
      </c>
      <c r="AD41" s="302" t="inlineStr">
        <is>
          <t>Tue</t>
        </is>
      </c>
      <c r="AE41" s="302" t="inlineStr">
        <is>
          <t>Wed</t>
        </is>
      </c>
      <c r="AF41" s="302" t="inlineStr">
        <is>
          <t>Thu</t>
        </is>
      </c>
      <c r="AG41" s="302" t="inlineStr">
        <is>
          <t>Fri</t>
        </is>
      </c>
      <c r="AH41" s="302" t="inlineStr">
        <is>
          <t>Sat</t>
        </is>
      </c>
      <c r="AI41" s="516" t="n"/>
    </row>
    <row r="42">
      <c r="A42" s="516" t="n"/>
      <c r="B42" s="516" t="n"/>
      <c r="C42" s="523" t="n"/>
      <c r="D42" s="524" t="n"/>
      <c r="E42" s="353" t="inlineStr">
        <is>
          <t>Time</t>
        </is>
      </c>
      <c r="F42" s="353" t="inlineStr">
        <is>
          <t>Time</t>
        </is>
      </c>
      <c r="G42" s="353" t="inlineStr">
        <is>
          <t>Time</t>
        </is>
      </c>
      <c r="H42" s="353" t="inlineStr">
        <is>
          <t>Time</t>
        </is>
      </c>
      <c r="I42" s="353" t="inlineStr">
        <is>
          <t>Time</t>
        </is>
      </c>
      <c r="J42" s="353" t="inlineStr">
        <is>
          <t>Time</t>
        </is>
      </c>
      <c r="K42" s="353" t="inlineStr">
        <is>
          <t>Time</t>
        </is>
      </c>
      <c r="L42" s="353" t="inlineStr">
        <is>
          <t>Time</t>
        </is>
      </c>
      <c r="M42" s="353" t="inlineStr">
        <is>
          <t>Time</t>
        </is>
      </c>
      <c r="N42" s="353" t="inlineStr">
        <is>
          <t>Time</t>
        </is>
      </c>
      <c r="O42" s="353" t="inlineStr">
        <is>
          <t>Time</t>
        </is>
      </c>
      <c r="P42" s="353" t="inlineStr">
        <is>
          <t>Time</t>
        </is>
      </c>
      <c r="Q42" s="353" t="inlineStr">
        <is>
          <t>Time</t>
        </is>
      </c>
      <c r="R42" s="353" t="inlineStr">
        <is>
          <t>Time</t>
        </is>
      </c>
      <c r="S42" s="353" t="inlineStr">
        <is>
          <t>Time</t>
        </is>
      </c>
      <c r="T42" s="353" t="inlineStr">
        <is>
          <t>Time</t>
        </is>
      </c>
      <c r="U42" s="353" t="inlineStr">
        <is>
          <t>Time</t>
        </is>
      </c>
      <c r="V42" s="353" t="inlineStr">
        <is>
          <t>Time</t>
        </is>
      </c>
      <c r="W42" s="353" t="inlineStr">
        <is>
          <t>Time</t>
        </is>
      </c>
      <c r="X42" s="353" t="inlineStr">
        <is>
          <t>Time</t>
        </is>
      </c>
      <c r="Y42" s="353" t="inlineStr">
        <is>
          <t>Time</t>
        </is>
      </c>
      <c r="Z42" s="353" t="inlineStr">
        <is>
          <t>Time</t>
        </is>
      </c>
      <c r="AA42" s="353" t="inlineStr">
        <is>
          <t>Time</t>
        </is>
      </c>
      <c r="AB42" s="353" t="inlineStr">
        <is>
          <t>Time</t>
        </is>
      </c>
      <c r="AC42" s="353" t="inlineStr">
        <is>
          <t>Time</t>
        </is>
      </c>
      <c r="AD42" s="353" t="inlineStr">
        <is>
          <t>Time</t>
        </is>
      </c>
      <c r="AE42" s="352">
        <f>AE4</f>
        <v/>
      </c>
      <c r="AF42" s="303" t="inlineStr">
        <is>
          <t>Time</t>
        </is>
      </c>
      <c r="AG42" s="353" t="inlineStr">
        <is>
          <t>Time</t>
        </is>
      </c>
      <c r="AH42" s="353" t="inlineStr">
        <is>
          <t>Time</t>
        </is>
      </c>
      <c r="AI42" s="516" t="n"/>
    </row>
    <row r="43">
      <c r="A43" s="517" t="n"/>
      <c r="B43" s="517" t="n"/>
      <c r="C43" s="525" t="n"/>
      <c r="D43" s="526" t="n"/>
      <c r="E43" s="354" t="n">
        <v>0.3333333333333333</v>
      </c>
      <c r="F43" s="354" t="n">
        <v>0.3333333333333333</v>
      </c>
      <c r="G43" s="354" t="n">
        <v>0.3333333333333333</v>
      </c>
      <c r="H43" s="354" t="n">
        <v>0.3333333333333333</v>
      </c>
      <c r="I43" s="354" t="n">
        <v>0.3333333333333333</v>
      </c>
      <c r="J43" s="354" t="n">
        <v>0.3333333333333333</v>
      </c>
      <c r="K43" s="354" t="n">
        <v>0.3333333333333333</v>
      </c>
      <c r="L43" s="354" t="n">
        <v>0.3333333333333333</v>
      </c>
      <c r="M43" s="354" t="n">
        <v>0.3333333333333333</v>
      </c>
      <c r="N43" s="354" t="n">
        <v>0.3333333333333333</v>
      </c>
      <c r="O43" s="354" t="n">
        <v>0.3333333333333333</v>
      </c>
      <c r="P43" s="354" t="n">
        <v>0.3333333333333333</v>
      </c>
      <c r="Q43" s="354" t="n">
        <v>0.3333333333333333</v>
      </c>
      <c r="R43" s="354" t="n">
        <v>0.3333333333333333</v>
      </c>
      <c r="S43" s="354" t="n">
        <v>0.3333333333333333</v>
      </c>
      <c r="T43" s="354" t="n">
        <v>0.3333333333333333</v>
      </c>
      <c r="U43" s="354" t="n">
        <v>0.3333333333333333</v>
      </c>
      <c r="V43" s="354" t="n">
        <v>0.3333333333333333</v>
      </c>
      <c r="W43" s="354" t="n">
        <v>0.3333333333333333</v>
      </c>
      <c r="X43" s="354" t="n">
        <v>0.3333333333333333</v>
      </c>
      <c r="Y43" s="354" t="n">
        <v>0.3333333333333333</v>
      </c>
      <c r="Z43" s="354" t="n">
        <v>0.3333333333333333</v>
      </c>
      <c r="AA43" s="354" t="n">
        <v>0.3333333333333333</v>
      </c>
      <c r="AB43" s="354" t="n">
        <v>0.3333333333333333</v>
      </c>
      <c r="AC43" s="354" t="n">
        <v>0.3333333333333333</v>
      </c>
      <c r="AD43" s="354" t="n">
        <v>0.3333333333333333</v>
      </c>
      <c r="AE43" s="354" t="n">
        <v>0.3333333333333333</v>
      </c>
      <c r="AF43" s="304" t="n">
        <v>0.3333333333333333</v>
      </c>
      <c r="AG43" s="354" t="n">
        <v>0.3333333333333333</v>
      </c>
      <c r="AH43" s="354" t="n">
        <v>0.3333333333333333</v>
      </c>
      <c r="AI43" s="517" t="n"/>
    </row>
    <row r="44">
      <c r="A44" s="541" t="n">
        <v>1</v>
      </c>
      <c r="B44" s="541" t="inlineStr">
        <is>
          <t>3F</t>
        </is>
      </c>
      <c r="C44" s="541" t="inlineStr">
        <is>
          <t>SL No 540430038840 (EB Unit)</t>
        </is>
      </c>
      <c r="D44" s="501" t="n"/>
      <c r="E44" s="355">
        <f>E6-D6</f>
        <v/>
      </c>
      <c r="F44" s="355">
        <f>F6-E6</f>
        <v/>
      </c>
      <c r="G44" s="355">
        <f>G6-F6</f>
        <v/>
      </c>
      <c r="H44" s="355">
        <f>H6-G6</f>
        <v/>
      </c>
      <c r="I44" s="355">
        <f>I6-H6</f>
        <v/>
      </c>
      <c r="J44" s="355">
        <f>J6-I6</f>
        <v/>
      </c>
      <c r="K44" s="355">
        <f>K6-J6</f>
        <v/>
      </c>
      <c r="L44" s="355">
        <f>L6-K6</f>
        <v/>
      </c>
      <c r="M44" s="355">
        <f>M6-L6</f>
        <v/>
      </c>
      <c r="N44" s="355">
        <f>N6-M6</f>
        <v/>
      </c>
      <c r="O44" s="355">
        <f>O6-N6</f>
        <v/>
      </c>
      <c r="P44" s="355">
        <f>P6-O6</f>
        <v/>
      </c>
      <c r="Q44" s="355">
        <f>Q6-P6</f>
        <v/>
      </c>
      <c r="R44" s="355">
        <f>R6-Q6</f>
        <v/>
      </c>
      <c r="S44" s="355">
        <f>S6-R6</f>
        <v/>
      </c>
      <c r="T44" s="355">
        <f>T6-S6</f>
        <v/>
      </c>
      <c r="U44" s="355">
        <f>U6-T6</f>
        <v/>
      </c>
      <c r="V44" s="355">
        <f>V6-U6</f>
        <v/>
      </c>
      <c r="W44" s="355">
        <f>W6-V6</f>
        <v/>
      </c>
      <c r="X44" s="355">
        <f>X6-W6</f>
        <v/>
      </c>
      <c r="Y44" s="355">
        <f>Y6-X6</f>
        <v/>
      </c>
      <c r="Z44" s="355">
        <f>Z6-Y6</f>
        <v/>
      </c>
      <c r="AA44" s="355">
        <f>AA6-Z6</f>
        <v/>
      </c>
      <c r="AB44" s="355">
        <f>AB6-AA6</f>
        <v/>
      </c>
      <c r="AC44" s="355">
        <f>AC6-AB6</f>
        <v/>
      </c>
      <c r="AD44" s="355">
        <f>AD6-AC6</f>
        <v/>
      </c>
      <c r="AE44" s="355">
        <f>AE6-AD6</f>
        <v/>
      </c>
      <c r="AF44" s="355">
        <f>AF6-AE6</f>
        <v/>
      </c>
      <c r="AG44" s="355">
        <f>AG6-AF6</f>
        <v/>
      </c>
      <c r="AH44" s="355">
        <f>AH6-AG6</f>
        <v/>
      </c>
      <c r="AI44" s="356">
        <f>SUM(E44:AH44)</f>
        <v/>
      </c>
    </row>
    <row r="45">
      <c r="A45" s="541" t="n"/>
      <c r="B45" s="541" t="n"/>
      <c r="C45" s="547" t="inlineStr">
        <is>
          <t>DG</t>
        </is>
      </c>
      <c r="D45" s="501" t="n"/>
      <c r="E45" s="355">
        <f>E7-D7</f>
        <v/>
      </c>
      <c r="F45" s="355">
        <f>F7-E7</f>
        <v/>
      </c>
      <c r="G45" s="355">
        <f>G7-F7</f>
        <v/>
      </c>
      <c r="H45" s="355">
        <f>H7-G7</f>
        <v/>
      </c>
      <c r="I45" s="355">
        <f>I7-H7</f>
        <v/>
      </c>
      <c r="J45" s="355">
        <f>J7-I7</f>
        <v/>
      </c>
      <c r="K45" s="355">
        <f>K7-J7</f>
        <v/>
      </c>
      <c r="L45" s="355">
        <f>L7-K7</f>
        <v/>
      </c>
      <c r="M45" s="355">
        <f>M7-L7</f>
        <v/>
      </c>
      <c r="N45" s="355">
        <f>N7-M7</f>
        <v/>
      </c>
      <c r="O45" s="355">
        <f>O7-N7</f>
        <v/>
      </c>
      <c r="P45" s="355">
        <f>P7-O7</f>
        <v/>
      </c>
      <c r="Q45" s="355">
        <f>Q7-P7</f>
        <v/>
      </c>
      <c r="R45" s="355">
        <f>R7-Q7</f>
        <v/>
      </c>
      <c r="S45" s="355">
        <f>S7-R7</f>
        <v/>
      </c>
      <c r="T45" s="355">
        <f>T7-S7</f>
        <v/>
      </c>
      <c r="U45" s="355">
        <f>U7-T7</f>
        <v/>
      </c>
      <c r="V45" s="355">
        <f>V7-U7</f>
        <v/>
      </c>
      <c r="W45" s="355">
        <f>W7-V7</f>
        <v/>
      </c>
      <c r="X45" s="355">
        <f>X7-W7</f>
        <v/>
      </c>
      <c r="Y45" s="355">
        <f>Y7-X7</f>
        <v/>
      </c>
      <c r="Z45" s="355">
        <f>Z7-Y7</f>
        <v/>
      </c>
      <c r="AA45" s="355">
        <f>AA7-Z7</f>
        <v/>
      </c>
      <c r="AB45" s="355">
        <f>AB7-AA7</f>
        <v/>
      </c>
      <c r="AC45" s="355">
        <f>AC7-AB7</f>
        <v/>
      </c>
      <c r="AD45" s="355">
        <f>AD7-AC7</f>
        <v/>
      </c>
      <c r="AE45" s="355">
        <f>AE7-AD7</f>
        <v/>
      </c>
      <c r="AF45" s="355">
        <f>AF7-AE7</f>
        <v/>
      </c>
      <c r="AG45" s="355">
        <f>AG7-AF7</f>
        <v/>
      </c>
      <c r="AH45" s="355">
        <f>AH7-AG7</f>
        <v/>
      </c>
      <c r="AI45" s="356">
        <f>SUM(E45:AH45)</f>
        <v/>
      </c>
    </row>
    <row r="46">
      <c r="A46" s="541" t="n">
        <v>2</v>
      </c>
      <c r="B46" s="541" t="inlineStr">
        <is>
          <t>3F</t>
        </is>
      </c>
      <c r="C46" s="541" t="inlineStr">
        <is>
          <t>SL No 540430038845 (EB Unit)</t>
        </is>
      </c>
      <c r="D46" s="501" t="n"/>
      <c r="E46" s="355">
        <f>E8-D8</f>
        <v/>
      </c>
      <c r="F46" s="355">
        <f>F8-E8</f>
        <v/>
      </c>
      <c r="G46" s="355">
        <f>G8-F8</f>
        <v/>
      </c>
      <c r="H46" s="355">
        <f>H8-G8</f>
        <v/>
      </c>
      <c r="I46" s="355">
        <f>I8-H8</f>
        <v/>
      </c>
      <c r="J46" s="355">
        <f>J8-I8</f>
        <v/>
      </c>
      <c r="K46" s="355">
        <f>K8-J8</f>
        <v/>
      </c>
      <c r="L46" s="355">
        <f>L8-K8</f>
        <v/>
      </c>
      <c r="M46" s="355">
        <f>M8-L8</f>
        <v/>
      </c>
      <c r="N46" s="355">
        <f>N8-M8</f>
        <v/>
      </c>
      <c r="O46" s="355">
        <f>O8-N8</f>
        <v/>
      </c>
      <c r="P46" s="355">
        <f>P8-O8</f>
        <v/>
      </c>
      <c r="Q46" s="355">
        <f>Q8-P8</f>
        <v/>
      </c>
      <c r="R46" s="355">
        <f>R8-Q8</f>
        <v/>
      </c>
      <c r="S46" s="355">
        <f>S8-R8</f>
        <v/>
      </c>
      <c r="T46" s="355">
        <f>T8-S8</f>
        <v/>
      </c>
      <c r="U46" s="355">
        <f>U8-T8</f>
        <v/>
      </c>
      <c r="V46" s="355">
        <f>V8-U8</f>
        <v/>
      </c>
      <c r="W46" s="355">
        <f>W8-V8</f>
        <v/>
      </c>
      <c r="X46" s="355">
        <f>X8-W8</f>
        <v/>
      </c>
      <c r="Y46" s="355">
        <f>Y8-X8</f>
        <v/>
      </c>
      <c r="Z46" s="355">
        <f>Z8-Y8</f>
        <v/>
      </c>
      <c r="AA46" s="355">
        <f>AA8-Z8</f>
        <v/>
      </c>
      <c r="AB46" s="355">
        <f>AB8-AA8</f>
        <v/>
      </c>
      <c r="AC46" s="355">
        <f>AC8-AB8</f>
        <v/>
      </c>
      <c r="AD46" s="355">
        <f>AD8-AC8</f>
        <v/>
      </c>
      <c r="AE46" s="355">
        <f>AE8-AD8</f>
        <v/>
      </c>
      <c r="AF46" s="355">
        <f>AF8-AE8</f>
        <v/>
      </c>
      <c r="AG46" s="355">
        <f>AG8-AF8</f>
        <v/>
      </c>
      <c r="AH46" s="355">
        <f>AH8-AG8</f>
        <v/>
      </c>
      <c r="AI46" s="356">
        <f>SUM(E46:AH46)</f>
        <v/>
      </c>
    </row>
    <row r="47">
      <c r="A47" s="541" t="n"/>
      <c r="B47" s="541" t="n"/>
      <c r="C47" s="547" t="inlineStr">
        <is>
          <t>DG</t>
        </is>
      </c>
      <c r="D47" s="501" t="n"/>
      <c r="E47" s="355">
        <f>E9-D9</f>
        <v/>
      </c>
      <c r="F47" s="355">
        <f>F9-E9</f>
        <v/>
      </c>
      <c r="G47" s="355">
        <f>G9-F9</f>
        <v/>
      </c>
      <c r="H47" s="355">
        <f>H9-G9</f>
        <v/>
      </c>
      <c r="I47" s="355">
        <f>I9-H9</f>
        <v/>
      </c>
      <c r="J47" s="355">
        <f>J9-I9</f>
        <v/>
      </c>
      <c r="K47" s="355">
        <f>K9-J9</f>
        <v/>
      </c>
      <c r="L47" s="355">
        <f>L9-K9</f>
        <v/>
      </c>
      <c r="M47" s="355">
        <f>M9-L9</f>
        <v/>
      </c>
      <c r="N47" s="355">
        <f>N9-M9</f>
        <v/>
      </c>
      <c r="O47" s="355">
        <f>O9-N9</f>
        <v/>
      </c>
      <c r="P47" s="355">
        <f>P9-O9</f>
        <v/>
      </c>
      <c r="Q47" s="355">
        <f>Q9-P9</f>
        <v/>
      </c>
      <c r="R47" s="355">
        <f>R9-Q9</f>
        <v/>
      </c>
      <c r="S47" s="355">
        <f>S9-R9</f>
        <v/>
      </c>
      <c r="T47" s="355">
        <f>T9-S9</f>
        <v/>
      </c>
      <c r="U47" s="355">
        <f>U9-T9</f>
        <v/>
      </c>
      <c r="V47" s="355">
        <f>V9-U9</f>
        <v/>
      </c>
      <c r="W47" s="355">
        <f>W9-V9</f>
        <v/>
      </c>
      <c r="X47" s="355">
        <f>X9-W9</f>
        <v/>
      </c>
      <c r="Y47" s="355">
        <f>Y9-X9</f>
        <v/>
      </c>
      <c r="Z47" s="355">
        <f>Z9-Y9</f>
        <v/>
      </c>
      <c r="AA47" s="355">
        <f>AA9-Z9</f>
        <v/>
      </c>
      <c r="AB47" s="355">
        <f>AB9-AA9</f>
        <v/>
      </c>
      <c r="AC47" s="355">
        <f>AC9-AB9</f>
        <v/>
      </c>
      <c r="AD47" s="355">
        <f>AD9-AC9</f>
        <v/>
      </c>
      <c r="AE47" s="355">
        <f>AE9-AD9</f>
        <v/>
      </c>
      <c r="AF47" s="355">
        <f>AF9-AE9</f>
        <v/>
      </c>
      <c r="AG47" s="355">
        <f>AG9-AF9</f>
        <v/>
      </c>
      <c r="AH47" s="355">
        <f>AH9-AG9</f>
        <v/>
      </c>
      <c r="AI47" s="356">
        <f>SUM(E47:AH47)</f>
        <v/>
      </c>
    </row>
    <row r="48">
      <c r="A48" s="541" t="n">
        <v>3</v>
      </c>
      <c r="B48" s="541" t="inlineStr">
        <is>
          <t>3F</t>
        </is>
      </c>
      <c r="C48" s="541" t="inlineStr">
        <is>
          <t>SL No 540430038844 (EB Unit)</t>
        </is>
      </c>
      <c r="D48" s="501" t="n"/>
      <c r="E48" s="355">
        <f>E10-D10</f>
        <v/>
      </c>
      <c r="F48" s="355">
        <f>F10-E10</f>
        <v/>
      </c>
      <c r="G48" s="355">
        <f>G10-F10</f>
        <v/>
      </c>
      <c r="H48" s="355">
        <f>H10-G10</f>
        <v/>
      </c>
      <c r="I48" s="355">
        <f>I10-H10</f>
        <v/>
      </c>
      <c r="J48" s="355">
        <f>J10-I10</f>
        <v/>
      </c>
      <c r="K48" s="355">
        <f>K10-J10</f>
        <v/>
      </c>
      <c r="L48" s="355">
        <f>L10-K10</f>
        <v/>
      </c>
      <c r="M48" s="355">
        <f>M10-L10</f>
        <v/>
      </c>
      <c r="N48" s="355">
        <f>N10-M10</f>
        <v/>
      </c>
      <c r="O48" s="355">
        <f>O10-N10</f>
        <v/>
      </c>
      <c r="P48" s="355">
        <f>P10-O10</f>
        <v/>
      </c>
      <c r="Q48" s="355">
        <f>Q10-P10</f>
        <v/>
      </c>
      <c r="R48" s="355">
        <f>R10-Q10</f>
        <v/>
      </c>
      <c r="S48" s="355">
        <f>S10-R10</f>
        <v/>
      </c>
      <c r="T48" s="355">
        <f>T10-S10</f>
        <v/>
      </c>
      <c r="U48" s="355">
        <f>U10-T10</f>
        <v/>
      </c>
      <c r="V48" s="355">
        <f>V10-U10</f>
        <v/>
      </c>
      <c r="W48" s="355">
        <f>W10-V10</f>
        <v/>
      </c>
      <c r="X48" s="355">
        <f>X10-W10</f>
        <v/>
      </c>
      <c r="Y48" s="355">
        <f>Y10-X10</f>
        <v/>
      </c>
      <c r="Z48" s="355">
        <f>Z10-Y10</f>
        <v/>
      </c>
      <c r="AA48" s="355">
        <f>AA10-Z10</f>
        <v/>
      </c>
      <c r="AB48" s="355">
        <f>AB10-AA10</f>
        <v/>
      </c>
      <c r="AC48" s="355">
        <f>AC10-AB10</f>
        <v/>
      </c>
      <c r="AD48" s="355">
        <f>AD10-AC10</f>
        <v/>
      </c>
      <c r="AE48" s="355">
        <f>AE10-AD10</f>
        <v/>
      </c>
      <c r="AF48" s="355">
        <f>AF10-AE10</f>
        <v/>
      </c>
      <c r="AG48" s="355">
        <f>AG10-AF10</f>
        <v/>
      </c>
      <c r="AH48" s="355">
        <f>AH10-AG10</f>
        <v/>
      </c>
      <c r="AI48" s="356">
        <f>SUM(E48:AH48)</f>
        <v/>
      </c>
    </row>
    <row r="49">
      <c r="A49" s="541" t="n"/>
      <c r="B49" s="541" t="n"/>
      <c r="C49" s="547" t="inlineStr">
        <is>
          <t>DG</t>
        </is>
      </c>
      <c r="D49" s="501" t="n"/>
      <c r="E49" s="355">
        <f>E11-D11</f>
        <v/>
      </c>
      <c r="F49" s="355">
        <f>F11-E11</f>
        <v/>
      </c>
      <c r="G49" s="355">
        <f>G11-F11</f>
        <v/>
      </c>
      <c r="H49" s="355">
        <f>H11-G11</f>
        <v/>
      </c>
      <c r="I49" s="355">
        <f>I11-H11</f>
        <v/>
      </c>
      <c r="J49" s="355">
        <f>J11-I11</f>
        <v/>
      </c>
      <c r="K49" s="355">
        <f>K11-J11</f>
        <v/>
      </c>
      <c r="L49" s="355">
        <f>L11-K11</f>
        <v/>
      </c>
      <c r="M49" s="355">
        <f>M11-L11</f>
        <v/>
      </c>
      <c r="N49" s="355">
        <f>N11-M11</f>
        <v/>
      </c>
      <c r="O49" s="355">
        <f>O11-N11</f>
        <v/>
      </c>
      <c r="P49" s="355">
        <f>P11-O11</f>
        <v/>
      </c>
      <c r="Q49" s="355">
        <f>Q11-P11</f>
        <v/>
      </c>
      <c r="R49" s="355">
        <f>R11-Q11</f>
        <v/>
      </c>
      <c r="S49" s="355">
        <f>S11-R11</f>
        <v/>
      </c>
      <c r="T49" s="355">
        <f>T11-S11</f>
        <v/>
      </c>
      <c r="U49" s="355">
        <f>U11-T11</f>
        <v/>
      </c>
      <c r="V49" s="355">
        <f>V11-U11</f>
        <v/>
      </c>
      <c r="W49" s="355">
        <f>W11-V11</f>
        <v/>
      </c>
      <c r="X49" s="355">
        <f>X11-W11</f>
        <v/>
      </c>
      <c r="Y49" s="355">
        <f>Y11-X11</f>
        <v/>
      </c>
      <c r="Z49" s="355">
        <f>Z11-Y11</f>
        <v/>
      </c>
      <c r="AA49" s="355">
        <f>AA11-Z11</f>
        <v/>
      </c>
      <c r="AB49" s="355">
        <f>AB11-AA11</f>
        <v/>
      </c>
      <c r="AC49" s="355">
        <f>AC11-AB11</f>
        <v/>
      </c>
      <c r="AD49" s="355">
        <f>AD11-AC11</f>
        <v/>
      </c>
      <c r="AE49" s="355">
        <f>AE11-AD11</f>
        <v/>
      </c>
      <c r="AF49" s="355">
        <f>AF11-AE11</f>
        <v/>
      </c>
      <c r="AG49" s="355">
        <f>AG11-AF11</f>
        <v/>
      </c>
      <c r="AH49" s="355">
        <f>AH11-AG11</f>
        <v/>
      </c>
      <c r="AI49" s="356">
        <f>SUM(E49:AH49)</f>
        <v/>
      </c>
    </row>
    <row r="50">
      <c r="A50" s="541" t="n">
        <v>4</v>
      </c>
      <c r="B50" s="541" t="inlineStr">
        <is>
          <t>3F</t>
        </is>
      </c>
      <c r="C50" s="541" t="inlineStr">
        <is>
          <t>SL No 540430038821 (EB Unit)</t>
        </is>
      </c>
      <c r="D50" s="501" t="n"/>
      <c r="E50" s="355">
        <f>E12-D12</f>
        <v/>
      </c>
      <c r="F50" s="355">
        <f>F12-E12</f>
        <v/>
      </c>
      <c r="G50" s="355">
        <f>G12-F12</f>
        <v/>
      </c>
      <c r="H50" s="355">
        <f>H12-G12</f>
        <v/>
      </c>
      <c r="I50" s="355">
        <f>I12-H12</f>
        <v/>
      </c>
      <c r="J50" s="355">
        <f>J12-I12</f>
        <v/>
      </c>
      <c r="K50" s="355">
        <f>K12-J12</f>
        <v/>
      </c>
      <c r="L50" s="355">
        <f>L12-K12</f>
        <v/>
      </c>
      <c r="M50" s="355">
        <f>M12-L12</f>
        <v/>
      </c>
      <c r="N50" s="355">
        <f>N12-M12</f>
        <v/>
      </c>
      <c r="O50" s="355">
        <f>O12-N12</f>
        <v/>
      </c>
      <c r="P50" s="355">
        <f>P12-O12</f>
        <v/>
      </c>
      <c r="Q50" s="355">
        <f>Q12-P12</f>
        <v/>
      </c>
      <c r="R50" s="355">
        <f>R12-Q12</f>
        <v/>
      </c>
      <c r="S50" s="355">
        <f>S12-R12</f>
        <v/>
      </c>
      <c r="T50" s="355">
        <f>T12-S12</f>
        <v/>
      </c>
      <c r="U50" s="355">
        <f>U12-T12</f>
        <v/>
      </c>
      <c r="V50" s="355">
        <f>V12-U12</f>
        <v/>
      </c>
      <c r="W50" s="355">
        <f>W12-V12</f>
        <v/>
      </c>
      <c r="X50" s="355">
        <f>X12-W12</f>
        <v/>
      </c>
      <c r="Y50" s="355">
        <f>Y12-X12</f>
        <v/>
      </c>
      <c r="Z50" s="355">
        <f>Z12-Y12</f>
        <v/>
      </c>
      <c r="AA50" s="355">
        <f>AA12-Z12</f>
        <v/>
      </c>
      <c r="AB50" s="355">
        <f>AB12-AA12</f>
        <v/>
      </c>
      <c r="AC50" s="355">
        <f>AC12-AB12</f>
        <v/>
      </c>
      <c r="AD50" s="355">
        <f>AD12-AC12</f>
        <v/>
      </c>
      <c r="AE50" s="355">
        <f>AE12-AD12</f>
        <v/>
      </c>
      <c r="AF50" s="355">
        <f>AF12-AE12</f>
        <v/>
      </c>
      <c r="AG50" s="355">
        <f>AG12-AF12</f>
        <v/>
      </c>
      <c r="AH50" s="355">
        <f>AH12-AG12</f>
        <v/>
      </c>
      <c r="AI50" s="356">
        <f>SUM(E50:AH50)</f>
        <v/>
      </c>
    </row>
    <row r="51">
      <c r="A51" s="541" t="n"/>
      <c r="B51" s="541" t="n"/>
      <c r="C51" s="547" t="inlineStr">
        <is>
          <t>DG</t>
        </is>
      </c>
      <c r="D51" s="501" t="n"/>
      <c r="E51" s="355">
        <f>E13-D13</f>
        <v/>
      </c>
      <c r="F51" s="355">
        <f>F13-E13</f>
        <v/>
      </c>
      <c r="G51" s="355">
        <f>G13-F13</f>
        <v/>
      </c>
      <c r="H51" s="355">
        <f>H13-G13</f>
        <v/>
      </c>
      <c r="I51" s="355">
        <f>I13-H13</f>
        <v/>
      </c>
      <c r="J51" s="355">
        <f>J13-I13</f>
        <v/>
      </c>
      <c r="K51" s="355">
        <f>K13-J13</f>
        <v/>
      </c>
      <c r="L51" s="355">
        <f>L13-K13</f>
        <v/>
      </c>
      <c r="M51" s="355">
        <f>M13-L13</f>
        <v/>
      </c>
      <c r="N51" s="355">
        <f>N13-M13</f>
        <v/>
      </c>
      <c r="O51" s="355">
        <f>O13-N13</f>
        <v/>
      </c>
      <c r="P51" s="355">
        <f>P13-O13</f>
        <v/>
      </c>
      <c r="Q51" s="355">
        <f>Q13-P13</f>
        <v/>
      </c>
      <c r="R51" s="355">
        <f>R13-Q13</f>
        <v/>
      </c>
      <c r="S51" s="355">
        <f>S13-R13</f>
        <v/>
      </c>
      <c r="T51" s="355">
        <f>T13-S13</f>
        <v/>
      </c>
      <c r="U51" s="355">
        <f>U13-T13</f>
        <v/>
      </c>
      <c r="V51" s="355">
        <f>V13-U13</f>
        <v/>
      </c>
      <c r="W51" s="355">
        <f>W13-V13</f>
        <v/>
      </c>
      <c r="X51" s="355">
        <f>X13-W13</f>
        <v/>
      </c>
      <c r="Y51" s="355">
        <f>Y13-X13</f>
        <v/>
      </c>
      <c r="Z51" s="355">
        <f>Z13-Y13</f>
        <v/>
      </c>
      <c r="AA51" s="355">
        <f>AA13-Z13</f>
        <v/>
      </c>
      <c r="AB51" s="355">
        <f>AB13-AA13</f>
        <v/>
      </c>
      <c r="AC51" s="355">
        <f>AC13-AB13</f>
        <v/>
      </c>
      <c r="AD51" s="355">
        <f>AD13-AC13</f>
        <v/>
      </c>
      <c r="AE51" s="355">
        <f>AE13-AD13</f>
        <v/>
      </c>
      <c r="AF51" s="355">
        <f>AF13-AE13</f>
        <v/>
      </c>
      <c r="AG51" s="355">
        <f>AG13-AF13</f>
        <v/>
      </c>
      <c r="AH51" s="355">
        <f>AH13-AG13</f>
        <v/>
      </c>
      <c r="AI51" s="356">
        <f>SUM(E51:AH51)</f>
        <v/>
      </c>
    </row>
    <row r="52">
      <c r="A52" s="541" t="n">
        <v>5</v>
      </c>
      <c r="B52" s="541" t="inlineStr">
        <is>
          <t>3F</t>
        </is>
      </c>
      <c r="C52" s="541" t="inlineStr">
        <is>
          <t>SL No 540430038849 (EB Unit)</t>
        </is>
      </c>
      <c r="D52" s="501" t="n"/>
      <c r="E52" s="355">
        <f>E14-D14</f>
        <v/>
      </c>
      <c r="F52" s="355">
        <f>F14-E14</f>
        <v/>
      </c>
      <c r="G52" s="355">
        <f>G14-F14</f>
        <v/>
      </c>
      <c r="H52" s="355">
        <f>H14-G14</f>
        <v/>
      </c>
      <c r="I52" s="355">
        <f>I14-H14</f>
        <v/>
      </c>
      <c r="J52" s="355">
        <f>J14-I14</f>
        <v/>
      </c>
      <c r="K52" s="355">
        <f>K14-J14</f>
        <v/>
      </c>
      <c r="L52" s="355">
        <f>L14-K14</f>
        <v/>
      </c>
      <c r="M52" s="355">
        <f>M14-L14</f>
        <v/>
      </c>
      <c r="N52" s="355">
        <f>N14-M14</f>
        <v/>
      </c>
      <c r="O52" s="355">
        <f>O14-N14</f>
        <v/>
      </c>
      <c r="P52" s="355">
        <f>P14-O14</f>
        <v/>
      </c>
      <c r="Q52" s="355">
        <f>Q14-P14</f>
        <v/>
      </c>
      <c r="R52" s="355">
        <f>R14-Q14</f>
        <v/>
      </c>
      <c r="S52" s="355">
        <f>S14-R14</f>
        <v/>
      </c>
      <c r="T52" s="355">
        <f>T14-S14</f>
        <v/>
      </c>
      <c r="U52" s="355">
        <f>U14-T14</f>
        <v/>
      </c>
      <c r="V52" s="355">
        <f>V14-U14</f>
        <v/>
      </c>
      <c r="W52" s="355">
        <f>W14-V14</f>
        <v/>
      </c>
      <c r="X52" s="355">
        <f>X14-W14</f>
        <v/>
      </c>
      <c r="Y52" s="355">
        <f>Y14-X14</f>
        <v/>
      </c>
      <c r="Z52" s="355">
        <f>Z14-Y14</f>
        <v/>
      </c>
      <c r="AA52" s="355">
        <f>AA14-Z14</f>
        <v/>
      </c>
      <c r="AB52" s="355">
        <f>AB14-AA14</f>
        <v/>
      </c>
      <c r="AC52" s="355">
        <f>AC14-AB14</f>
        <v/>
      </c>
      <c r="AD52" s="355">
        <f>AD14-AC14</f>
        <v/>
      </c>
      <c r="AE52" s="355">
        <f>AE14-AD14</f>
        <v/>
      </c>
      <c r="AF52" s="355">
        <f>AF14-AE14</f>
        <v/>
      </c>
      <c r="AG52" s="355">
        <f>AG14-AF14</f>
        <v/>
      </c>
      <c r="AH52" s="355">
        <f>AH14-AG14</f>
        <v/>
      </c>
      <c r="AI52" s="356">
        <f>SUM(E52:AH52)</f>
        <v/>
      </c>
    </row>
    <row r="53">
      <c r="A53" s="541" t="n"/>
      <c r="B53" s="541" t="n"/>
      <c r="C53" s="547" t="inlineStr">
        <is>
          <t>DG</t>
        </is>
      </c>
      <c r="D53" s="501" t="n"/>
      <c r="E53" s="355">
        <f>E15-D15</f>
        <v/>
      </c>
      <c r="F53" s="355">
        <f>F15-E15</f>
        <v/>
      </c>
      <c r="G53" s="355">
        <f>G15-F15</f>
        <v/>
      </c>
      <c r="H53" s="355">
        <f>H15-G15</f>
        <v/>
      </c>
      <c r="I53" s="355">
        <f>I15-H15</f>
        <v/>
      </c>
      <c r="J53" s="355">
        <f>J15-I15</f>
        <v/>
      </c>
      <c r="K53" s="355">
        <f>K15-J15</f>
        <v/>
      </c>
      <c r="L53" s="355">
        <f>L15-K15</f>
        <v/>
      </c>
      <c r="M53" s="355">
        <f>M15-L15</f>
        <v/>
      </c>
      <c r="N53" s="355">
        <f>N15-M15</f>
        <v/>
      </c>
      <c r="O53" s="355">
        <f>O15-N15</f>
        <v/>
      </c>
      <c r="P53" s="355">
        <f>P15-O15</f>
        <v/>
      </c>
      <c r="Q53" s="355">
        <f>Q15-P15</f>
        <v/>
      </c>
      <c r="R53" s="355">
        <f>R15-Q15</f>
        <v/>
      </c>
      <c r="S53" s="355">
        <f>S15-R15</f>
        <v/>
      </c>
      <c r="T53" s="355">
        <f>T15-S15</f>
        <v/>
      </c>
      <c r="U53" s="355">
        <f>U15-T15</f>
        <v/>
      </c>
      <c r="V53" s="355">
        <f>V15-U15</f>
        <v/>
      </c>
      <c r="W53" s="355">
        <f>W15-V15</f>
        <v/>
      </c>
      <c r="X53" s="355">
        <f>X15-W15</f>
        <v/>
      </c>
      <c r="Y53" s="355">
        <f>Y15-X15</f>
        <v/>
      </c>
      <c r="Z53" s="355">
        <f>Z15-Y15</f>
        <v/>
      </c>
      <c r="AA53" s="355">
        <f>AA15-Z15</f>
        <v/>
      </c>
      <c r="AB53" s="355">
        <f>AB15-AA15</f>
        <v/>
      </c>
      <c r="AC53" s="355">
        <f>AC15-AB15</f>
        <v/>
      </c>
      <c r="AD53" s="355">
        <f>AD15-AC15</f>
        <v/>
      </c>
      <c r="AE53" s="355">
        <f>AE15-AD15</f>
        <v/>
      </c>
      <c r="AF53" s="355">
        <f>AF15-AE15</f>
        <v/>
      </c>
      <c r="AG53" s="355">
        <f>AG15-AF15</f>
        <v/>
      </c>
      <c r="AH53" s="355">
        <f>AH15-AG15</f>
        <v/>
      </c>
      <c r="AI53" s="356">
        <f>SUM(E53:AH53)</f>
        <v/>
      </c>
    </row>
    <row r="54">
      <c r="A54" s="541" t="n">
        <v>6</v>
      </c>
      <c r="B54" s="541" t="inlineStr">
        <is>
          <t>3F</t>
        </is>
      </c>
      <c r="C54" s="541" t="inlineStr">
        <is>
          <t>SL No 540430038696 (EB Unit)</t>
        </is>
      </c>
      <c r="D54" s="501" t="n"/>
      <c r="E54" s="355">
        <f>E16-D16</f>
        <v/>
      </c>
      <c r="F54" s="355">
        <f>F16-E16</f>
        <v/>
      </c>
      <c r="G54" s="355">
        <f>G16-F16</f>
        <v/>
      </c>
      <c r="H54" s="355">
        <f>H16-G16</f>
        <v/>
      </c>
      <c r="I54" s="355">
        <f>I16-H16</f>
        <v/>
      </c>
      <c r="J54" s="355">
        <f>J16-I16</f>
        <v/>
      </c>
      <c r="K54" s="355">
        <f>K16-J16</f>
        <v/>
      </c>
      <c r="L54" s="355">
        <f>L16-K16</f>
        <v/>
      </c>
      <c r="M54" s="355">
        <f>M16-L16</f>
        <v/>
      </c>
      <c r="N54" s="355">
        <f>N16-M16</f>
        <v/>
      </c>
      <c r="O54" s="355">
        <f>O16-N16</f>
        <v/>
      </c>
      <c r="P54" s="355">
        <f>P16-O16</f>
        <v/>
      </c>
      <c r="Q54" s="355">
        <f>Q16-P16</f>
        <v/>
      </c>
      <c r="R54" s="355">
        <f>R16-Q16</f>
        <v/>
      </c>
      <c r="S54" s="355">
        <f>S16-R16</f>
        <v/>
      </c>
      <c r="T54" s="355">
        <f>T16-S16</f>
        <v/>
      </c>
      <c r="U54" s="355">
        <f>U16-T16</f>
        <v/>
      </c>
      <c r="V54" s="355">
        <f>V16-U16</f>
        <v/>
      </c>
      <c r="W54" s="355">
        <f>W16-V16</f>
        <v/>
      </c>
      <c r="X54" s="355">
        <f>X16-W16</f>
        <v/>
      </c>
      <c r="Y54" s="355">
        <f>Y16-X16</f>
        <v/>
      </c>
      <c r="Z54" s="355">
        <f>Z16-Y16</f>
        <v/>
      </c>
      <c r="AA54" s="355">
        <f>AA16-Z16</f>
        <v/>
      </c>
      <c r="AB54" s="355">
        <f>AB16-AA16</f>
        <v/>
      </c>
      <c r="AC54" s="355">
        <f>AC16-AB16</f>
        <v/>
      </c>
      <c r="AD54" s="355">
        <f>AD16-AC16</f>
        <v/>
      </c>
      <c r="AE54" s="355">
        <f>AE16-AD16</f>
        <v/>
      </c>
      <c r="AF54" s="355">
        <f>AF16-AE16</f>
        <v/>
      </c>
      <c r="AG54" s="355">
        <f>AG16-AF16</f>
        <v/>
      </c>
      <c r="AH54" s="355">
        <f>AH16-AG16</f>
        <v/>
      </c>
      <c r="AI54" s="356">
        <f>SUM(E54:AH54)</f>
        <v/>
      </c>
    </row>
    <row r="55">
      <c r="A55" s="541" t="n"/>
      <c r="B55" s="541" t="n"/>
      <c r="C55" s="547" t="inlineStr">
        <is>
          <t>DG</t>
        </is>
      </c>
      <c r="D55" s="501" t="n"/>
      <c r="E55" s="355">
        <f>E17-D17</f>
        <v/>
      </c>
      <c r="F55" s="355">
        <f>F17-E17</f>
        <v/>
      </c>
      <c r="G55" s="355">
        <f>G17-F17</f>
        <v/>
      </c>
      <c r="H55" s="355">
        <f>H17-G17</f>
        <v/>
      </c>
      <c r="I55" s="355">
        <f>I17-H17</f>
        <v/>
      </c>
      <c r="J55" s="355">
        <f>J17-I17</f>
        <v/>
      </c>
      <c r="K55" s="355">
        <f>K17-J17</f>
        <v/>
      </c>
      <c r="L55" s="355">
        <f>L17-K17</f>
        <v/>
      </c>
      <c r="M55" s="355">
        <f>M17-L17</f>
        <v/>
      </c>
      <c r="N55" s="355">
        <f>N17-M17</f>
        <v/>
      </c>
      <c r="O55" s="355">
        <f>O17-N17</f>
        <v/>
      </c>
      <c r="P55" s="355">
        <f>P17-O17</f>
        <v/>
      </c>
      <c r="Q55" s="355">
        <f>Q17-P17</f>
        <v/>
      </c>
      <c r="R55" s="355">
        <f>R17-Q17</f>
        <v/>
      </c>
      <c r="S55" s="355">
        <f>S17-R17</f>
        <v/>
      </c>
      <c r="T55" s="355">
        <f>T17-S17</f>
        <v/>
      </c>
      <c r="U55" s="355">
        <f>U17-T17</f>
        <v/>
      </c>
      <c r="V55" s="355">
        <f>V17-U17</f>
        <v/>
      </c>
      <c r="W55" s="355">
        <f>W17-V17</f>
        <v/>
      </c>
      <c r="X55" s="355">
        <f>X17-W17</f>
        <v/>
      </c>
      <c r="Y55" s="355">
        <f>Y17-X17</f>
        <v/>
      </c>
      <c r="Z55" s="355">
        <f>Z17-Y17</f>
        <v/>
      </c>
      <c r="AA55" s="355">
        <f>AA17-Z17</f>
        <v/>
      </c>
      <c r="AB55" s="355">
        <f>AB17-AA17</f>
        <v/>
      </c>
      <c r="AC55" s="355">
        <f>AC17-AB17</f>
        <v/>
      </c>
      <c r="AD55" s="355">
        <f>AD17-AC17</f>
        <v/>
      </c>
      <c r="AE55" s="355">
        <f>AE17-AD17</f>
        <v/>
      </c>
      <c r="AF55" s="355">
        <f>AF17-AE17</f>
        <v/>
      </c>
      <c r="AG55" s="355">
        <f>AG17-AF17</f>
        <v/>
      </c>
      <c r="AH55" s="355">
        <f>AH17-AG17</f>
        <v/>
      </c>
      <c r="AI55" s="356">
        <f>SUM(E55:AH55)</f>
        <v/>
      </c>
    </row>
    <row r="56">
      <c r="A56" s="541" t="n">
        <v>7</v>
      </c>
      <c r="B56" s="541" t="inlineStr">
        <is>
          <t>3F</t>
        </is>
      </c>
      <c r="C56" s="541" t="inlineStr">
        <is>
          <t>SL No 540430038843 (EB Unit)</t>
        </is>
      </c>
      <c r="D56" s="501" t="n"/>
      <c r="E56" s="355">
        <f>E18-D18</f>
        <v/>
      </c>
      <c r="F56" s="355">
        <f>F18-E18</f>
        <v/>
      </c>
      <c r="G56" s="355">
        <f>G18-F18</f>
        <v/>
      </c>
      <c r="H56" s="355">
        <f>H18-G18</f>
        <v/>
      </c>
      <c r="I56" s="355">
        <f>I18-H18</f>
        <v/>
      </c>
      <c r="J56" s="355">
        <f>J18-I18</f>
        <v/>
      </c>
      <c r="K56" s="355">
        <f>K18-J18</f>
        <v/>
      </c>
      <c r="L56" s="355">
        <f>L18-K18</f>
        <v/>
      </c>
      <c r="M56" s="355">
        <f>M18-L18</f>
        <v/>
      </c>
      <c r="N56" s="355">
        <f>N18-M18</f>
        <v/>
      </c>
      <c r="O56" s="355">
        <f>O18-N18</f>
        <v/>
      </c>
      <c r="P56" s="355">
        <f>P18-O18</f>
        <v/>
      </c>
      <c r="Q56" s="355">
        <f>Q18-P18</f>
        <v/>
      </c>
      <c r="R56" s="355">
        <f>R18-Q18</f>
        <v/>
      </c>
      <c r="S56" s="355">
        <f>S18-R18</f>
        <v/>
      </c>
      <c r="T56" s="355">
        <f>T18-S18</f>
        <v/>
      </c>
      <c r="U56" s="355">
        <f>U18-T18</f>
        <v/>
      </c>
      <c r="V56" s="355">
        <f>V18-U18</f>
        <v/>
      </c>
      <c r="W56" s="355">
        <f>W18-V18</f>
        <v/>
      </c>
      <c r="X56" s="355">
        <f>X18-W18</f>
        <v/>
      </c>
      <c r="Y56" s="355">
        <f>Y18-X18</f>
        <v/>
      </c>
      <c r="Z56" s="355">
        <f>Z18-Y18</f>
        <v/>
      </c>
      <c r="AA56" s="355">
        <f>AA18-Z18</f>
        <v/>
      </c>
      <c r="AB56" s="355">
        <f>AB18-AA18</f>
        <v/>
      </c>
      <c r="AC56" s="355">
        <f>AC18-AB18</f>
        <v/>
      </c>
      <c r="AD56" s="355">
        <f>AD18-AC18</f>
        <v/>
      </c>
      <c r="AE56" s="355">
        <f>AE18-AD18</f>
        <v/>
      </c>
      <c r="AF56" s="355">
        <f>AF18-AE18</f>
        <v/>
      </c>
      <c r="AG56" s="355">
        <f>AG18-AF18</f>
        <v/>
      </c>
      <c r="AH56" s="355">
        <f>AH18-AG18</f>
        <v/>
      </c>
      <c r="AI56" s="356">
        <f>SUM(E56:AH56)</f>
        <v/>
      </c>
    </row>
    <row r="57">
      <c r="A57" s="541" t="n"/>
      <c r="B57" s="541" t="n"/>
      <c r="C57" s="547" t="inlineStr">
        <is>
          <t>DG</t>
        </is>
      </c>
      <c r="D57" s="501" t="n"/>
      <c r="E57" s="355">
        <f>E19-D19</f>
        <v/>
      </c>
      <c r="F57" s="355">
        <f>F19-E19</f>
        <v/>
      </c>
      <c r="G57" s="355">
        <f>G19-F19</f>
        <v/>
      </c>
      <c r="H57" s="355">
        <f>H19-G19</f>
        <v/>
      </c>
      <c r="I57" s="355">
        <f>I19-H19</f>
        <v/>
      </c>
      <c r="J57" s="355">
        <f>J19-I19</f>
        <v/>
      </c>
      <c r="K57" s="355">
        <f>K19-J19</f>
        <v/>
      </c>
      <c r="L57" s="355">
        <f>L19-K19</f>
        <v/>
      </c>
      <c r="M57" s="355">
        <f>M19-L19</f>
        <v/>
      </c>
      <c r="N57" s="355">
        <f>N19-M19</f>
        <v/>
      </c>
      <c r="O57" s="355">
        <f>O19-N19</f>
        <v/>
      </c>
      <c r="P57" s="355">
        <f>P19-O19</f>
        <v/>
      </c>
      <c r="Q57" s="355">
        <f>Q19-P19</f>
        <v/>
      </c>
      <c r="R57" s="355">
        <f>R19-Q19</f>
        <v/>
      </c>
      <c r="S57" s="355">
        <f>S19-R19</f>
        <v/>
      </c>
      <c r="T57" s="355">
        <f>T19-S19</f>
        <v/>
      </c>
      <c r="U57" s="355">
        <f>U19-T19</f>
        <v/>
      </c>
      <c r="V57" s="355">
        <f>V19-U19</f>
        <v/>
      </c>
      <c r="W57" s="355">
        <f>W19-V19</f>
        <v/>
      </c>
      <c r="X57" s="355">
        <f>X19-W19</f>
        <v/>
      </c>
      <c r="Y57" s="355">
        <f>Y19-X19</f>
        <v/>
      </c>
      <c r="Z57" s="355">
        <f>Z19-Y19</f>
        <v/>
      </c>
      <c r="AA57" s="355">
        <f>AA19-Z19</f>
        <v/>
      </c>
      <c r="AB57" s="355">
        <f>AB19-AA19</f>
        <v/>
      </c>
      <c r="AC57" s="355">
        <f>AC19-AB19</f>
        <v/>
      </c>
      <c r="AD57" s="355">
        <f>AD19-AC19</f>
        <v/>
      </c>
      <c r="AE57" s="355">
        <f>AE19-AD19</f>
        <v/>
      </c>
      <c r="AF57" s="355">
        <f>AF19-AE19</f>
        <v/>
      </c>
      <c r="AG57" s="355">
        <f>AG19-AF19</f>
        <v/>
      </c>
      <c r="AH57" s="355">
        <f>AH19-AG19</f>
        <v/>
      </c>
      <c r="AI57" s="356">
        <f>SUM(E57:AH57)</f>
        <v/>
      </c>
    </row>
    <row r="58">
      <c r="A58" s="541" t="n">
        <v>8</v>
      </c>
      <c r="B58" s="541" t="inlineStr">
        <is>
          <t>3F</t>
        </is>
      </c>
      <c r="C58" s="541" t="inlineStr">
        <is>
          <t>SL No 540430038848 (EB Unit)</t>
        </is>
      </c>
      <c r="D58" s="501" t="n"/>
      <c r="E58" s="355">
        <f>E20-D20</f>
        <v/>
      </c>
      <c r="F58" s="355">
        <f>F20-E20</f>
        <v/>
      </c>
      <c r="G58" s="355">
        <f>G20-F20</f>
        <v/>
      </c>
      <c r="H58" s="355">
        <f>H20-G20</f>
        <v/>
      </c>
      <c r="I58" s="355">
        <f>I20-H20</f>
        <v/>
      </c>
      <c r="J58" s="355">
        <f>J20-I20</f>
        <v/>
      </c>
      <c r="K58" s="355">
        <f>K20-J20</f>
        <v/>
      </c>
      <c r="L58" s="355">
        <f>L20-K20</f>
        <v/>
      </c>
      <c r="M58" s="355">
        <f>M20-L20</f>
        <v/>
      </c>
      <c r="N58" s="355">
        <f>N20-M20</f>
        <v/>
      </c>
      <c r="O58" s="355">
        <f>O20-N20</f>
        <v/>
      </c>
      <c r="P58" s="355">
        <f>P20-O20</f>
        <v/>
      </c>
      <c r="Q58" s="355">
        <f>Q20-P20</f>
        <v/>
      </c>
      <c r="R58" s="355">
        <f>R20-Q20</f>
        <v/>
      </c>
      <c r="S58" s="355">
        <f>S20-R20</f>
        <v/>
      </c>
      <c r="T58" s="355">
        <f>T20-S20</f>
        <v/>
      </c>
      <c r="U58" s="355">
        <f>U20-T20</f>
        <v/>
      </c>
      <c r="V58" s="355">
        <f>V20-U20</f>
        <v/>
      </c>
      <c r="W58" s="355">
        <f>W20-V20</f>
        <v/>
      </c>
      <c r="X58" s="355">
        <f>X20-W20</f>
        <v/>
      </c>
      <c r="Y58" s="355">
        <f>Y20-X20</f>
        <v/>
      </c>
      <c r="Z58" s="355">
        <f>Z20-Y20</f>
        <v/>
      </c>
      <c r="AA58" s="355">
        <f>AA20-Z20</f>
        <v/>
      </c>
      <c r="AB58" s="355">
        <f>AB20-AA20</f>
        <v/>
      </c>
      <c r="AC58" s="355">
        <f>AC20-AB20</f>
        <v/>
      </c>
      <c r="AD58" s="355">
        <f>AD20-AC20</f>
        <v/>
      </c>
      <c r="AE58" s="355">
        <f>AE20-AD20</f>
        <v/>
      </c>
      <c r="AF58" s="355">
        <f>AF20-AE20</f>
        <v/>
      </c>
      <c r="AG58" s="355">
        <f>AG20-AF20</f>
        <v/>
      </c>
      <c r="AH58" s="355">
        <f>AH20-AG20</f>
        <v/>
      </c>
      <c r="AI58" s="356">
        <f>SUM(E58:AH58)</f>
        <v/>
      </c>
    </row>
    <row r="59" ht="12.75" customHeight="1" s="488">
      <c r="A59" s="541" t="n"/>
      <c r="B59" s="541" t="n"/>
      <c r="C59" s="547" t="inlineStr">
        <is>
          <t>DG</t>
        </is>
      </c>
      <c r="D59" s="501" t="n"/>
      <c r="E59" s="355">
        <f>E21-D21</f>
        <v/>
      </c>
      <c r="F59" s="355">
        <f>F21-E21</f>
        <v/>
      </c>
      <c r="G59" s="355">
        <f>G21-F21</f>
        <v/>
      </c>
      <c r="H59" s="355">
        <f>H21-G21</f>
        <v/>
      </c>
      <c r="I59" s="355">
        <f>I21-H21</f>
        <v/>
      </c>
      <c r="J59" s="355">
        <f>J21-I21</f>
        <v/>
      </c>
      <c r="K59" s="355">
        <f>K21-J21</f>
        <v/>
      </c>
      <c r="L59" s="355">
        <f>L21-K21</f>
        <v/>
      </c>
      <c r="M59" s="355">
        <f>M21-L21</f>
        <v/>
      </c>
      <c r="N59" s="355">
        <f>N21-M21</f>
        <v/>
      </c>
      <c r="O59" s="355">
        <f>O21-N21</f>
        <v/>
      </c>
      <c r="P59" s="355">
        <f>P21-O21</f>
        <v/>
      </c>
      <c r="Q59" s="355">
        <f>Q21-P21</f>
        <v/>
      </c>
      <c r="R59" s="355">
        <f>R21-Q21</f>
        <v/>
      </c>
      <c r="S59" s="355">
        <f>S21-R21</f>
        <v/>
      </c>
      <c r="T59" s="355">
        <f>T21-S21</f>
        <v/>
      </c>
      <c r="U59" s="355">
        <f>U21-T21</f>
        <v/>
      </c>
      <c r="V59" s="355">
        <f>V21-U21</f>
        <v/>
      </c>
      <c r="W59" s="355">
        <f>W21-V21</f>
        <v/>
      </c>
      <c r="X59" s="355">
        <f>X21-W21</f>
        <v/>
      </c>
      <c r="Y59" s="355">
        <f>Y21-X21</f>
        <v/>
      </c>
      <c r="Z59" s="355">
        <f>Z21-Y21</f>
        <v/>
      </c>
      <c r="AA59" s="355">
        <f>AA21-Z21</f>
        <v/>
      </c>
      <c r="AB59" s="355">
        <f>AB21-AA21</f>
        <v/>
      </c>
      <c r="AC59" s="355">
        <f>AC21-AB21</f>
        <v/>
      </c>
      <c r="AD59" s="355">
        <f>AD21-AC21</f>
        <v/>
      </c>
      <c r="AE59" s="355">
        <f>AE21-AD21</f>
        <v/>
      </c>
      <c r="AF59" s="355">
        <f>AF21-AE21</f>
        <v/>
      </c>
      <c r="AG59" s="355">
        <f>AG21-AF21</f>
        <v/>
      </c>
      <c r="AH59" s="355">
        <f>AH21-AG21</f>
        <v/>
      </c>
      <c r="AI59" s="356">
        <f>SUM(E59:AH59)</f>
        <v/>
      </c>
    </row>
    <row r="60">
      <c r="A60" s="357" t="n"/>
      <c r="B60" s="357" t="n"/>
      <c r="C60" s="553" t="inlineStr">
        <is>
          <t>Total Power - EB Unit</t>
        </is>
      </c>
      <c r="D60" s="501" t="n"/>
      <c r="E60" s="358">
        <f>SUM(E58,E56,E54,E52,E50,E48,E46,E44)</f>
        <v/>
      </c>
      <c r="F60" s="358">
        <f>SUM(F58,F56,F54,F52,F50,F48,F46,F44)</f>
        <v/>
      </c>
      <c r="G60" s="358">
        <f>SUM(G58,G56,G54,G52,G50,G48,G46,G44)</f>
        <v/>
      </c>
      <c r="H60" s="358">
        <f>SUM(H58,H56,H54,H52,H50,H48,H46,H44)</f>
        <v/>
      </c>
      <c r="I60" s="358">
        <f>SUM(I58,I56,I54,I52,I50,I48,I46,I44)</f>
        <v/>
      </c>
      <c r="J60" s="358">
        <f>SUM(J58,J56,J54,J52,J50,J48,J46,J44)</f>
        <v/>
      </c>
      <c r="K60" s="358">
        <f>SUM(K58,K56,K54,K52,K50,K48,K46,K44)</f>
        <v/>
      </c>
      <c r="L60" s="358">
        <f>SUM(L58,L56,L54,L52,L50,L48,L46,L44)</f>
        <v/>
      </c>
      <c r="M60" s="358">
        <f>SUM(M58,M56,M54,M52,M50,M48,M46,M44)</f>
        <v/>
      </c>
      <c r="N60" s="358">
        <f>SUM(N58,N56,N54,N52,N50,N48,N46,N44)</f>
        <v/>
      </c>
      <c r="O60" s="358">
        <f>SUM(O58,O56,O54,O52,O50,O48,O46,O44)</f>
        <v/>
      </c>
      <c r="P60" s="358">
        <f>SUM(P58,P56,P54,P52,P50,P48,P46,P44)</f>
        <v/>
      </c>
      <c r="Q60" s="358">
        <f>SUM(Q58,Q56,Q54,Q52,Q50,Q48,Q46,Q44)</f>
        <v/>
      </c>
      <c r="R60" s="358">
        <f>SUM(R58,R56,R54,R52,R50,R48,R46,R44)</f>
        <v/>
      </c>
      <c r="S60" s="358">
        <f>SUM(S58,S56,S54,S52,S50,S48,S46,S44)</f>
        <v/>
      </c>
      <c r="T60" s="358">
        <f>SUM(T58,T56,T54,T52,T50,T48,T46,T44)</f>
        <v/>
      </c>
      <c r="U60" s="358">
        <f>SUM(U58,U56,U54,U52,U50,U48,U46,U44)</f>
        <v/>
      </c>
      <c r="V60" s="358">
        <f>SUM(V58,V56,V54,V52,V50,V48,V46,V44)</f>
        <v/>
      </c>
      <c r="W60" s="358">
        <f>SUM(W58,W56,W54,W52,W50,W48,W46,W44)</f>
        <v/>
      </c>
      <c r="X60" s="358">
        <f>SUM(X58,X56,X54,X52,X50,X48,X46,X44)</f>
        <v/>
      </c>
      <c r="Y60" s="358">
        <f>SUM(Y58,Y56,Y54,Y52,Y50,Y48,Y46,Y44)</f>
        <v/>
      </c>
      <c r="Z60" s="358">
        <f>SUM(Z58,Z56,Z54,Z52,Z50,Z48,Z46,Z44)</f>
        <v/>
      </c>
      <c r="AA60" s="358">
        <f>SUM(AA58,AA56,AA54,AA52,AA50,AA48,AA46,AA44)</f>
        <v/>
      </c>
      <c r="AB60" s="358">
        <f>SUM(AB58,AB56,AB54,AB52,AB50,AB48,AB46,AB44)</f>
        <v/>
      </c>
      <c r="AC60" s="358">
        <f>SUM(AC58,AC56,AC54,AC52,AC50,AC48,AC46,AC44)</f>
        <v/>
      </c>
      <c r="AD60" s="358">
        <f>SUM(AD58,AD56,AD54,AD52,AD50,AD48,AD46,AD44)</f>
        <v/>
      </c>
      <c r="AE60" s="358">
        <f>SUM(AE58,AE56,AE54,AE52,AE50,AE48,AE46,AE44)</f>
        <v/>
      </c>
      <c r="AF60" s="358">
        <f>SUM(AF58,AF56,AF54,AF52,AF50,AF48,AF46,AF44)</f>
        <v/>
      </c>
      <c r="AG60" s="358">
        <f>SUM(AG58,AG56,AG54,AG52,AG50,AG48,AG46,AG44)</f>
        <v/>
      </c>
      <c r="AH60" s="358">
        <f>SUM(AH58,AH56,AH54,AH52,AH50,AH48,AH46,AH44)</f>
        <v/>
      </c>
      <c r="AI60" s="359">
        <f>SUM(AI44,AI46,AI48,AI50,AI52,AI54,AI56,AI58)</f>
        <v/>
      </c>
    </row>
    <row r="61" ht="16.5" customHeight="1" s="488">
      <c r="A61" s="357" t="n"/>
      <c r="B61" s="357" t="n"/>
      <c r="C61" s="360" t="inlineStr">
        <is>
          <t>Total Power- DG</t>
        </is>
      </c>
      <c r="D61" s="361" t="n"/>
      <c r="E61" s="358">
        <f>SUM(E45,E47,E49,E51,E53,E55,E57,E59)</f>
        <v/>
      </c>
      <c r="F61" s="358">
        <f>SUM(F45,F47,F49,F51,F53,F55,F57,F59)</f>
        <v/>
      </c>
      <c r="G61" s="358">
        <f>SUM(G45,G47,G49,G51,G53,G55,G57,G59)</f>
        <v/>
      </c>
      <c r="H61" s="358">
        <f>SUM(H45,H47,H49,H51,H53,H55,H57,H59)</f>
        <v/>
      </c>
      <c r="I61" s="358">
        <f>SUM(I45,I47,I49,I51,I53,I55,I57,I59)</f>
        <v/>
      </c>
      <c r="J61" s="358">
        <f>SUM(J45,J47,J49,J51,J53,J55,J57,J59)</f>
        <v/>
      </c>
      <c r="K61" s="358">
        <f>SUM(K45,K47,K49,K51,K53,K55,K57,K59)</f>
        <v/>
      </c>
      <c r="L61" s="358">
        <f>SUM(L45,L47,L49,L51,L53,L55,L57,L59)</f>
        <v/>
      </c>
      <c r="M61" s="358">
        <f>SUM(M45,M47,M49,M51,M53,M55,M57,M59)</f>
        <v/>
      </c>
      <c r="N61" s="358">
        <f>SUM(N45,N47,N49,N51,N53,N55,N57,N59)</f>
        <v/>
      </c>
      <c r="O61" s="358">
        <f>SUM(O45,O47,O49,O51,O53,O55,O57,O59)</f>
        <v/>
      </c>
      <c r="P61" s="358">
        <f>SUM(P45,P47,P49,P51,P53,P55,P57,P59)</f>
        <v/>
      </c>
      <c r="Q61" s="358">
        <f>SUM(Q45,Q47,Q49,Q51,Q53,Q55,Q57,Q59)</f>
        <v/>
      </c>
      <c r="R61" s="358">
        <f>SUM(R45,R47,R49,R51,R53,R55,R57,R59)</f>
        <v/>
      </c>
      <c r="S61" s="358">
        <f>SUM(S45,S47,S49,S51,S53,S55,S57,S59)</f>
        <v/>
      </c>
      <c r="T61" s="358">
        <f>SUM(T45,T47,T49,T51,T53,T55,T57,T59)</f>
        <v/>
      </c>
      <c r="U61" s="358">
        <f>SUM(U45,U47,U49,U51,U53,U55,U57,U59)</f>
        <v/>
      </c>
      <c r="V61" s="358">
        <f>SUM(V45,V47,V49,V51,V53,V55,V57,V59)</f>
        <v/>
      </c>
      <c r="W61" s="358">
        <f>SUM(W45,W47,W49,W51,W53,W55,W57,W59)</f>
        <v/>
      </c>
      <c r="X61" s="358">
        <f>SUM(X45,X47,X49,X51,X53,X55,X57,X59)</f>
        <v/>
      </c>
      <c r="Y61" s="358">
        <f>SUM(Y45,Y47,Y49,Y51,Y53,Y55,Y57,Y59)</f>
        <v/>
      </c>
      <c r="Z61" s="358">
        <f>SUM(Z45,Z47,Z49,Z51,Z53,Z55,Z57,Z59)</f>
        <v/>
      </c>
      <c r="AA61" s="358">
        <f>SUM(AA45,AA47,AA49,AA51,AA53,AA55,AA57,AA59)</f>
        <v/>
      </c>
      <c r="AB61" s="358">
        <f>SUM(AB45,AB47,AB49,AB51,AB53,AB55,AB57,AB59)</f>
        <v/>
      </c>
      <c r="AC61" s="358">
        <f>SUM(AC45,AC47,AC49,AC51,AC53,AC55,AC57,AC59)</f>
        <v/>
      </c>
      <c r="AD61" s="358">
        <f>SUM(AD45,AD47,AD49,AD51,AD53,AD55,AD57,AD59)</f>
        <v/>
      </c>
      <c r="AE61" s="358">
        <f>SUM(AE45,AE47,AE49,AE51,AE53,AE55,AE57,AE59)</f>
        <v/>
      </c>
      <c r="AF61" s="358">
        <f>SUM(AF45,AF47,AF49,AF51,AF53,AF55,AF57,AF59)</f>
        <v/>
      </c>
      <c r="AG61" s="358">
        <f>SUM(AG45,AG47,AG49,AG51,AG53,AG55,AG57,AG59)</f>
        <v/>
      </c>
      <c r="AH61" s="358">
        <f>SUM(AH45,AH47,AH49,AH51,AH53,AH55,AH57,AH59)</f>
        <v/>
      </c>
      <c r="AI61" s="359">
        <f>SUM(AI59,AI57,AI55,AI53,AI51,AI49,AI47,AI45)</f>
        <v/>
      </c>
    </row>
    <row r="62">
      <c r="A62" s="555" t="n"/>
      <c r="B62" s="555" t="n"/>
      <c r="C62" s="545" t="inlineStr">
        <is>
          <t>Total Power Cumulative</t>
        </is>
      </c>
      <c r="D62" s="501" t="n"/>
      <c r="E62" s="363">
        <f>E60</f>
        <v/>
      </c>
      <c r="F62" s="363">
        <f>F60</f>
        <v/>
      </c>
      <c r="G62" s="363">
        <f>G60</f>
        <v/>
      </c>
      <c r="H62" s="363">
        <f>H60</f>
        <v/>
      </c>
      <c r="I62" s="363">
        <f>I60</f>
        <v/>
      </c>
      <c r="J62" s="363">
        <f>J60</f>
        <v/>
      </c>
      <c r="K62" s="363">
        <f>K60</f>
        <v/>
      </c>
      <c r="L62" s="363">
        <f>L60</f>
        <v/>
      </c>
      <c r="M62" s="363">
        <f>M60</f>
        <v/>
      </c>
      <c r="N62" s="363">
        <f>N60</f>
        <v/>
      </c>
      <c r="O62" s="363">
        <f>O60</f>
        <v/>
      </c>
      <c r="P62" s="363">
        <f>P60</f>
        <v/>
      </c>
      <c r="Q62" s="363">
        <f>Q60</f>
        <v/>
      </c>
      <c r="R62" s="363">
        <f>R60</f>
        <v/>
      </c>
      <c r="S62" s="363">
        <f>S60</f>
        <v/>
      </c>
      <c r="T62" s="363">
        <f>T60</f>
        <v/>
      </c>
      <c r="U62" s="363">
        <f>U60</f>
        <v/>
      </c>
      <c r="V62" s="363">
        <f>V60</f>
        <v/>
      </c>
      <c r="W62" s="363">
        <f>W60</f>
        <v/>
      </c>
      <c r="X62" s="363">
        <f>X60</f>
        <v/>
      </c>
      <c r="Y62" s="363">
        <f>Y60</f>
        <v/>
      </c>
      <c r="Z62" s="363">
        <f>Z60</f>
        <v/>
      </c>
      <c r="AA62" s="363">
        <f>AA60</f>
        <v/>
      </c>
      <c r="AB62" s="363">
        <f>AB60</f>
        <v/>
      </c>
      <c r="AC62" s="363">
        <f>AC60</f>
        <v/>
      </c>
      <c r="AD62" s="363">
        <f>AD60</f>
        <v/>
      </c>
      <c r="AE62" s="363">
        <f>AE60</f>
        <v/>
      </c>
      <c r="AF62" s="363">
        <f>AF60</f>
        <v/>
      </c>
      <c r="AG62" s="363">
        <f>AG60</f>
        <v/>
      </c>
      <c r="AH62" s="363">
        <f>AH60</f>
        <v/>
      </c>
      <c r="AI62" s="363">
        <f>AI60</f>
        <v/>
      </c>
    </row>
    <row r="63">
      <c r="A63" s="351" t="n"/>
      <c r="B63" s="560" t="n"/>
      <c r="C63" s="365" t="n"/>
      <c r="D63" s="366" t="n"/>
      <c r="E63" s="351" t="n"/>
      <c r="F63" s="351" t="n"/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</row>
    <row r="64">
      <c r="A64" s="367" t="inlineStr">
        <is>
          <t>S No</t>
        </is>
      </c>
      <c r="B64" s="367" t="inlineStr">
        <is>
          <t>Location</t>
        </is>
      </c>
      <c r="C64" s="552" t="inlineStr">
        <is>
          <t>Meter</t>
        </is>
      </c>
      <c r="D64" s="501" t="n"/>
      <c r="E64" s="367" t="n"/>
      <c r="F64" s="367" t="n"/>
      <c r="G64" s="367" t="n"/>
      <c r="H64" s="367" t="n"/>
      <c r="I64" s="367" t="n"/>
      <c r="J64" s="367" t="n"/>
      <c r="K64" s="367" t="n"/>
      <c r="L64" s="367" t="n"/>
      <c r="M64" s="367" t="n"/>
      <c r="N64" s="367" t="n"/>
      <c r="O64" s="367" t="n"/>
      <c r="P64" s="367" t="n"/>
      <c r="Q64" s="367" t="n"/>
      <c r="R64" s="367" t="n"/>
      <c r="S64" s="367" t="n"/>
      <c r="T64" s="367" t="n"/>
      <c r="U64" s="367" t="n"/>
      <c r="V64" s="367" t="n"/>
      <c r="W64" s="367" t="n"/>
      <c r="X64" s="367" t="n"/>
      <c r="Y64" s="367" t="n"/>
      <c r="Z64" s="367" t="n"/>
      <c r="AA64" s="367" t="n"/>
      <c r="AB64" s="367" t="n"/>
      <c r="AC64" s="367" t="n"/>
      <c r="AD64" s="367" t="n"/>
      <c r="AE64" s="367" t="n"/>
      <c r="AF64" s="367" t="n"/>
      <c r="AG64" s="367" t="n"/>
      <c r="AH64" s="367" t="n"/>
      <c r="AI64" s="368" t="n"/>
    </row>
    <row r="65">
      <c r="A65" s="541" t="n">
        <v>1</v>
      </c>
      <c r="B65" s="541" t="inlineStr">
        <is>
          <t>3F</t>
        </is>
      </c>
      <c r="C65" s="558" t="inlineStr">
        <is>
          <t>AHU1</t>
        </is>
      </c>
      <c r="D65" s="501" t="n"/>
      <c r="E65" s="363">
        <f>E23-D23</f>
        <v/>
      </c>
      <c r="F65" s="363">
        <f>F23-E23</f>
        <v/>
      </c>
      <c r="G65" s="363">
        <f>G23-F23</f>
        <v/>
      </c>
      <c r="H65" s="363">
        <f>H23-G23</f>
        <v/>
      </c>
      <c r="I65" s="363">
        <f>I23-H23</f>
        <v/>
      </c>
      <c r="J65" s="363">
        <f>J23-I23</f>
        <v/>
      </c>
      <c r="K65" s="363">
        <f>K23-J23</f>
        <v/>
      </c>
      <c r="L65" s="363">
        <f>L23-K23</f>
        <v/>
      </c>
      <c r="M65" s="363">
        <f>M23-L23</f>
        <v/>
      </c>
      <c r="N65" s="363">
        <f>N23-M23</f>
        <v/>
      </c>
      <c r="O65" s="363">
        <f>O23-N23</f>
        <v/>
      </c>
      <c r="P65" s="363">
        <f>P23-O23</f>
        <v/>
      </c>
      <c r="Q65" s="363">
        <f>Q23-P23</f>
        <v/>
      </c>
      <c r="R65" s="363">
        <f>R23-Q23</f>
        <v/>
      </c>
      <c r="S65" s="363">
        <f>S23-R23</f>
        <v/>
      </c>
      <c r="T65" s="363">
        <f>T23-S23</f>
        <v/>
      </c>
      <c r="U65" s="363">
        <f>U23-T23</f>
        <v/>
      </c>
      <c r="V65" s="363">
        <f>V23-U23</f>
        <v/>
      </c>
      <c r="W65" s="363">
        <f>W23-V23</f>
        <v/>
      </c>
      <c r="X65" s="363">
        <f>X23-W23</f>
        <v/>
      </c>
      <c r="Y65" s="363">
        <f>Y23-X23</f>
        <v/>
      </c>
      <c r="Z65" s="363">
        <f>Z23-Y23</f>
        <v/>
      </c>
      <c r="AA65" s="363">
        <f>AA23-Z23</f>
        <v/>
      </c>
      <c r="AB65" s="363">
        <f>AB23-AA23</f>
        <v/>
      </c>
      <c r="AC65" s="363">
        <f>AC23-AB23</f>
        <v/>
      </c>
      <c r="AD65" s="363">
        <f>AD23-AC23</f>
        <v/>
      </c>
      <c r="AE65" s="363">
        <f>AE23-AD23</f>
        <v/>
      </c>
      <c r="AF65" s="363">
        <f>AF23-AE23</f>
        <v/>
      </c>
      <c r="AG65" s="363">
        <f>AG23-AF23</f>
        <v/>
      </c>
      <c r="AH65" s="363">
        <f>AH23-AG23</f>
        <v/>
      </c>
      <c r="AI65" s="363">
        <f>SUM(E65:AH65)</f>
        <v/>
      </c>
    </row>
    <row r="66">
      <c r="A66" s="541" t="n"/>
      <c r="B66" s="541" t="n"/>
      <c r="C66" s="546" t="inlineStr">
        <is>
          <t>DG</t>
        </is>
      </c>
      <c r="D66" s="501" t="n"/>
      <c r="E66" s="363">
        <f>E24-D24</f>
        <v/>
      </c>
      <c r="F66" s="363">
        <f>F24-E24</f>
        <v/>
      </c>
      <c r="G66" s="363">
        <f>G24-F24</f>
        <v/>
      </c>
      <c r="H66" s="363">
        <f>H24-G24</f>
        <v/>
      </c>
      <c r="I66" s="363">
        <f>I24-H24</f>
        <v/>
      </c>
      <c r="J66" s="363">
        <f>J24-I24</f>
        <v/>
      </c>
      <c r="K66" s="363">
        <f>K24-J24</f>
        <v/>
      </c>
      <c r="L66" s="363">
        <f>L24-K24</f>
        <v/>
      </c>
      <c r="M66" s="363">
        <f>M24-L24</f>
        <v/>
      </c>
      <c r="N66" s="363">
        <f>N24-M24</f>
        <v/>
      </c>
      <c r="O66" s="363">
        <f>O24-N24</f>
        <v/>
      </c>
      <c r="P66" s="363">
        <f>P24-O24</f>
        <v/>
      </c>
      <c r="Q66" s="363">
        <f>Q24-P24</f>
        <v/>
      </c>
      <c r="R66" s="363">
        <f>R24-Q24</f>
        <v/>
      </c>
      <c r="S66" s="363">
        <f>S24-R24</f>
        <v/>
      </c>
      <c r="T66" s="363">
        <f>T24-S24</f>
        <v/>
      </c>
      <c r="U66" s="363">
        <f>U24-T24</f>
        <v/>
      </c>
      <c r="V66" s="363">
        <f>V24-U24</f>
        <v/>
      </c>
      <c r="W66" s="363">
        <f>W24-V24</f>
        <v/>
      </c>
      <c r="X66" s="363">
        <f>X24-W24</f>
        <v/>
      </c>
      <c r="Y66" s="363">
        <f>Y24-X24</f>
        <v/>
      </c>
      <c r="Z66" s="363">
        <f>Z24-Y24</f>
        <v/>
      </c>
      <c r="AA66" s="363">
        <f>AA24-Z24</f>
        <v/>
      </c>
      <c r="AB66" s="363">
        <f>AB24-AA24</f>
        <v/>
      </c>
      <c r="AC66" s="363">
        <f>AC24-AB24</f>
        <v/>
      </c>
      <c r="AD66" s="363">
        <f>AD24-AC24</f>
        <v/>
      </c>
      <c r="AE66" s="363">
        <f>AE24-AD24</f>
        <v/>
      </c>
      <c r="AF66" s="363">
        <f>AF24-AE24</f>
        <v/>
      </c>
      <c r="AG66" s="363">
        <f>AG24-AF24</f>
        <v/>
      </c>
      <c r="AH66" s="363">
        <f>AH24-AG24</f>
        <v/>
      </c>
      <c r="AI66" s="363">
        <f>SUM(E66:AH66)</f>
        <v/>
      </c>
    </row>
    <row r="67">
      <c r="A67" s="541" t="n">
        <v>2</v>
      </c>
      <c r="B67" s="541" t="inlineStr">
        <is>
          <t>3F</t>
        </is>
      </c>
      <c r="C67" s="558" t="inlineStr">
        <is>
          <t>AHU2</t>
        </is>
      </c>
      <c r="D67" s="501" t="n"/>
      <c r="E67" s="363">
        <f>E25-D25</f>
        <v/>
      </c>
      <c r="F67" s="363">
        <f>F25-E25</f>
        <v/>
      </c>
      <c r="G67" s="363">
        <f>G25-F25</f>
        <v/>
      </c>
      <c r="H67" s="363">
        <f>H25-G25</f>
        <v/>
      </c>
      <c r="I67" s="363">
        <f>I25-H25</f>
        <v/>
      </c>
      <c r="J67" s="363">
        <f>J25-I25</f>
        <v/>
      </c>
      <c r="K67" s="363">
        <f>K25-J25</f>
        <v/>
      </c>
      <c r="L67" s="363">
        <f>L25-K25</f>
        <v/>
      </c>
      <c r="M67" s="363">
        <f>M25-L25</f>
        <v/>
      </c>
      <c r="N67" s="363">
        <f>N25-M25</f>
        <v/>
      </c>
      <c r="O67" s="363">
        <f>O25-N25</f>
        <v/>
      </c>
      <c r="P67" s="363">
        <f>P25-O25</f>
        <v/>
      </c>
      <c r="Q67" s="363">
        <f>Q25-P25</f>
        <v/>
      </c>
      <c r="R67" s="363">
        <f>R25-Q25</f>
        <v/>
      </c>
      <c r="S67" s="363">
        <f>S25-R25</f>
        <v/>
      </c>
      <c r="T67" s="363">
        <f>T25-S25</f>
        <v/>
      </c>
      <c r="U67" s="363">
        <f>U25-T25</f>
        <v/>
      </c>
      <c r="V67" s="363">
        <f>V25-U25</f>
        <v/>
      </c>
      <c r="W67" s="363">
        <f>W25-V25</f>
        <v/>
      </c>
      <c r="X67" s="363">
        <f>X25-W25</f>
        <v/>
      </c>
      <c r="Y67" s="363">
        <f>Y25-X25</f>
        <v/>
      </c>
      <c r="Z67" s="363">
        <f>Z25-Y25</f>
        <v/>
      </c>
      <c r="AA67" s="363">
        <f>AA25-Z25</f>
        <v/>
      </c>
      <c r="AB67" s="363">
        <f>AB25-AA25</f>
        <v/>
      </c>
      <c r="AC67" s="363">
        <f>AC25-AB25</f>
        <v/>
      </c>
      <c r="AD67" s="363">
        <f>AD25-AC25</f>
        <v/>
      </c>
      <c r="AE67" s="363">
        <f>AE25-AD25</f>
        <v/>
      </c>
      <c r="AF67" s="363">
        <f>AF25-AE25</f>
        <v/>
      </c>
      <c r="AG67" s="363">
        <f>AG25-AF25</f>
        <v/>
      </c>
      <c r="AH67" s="363">
        <f>AH25-AG25</f>
        <v/>
      </c>
      <c r="AI67" s="363">
        <f>SUM(E67:AH67)</f>
        <v/>
      </c>
    </row>
    <row r="68">
      <c r="A68" s="541" t="n"/>
      <c r="B68" s="541" t="n"/>
      <c r="C68" s="546" t="inlineStr">
        <is>
          <t>DG</t>
        </is>
      </c>
      <c r="D68" s="501" t="n"/>
      <c r="E68" s="363">
        <f>E26-D26</f>
        <v/>
      </c>
      <c r="F68" s="363">
        <f>F26-E26</f>
        <v/>
      </c>
      <c r="G68" s="363">
        <f>G26-F26</f>
        <v/>
      </c>
      <c r="H68" s="363">
        <f>H26-G26</f>
        <v/>
      </c>
      <c r="I68" s="363">
        <f>I26-H26</f>
        <v/>
      </c>
      <c r="J68" s="363">
        <f>J26-I26</f>
        <v/>
      </c>
      <c r="K68" s="363">
        <f>K26-J26</f>
        <v/>
      </c>
      <c r="L68" s="363">
        <f>L26-K26</f>
        <v/>
      </c>
      <c r="M68" s="363">
        <f>M26-L26</f>
        <v/>
      </c>
      <c r="N68" s="363">
        <f>N26-M26</f>
        <v/>
      </c>
      <c r="O68" s="363">
        <f>O26-N26</f>
        <v/>
      </c>
      <c r="P68" s="363">
        <f>P26-O26</f>
        <v/>
      </c>
      <c r="Q68" s="363">
        <f>Q26-P26</f>
        <v/>
      </c>
      <c r="R68" s="363">
        <f>R26-Q26</f>
        <v/>
      </c>
      <c r="S68" s="363">
        <f>S26-R26</f>
        <v/>
      </c>
      <c r="T68" s="363">
        <f>T26-S26</f>
        <v/>
      </c>
      <c r="U68" s="363">
        <f>U26-T26</f>
        <v/>
      </c>
      <c r="V68" s="363">
        <f>V26-U26</f>
        <v/>
      </c>
      <c r="W68" s="363">
        <f>W26-V26</f>
        <v/>
      </c>
      <c r="X68" s="363">
        <f>X26-W26</f>
        <v/>
      </c>
      <c r="Y68" s="363">
        <f>Y26-X26</f>
        <v/>
      </c>
      <c r="Z68" s="363">
        <f>Z26-Y26</f>
        <v/>
      </c>
      <c r="AA68" s="363">
        <f>AA26-Z26</f>
        <v/>
      </c>
      <c r="AB68" s="363">
        <f>AB26-AA26</f>
        <v/>
      </c>
      <c r="AC68" s="363">
        <f>AC26-AB26</f>
        <v/>
      </c>
      <c r="AD68" s="363">
        <f>AD26-AC26</f>
        <v/>
      </c>
      <c r="AE68" s="363">
        <f>AE26-AD26</f>
        <v/>
      </c>
      <c r="AF68" s="363">
        <f>AF26-AE26</f>
        <v/>
      </c>
      <c r="AG68" s="363">
        <f>AG26-AF26</f>
        <v/>
      </c>
      <c r="AH68" s="363">
        <f>AH26-AG26</f>
        <v/>
      </c>
      <c r="AI68" s="363">
        <f>SUM(E68:AH68)</f>
        <v/>
      </c>
      <c r="AJ68" s="115" t="inlineStr">
        <is>
          <t>EB</t>
        </is>
      </c>
      <c r="AK68" s="116">
        <f>AI60</f>
        <v/>
      </c>
    </row>
    <row r="69">
      <c r="A69" s="541" t="n">
        <v>3</v>
      </c>
      <c r="B69" s="541" t="inlineStr">
        <is>
          <t>3F</t>
        </is>
      </c>
      <c r="C69" s="558" t="inlineStr">
        <is>
          <t>AHU3</t>
        </is>
      </c>
      <c r="D69" s="501" t="n"/>
      <c r="E69" s="363">
        <f>E27-D27</f>
        <v/>
      </c>
      <c r="F69" s="363">
        <f>F27-E27</f>
        <v/>
      </c>
      <c r="G69" s="363">
        <f>G27-F27</f>
        <v/>
      </c>
      <c r="H69" s="363">
        <f>H27-G27</f>
        <v/>
      </c>
      <c r="I69" s="363">
        <f>I27-H27</f>
        <v/>
      </c>
      <c r="J69" s="363">
        <f>J27-I27</f>
        <v/>
      </c>
      <c r="K69" s="363">
        <f>K27-J27</f>
        <v/>
      </c>
      <c r="L69" s="363">
        <f>L27-K27</f>
        <v/>
      </c>
      <c r="M69" s="363">
        <f>M27-L27</f>
        <v/>
      </c>
      <c r="N69" s="363">
        <f>N27-M27</f>
        <v/>
      </c>
      <c r="O69" s="363">
        <f>O27-N27</f>
        <v/>
      </c>
      <c r="P69" s="363">
        <f>P27-O27</f>
        <v/>
      </c>
      <c r="Q69" s="363">
        <f>Q27-P27</f>
        <v/>
      </c>
      <c r="R69" s="363">
        <f>R27-Q27</f>
        <v/>
      </c>
      <c r="S69" s="363">
        <f>S27-R27</f>
        <v/>
      </c>
      <c r="T69" s="363">
        <f>T27-S27</f>
        <v/>
      </c>
      <c r="U69" s="363">
        <f>U27-T27</f>
        <v/>
      </c>
      <c r="V69" s="363">
        <f>V27-U27</f>
        <v/>
      </c>
      <c r="W69" s="363">
        <f>W27-V27</f>
        <v/>
      </c>
      <c r="X69" s="363">
        <f>X27-W27</f>
        <v/>
      </c>
      <c r="Y69" s="363">
        <f>Y27-X27</f>
        <v/>
      </c>
      <c r="Z69" s="363">
        <f>Z27-Y27</f>
        <v/>
      </c>
      <c r="AA69" s="363">
        <f>AA27-Z27</f>
        <v/>
      </c>
      <c r="AB69" s="363">
        <f>AB27-AA27</f>
        <v/>
      </c>
      <c r="AC69" s="363">
        <f>AC27-AB27</f>
        <v/>
      </c>
      <c r="AD69" s="363">
        <f>AD27-AC27</f>
        <v/>
      </c>
      <c r="AE69" s="363">
        <f>AE27-AD27</f>
        <v/>
      </c>
      <c r="AF69" s="363">
        <f>AF27-AE27</f>
        <v/>
      </c>
      <c r="AG69" s="363">
        <f>AG27-AF27</f>
        <v/>
      </c>
      <c r="AH69" s="363">
        <f>AH27-AG27</f>
        <v/>
      </c>
      <c r="AI69" s="363">
        <f>SUM(E69:AH69)</f>
        <v/>
      </c>
      <c r="AJ69" s="115" t="inlineStr">
        <is>
          <t>AHU</t>
        </is>
      </c>
      <c r="AK69" s="116">
        <f>AI73</f>
        <v/>
      </c>
    </row>
    <row r="70">
      <c r="A70" s="541" t="n"/>
      <c r="B70" s="541" t="n"/>
      <c r="C70" s="546" t="inlineStr">
        <is>
          <t>DG</t>
        </is>
      </c>
      <c r="D70" s="501" t="n"/>
      <c r="E70" s="363">
        <f>E28-D28</f>
        <v/>
      </c>
      <c r="F70" s="363">
        <f>F28-E28</f>
        <v/>
      </c>
      <c r="G70" s="363">
        <f>G28-F28</f>
        <v/>
      </c>
      <c r="H70" s="363">
        <f>H28-G28</f>
        <v/>
      </c>
      <c r="I70" s="363">
        <f>I28-H28</f>
        <v/>
      </c>
      <c r="J70" s="363">
        <f>J28-I28</f>
        <v/>
      </c>
      <c r="K70" s="363">
        <f>K28-J28</f>
        <v/>
      </c>
      <c r="L70" s="363">
        <f>L28-K28</f>
        <v/>
      </c>
      <c r="M70" s="363">
        <f>M28-L28</f>
        <v/>
      </c>
      <c r="N70" s="363">
        <f>N28-M28</f>
        <v/>
      </c>
      <c r="O70" s="363">
        <f>O28-N28</f>
        <v/>
      </c>
      <c r="P70" s="363">
        <f>P28-O28</f>
        <v/>
      </c>
      <c r="Q70" s="363">
        <f>Q28-P28</f>
        <v/>
      </c>
      <c r="R70" s="363">
        <f>R28-Q28</f>
        <v/>
      </c>
      <c r="S70" s="363">
        <f>S28-R28</f>
        <v/>
      </c>
      <c r="T70" s="363">
        <f>T28-S28</f>
        <v/>
      </c>
      <c r="U70" s="363">
        <f>U28-T28</f>
        <v/>
      </c>
      <c r="V70" s="363">
        <f>V28-U28</f>
        <v/>
      </c>
      <c r="W70" s="363">
        <f>W28-V28</f>
        <v/>
      </c>
      <c r="X70" s="363">
        <f>X28-W28</f>
        <v/>
      </c>
      <c r="Y70" s="363">
        <f>Y28-X28</f>
        <v/>
      </c>
      <c r="Z70" s="363">
        <f>Z28-Y28</f>
        <v/>
      </c>
      <c r="AA70" s="363">
        <f>AA28-Z28</f>
        <v/>
      </c>
      <c r="AB70" s="363">
        <f>AB28-AA28</f>
        <v/>
      </c>
      <c r="AC70" s="363">
        <f>AC28-AB28</f>
        <v/>
      </c>
      <c r="AD70" s="363">
        <f>AD28-AC28</f>
        <v/>
      </c>
      <c r="AE70" s="363">
        <f>AE28-AD28</f>
        <v/>
      </c>
      <c r="AF70" s="363">
        <f>AF28-AE28</f>
        <v/>
      </c>
      <c r="AG70" s="363">
        <f>AG28-AF28</f>
        <v/>
      </c>
      <c r="AH70" s="363">
        <f>AH28-AG28</f>
        <v/>
      </c>
      <c r="AI70" s="363">
        <f>SUM(E70:AH70)</f>
        <v/>
      </c>
      <c r="AJ70" s="115" t="inlineStr">
        <is>
          <t>BTU</t>
        </is>
      </c>
      <c r="AK70" s="116">
        <f>AI79*40%</f>
        <v/>
      </c>
    </row>
    <row r="71">
      <c r="A71" s="541" t="n">
        <v>4</v>
      </c>
      <c r="B71" s="541" t="inlineStr">
        <is>
          <t>3F</t>
        </is>
      </c>
      <c r="C71" s="558" t="inlineStr">
        <is>
          <t>AHU4</t>
        </is>
      </c>
      <c r="D71" s="501" t="n"/>
      <c r="E71" s="363">
        <f>E29-D29</f>
        <v/>
      </c>
      <c r="F71" s="363">
        <f>F29-E29</f>
        <v/>
      </c>
      <c r="G71" s="363">
        <f>G29-F29</f>
        <v/>
      </c>
      <c r="H71" s="363">
        <f>H29-G29</f>
        <v/>
      </c>
      <c r="I71" s="363">
        <f>I29-H29</f>
        <v/>
      </c>
      <c r="J71" s="363">
        <f>J29-I29</f>
        <v/>
      </c>
      <c r="K71" s="363">
        <f>K29-J29</f>
        <v/>
      </c>
      <c r="L71" s="363">
        <f>L29-K29</f>
        <v/>
      </c>
      <c r="M71" s="363">
        <f>M29-L29</f>
        <v/>
      </c>
      <c r="N71" s="363">
        <f>N29-M29</f>
        <v/>
      </c>
      <c r="O71" s="363">
        <f>O29-N29</f>
        <v/>
      </c>
      <c r="P71" s="363">
        <f>P29-O29</f>
        <v/>
      </c>
      <c r="Q71" s="363">
        <f>Q29-P29</f>
        <v/>
      </c>
      <c r="R71" s="363">
        <f>R29-Q29</f>
        <v/>
      </c>
      <c r="S71" s="363">
        <f>S29-R29</f>
        <v/>
      </c>
      <c r="T71" s="363">
        <f>T29-S29</f>
        <v/>
      </c>
      <c r="U71" s="363">
        <f>U29-T29</f>
        <v/>
      </c>
      <c r="V71" s="363">
        <f>V29-U29</f>
        <v/>
      </c>
      <c r="W71" s="363">
        <f>W29-V29</f>
        <v/>
      </c>
      <c r="X71" s="363">
        <f>X29-W29</f>
        <v/>
      </c>
      <c r="Y71" s="363">
        <f>Y29-X29</f>
        <v/>
      </c>
      <c r="Z71" s="363">
        <f>Z29-Y29</f>
        <v/>
      </c>
      <c r="AA71" s="363">
        <f>AA29-Z29</f>
        <v/>
      </c>
      <c r="AB71" s="363">
        <f>AB29-AA29</f>
        <v/>
      </c>
      <c r="AC71" s="363">
        <f>AC29-AB29</f>
        <v/>
      </c>
      <c r="AD71" s="363">
        <f>AD29-AC29</f>
        <v/>
      </c>
      <c r="AE71" s="363">
        <f>AE29-AD29</f>
        <v/>
      </c>
      <c r="AF71" s="363">
        <f>AF29-AE29</f>
        <v/>
      </c>
      <c r="AG71" s="363">
        <f>AG29-AF29</f>
        <v/>
      </c>
      <c r="AH71" s="363">
        <f>AH29-AG29</f>
        <v/>
      </c>
      <c r="AI71" s="363">
        <f>SUM(E71:AH71)</f>
        <v/>
      </c>
      <c r="AJ71" s="117" t="inlineStr">
        <is>
          <t>DG</t>
        </is>
      </c>
      <c r="AK71" s="118">
        <f>AI74+AI61</f>
        <v/>
      </c>
    </row>
    <row r="72">
      <c r="A72" s="541" t="n"/>
      <c r="B72" s="541" t="n"/>
      <c r="C72" s="546" t="inlineStr">
        <is>
          <t>DG</t>
        </is>
      </c>
      <c r="D72" s="501" t="n"/>
      <c r="E72" s="363">
        <f>E30-D30</f>
        <v/>
      </c>
      <c r="F72" s="363">
        <f>F30-E30</f>
        <v/>
      </c>
      <c r="G72" s="363">
        <f>G30-F30</f>
        <v/>
      </c>
      <c r="H72" s="363">
        <f>H30-G30</f>
        <v/>
      </c>
      <c r="I72" s="363">
        <f>I30-H30</f>
        <v/>
      </c>
      <c r="J72" s="363">
        <f>J30-I30</f>
        <v/>
      </c>
      <c r="K72" s="363">
        <f>K30-J30</f>
        <v/>
      </c>
      <c r="L72" s="363">
        <f>L30-K30</f>
        <v/>
      </c>
      <c r="M72" s="363">
        <f>M30-L30</f>
        <v/>
      </c>
      <c r="N72" s="363">
        <f>N30-M30</f>
        <v/>
      </c>
      <c r="O72" s="363">
        <f>O30-N30</f>
        <v/>
      </c>
      <c r="P72" s="363">
        <f>P30-O30</f>
        <v/>
      </c>
      <c r="Q72" s="363">
        <f>Q30-P30</f>
        <v/>
      </c>
      <c r="R72" s="363">
        <f>R30-Q30</f>
        <v/>
      </c>
      <c r="S72" s="363">
        <f>S30-R30</f>
        <v/>
      </c>
      <c r="T72" s="363">
        <f>T30-S30</f>
        <v/>
      </c>
      <c r="U72" s="363">
        <f>U30-T30</f>
        <v/>
      </c>
      <c r="V72" s="363">
        <f>V30-U30</f>
        <v/>
      </c>
      <c r="W72" s="363">
        <f>W30-V30</f>
        <v/>
      </c>
      <c r="X72" s="363">
        <f>X30-W30</f>
        <v/>
      </c>
      <c r="Y72" s="363">
        <f>Y30-X30</f>
        <v/>
      </c>
      <c r="Z72" s="363">
        <f>Z30-Y30</f>
        <v/>
      </c>
      <c r="AA72" s="363">
        <f>AA30-Z30</f>
        <v/>
      </c>
      <c r="AB72" s="363">
        <f>AB30-AA30</f>
        <v/>
      </c>
      <c r="AC72" s="363">
        <f>AC30-AB30</f>
        <v/>
      </c>
      <c r="AD72" s="363">
        <f>AD30-AC30</f>
        <v/>
      </c>
      <c r="AE72" s="363">
        <f>AE30-AD30</f>
        <v/>
      </c>
      <c r="AF72" s="363">
        <f>AF30-AE30</f>
        <v/>
      </c>
      <c r="AG72" s="363">
        <f>AG30-AF30</f>
        <v/>
      </c>
      <c r="AH72" s="363">
        <f>AH30-AG30</f>
        <v/>
      </c>
      <c r="AI72" s="363">
        <f>SUM(E72:AH72)</f>
        <v/>
      </c>
      <c r="AK72" s="64" t="n"/>
    </row>
    <row r="73" ht="27" customHeight="1" s="488">
      <c r="A73" s="357" t="n"/>
      <c r="B73" s="357" t="n"/>
      <c r="C73" s="553" t="inlineStr">
        <is>
          <t>Total AHU Power Consumption</t>
        </is>
      </c>
      <c r="D73" s="501" t="n"/>
      <c r="E73" s="358">
        <f>SUM(E65,E67,E69,E71)</f>
        <v/>
      </c>
      <c r="F73" s="358">
        <f>SUM(F65,F67,F69,F71)</f>
        <v/>
      </c>
      <c r="G73" s="358">
        <f>SUM(G65,G67,G69,G71)</f>
        <v/>
      </c>
      <c r="H73" s="358">
        <f>SUM(H65,H67,H69,H71)</f>
        <v/>
      </c>
      <c r="I73" s="358">
        <f>SUM(I65,I67,I69,I71)</f>
        <v/>
      </c>
      <c r="J73" s="358">
        <f>SUM(J65,J67,J69,J71)</f>
        <v/>
      </c>
      <c r="K73" s="358">
        <f>SUM(K65,K67,K69,K71)</f>
        <v/>
      </c>
      <c r="L73" s="358">
        <f>SUM(L65,L67,L69,L71)</f>
        <v/>
      </c>
      <c r="M73" s="358">
        <f>SUM(M65,M67,M69,M71)</f>
        <v/>
      </c>
      <c r="N73" s="358">
        <f>SUM(N65,N67,N69,N71)</f>
        <v/>
      </c>
      <c r="O73" s="358">
        <f>SUM(O65,O67,O69,O71)</f>
        <v/>
      </c>
      <c r="P73" s="358">
        <f>SUM(P65,P67,P69,P71)</f>
        <v/>
      </c>
      <c r="Q73" s="358">
        <f>SUM(Q65,Q67,Q69,Q71)</f>
        <v/>
      </c>
      <c r="R73" s="358">
        <f>SUM(R65,R67,R69,R71)</f>
        <v/>
      </c>
      <c r="S73" s="358">
        <f>SUM(S65,S67,S69,S71)</f>
        <v/>
      </c>
      <c r="T73" s="358">
        <f>SUM(T65,T67,T69,T71)</f>
        <v/>
      </c>
      <c r="U73" s="358">
        <f>SUM(U65,U67,U69,U71)</f>
        <v/>
      </c>
      <c r="V73" s="358">
        <f>SUM(V65,V67,V69,V71)</f>
        <v/>
      </c>
      <c r="W73" s="358">
        <f>SUM(W65,W67,W69,W71)</f>
        <v/>
      </c>
      <c r="X73" s="358">
        <f>SUM(X65,X67,X69,X71)</f>
        <v/>
      </c>
      <c r="Y73" s="358">
        <f>SUM(Y65,Y67,Y69,Y71)</f>
        <v/>
      </c>
      <c r="Z73" s="358">
        <f>SUM(Z65,Z67,Z69,Z71)</f>
        <v/>
      </c>
      <c r="AA73" s="358">
        <f>SUM(AA65,AA67,AA69,AA71)</f>
        <v/>
      </c>
      <c r="AB73" s="358">
        <f>SUM(AB65,AB67,AB69,AB71)</f>
        <v/>
      </c>
      <c r="AC73" s="358">
        <f>SUM(AC65,AC67,AC69,AC71)</f>
        <v/>
      </c>
      <c r="AD73" s="358">
        <f>SUM(AD65,AD67,AD69,AD71)</f>
        <v/>
      </c>
      <c r="AE73" s="358">
        <f>SUM(AE65,AE67,AE69,AE71)</f>
        <v/>
      </c>
      <c r="AF73" s="358">
        <f>SUM(AF65,AF67,AF69,AF71)</f>
        <v/>
      </c>
      <c r="AG73" s="358">
        <f>SUM(AG65,AG67,AG69,AG71)</f>
        <v/>
      </c>
      <c r="AH73" s="358">
        <f>SUM(AH65,AH67,AH69,AH71)</f>
        <v/>
      </c>
      <c r="AI73" s="358">
        <f>SUM(AI65,AI67,AI69,AI71)</f>
        <v/>
      </c>
    </row>
    <row r="74" ht="25.5" customHeight="1" s="488">
      <c r="A74" s="357" t="n"/>
      <c r="B74" s="357" t="n"/>
      <c r="C74" s="549" t="inlineStr">
        <is>
          <t>Total AHU DG consumption</t>
        </is>
      </c>
      <c r="D74" s="501" t="n"/>
      <c r="E74" s="358">
        <f>SUM(E66,E68,E70,E72)</f>
        <v/>
      </c>
      <c r="F74" s="358">
        <f>SUM(F66,F68,F70,F72)</f>
        <v/>
      </c>
      <c r="G74" s="358">
        <f>SUM(G66,G68,G70,G72)</f>
        <v/>
      </c>
      <c r="H74" s="358">
        <f>SUM(H66,H68,H70,H72)</f>
        <v/>
      </c>
      <c r="I74" s="358">
        <f>SUM(I66,I68,I70,I72)</f>
        <v/>
      </c>
      <c r="J74" s="358">
        <f>SUM(J66,J68,J70,J72)</f>
        <v/>
      </c>
      <c r="K74" s="358">
        <f>SUM(K66,K68,K70,K72)</f>
        <v/>
      </c>
      <c r="L74" s="358">
        <f>SUM(L66,L68,L70,L72)</f>
        <v/>
      </c>
      <c r="M74" s="358">
        <f>SUM(M66,M68,M70,M72)</f>
        <v/>
      </c>
      <c r="N74" s="358">
        <f>SUM(N66,N68,N70,N72)</f>
        <v/>
      </c>
      <c r="O74" s="358">
        <f>SUM(O66,O68,O70,O72)</f>
        <v/>
      </c>
      <c r="P74" s="358">
        <f>SUM(P66,P68,P70,P72)</f>
        <v/>
      </c>
      <c r="Q74" s="358">
        <f>SUM(Q66,Q68,Q70,Q72)</f>
        <v/>
      </c>
      <c r="R74" s="358">
        <f>SUM(R66,R68,R70,R72)</f>
        <v/>
      </c>
      <c r="S74" s="358">
        <f>SUM(S66,S68,S70,S72)</f>
        <v/>
      </c>
      <c r="T74" s="358">
        <f>SUM(T66,T68,T70,T72)</f>
        <v/>
      </c>
      <c r="U74" s="358">
        <f>SUM(U66,U68,U70,U72)</f>
        <v/>
      </c>
      <c r="V74" s="358">
        <f>SUM(V66,V68,V70,V72)</f>
        <v/>
      </c>
      <c r="W74" s="358">
        <f>SUM(W66,W68,W70,W72)</f>
        <v/>
      </c>
      <c r="X74" s="358">
        <f>SUM(X66,X68,X70,X72)</f>
        <v/>
      </c>
      <c r="Y74" s="358">
        <f>SUM(Y66,Y68,Y70,Y72)</f>
        <v/>
      </c>
      <c r="Z74" s="358">
        <f>SUM(Z66,Z68,Z70,Z72)</f>
        <v/>
      </c>
      <c r="AA74" s="358">
        <f>SUM(AA66,AA68,AA70,AA72)</f>
        <v/>
      </c>
      <c r="AB74" s="358">
        <f>SUM(AB66,AB68,AB70,AB72)</f>
        <v/>
      </c>
      <c r="AC74" s="358">
        <f>SUM(AC66,AC68,AC70,AC72)</f>
        <v/>
      </c>
      <c r="AD74" s="358">
        <f>SUM(AD66,AD68,AD70,AD72)</f>
        <v/>
      </c>
      <c r="AE74" s="358">
        <f>SUM(AE66,AE68,AE70,AE72)</f>
        <v/>
      </c>
      <c r="AF74" s="358">
        <f>SUM(AF66,AF68,AF70,AF72)</f>
        <v/>
      </c>
      <c r="AG74" s="358">
        <f>SUM(AG66,AG68,AG70,AG72)</f>
        <v/>
      </c>
      <c r="AH74" s="358">
        <f>SUM(AH66,AH68,AH70,AH72)</f>
        <v/>
      </c>
      <c r="AI74" s="358">
        <f>SUM(AI66,AI68,AI70,AI72)</f>
        <v/>
      </c>
    </row>
    <row r="75">
      <c r="A75" s="541" t="n">
        <v>1</v>
      </c>
      <c r="B75" s="541" t="inlineStr">
        <is>
          <t>3F</t>
        </is>
      </c>
      <c r="C75" s="541" t="inlineStr">
        <is>
          <t>AHU1 - BTU</t>
        </is>
      </c>
      <c r="D75" s="501" t="n"/>
      <c r="E75" s="363">
        <f>E32-D32</f>
        <v/>
      </c>
      <c r="F75" s="363">
        <f>F32-E32</f>
        <v/>
      </c>
      <c r="G75" s="363">
        <f>G32-F32</f>
        <v/>
      </c>
      <c r="H75" s="363">
        <f>H32-G32</f>
        <v/>
      </c>
      <c r="I75" s="363">
        <f>I32-H32</f>
        <v/>
      </c>
      <c r="J75" s="363">
        <f>J32-I32</f>
        <v/>
      </c>
      <c r="K75" s="363">
        <f>K32-J32</f>
        <v/>
      </c>
      <c r="L75" s="363">
        <f>L32-K32</f>
        <v/>
      </c>
      <c r="M75" s="363">
        <f>M32-L32</f>
        <v/>
      </c>
      <c r="N75" s="363">
        <f>N32-M32</f>
        <v/>
      </c>
      <c r="O75" s="363">
        <f>O32-N32</f>
        <v/>
      </c>
      <c r="P75" s="363">
        <f>P32-O32</f>
        <v/>
      </c>
      <c r="Q75" s="363">
        <f>Q32-P32</f>
        <v/>
      </c>
      <c r="R75" s="363">
        <f>R32-Q32</f>
        <v/>
      </c>
      <c r="S75" s="363">
        <f>S32-R32</f>
        <v/>
      </c>
      <c r="T75" s="363">
        <f>T32-S32</f>
        <v/>
      </c>
      <c r="U75" s="363">
        <f>U32-T32</f>
        <v/>
      </c>
      <c r="V75" s="363">
        <f>V32-U32</f>
        <v/>
      </c>
      <c r="W75" s="363">
        <f>W32-V32</f>
        <v/>
      </c>
      <c r="X75" s="363">
        <f>X32-W32</f>
        <v/>
      </c>
      <c r="Y75" s="363">
        <f>Y32-X32</f>
        <v/>
      </c>
      <c r="Z75" s="363">
        <f>Z32-Y32</f>
        <v/>
      </c>
      <c r="AA75" s="363">
        <f>AA32-Z32</f>
        <v/>
      </c>
      <c r="AB75" s="363">
        <f>AB32-AA32</f>
        <v/>
      </c>
      <c r="AC75" s="363">
        <f>AC32-AB32</f>
        <v/>
      </c>
      <c r="AD75" s="363">
        <f>AD32-AC32</f>
        <v/>
      </c>
      <c r="AE75" s="363">
        <f>AE32-AD32</f>
        <v/>
      </c>
      <c r="AF75" s="363">
        <f>AF32-AE32</f>
        <v/>
      </c>
      <c r="AG75" s="363">
        <f>AG32-AF32</f>
        <v/>
      </c>
      <c r="AH75" s="363">
        <f>AH32-AG32</f>
        <v/>
      </c>
      <c r="AI75" s="363">
        <f>SUM(E75:AH75)</f>
        <v/>
      </c>
    </row>
    <row r="76">
      <c r="A76" s="541" t="n">
        <v>2</v>
      </c>
      <c r="B76" s="541" t="inlineStr">
        <is>
          <t>3F</t>
        </is>
      </c>
      <c r="C76" s="541" t="inlineStr">
        <is>
          <t>AHU2 - BTU</t>
        </is>
      </c>
      <c r="D76" s="501" t="n"/>
      <c r="E76" s="363">
        <f>E33-D33</f>
        <v/>
      </c>
      <c r="F76" s="363">
        <f>F33-E33</f>
        <v/>
      </c>
      <c r="G76" s="363">
        <f>G33-F33</f>
        <v/>
      </c>
      <c r="H76" s="363">
        <f>H33-G33</f>
        <v/>
      </c>
      <c r="I76" s="363">
        <f>I33-H33</f>
        <v/>
      </c>
      <c r="J76" s="363">
        <f>J33-I33</f>
        <v/>
      </c>
      <c r="K76" s="363">
        <f>K33-J33</f>
        <v/>
      </c>
      <c r="L76" s="363">
        <f>L33-K33</f>
        <v/>
      </c>
      <c r="M76" s="363">
        <f>M33-L33</f>
        <v/>
      </c>
      <c r="N76" s="363">
        <f>N33-M33</f>
        <v/>
      </c>
      <c r="O76" s="363">
        <f>O33-N33</f>
        <v/>
      </c>
      <c r="P76" s="363">
        <f>P33-O33</f>
        <v/>
      </c>
      <c r="Q76" s="363">
        <f>Q33-P33</f>
        <v/>
      </c>
      <c r="R76" s="363">
        <f>R33-Q33</f>
        <v/>
      </c>
      <c r="S76" s="363">
        <f>S33-R33</f>
        <v/>
      </c>
      <c r="T76" s="363">
        <f>T33-S33</f>
        <v/>
      </c>
      <c r="U76" s="363">
        <f>U33-T33</f>
        <v/>
      </c>
      <c r="V76" s="363">
        <f>V33-U33</f>
        <v/>
      </c>
      <c r="W76" s="363">
        <f>W33-V33</f>
        <v/>
      </c>
      <c r="X76" s="363">
        <f>X33-W33</f>
        <v/>
      </c>
      <c r="Y76" s="363">
        <f>Y33-X33</f>
        <v/>
      </c>
      <c r="Z76" s="363">
        <f>Z33-Y33</f>
        <v/>
      </c>
      <c r="AA76" s="363" t="n">
        <v>448</v>
      </c>
      <c r="AB76" s="363" t="n">
        <v>477</v>
      </c>
      <c r="AC76" s="363">
        <f>AC33-AB33</f>
        <v/>
      </c>
      <c r="AD76" s="363">
        <f>AD33-AC33</f>
        <v/>
      </c>
      <c r="AE76" s="363">
        <f>AE33-AD33</f>
        <v/>
      </c>
      <c r="AF76" s="363">
        <f>AF33-AE33</f>
        <v/>
      </c>
      <c r="AG76" s="363">
        <f>AG33-AF33</f>
        <v/>
      </c>
      <c r="AH76" s="363">
        <f>AH33-AG33</f>
        <v/>
      </c>
      <c r="AI76" s="363">
        <f>SUM(E76:AH76)</f>
        <v/>
      </c>
    </row>
    <row r="77">
      <c r="A77" s="541" t="n">
        <v>3</v>
      </c>
      <c r="B77" s="541" t="inlineStr">
        <is>
          <t>3F</t>
        </is>
      </c>
      <c r="C77" s="541" t="inlineStr">
        <is>
          <t>AHU3 - BTU</t>
        </is>
      </c>
      <c r="D77" s="501" t="n"/>
      <c r="E77" s="363">
        <f>E34-D34</f>
        <v/>
      </c>
      <c r="F77" s="363">
        <f>F34-E34</f>
        <v/>
      </c>
      <c r="G77" s="363">
        <f>G34-F34</f>
        <v/>
      </c>
      <c r="H77" s="363">
        <f>H34-G34</f>
        <v/>
      </c>
      <c r="I77" s="363">
        <f>I34-H34</f>
        <v/>
      </c>
      <c r="J77" s="363">
        <f>J34-I34</f>
        <v/>
      </c>
      <c r="K77" s="363">
        <f>K34-J34</f>
        <v/>
      </c>
      <c r="L77" s="363">
        <f>L34-K34</f>
        <v/>
      </c>
      <c r="M77" s="363">
        <f>M34-L34</f>
        <v/>
      </c>
      <c r="N77" s="363">
        <f>N34-M34</f>
        <v/>
      </c>
      <c r="O77" s="363">
        <f>O34-N34</f>
        <v/>
      </c>
      <c r="P77" s="363">
        <f>P34-O34</f>
        <v/>
      </c>
      <c r="Q77" s="363">
        <f>Q34-P34</f>
        <v/>
      </c>
      <c r="R77" s="363">
        <f>R34-Q34</f>
        <v/>
      </c>
      <c r="S77" s="363">
        <f>S34-R34</f>
        <v/>
      </c>
      <c r="T77" s="363">
        <f>T34-S34</f>
        <v/>
      </c>
      <c r="U77" s="363">
        <f>U34-T34</f>
        <v/>
      </c>
      <c r="V77" s="363">
        <f>V34-U34</f>
        <v/>
      </c>
      <c r="W77" s="363">
        <f>W34-V34</f>
        <v/>
      </c>
      <c r="X77" s="363">
        <f>X34-W34</f>
        <v/>
      </c>
      <c r="Y77" s="363">
        <f>Y34-X34</f>
        <v/>
      </c>
      <c r="Z77" s="363">
        <f>Z34-Y34</f>
        <v/>
      </c>
      <c r="AA77" s="363">
        <f>AA34-Z34</f>
        <v/>
      </c>
      <c r="AB77" s="363">
        <f>AB34-AA34</f>
        <v/>
      </c>
      <c r="AC77" s="363">
        <f>AC34-AB34</f>
        <v/>
      </c>
      <c r="AD77" s="363">
        <f>AD34-AC34</f>
        <v/>
      </c>
      <c r="AE77" s="363">
        <f>AE34-AD34</f>
        <v/>
      </c>
      <c r="AF77" s="363">
        <f>AF34-AE34</f>
        <v/>
      </c>
      <c r="AG77" s="363">
        <f>AG34-AF34</f>
        <v/>
      </c>
      <c r="AH77" s="363">
        <f>AH34-AG34</f>
        <v/>
      </c>
      <c r="AI77" s="363">
        <f>SUM(E77:AH77)</f>
        <v/>
      </c>
    </row>
    <row r="78">
      <c r="A78" s="541" t="n">
        <v>4</v>
      </c>
      <c r="B78" s="541" t="inlineStr">
        <is>
          <t>3F</t>
        </is>
      </c>
      <c r="C78" s="541" t="inlineStr">
        <is>
          <t>AHU4 - BTU</t>
        </is>
      </c>
      <c r="D78" s="501" t="n"/>
      <c r="E78" s="363">
        <f>E35-D35</f>
        <v/>
      </c>
      <c r="F78" s="363">
        <f>F35-E35</f>
        <v/>
      </c>
      <c r="G78" s="363">
        <f>G35-F35</f>
        <v/>
      </c>
      <c r="H78" s="363">
        <f>H35-G35</f>
        <v/>
      </c>
      <c r="I78" s="363">
        <f>I35-H35</f>
        <v/>
      </c>
      <c r="J78" s="363">
        <f>J35-I35</f>
        <v/>
      </c>
      <c r="K78" s="363">
        <f>K35-J35</f>
        <v/>
      </c>
      <c r="L78" s="363">
        <f>L35-K35</f>
        <v/>
      </c>
      <c r="M78" s="363">
        <f>M35-L35</f>
        <v/>
      </c>
      <c r="N78" s="363">
        <f>N35-M35</f>
        <v/>
      </c>
      <c r="O78" s="363">
        <f>O35-N35</f>
        <v/>
      </c>
      <c r="P78" s="363">
        <f>P35-O35</f>
        <v/>
      </c>
      <c r="Q78" s="363">
        <f>Q35-P35</f>
        <v/>
      </c>
      <c r="R78" s="363">
        <f>R35-Q35</f>
        <v/>
      </c>
      <c r="S78" s="363">
        <f>S35-R35</f>
        <v/>
      </c>
      <c r="T78" s="363">
        <f>T35-S35</f>
        <v/>
      </c>
      <c r="U78" s="363">
        <f>U35-T35</f>
        <v/>
      </c>
      <c r="V78" s="363">
        <f>V35-U35</f>
        <v/>
      </c>
      <c r="W78" s="363">
        <f>W35-V35</f>
        <v/>
      </c>
      <c r="X78" s="363">
        <f>X35-W35</f>
        <v/>
      </c>
      <c r="Y78" s="363">
        <f>Y35-X35</f>
        <v/>
      </c>
      <c r="Z78" s="363">
        <f>Z35-Y35</f>
        <v/>
      </c>
      <c r="AA78" s="363">
        <f>AA35-Z35</f>
        <v/>
      </c>
      <c r="AB78" s="363">
        <f>AB35-AA35</f>
        <v/>
      </c>
      <c r="AC78" s="363">
        <f>AC35-AB35</f>
        <v/>
      </c>
      <c r="AD78" s="363">
        <f>AD35-AC35</f>
        <v/>
      </c>
      <c r="AE78" s="363">
        <f>AE35-AD35</f>
        <v/>
      </c>
      <c r="AF78" s="363">
        <f>AF35-AE35</f>
        <v/>
      </c>
      <c r="AG78" s="363">
        <f>AG35-AF35</f>
        <v/>
      </c>
      <c r="AH78" s="363">
        <f>AH35-AG35</f>
        <v/>
      </c>
      <c r="AI78" s="363">
        <f>SUM(E78:AH78)</f>
        <v/>
      </c>
    </row>
    <row r="79">
      <c r="A79" s="357" t="n"/>
      <c r="B79" s="357" t="n"/>
      <c r="C79" s="553" t="inlineStr">
        <is>
          <t>Total BTU Consumption</t>
        </is>
      </c>
      <c r="D79" s="501" t="n"/>
      <c r="E79" s="358">
        <f>SUM(E75:E78)</f>
        <v/>
      </c>
      <c r="F79" s="358">
        <f>SUM(F75:F78)</f>
        <v/>
      </c>
      <c r="G79" s="358">
        <f>SUM(G75:G78)</f>
        <v/>
      </c>
      <c r="H79" s="358">
        <f>SUM(H75:H78)</f>
        <v/>
      </c>
      <c r="I79" s="358">
        <f>SUM(I75:I78)</f>
        <v/>
      </c>
      <c r="J79" s="358">
        <f>SUM(J75:J78)</f>
        <v/>
      </c>
      <c r="K79" s="358">
        <f>SUM(K75:K78)</f>
        <v/>
      </c>
      <c r="L79" s="358">
        <f>SUM(L75:L78)</f>
        <v/>
      </c>
      <c r="M79" s="358">
        <f>SUM(M75:M78)</f>
        <v/>
      </c>
      <c r="N79" s="358">
        <f>SUM(N75:N78)</f>
        <v/>
      </c>
      <c r="O79" s="358">
        <f>SUM(O75:O78)</f>
        <v/>
      </c>
      <c r="P79" s="358">
        <f>SUM(P75:P78)</f>
        <v/>
      </c>
      <c r="Q79" s="358">
        <f>SUM(Q75:Q78)</f>
        <v/>
      </c>
      <c r="R79" s="358">
        <f>SUM(R75:R78)</f>
        <v/>
      </c>
      <c r="S79" s="358">
        <f>SUM(S75:S78)</f>
        <v/>
      </c>
      <c r="T79" s="358">
        <f>SUM(T75:T78)</f>
        <v/>
      </c>
      <c r="U79" s="358">
        <f>SUM(U75:U78)</f>
        <v/>
      </c>
      <c r="V79" s="358">
        <f>SUM(V75:V78)</f>
        <v/>
      </c>
      <c r="W79" s="358">
        <f>SUM(W75:W78)</f>
        <v/>
      </c>
      <c r="X79" s="358">
        <f>SUM(X75:X78)</f>
        <v/>
      </c>
      <c r="Y79" s="358">
        <f>SUM(Y75:Y78)</f>
        <v/>
      </c>
      <c r="Z79" s="358">
        <f>SUM(Z75:Z78)</f>
        <v/>
      </c>
      <c r="AA79" s="358">
        <f>SUM(AA75:AA78)</f>
        <v/>
      </c>
      <c r="AB79" s="358">
        <f>SUM(AB75:AB78)</f>
        <v/>
      </c>
      <c r="AC79" s="358">
        <f>SUM(AC75:AC78)</f>
        <v/>
      </c>
      <c r="AD79" s="358">
        <f>SUM(AD75:AD78)</f>
        <v/>
      </c>
      <c r="AE79" s="358">
        <f>SUM(AE75:AE78)</f>
        <v/>
      </c>
      <c r="AF79" s="358">
        <f>SUM(AF75:AF78)</f>
        <v/>
      </c>
      <c r="AG79" s="358">
        <f>SUM(AG75:AG78)</f>
        <v/>
      </c>
      <c r="AH79" s="358">
        <f>SUM(AH75:AH78)</f>
        <v/>
      </c>
      <c r="AI79" s="358">
        <f>SUM(AI75:AI78)</f>
        <v/>
      </c>
    </row>
    <row r="80">
      <c r="A80" s="300" t="n"/>
      <c r="B80" s="300" t="n"/>
      <c r="C80" s="300" t="n"/>
      <c r="D80" s="300" t="n"/>
      <c r="E80" s="300" t="n"/>
      <c r="F80" s="300" t="n"/>
      <c r="G80" s="300" t="n"/>
      <c r="H80" s="300" t="n"/>
      <c r="I80" s="300" t="n"/>
      <c r="J80" s="300" t="n"/>
      <c r="K80" s="300" t="n"/>
      <c r="L80" s="300" t="n"/>
      <c r="M80" s="300" t="n"/>
      <c r="N80" s="300" t="n"/>
      <c r="O80" s="300" t="n"/>
      <c r="P80" s="300" t="n"/>
      <c r="Q80" s="300" t="n"/>
      <c r="R80" s="300" t="n"/>
      <c r="S80" s="300" t="n"/>
      <c r="T80" s="300" t="n"/>
      <c r="U80" s="300" t="n"/>
      <c r="V80" s="300" t="n"/>
      <c r="W80" s="300" t="n"/>
      <c r="X80" s="300" t="n"/>
      <c r="Y80" s="300" t="n"/>
      <c r="Z80" s="300" t="n"/>
      <c r="AA80" s="300" t="n"/>
      <c r="AB80" s="300" t="n"/>
      <c r="AC80" s="300" t="n"/>
      <c r="AD80" s="300" t="n"/>
      <c r="AE80" s="300" t="n"/>
      <c r="AF80" s="300" t="n"/>
      <c r="AG80" s="300" t="n"/>
      <c r="AH80" s="300" t="n"/>
    </row>
    <row r="81">
      <c r="A81" s="300" t="n"/>
      <c r="B81" s="300" t="n"/>
      <c r="C81" s="300" t="n"/>
      <c r="D81" s="300" t="n"/>
      <c r="E81" s="300" t="n"/>
      <c r="F81" s="300" t="n"/>
      <c r="G81" s="300" t="n"/>
      <c r="H81" s="300" t="n"/>
      <c r="I81" s="300" t="n"/>
      <c r="J81" s="300" t="n"/>
      <c r="K81" s="300" t="n"/>
      <c r="L81" s="300" t="n"/>
      <c r="M81" s="300" t="n"/>
      <c r="N81" s="300" t="n"/>
      <c r="O81" s="300" t="n"/>
      <c r="P81" s="300" t="n"/>
      <c r="Q81" s="300" t="n"/>
      <c r="R81" s="300" t="n"/>
      <c r="S81" s="300" t="n"/>
      <c r="T81" s="300" t="n"/>
      <c r="U81" s="300" t="n"/>
      <c r="V81" s="300" t="n"/>
      <c r="W81" s="300" t="n"/>
      <c r="X81" s="300" t="n"/>
      <c r="Y81" s="300" t="n"/>
      <c r="Z81" s="300" t="n"/>
      <c r="AA81" s="300" t="n"/>
      <c r="AB81" s="300" t="n"/>
      <c r="AC81" s="300" t="n"/>
      <c r="AD81" s="300" t="n"/>
      <c r="AE81" s="300" t="n"/>
      <c r="AF81" s="300" t="n"/>
      <c r="AG81" s="300" t="n"/>
      <c r="AH81" s="300" t="n"/>
    </row>
    <row r="82">
      <c r="A82" s="300" t="n"/>
      <c r="B82" s="300" t="n"/>
      <c r="C82" s="300" t="n"/>
      <c r="D82" s="300" t="n"/>
      <c r="E82" s="300" t="n"/>
      <c r="F82" s="300" t="n"/>
      <c r="G82" s="300" t="n"/>
      <c r="H82" s="300" t="n"/>
      <c r="I82" s="300" t="n"/>
      <c r="J82" s="300" t="n"/>
      <c r="K82" s="300" t="n"/>
      <c r="L82" s="300" t="n"/>
      <c r="M82" s="300" t="n"/>
      <c r="N82" s="300" t="n"/>
      <c r="O82" s="300" t="n"/>
      <c r="P82" s="300" t="n"/>
      <c r="Q82" s="300" t="n"/>
      <c r="R82" s="300" t="n"/>
      <c r="S82" s="300" t="n"/>
      <c r="T82" s="300" t="n"/>
      <c r="U82" s="300" t="n"/>
      <c r="V82" s="300" t="n"/>
      <c r="W82" s="300" t="n"/>
      <c r="X82" s="300" t="n"/>
      <c r="Y82" s="300" t="n"/>
      <c r="Z82" s="300" t="n"/>
      <c r="AA82" s="300" t="n"/>
      <c r="AB82" s="300" t="n"/>
      <c r="AC82" s="300" t="n"/>
      <c r="AD82" s="300" t="n"/>
      <c r="AE82" s="300" t="n"/>
      <c r="AF82" s="300" t="n"/>
      <c r="AG82" s="300" t="n"/>
      <c r="AH82" s="300" t="n"/>
    </row>
    <row r="83" ht="18.5" customHeight="1" s="488">
      <c r="A83" s="557" t="n"/>
      <c r="B83" s="505" t="n"/>
      <c r="C83" s="505" t="n"/>
      <c r="D83" s="506" t="n"/>
      <c r="E83" s="544" t="inlineStr">
        <is>
          <t>JUNE - 2026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505" t="n"/>
      <c r="AG83" s="505" t="n"/>
      <c r="AH83" s="506" t="n"/>
    </row>
    <row r="84">
      <c r="A84" s="550" t="inlineStr">
        <is>
          <t>Sr.No</t>
        </is>
      </c>
      <c r="B84" s="550" t="inlineStr">
        <is>
          <t>Location</t>
        </is>
      </c>
      <c r="C84" s="554" t="inlineStr">
        <is>
          <t>Meter</t>
        </is>
      </c>
      <c r="D84" s="543" t="inlineStr">
        <is>
          <t>Previous Reading</t>
        </is>
      </c>
      <c r="E84" s="301" t="n">
        <v>46174</v>
      </c>
      <c r="F84" s="301" t="n">
        <v>46175</v>
      </c>
      <c r="G84" s="301" t="n">
        <v>46176</v>
      </c>
      <c r="H84" s="301" t="n">
        <v>46177</v>
      </c>
      <c r="I84" s="301" t="n">
        <v>46178</v>
      </c>
      <c r="J84" s="301" t="n">
        <v>46179</v>
      </c>
      <c r="K84" s="301" t="n">
        <v>46180</v>
      </c>
      <c r="L84" s="301" t="n">
        <v>46181</v>
      </c>
      <c r="M84" s="301" t="n">
        <v>46182</v>
      </c>
      <c r="N84" s="301" t="n">
        <v>46183</v>
      </c>
      <c r="O84" s="301" t="n">
        <v>46184</v>
      </c>
      <c r="P84" s="301" t="n">
        <v>46185</v>
      </c>
      <c r="Q84" s="301" t="n">
        <v>46186</v>
      </c>
      <c r="R84" s="301" t="n">
        <v>46187</v>
      </c>
      <c r="S84" s="301" t="n">
        <v>46188</v>
      </c>
      <c r="T84" s="301" t="n">
        <v>46189</v>
      </c>
      <c r="U84" s="301" t="n">
        <v>46190</v>
      </c>
      <c r="V84" s="301" t="n">
        <v>46191</v>
      </c>
      <c r="W84" s="301" t="n">
        <v>46192</v>
      </c>
      <c r="X84" s="301" t="n">
        <v>46193</v>
      </c>
      <c r="Y84" s="301" t="n">
        <v>46194</v>
      </c>
      <c r="Z84" s="301" t="n">
        <v>46195</v>
      </c>
      <c r="AA84" s="301" t="n">
        <v>46196</v>
      </c>
      <c r="AB84" s="301" t="n">
        <v>46197</v>
      </c>
      <c r="AC84" s="301" t="n">
        <v>46198</v>
      </c>
      <c r="AD84" s="301" t="n">
        <v>46199</v>
      </c>
      <c r="AE84" s="301" t="n">
        <v>46200</v>
      </c>
      <c r="AF84" s="301" t="n">
        <v>46201</v>
      </c>
      <c r="AG84" s="301" t="n">
        <v>46202</v>
      </c>
      <c r="AH84" s="301" t="n">
        <v>46203</v>
      </c>
      <c r="AI84" s="542" t="inlineStr">
        <is>
          <t>Consumption</t>
        </is>
      </c>
    </row>
    <row r="85">
      <c r="A85" s="509" t="n"/>
      <c r="B85" s="509" t="n"/>
      <c r="C85" s="509" t="n"/>
      <c r="D85" s="509" t="n"/>
      <c r="E85" s="302" t="inlineStr">
        <is>
          <t>Fri</t>
        </is>
      </c>
      <c r="F85" s="302" t="inlineStr">
        <is>
          <t>Sat</t>
        </is>
      </c>
      <c r="G85" s="302" t="inlineStr">
        <is>
          <t>Sun</t>
        </is>
      </c>
      <c r="H85" s="302" t="inlineStr">
        <is>
          <t>Mon</t>
        </is>
      </c>
      <c r="I85" s="302" t="inlineStr">
        <is>
          <t>Tue</t>
        </is>
      </c>
      <c r="J85" s="302" t="inlineStr">
        <is>
          <t>Wed</t>
        </is>
      </c>
      <c r="K85" s="302" t="inlineStr">
        <is>
          <t>Thu</t>
        </is>
      </c>
      <c r="L85" s="302" t="inlineStr">
        <is>
          <t>Fri</t>
        </is>
      </c>
      <c r="M85" s="302" t="inlineStr">
        <is>
          <t>Sat</t>
        </is>
      </c>
      <c r="N85" s="302" t="inlineStr">
        <is>
          <t>Sun</t>
        </is>
      </c>
      <c r="O85" s="302" t="inlineStr">
        <is>
          <t>Mon</t>
        </is>
      </c>
      <c r="P85" s="302" t="inlineStr">
        <is>
          <t>Tue</t>
        </is>
      </c>
      <c r="Q85" s="302" t="inlineStr">
        <is>
          <t>Wed</t>
        </is>
      </c>
      <c r="R85" s="302" t="inlineStr">
        <is>
          <t>Thu</t>
        </is>
      </c>
      <c r="S85" s="302" t="inlineStr">
        <is>
          <t>Fri</t>
        </is>
      </c>
      <c r="T85" s="302" t="inlineStr">
        <is>
          <t>Sat</t>
        </is>
      </c>
      <c r="U85" s="302" t="inlineStr">
        <is>
          <t>Sun</t>
        </is>
      </c>
      <c r="V85" s="302" t="inlineStr">
        <is>
          <t>Mon</t>
        </is>
      </c>
      <c r="W85" s="302" t="inlineStr">
        <is>
          <t>Tue</t>
        </is>
      </c>
      <c r="X85" s="302" t="inlineStr">
        <is>
          <t>Wed</t>
        </is>
      </c>
      <c r="Y85" s="302" t="inlineStr">
        <is>
          <t>Thu</t>
        </is>
      </c>
      <c r="Z85" s="302" t="inlineStr">
        <is>
          <t>Fri</t>
        </is>
      </c>
      <c r="AA85" s="302" t="inlineStr">
        <is>
          <t>Sat</t>
        </is>
      </c>
      <c r="AB85" s="302" t="inlineStr">
        <is>
          <t>Sun</t>
        </is>
      </c>
      <c r="AC85" s="302" t="inlineStr">
        <is>
          <t>Mon</t>
        </is>
      </c>
      <c r="AD85" s="302" t="inlineStr">
        <is>
          <t>Tue</t>
        </is>
      </c>
      <c r="AE85" s="302" t="inlineStr">
        <is>
          <t>Wed</t>
        </is>
      </c>
      <c r="AF85" s="302" t="inlineStr">
        <is>
          <t>Thu</t>
        </is>
      </c>
      <c r="AG85" s="302" t="inlineStr">
        <is>
          <t>Fri</t>
        </is>
      </c>
      <c r="AH85" s="302" t="inlineStr">
        <is>
          <t>Sat</t>
        </is>
      </c>
      <c r="AI85" s="516" t="n"/>
    </row>
    <row r="86">
      <c r="A86" s="509" t="n"/>
      <c r="B86" s="509" t="n"/>
      <c r="C86" s="509" t="n"/>
      <c r="D86" s="509" t="n"/>
      <c r="E86" s="303" t="inlineStr">
        <is>
          <t>Time</t>
        </is>
      </c>
      <c r="F86" s="303" t="inlineStr">
        <is>
          <t>Time</t>
        </is>
      </c>
      <c r="G86" s="303" t="inlineStr">
        <is>
          <t>Time</t>
        </is>
      </c>
      <c r="H86" s="303" t="inlineStr">
        <is>
          <t>Time</t>
        </is>
      </c>
      <c r="I86" s="303" t="inlineStr">
        <is>
          <t>Time</t>
        </is>
      </c>
      <c r="J86" s="303" t="inlineStr">
        <is>
          <t>Time</t>
        </is>
      </c>
      <c r="K86" s="303" t="inlineStr">
        <is>
          <t>Time</t>
        </is>
      </c>
      <c r="L86" s="303" t="inlineStr">
        <is>
          <t>Time</t>
        </is>
      </c>
      <c r="M86" s="303" t="inlineStr">
        <is>
          <t>Time</t>
        </is>
      </c>
      <c r="N86" s="303" t="inlineStr">
        <is>
          <t>Time</t>
        </is>
      </c>
      <c r="O86" s="303" t="inlineStr">
        <is>
          <t>Time</t>
        </is>
      </c>
      <c r="P86" s="303" t="inlineStr">
        <is>
          <t>Time</t>
        </is>
      </c>
      <c r="Q86" s="303" t="inlineStr">
        <is>
          <t>Time</t>
        </is>
      </c>
      <c r="R86" s="303" t="inlineStr">
        <is>
          <t>Time</t>
        </is>
      </c>
      <c r="S86" s="303" t="inlineStr">
        <is>
          <t>Time</t>
        </is>
      </c>
      <c r="T86" s="303" t="inlineStr">
        <is>
          <t>Time</t>
        </is>
      </c>
      <c r="U86" s="303" t="inlineStr">
        <is>
          <t>Time</t>
        </is>
      </c>
      <c r="V86" s="303" t="inlineStr">
        <is>
          <t>Time</t>
        </is>
      </c>
      <c r="W86" s="303" t="inlineStr">
        <is>
          <t>Time</t>
        </is>
      </c>
      <c r="X86" s="303" t="inlineStr">
        <is>
          <t>Time</t>
        </is>
      </c>
      <c r="Y86" s="303" t="inlineStr">
        <is>
          <t>Time</t>
        </is>
      </c>
      <c r="Z86" s="303" t="inlineStr">
        <is>
          <t>Time</t>
        </is>
      </c>
      <c r="AA86" s="303" t="inlineStr">
        <is>
          <t>Time</t>
        </is>
      </c>
      <c r="AB86" s="303" t="inlineStr">
        <is>
          <t>Time</t>
        </is>
      </c>
      <c r="AC86" s="303" t="inlineStr">
        <is>
          <t>Time</t>
        </is>
      </c>
      <c r="AD86" s="303" t="inlineStr">
        <is>
          <t>Time</t>
        </is>
      </c>
      <c r="AE86" s="303" t="inlineStr">
        <is>
          <t>Time</t>
        </is>
      </c>
      <c r="AF86" s="303" t="inlineStr">
        <is>
          <t>Time</t>
        </is>
      </c>
      <c r="AG86" s="303" t="inlineStr">
        <is>
          <t>Time</t>
        </is>
      </c>
      <c r="AH86" s="303" t="inlineStr">
        <is>
          <t>Time</t>
        </is>
      </c>
      <c r="AI86" s="516" t="n"/>
    </row>
    <row r="87">
      <c r="A87" s="510" t="n"/>
      <c r="B87" s="510" t="n"/>
      <c r="C87" s="510" t="n"/>
      <c r="D87" s="510" t="n"/>
      <c r="E87" s="369" t="n">
        <v>0.3333333333333333</v>
      </c>
      <c r="F87" s="369" t="n">
        <v>0.3333333333333333</v>
      </c>
      <c r="G87" s="369" t="n">
        <v>0.3333333333333333</v>
      </c>
      <c r="H87" s="369" t="n">
        <v>0.3333333333333333</v>
      </c>
      <c r="I87" s="369" t="n">
        <v>0.3333333333333333</v>
      </c>
      <c r="J87" s="369" t="n">
        <v>0.3333333333333333</v>
      </c>
      <c r="K87" s="369" t="n">
        <v>0.3333333333333333</v>
      </c>
      <c r="L87" s="369" t="n">
        <v>0.3333333333333333</v>
      </c>
      <c r="M87" s="369" t="n">
        <v>0.3333333333333333</v>
      </c>
      <c r="N87" s="369" t="n">
        <v>0.3333333333333333</v>
      </c>
      <c r="O87" s="369" t="n">
        <v>0.3333333333333333</v>
      </c>
      <c r="P87" s="369" t="n">
        <v>0.3333333333333333</v>
      </c>
      <c r="Q87" s="369" t="n">
        <v>0.3333333333333333</v>
      </c>
      <c r="R87" s="369" t="n">
        <v>0.3333333333333333</v>
      </c>
      <c r="S87" s="369" t="n">
        <v>0.3333333333333333</v>
      </c>
      <c r="T87" s="369" t="n">
        <v>0.3333333333333333</v>
      </c>
      <c r="U87" s="369" t="n">
        <v>0.3333333333333333</v>
      </c>
      <c r="V87" s="369" t="n">
        <v>0.3333333333333333</v>
      </c>
      <c r="W87" s="369" t="n">
        <v>0.3333333333333333</v>
      </c>
      <c r="X87" s="369" t="n">
        <v>0.3333333333333333</v>
      </c>
      <c r="Y87" s="369" t="n">
        <v>0.3333333333333333</v>
      </c>
      <c r="Z87" s="369" t="n">
        <v>0.3333333333333333</v>
      </c>
      <c r="AA87" s="369" t="n">
        <v>0.3333333333333333</v>
      </c>
      <c r="AB87" s="369" t="n">
        <v>0.3333333333333333</v>
      </c>
      <c r="AC87" s="369" t="n">
        <v>0.3333333333333333</v>
      </c>
      <c r="AD87" s="369" t="n">
        <v>0.3333333333333333</v>
      </c>
      <c r="AE87" s="369" t="n">
        <v>0.3333333333333333</v>
      </c>
      <c r="AF87" s="369" t="n">
        <v>0.3333333333333333</v>
      </c>
      <c r="AG87" s="369" t="n">
        <v>0.3333333333333333</v>
      </c>
      <c r="AH87" s="369" t="n">
        <v>0.3333333333333333</v>
      </c>
      <c r="AI87" s="517" t="n"/>
    </row>
    <row r="88">
      <c r="A88" s="310" t="n">
        <v>1</v>
      </c>
      <c r="B88" s="370" t="inlineStr">
        <is>
          <t>Basement:-2</t>
        </is>
      </c>
      <c r="C88" s="370" t="inlineStr">
        <is>
          <t>Liberty-170</t>
        </is>
      </c>
      <c r="D88" s="370" t="n">
        <v>3124</v>
      </c>
      <c r="E88" s="370" t="n">
        <v>3124</v>
      </c>
      <c r="F88" s="370" t="n">
        <v>3150</v>
      </c>
      <c r="G88" s="370" t="n">
        <v>3167</v>
      </c>
      <c r="H88" s="370" t="n">
        <v>3167</v>
      </c>
      <c r="I88" s="370" t="n">
        <v>3167</v>
      </c>
      <c r="J88" s="370" t="n">
        <v>3167</v>
      </c>
      <c r="K88" s="370" t="n">
        <v>3167</v>
      </c>
      <c r="L88" s="370" t="n">
        <v>3167</v>
      </c>
      <c r="M88" s="370" t="n">
        <v>3177</v>
      </c>
      <c r="N88" s="370" t="n">
        <v>3200</v>
      </c>
      <c r="O88" s="370" t="n">
        <v>3200</v>
      </c>
      <c r="P88" s="370" t="n">
        <v>3227</v>
      </c>
      <c r="Q88" s="370" t="n">
        <v>3227</v>
      </c>
      <c r="R88" s="370" t="n">
        <v>3227</v>
      </c>
      <c r="S88" s="370" t="n">
        <v>3227</v>
      </c>
      <c r="T88" s="370" t="n">
        <v>3254</v>
      </c>
      <c r="U88" s="370" t="n">
        <v>3265</v>
      </c>
      <c r="V88" s="370" t="n">
        <v>3289</v>
      </c>
      <c r="W88" s="370" t="n">
        <v>3289</v>
      </c>
      <c r="X88" s="370" t="n">
        <v>3289</v>
      </c>
      <c r="Y88" s="370" t="n">
        <v>3289</v>
      </c>
      <c r="Z88" s="370" t="n">
        <v>3312</v>
      </c>
      <c r="AA88" s="370" t="n">
        <v>3312</v>
      </c>
      <c r="AB88" s="370" t="n">
        <v>3327</v>
      </c>
      <c r="AC88" s="370" t="n">
        <v>3327</v>
      </c>
      <c r="AD88" s="370" t="n">
        <v>3327</v>
      </c>
      <c r="AE88" s="370" t="n">
        <v>3327</v>
      </c>
      <c r="AF88" s="370" t="n">
        <v>3327</v>
      </c>
      <c r="AG88" s="370" t="n">
        <v>3344</v>
      </c>
      <c r="AH88" s="370" t="n">
        <v>3356</v>
      </c>
      <c r="AI88" s="399" t="n"/>
    </row>
    <row r="89">
      <c r="A89" s="300" t="n"/>
      <c r="B89" s="300" t="n"/>
      <c r="C89" s="300" t="n"/>
      <c r="D89" s="300" t="n"/>
      <c r="E89" s="300" t="n"/>
      <c r="F89" s="300" t="n"/>
      <c r="G89" s="300" t="n"/>
      <c r="H89" s="300" t="n"/>
      <c r="I89" s="300" t="n"/>
      <c r="J89" s="300" t="n"/>
      <c r="K89" s="300" t="n"/>
      <c r="L89" s="300" t="n"/>
      <c r="M89" s="300" t="n"/>
      <c r="N89" s="300" t="n"/>
      <c r="O89" s="300" t="n"/>
      <c r="P89" s="300" t="n"/>
      <c r="Q89" s="300" t="n"/>
      <c r="R89" s="300" t="n"/>
      <c r="S89" s="300" t="n"/>
      <c r="T89" s="300" t="n"/>
      <c r="U89" s="300" t="n"/>
      <c r="V89" s="300" t="n"/>
      <c r="W89" s="300" t="n"/>
      <c r="X89" s="300" t="n"/>
      <c r="Y89" s="300" t="n"/>
      <c r="Z89" s="300" t="n"/>
      <c r="AA89" s="300" t="n"/>
      <c r="AB89" s="300" t="n"/>
      <c r="AC89" s="300" t="n"/>
      <c r="AD89" s="300" t="n"/>
      <c r="AE89" s="300" t="n"/>
      <c r="AF89" s="300" t="n"/>
      <c r="AG89" s="300" t="n"/>
      <c r="AH89" s="300" t="n"/>
    </row>
    <row r="90">
      <c r="A90" s="542" t="inlineStr">
        <is>
          <t>Sr.No</t>
        </is>
      </c>
      <c r="B90" s="542" t="inlineStr">
        <is>
          <t>Location</t>
        </is>
      </c>
      <c r="C90" s="542" t="inlineStr">
        <is>
          <t>Meter</t>
        </is>
      </c>
      <c r="D90" s="522" t="n"/>
      <c r="E90" s="352">
        <f>E84</f>
        <v/>
      </c>
      <c r="F90" s="352">
        <f>F84</f>
        <v/>
      </c>
      <c r="G90" s="352">
        <f>G84</f>
        <v/>
      </c>
      <c r="H90" s="352">
        <f>H84</f>
        <v/>
      </c>
      <c r="I90" s="352">
        <f>I84</f>
        <v/>
      </c>
      <c r="J90" s="352">
        <f>J84</f>
        <v/>
      </c>
      <c r="K90" s="352">
        <f>K84</f>
        <v/>
      </c>
      <c r="L90" s="352">
        <f>L84</f>
        <v/>
      </c>
      <c r="M90" s="352">
        <f>M84</f>
        <v/>
      </c>
      <c r="N90" s="352">
        <f>N84</f>
        <v/>
      </c>
      <c r="O90" s="352">
        <f>O84</f>
        <v/>
      </c>
      <c r="P90" s="352">
        <f>P84</f>
        <v/>
      </c>
      <c r="Q90" s="352">
        <f>Q84</f>
        <v/>
      </c>
      <c r="R90" s="352">
        <f>R84</f>
        <v/>
      </c>
      <c r="S90" s="352">
        <f>S84</f>
        <v/>
      </c>
      <c r="T90" s="352">
        <f>T84</f>
        <v/>
      </c>
      <c r="U90" s="352">
        <f>U84</f>
        <v/>
      </c>
      <c r="V90" s="352">
        <f>V84</f>
        <v/>
      </c>
      <c r="W90" s="352">
        <f>W84</f>
        <v/>
      </c>
      <c r="X90" s="352">
        <f>X84</f>
        <v/>
      </c>
      <c r="Y90" s="352">
        <f>Y84</f>
        <v/>
      </c>
      <c r="Z90" s="352">
        <f>Z84</f>
        <v/>
      </c>
      <c r="AA90" s="352">
        <f>AA84</f>
        <v/>
      </c>
      <c r="AB90" s="352">
        <f>AB84</f>
        <v/>
      </c>
      <c r="AC90" s="352">
        <f>AC84</f>
        <v/>
      </c>
      <c r="AD90" s="352">
        <f>AD84</f>
        <v/>
      </c>
      <c r="AE90" s="352">
        <f>AE84</f>
        <v/>
      </c>
      <c r="AF90" s="352">
        <f>AF84</f>
        <v/>
      </c>
      <c r="AG90" s="352">
        <f>AG84</f>
        <v/>
      </c>
      <c r="AH90" s="352">
        <f>AH84</f>
        <v/>
      </c>
      <c r="AI90" s="542" t="inlineStr">
        <is>
          <t>Consumption</t>
        </is>
      </c>
    </row>
    <row r="91">
      <c r="A91" s="516" t="n"/>
      <c r="B91" s="516" t="n"/>
      <c r="C91" s="523" t="n"/>
      <c r="D91" s="524" t="n"/>
      <c r="E91" s="302" t="inlineStr">
        <is>
          <t>Fri</t>
        </is>
      </c>
      <c r="F91" s="302" t="inlineStr">
        <is>
          <t>Sat</t>
        </is>
      </c>
      <c r="G91" s="302" t="inlineStr">
        <is>
          <t>Sun</t>
        </is>
      </c>
      <c r="H91" s="302" t="inlineStr">
        <is>
          <t>Mon</t>
        </is>
      </c>
      <c r="I91" s="302" t="inlineStr">
        <is>
          <t>Tue</t>
        </is>
      </c>
      <c r="J91" s="302" t="inlineStr">
        <is>
          <t>Wed</t>
        </is>
      </c>
      <c r="K91" s="302" t="inlineStr">
        <is>
          <t>Thu</t>
        </is>
      </c>
      <c r="L91" s="302" t="inlineStr">
        <is>
          <t>Fri</t>
        </is>
      </c>
      <c r="M91" s="302" t="inlineStr">
        <is>
          <t>Sat</t>
        </is>
      </c>
      <c r="N91" s="302" t="inlineStr">
        <is>
          <t>Sun</t>
        </is>
      </c>
      <c r="O91" s="302" t="inlineStr">
        <is>
          <t>Mon</t>
        </is>
      </c>
      <c r="P91" s="302" t="inlineStr">
        <is>
          <t>Tue</t>
        </is>
      </c>
      <c r="Q91" s="302" t="inlineStr">
        <is>
          <t>Wed</t>
        </is>
      </c>
      <c r="R91" s="302" t="inlineStr">
        <is>
          <t>Thu</t>
        </is>
      </c>
      <c r="S91" s="302" t="inlineStr">
        <is>
          <t>Fri</t>
        </is>
      </c>
      <c r="T91" s="302" t="inlineStr">
        <is>
          <t>Sat</t>
        </is>
      </c>
      <c r="U91" s="302" t="inlineStr">
        <is>
          <t>Sun</t>
        </is>
      </c>
      <c r="V91" s="302" t="inlineStr">
        <is>
          <t>Mon</t>
        </is>
      </c>
      <c r="W91" s="302" t="inlineStr">
        <is>
          <t>Tue</t>
        </is>
      </c>
      <c r="X91" s="302" t="inlineStr">
        <is>
          <t>Wed</t>
        </is>
      </c>
      <c r="Y91" s="302" t="inlineStr">
        <is>
          <t>Thu</t>
        </is>
      </c>
      <c r="Z91" s="302" t="inlineStr">
        <is>
          <t>Fri</t>
        </is>
      </c>
      <c r="AA91" s="302" t="inlineStr">
        <is>
          <t>Sat</t>
        </is>
      </c>
      <c r="AB91" s="302" t="inlineStr">
        <is>
          <t>Sun</t>
        </is>
      </c>
      <c r="AC91" s="302" t="inlineStr">
        <is>
          <t>Mon</t>
        </is>
      </c>
      <c r="AD91" s="302" t="inlineStr">
        <is>
          <t>Tue</t>
        </is>
      </c>
      <c r="AE91" s="302" t="inlineStr">
        <is>
          <t>Wed</t>
        </is>
      </c>
      <c r="AF91" s="302" t="inlineStr">
        <is>
          <t>Thu</t>
        </is>
      </c>
      <c r="AG91" s="302" t="inlineStr">
        <is>
          <t>Fri</t>
        </is>
      </c>
      <c r="AH91" s="302" t="inlineStr">
        <is>
          <t>Sat</t>
        </is>
      </c>
      <c r="AI91" s="516" t="n"/>
    </row>
    <row r="92">
      <c r="A92" s="516" t="n"/>
      <c r="B92" s="516" t="n"/>
      <c r="C92" s="523" t="n"/>
      <c r="D92" s="524" t="n"/>
      <c r="E92" s="353" t="inlineStr">
        <is>
          <t>Time</t>
        </is>
      </c>
      <c r="F92" s="353" t="inlineStr">
        <is>
          <t>Time</t>
        </is>
      </c>
      <c r="G92" s="353" t="inlineStr">
        <is>
          <t>Time</t>
        </is>
      </c>
      <c r="H92" s="353" t="inlineStr">
        <is>
          <t>Time</t>
        </is>
      </c>
      <c r="I92" s="353" t="inlineStr">
        <is>
          <t>Time</t>
        </is>
      </c>
      <c r="J92" s="353" t="inlineStr">
        <is>
          <t>Time</t>
        </is>
      </c>
      <c r="K92" s="353" t="inlineStr">
        <is>
          <t>Time</t>
        </is>
      </c>
      <c r="L92" s="353" t="inlineStr">
        <is>
          <t>Time</t>
        </is>
      </c>
      <c r="M92" s="353" t="inlineStr">
        <is>
          <t>Time</t>
        </is>
      </c>
      <c r="N92" s="353" t="inlineStr">
        <is>
          <t>Time</t>
        </is>
      </c>
      <c r="O92" s="353" t="inlineStr">
        <is>
          <t>Time</t>
        </is>
      </c>
      <c r="P92" s="353" t="inlineStr">
        <is>
          <t>Time</t>
        </is>
      </c>
      <c r="Q92" s="353" t="inlineStr">
        <is>
          <t>Time</t>
        </is>
      </c>
      <c r="R92" s="353" t="inlineStr">
        <is>
          <t>Time</t>
        </is>
      </c>
      <c r="S92" s="353" t="inlineStr">
        <is>
          <t>Time</t>
        </is>
      </c>
      <c r="T92" s="353" t="inlineStr">
        <is>
          <t>Time</t>
        </is>
      </c>
      <c r="U92" s="353" t="inlineStr">
        <is>
          <t>Time</t>
        </is>
      </c>
      <c r="V92" s="353" t="inlineStr">
        <is>
          <t>Time</t>
        </is>
      </c>
      <c r="W92" s="353" t="inlineStr">
        <is>
          <t>Time</t>
        </is>
      </c>
      <c r="X92" s="353" t="inlineStr">
        <is>
          <t>Time</t>
        </is>
      </c>
      <c r="Y92" s="353" t="inlineStr">
        <is>
          <t>Time</t>
        </is>
      </c>
      <c r="Z92" s="353" t="inlineStr">
        <is>
          <t>Time</t>
        </is>
      </c>
      <c r="AA92" s="353" t="inlineStr">
        <is>
          <t>Time</t>
        </is>
      </c>
      <c r="AB92" s="353" t="inlineStr">
        <is>
          <t>Time</t>
        </is>
      </c>
      <c r="AC92" s="353" t="inlineStr">
        <is>
          <t>Time</t>
        </is>
      </c>
      <c r="AD92" s="353" t="inlineStr">
        <is>
          <t>Time</t>
        </is>
      </c>
      <c r="AE92" s="353" t="inlineStr">
        <is>
          <t>Time</t>
        </is>
      </c>
      <c r="AF92" s="353" t="inlineStr">
        <is>
          <t>Time</t>
        </is>
      </c>
      <c r="AG92" s="353" t="inlineStr">
        <is>
          <t>Time</t>
        </is>
      </c>
      <c r="AH92" s="353" t="inlineStr">
        <is>
          <t>Time</t>
        </is>
      </c>
      <c r="AI92" s="516" t="n"/>
    </row>
    <row r="93">
      <c r="A93" s="517" t="n"/>
      <c r="B93" s="517" t="n"/>
      <c r="C93" s="525" t="n"/>
      <c r="D93" s="526" t="n"/>
      <c r="E93" s="354" t="n">
        <v>0.3333333333333333</v>
      </c>
      <c r="F93" s="354" t="n">
        <v>0.3333333333333333</v>
      </c>
      <c r="G93" s="354" t="n">
        <v>0.3333333333333333</v>
      </c>
      <c r="H93" s="354" t="n">
        <v>0.3333333333333333</v>
      </c>
      <c r="I93" s="354" t="n">
        <v>0.3333333333333333</v>
      </c>
      <c r="J93" s="354" t="n">
        <v>0.3333333333333333</v>
      </c>
      <c r="K93" s="354" t="n">
        <v>0.3333333333333333</v>
      </c>
      <c r="L93" s="354" t="n">
        <v>0.3333333333333333</v>
      </c>
      <c r="M93" s="354" t="n">
        <v>0.3333333333333333</v>
      </c>
      <c r="N93" s="354" t="n">
        <v>0.3333333333333333</v>
      </c>
      <c r="O93" s="354" t="n">
        <v>0.3333333333333333</v>
      </c>
      <c r="P93" s="354" t="n">
        <v>0.3333333333333333</v>
      </c>
      <c r="Q93" s="354" t="n">
        <v>0.3333333333333333</v>
      </c>
      <c r="R93" s="354" t="n">
        <v>0.3333333333333333</v>
      </c>
      <c r="S93" s="354" t="n">
        <v>0.3333333333333333</v>
      </c>
      <c r="T93" s="354" t="n">
        <v>0.3333333333333333</v>
      </c>
      <c r="U93" s="354" t="n">
        <v>0.3333333333333333</v>
      </c>
      <c r="V93" s="354" t="n">
        <v>0.3333333333333333</v>
      </c>
      <c r="W93" s="354" t="n">
        <v>0.3333333333333333</v>
      </c>
      <c r="X93" s="354" t="n">
        <v>0.3333333333333333</v>
      </c>
      <c r="Y93" s="354" t="n">
        <v>0.3333333333333333</v>
      </c>
      <c r="Z93" s="354" t="n">
        <v>0.3333333333333333</v>
      </c>
      <c r="AA93" s="354" t="n">
        <v>0.3333333333333333</v>
      </c>
      <c r="AB93" s="354" t="n">
        <v>0.3333333333333333</v>
      </c>
      <c r="AC93" s="354" t="n">
        <v>0.3333333333333333</v>
      </c>
      <c r="AD93" s="354" t="n">
        <v>0.3333333333333333</v>
      </c>
      <c r="AE93" s="354" t="n">
        <v>0.3333333333333333</v>
      </c>
      <c r="AF93" s="354" t="n">
        <v>0.3333333333333333</v>
      </c>
      <c r="AG93" s="354" t="n">
        <v>0.3333333333333333</v>
      </c>
      <c r="AH93" s="354" t="n">
        <v>0.3333333333333333</v>
      </c>
      <c r="AI93" s="517" t="n"/>
    </row>
    <row r="94">
      <c r="A94" s="558" t="n">
        <v>1</v>
      </c>
      <c r="B94" s="373" t="inlineStr">
        <is>
          <t>Basement:-2</t>
        </is>
      </c>
      <c r="C94" s="558" t="inlineStr">
        <is>
          <t>Liberty-170</t>
        </is>
      </c>
      <c r="D94" s="501" t="n"/>
      <c r="E94" s="355">
        <f>E88-D88</f>
        <v/>
      </c>
      <c r="F94" s="355">
        <f>F88-E88</f>
        <v/>
      </c>
      <c r="G94" s="355">
        <f>G88-F88</f>
        <v/>
      </c>
      <c r="H94" s="355">
        <f>H88-G88</f>
        <v/>
      </c>
      <c r="I94" s="355">
        <f>I88-H88</f>
        <v/>
      </c>
      <c r="J94" s="355">
        <f>J88-I88</f>
        <v/>
      </c>
      <c r="K94" s="355">
        <f>K88-J88</f>
        <v/>
      </c>
      <c r="L94" s="355">
        <f>L88-K88</f>
        <v/>
      </c>
      <c r="M94" s="355">
        <f>M88-L88</f>
        <v/>
      </c>
      <c r="N94" s="355">
        <f>N88-M88</f>
        <v/>
      </c>
      <c r="O94" s="355">
        <f>O88-N88</f>
        <v/>
      </c>
      <c r="P94" s="355">
        <f>P88-O88</f>
        <v/>
      </c>
      <c r="Q94" s="355">
        <f>Q88-P88</f>
        <v/>
      </c>
      <c r="R94" s="355">
        <f>R88-Q88</f>
        <v/>
      </c>
      <c r="S94" s="355">
        <f>S88-R88</f>
        <v/>
      </c>
      <c r="T94" s="355">
        <f>T88-S88</f>
        <v/>
      </c>
      <c r="U94" s="355">
        <f>U88-T88</f>
        <v/>
      </c>
      <c r="V94" s="355">
        <f>V88-U88</f>
        <v/>
      </c>
      <c r="W94" s="355">
        <f>W88-V88</f>
        <v/>
      </c>
      <c r="X94" s="355">
        <f>X88-W88</f>
        <v/>
      </c>
      <c r="Y94" s="355">
        <f>Y88-X88</f>
        <v/>
      </c>
      <c r="Z94" s="355">
        <f>Z88-Y88</f>
        <v/>
      </c>
      <c r="AA94" s="355">
        <f>AA88-Z88</f>
        <v/>
      </c>
      <c r="AB94" s="355">
        <f>AB88-AA88</f>
        <v/>
      </c>
      <c r="AC94" s="355">
        <f>AC88-AB88</f>
        <v/>
      </c>
      <c r="AD94" s="355">
        <f>AD88-AC88</f>
        <v/>
      </c>
      <c r="AE94" s="355">
        <f>AE88-AD88</f>
        <v/>
      </c>
      <c r="AF94" s="355">
        <f>AF88-AE88</f>
        <v/>
      </c>
      <c r="AG94" s="355">
        <f>AG88-AF88</f>
        <v/>
      </c>
      <c r="AH94" s="355">
        <f>AH88-AG88</f>
        <v/>
      </c>
      <c r="AI94" s="355">
        <f>SUM(H94:AH94)</f>
        <v/>
      </c>
    </row>
  </sheetData>
  <mergeCells count="61">
    <mergeCell ref="C77:D77"/>
    <mergeCell ref="D84:D87"/>
    <mergeCell ref="E83:AH83"/>
    <mergeCell ref="C62:D62"/>
    <mergeCell ref="C68:D68"/>
    <mergeCell ref="AI84:AI87"/>
    <mergeCell ref="C58:D58"/>
    <mergeCell ref="C40:D43"/>
    <mergeCell ref="C45:D45"/>
    <mergeCell ref="C74:D74"/>
    <mergeCell ref="AI90:AI93"/>
    <mergeCell ref="C64:D64"/>
    <mergeCell ref="C79:D79"/>
    <mergeCell ref="B2:B5"/>
    <mergeCell ref="A22:AH22"/>
    <mergeCell ref="B38:D38"/>
    <mergeCell ref="D2:D5"/>
    <mergeCell ref="C73:D73"/>
    <mergeCell ref="C90:D93"/>
    <mergeCell ref="A90:A93"/>
    <mergeCell ref="A84:A87"/>
    <mergeCell ref="C84:C87"/>
    <mergeCell ref="AI40:AI43"/>
    <mergeCell ref="C47:D47"/>
    <mergeCell ref="C54:D54"/>
    <mergeCell ref="A83:D83"/>
    <mergeCell ref="C94:D94"/>
    <mergeCell ref="C65:D65"/>
    <mergeCell ref="A36:AH37"/>
    <mergeCell ref="A1:AI1"/>
    <mergeCell ref="C55:D55"/>
    <mergeCell ref="C50:D50"/>
    <mergeCell ref="C75:D75"/>
    <mergeCell ref="C44:D44"/>
    <mergeCell ref="A31:AH31"/>
    <mergeCell ref="C56:D56"/>
    <mergeCell ref="C59:D59"/>
    <mergeCell ref="C49:D49"/>
    <mergeCell ref="B84:B87"/>
    <mergeCell ref="C46:D46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I2:AI5"/>
    <mergeCell ref="C72:D72"/>
    <mergeCell ref="C67:D67"/>
    <mergeCell ref="C57:D57"/>
    <mergeCell ref="C66:D66"/>
    <mergeCell ref="C53:D53"/>
    <mergeCell ref="B39:D39"/>
    <mergeCell ref="C78:D78"/>
    <mergeCell ref="C69:D69"/>
    <mergeCell ref="A40:A43"/>
    <mergeCell ref="B90:B9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94"/>
  <sheetViews>
    <sheetView topLeftCell="AE63" zoomScaleNormal="100" workbookViewId="0">
      <selection activeCell="AK68" sqref="AK68:AL71"/>
    </sheetView>
  </sheetViews>
  <sheetFormatPr baseColWidth="8" defaultRowHeight="14.5"/>
  <cols>
    <col width="15" customWidth="1" style="488" min="1" max="1"/>
    <col width="27" customWidth="1" style="488" min="2" max="2"/>
    <col width="32" customWidth="1" style="488" min="3" max="3"/>
    <col width="20" customWidth="1" style="488" min="4" max="4"/>
    <col width="34" customWidth="1" style="488" min="5" max="5"/>
    <col width="23" customWidth="1" style="488" min="6" max="22"/>
    <col width="23" bestFit="1" customWidth="1" style="488" min="23" max="23"/>
    <col width="23" customWidth="1" style="488" min="24" max="35"/>
    <col width="18" customWidth="1" style="488" min="36" max="36"/>
    <col width="14" customWidth="1" style="488" min="37" max="37"/>
    <col width="18" customWidth="1" style="488" min="38" max="38"/>
  </cols>
  <sheetData>
    <row r="1" ht="21" customHeight="1" s="488">
      <c r="A1" s="556" t="inlineStr">
        <is>
          <t>May -  2026</t>
        </is>
      </c>
    </row>
    <row r="2" ht="15" customHeight="1" s="488">
      <c r="A2" s="550" t="inlineStr">
        <is>
          <t>Sr.No</t>
        </is>
      </c>
      <c r="B2" s="550" t="inlineStr">
        <is>
          <t>Location</t>
        </is>
      </c>
      <c r="C2" s="554" t="inlineStr">
        <is>
          <t>Meter</t>
        </is>
      </c>
      <c r="D2" s="543" t="inlineStr">
        <is>
          <t>Previous Reading</t>
        </is>
      </c>
      <c r="E2" s="301" t="n">
        <v>46143</v>
      </c>
      <c r="F2" s="301" t="n">
        <v>46144</v>
      </c>
      <c r="G2" s="301" t="n">
        <v>46145</v>
      </c>
      <c r="H2" s="301" t="n">
        <v>46146</v>
      </c>
      <c r="I2" s="301" t="n">
        <v>46147</v>
      </c>
      <c r="J2" s="301" t="n">
        <v>46148</v>
      </c>
      <c r="K2" s="301" t="n">
        <v>46149</v>
      </c>
      <c r="L2" s="301" t="n">
        <v>46150</v>
      </c>
      <c r="M2" s="301" t="n">
        <v>46151</v>
      </c>
      <c r="N2" s="301" t="n">
        <v>46152</v>
      </c>
      <c r="O2" s="301" t="n">
        <v>46153</v>
      </c>
      <c r="P2" s="301" t="n">
        <v>46154</v>
      </c>
      <c r="Q2" s="301" t="n">
        <v>46155</v>
      </c>
      <c r="R2" s="301" t="n">
        <v>46156</v>
      </c>
      <c r="S2" s="301" t="n">
        <v>46157</v>
      </c>
      <c r="T2" s="301" t="n">
        <v>46158</v>
      </c>
      <c r="U2" s="301" t="n">
        <v>46159</v>
      </c>
      <c r="V2" s="301" t="n">
        <v>46160</v>
      </c>
      <c r="W2" s="301" t="n">
        <v>46161</v>
      </c>
      <c r="X2" s="301" t="n">
        <v>46162</v>
      </c>
      <c r="Y2" s="301" t="n">
        <v>46163</v>
      </c>
      <c r="Z2" s="301" t="n">
        <v>46164</v>
      </c>
      <c r="AA2" s="301" t="n">
        <v>46165</v>
      </c>
      <c r="AB2" s="301" t="n">
        <v>46166</v>
      </c>
      <c r="AC2" s="301" t="n">
        <v>46167</v>
      </c>
      <c r="AD2" s="301" t="n">
        <v>46168</v>
      </c>
      <c r="AE2" s="301" t="n">
        <v>46169</v>
      </c>
      <c r="AF2" s="301" t="n">
        <v>46170</v>
      </c>
      <c r="AG2" s="301" t="n">
        <v>46171</v>
      </c>
      <c r="AH2" s="301" t="n">
        <v>46172</v>
      </c>
      <c r="AI2" s="301" t="n">
        <v>46173</v>
      </c>
      <c r="AJ2" s="548" t="inlineStr">
        <is>
          <t>Consumption</t>
        </is>
      </c>
    </row>
    <row r="3">
      <c r="A3" s="509" t="n"/>
      <c r="B3" s="509" t="n"/>
      <c r="C3" s="509" t="n"/>
      <c r="D3" s="509" t="n"/>
      <c r="E3" s="302" t="inlineStr">
        <is>
          <t>Fri</t>
        </is>
      </c>
      <c r="F3" s="302" t="inlineStr">
        <is>
          <t>Sat</t>
        </is>
      </c>
      <c r="G3" s="302" t="inlineStr">
        <is>
          <t>Sun</t>
        </is>
      </c>
      <c r="H3" s="302" t="inlineStr">
        <is>
          <t>Mon</t>
        </is>
      </c>
      <c r="I3" s="302" t="inlineStr">
        <is>
          <t>Tue</t>
        </is>
      </c>
      <c r="J3" s="302" t="inlineStr">
        <is>
          <t>Wed</t>
        </is>
      </c>
      <c r="K3" s="302" t="inlineStr">
        <is>
          <t>Thu</t>
        </is>
      </c>
      <c r="L3" s="302" t="inlineStr">
        <is>
          <t>Fri</t>
        </is>
      </c>
      <c r="M3" s="302" t="inlineStr">
        <is>
          <t>Sat</t>
        </is>
      </c>
      <c r="N3" s="302" t="inlineStr">
        <is>
          <t>Sun</t>
        </is>
      </c>
      <c r="O3" s="302" t="inlineStr">
        <is>
          <t>Mon</t>
        </is>
      </c>
      <c r="P3" s="302" t="inlineStr">
        <is>
          <t>Tue</t>
        </is>
      </c>
      <c r="Q3" s="302" t="inlineStr">
        <is>
          <t>Wed</t>
        </is>
      </c>
      <c r="R3" s="302" t="inlineStr">
        <is>
          <t>Thu</t>
        </is>
      </c>
      <c r="S3" s="302" t="inlineStr">
        <is>
          <t>Fri</t>
        </is>
      </c>
      <c r="T3" s="302" t="inlineStr">
        <is>
          <t>Sat</t>
        </is>
      </c>
      <c r="U3" s="302" t="inlineStr">
        <is>
          <t>Sun</t>
        </is>
      </c>
      <c r="V3" s="302" t="inlineStr">
        <is>
          <t>Mon</t>
        </is>
      </c>
      <c r="W3" s="302" t="inlineStr">
        <is>
          <t>Tue</t>
        </is>
      </c>
      <c r="X3" s="302" t="inlineStr">
        <is>
          <t>Wed</t>
        </is>
      </c>
      <c r="Y3" s="302" t="inlineStr">
        <is>
          <t>Thu</t>
        </is>
      </c>
      <c r="Z3" s="302" t="inlineStr">
        <is>
          <t>Fri</t>
        </is>
      </c>
      <c r="AA3" s="302" t="inlineStr">
        <is>
          <t>Sat</t>
        </is>
      </c>
      <c r="AB3" s="302" t="inlineStr">
        <is>
          <t>Sun</t>
        </is>
      </c>
      <c r="AC3" s="302" t="inlineStr">
        <is>
          <t>Mon</t>
        </is>
      </c>
      <c r="AD3" s="302" t="inlineStr">
        <is>
          <t>Tue</t>
        </is>
      </c>
      <c r="AE3" s="302" t="inlineStr">
        <is>
          <t>Wed</t>
        </is>
      </c>
      <c r="AF3" s="302" t="inlineStr">
        <is>
          <t>Thu</t>
        </is>
      </c>
      <c r="AG3" s="302" t="inlineStr">
        <is>
          <t>Fri</t>
        </is>
      </c>
      <c r="AH3" s="302" t="inlineStr">
        <is>
          <t>Sat</t>
        </is>
      </c>
      <c r="AI3" s="302" t="inlineStr">
        <is>
          <t>Sun</t>
        </is>
      </c>
      <c r="AJ3" s="509" t="n"/>
    </row>
    <row r="4">
      <c r="A4" s="509" t="n"/>
      <c r="B4" s="509" t="n"/>
      <c r="C4" s="509" t="n"/>
      <c r="D4" s="509" t="n"/>
      <c r="E4" s="303" t="inlineStr">
        <is>
          <t>Time</t>
        </is>
      </c>
      <c r="F4" s="303" t="inlineStr">
        <is>
          <t>Time</t>
        </is>
      </c>
      <c r="G4" s="303" t="inlineStr">
        <is>
          <t>Time</t>
        </is>
      </c>
      <c r="H4" s="303" t="inlineStr">
        <is>
          <t>Time</t>
        </is>
      </c>
      <c r="I4" s="303" t="inlineStr">
        <is>
          <t>Time</t>
        </is>
      </c>
      <c r="J4" s="303" t="inlineStr">
        <is>
          <t>Time</t>
        </is>
      </c>
      <c r="K4" s="303" t="inlineStr">
        <is>
          <t>Time</t>
        </is>
      </c>
      <c r="L4" s="303" t="inlineStr">
        <is>
          <t>Time</t>
        </is>
      </c>
      <c r="M4" s="303" t="inlineStr">
        <is>
          <t>Time</t>
        </is>
      </c>
      <c r="N4" s="303" t="inlineStr">
        <is>
          <t>Time</t>
        </is>
      </c>
      <c r="O4" s="303" t="inlineStr">
        <is>
          <t>Time</t>
        </is>
      </c>
      <c r="P4" s="303" t="inlineStr">
        <is>
          <t>Time</t>
        </is>
      </c>
      <c r="Q4" s="303" t="inlineStr">
        <is>
          <t>Time</t>
        </is>
      </c>
      <c r="R4" s="303" t="inlineStr">
        <is>
          <t>Time</t>
        </is>
      </c>
      <c r="S4" s="303" t="inlineStr">
        <is>
          <t>Time</t>
        </is>
      </c>
      <c r="T4" s="303" t="inlineStr">
        <is>
          <t>Time</t>
        </is>
      </c>
      <c r="U4" s="303" t="inlineStr">
        <is>
          <t>Time</t>
        </is>
      </c>
      <c r="V4" s="303" t="inlineStr">
        <is>
          <t>Time</t>
        </is>
      </c>
      <c r="W4" s="303" t="inlineStr">
        <is>
          <t>Time</t>
        </is>
      </c>
      <c r="X4" s="303" t="inlineStr">
        <is>
          <t>Time</t>
        </is>
      </c>
      <c r="Y4" s="303" t="inlineStr">
        <is>
          <t>Time</t>
        </is>
      </c>
      <c r="Z4" s="303" t="inlineStr">
        <is>
          <t>Time</t>
        </is>
      </c>
      <c r="AA4" s="303" t="inlineStr">
        <is>
          <t>Time</t>
        </is>
      </c>
      <c r="AB4" s="303" t="inlineStr">
        <is>
          <t>Time</t>
        </is>
      </c>
      <c r="AC4" s="303" t="inlineStr">
        <is>
          <t>Time</t>
        </is>
      </c>
      <c r="AD4" s="303" t="inlineStr">
        <is>
          <t>Time</t>
        </is>
      </c>
      <c r="AE4" s="303" t="inlineStr">
        <is>
          <t>Time</t>
        </is>
      </c>
      <c r="AF4" s="303" t="inlineStr">
        <is>
          <t>Time</t>
        </is>
      </c>
      <c r="AG4" s="303" t="inlineStr">
        <is>
          <t>Time</t>
        </is>
      </c>
      <c r="AH4" s="303" t="inlineStr">
        <is>
          <t>Time</t>
        </is>
      </c>
      <c r="AI4" s="303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304" t="n">
        <v>0.3333333333333333</v>
      </c>
      <c r="F5" s="304" t="n">
        <v>0.3333333333333333</v>
      </c>
      <c r="G5" s="304" t="n">
        <v>0.3333333333333333</v>
      </c>
      <c r="H5" s="304" t="n">
        <v>0.3333333333333333</v>
      </c>
      <c r="I5" s="304" t="n">
        <v>0.3333333333333333</v>
      </c>
      <c r="J5" s="304" t="n">
        <v>0.3333333333333333</v>
      </c>
      <c r="K5" s="304" t="n">
        <v>0.3333333333333333</v>
      </c>
      <c r="L5" s="304" t="n">
        <v>0.3333333333333333</v>
      </c>
      <c r="M5" s="304" t="n">
        <v>0.3333333333333333</v>
      </c>
      <c r="N5" s="304" t="n">
        <v>0.3333333333333333</v>
      </c>
      <c r="O5" s="304" t="n">
        <v>0.3333333333333333</v>
      </c>
      <c r="P5" s="304" t="n">
        <v>0.3333333333333333</v>
      </c>
      <c r="Q5" s="304" t="n">
        <v>0.3333333333333333</v>
      </c>
      <c r="R5" s="304" t="n">
        <v>0.3333333333333333</v>
      </c>
      <c r="S5" s="304" t="n">
        <v>0.3333333333333333</v>
      </c>
      <c r="T5" s="304" t="n">
        <v>0.3333333333333333</v>
      </c>
      <c r="U5" s="304" t="n">
        <v>0.3333333333333333</v>
      </c>
      <c r="V5" s="304" t="n">
        <v>0.3333333333333333</v>
      </c>
      <c r="W5" s="304" t="n">
        <v>0.3333333333333333</v>
      </c>
      <c r="X5" s="304" t="n">
        <v>0.3333333333333333</v>
      </c>
      <c r="Y5" s="304" t="n">
        <v>0.3333333333333333</v>
      </c>
      <c r="Z5" s="304" t="n">
        <v>0.3333333333333333</v>
      </c>
      <c r="AA5" s="304" t="n">
        <v>0.3333333333333333</v>
      </c>
      <c r="AB5" s="304" t="n">
        <v>0.3333333333333333</v>
      </c>
      <c r="AC5" s="304" t="n">
        <v>0.3333333333333333</v>
      </c>
      <c r="AD5" s="304" t="n">
        <v>0.3333333333333333</v>
      </c>
      <c r="AE5" s="304" t="n">
        <v>0.3333333333333333</v>
      </c>
      <c r="AF5" s="304" t="n">
        <v>0.3333333333333333</v>
      </c>
      <c r="AG5" s="304" t="n">
        <v>0.3333333333333333</v>
      </c>
      <c r="AH5" s="304" t="n">
        <v>0.3333333333333333</v>
      </c>
      <c r="AI5" s="304" t="n">
        <v>0.3333333333333333</v>
      </c>
      <c r="AJ5" s="510" t="n"/>
    </row>
    <row r="6">
      <c r="A6" s="305" t="n">
        <v>1</v>
      </c>
      <c r="B6" s="541" t="inlineStr">
        <is>
          <t>3F</t>
        </is>
      </c>
      <c r="C6" s="377" t="inlineStr">
        <is>
          <t>SL No 540430038840 (EB Unit)</t>
        </is>
      </c>
      <c r="D6" s="397" t="n">
        <v>196078</v>
      </c>
      <c r="E6" s="378" t="n">
        <v>196329</v>
      </c>
      <c r="F6" s="378" t="n">
        <v>196545</v>
      </c>
      <c r="G6" s="378" t="n">
        <v>196744</v>
      </c>
      <c r="H6" s="378" t="n">
        <v>196988</v>
      </c>
      <c r="I6" s="378" t="n">
        <v>197243</v>
      </c>
      <c r="J6" s="378" t="n">
        <v>197487</v>
      </c>
      <c r="K6" s="378" t="n">
        <v>197732</v>
      </c>
      <c r="L6" s="378" t="n">
        <v>197972</v>
      </c>
      <c r="M6" s="378" t="n">
        <v>198189</v>
      </c>
      <c r="N6" s="378" t="n">
        <v>198400</v>
      </c>
      <c r="O6" s="378" t="n">
        <v>198652</v>
      </c>
      <c r="P6" s="378" t="n">
        <v>198904</v>
      </c>
      <c r="Q6" s="378" t="n">
        <v>199142</v>
      </c>
      <c r="R6" s="378" t="n">
        <v>199401</v>
      </c>
      <c r="S6" s="378" t="n">
        <v>199622</v>
      </c>
      <c r="T6" s="378" t="n">
        <v>199832</v>
      </c>
      <c r="U6" s="378" t="n">
        <v>200036</v>
      </c>
      <c r="V6" s="378" t="n">
        <v>200278</v>
      </c>
      <c r="W6" s="378" t="n">
        <v>200522</v>
      </c>
      <c r="X6" s="378" t="n">
        <v>200776</v>
      </c>
      <c r="Y6" s="378" t="n">
        <v>201019</v>
      </c>
      <c r="Z6" s="378" t="n">
        <v>201267</v>
      </c>
      <c r="AA6" s="378" t="n">
        <v>201486</v>
      </c>
      <c r="AB6" s="378" t="n">
        <v>201682</v>
      </c>
      <c r="AC6" s="378" t="n">
        <v>201918</v>
      </c>
      <c r="AD6" s="378" t="n">
        <v>202153</v>
      </c>
      <c r="AE6" s="378" t="n">
        <v>202362</v>
      </c>
      <c r="AF6" s="378" t="n">
        <v>202608</v>
      </c>
      <c r="AG6" s="378" t="n">
        <v>202841</v>
      </c>
      <c r="AH6" s="378" t="n">
        <v>203035</v>
      </c>
      <c r="AI6" s="378" t="n">
        <v>203246</v>
      </c>
      <c r="AJ6" s="314">
        <f>AI6-D6</f>
        <v/>
      </c>
    </row>
    <row r="7">
      <c r="A7" s="315" t="n"/>
      <c r="B7" s="315" t="n"/>
      <c r="C7" s="325" t="inlineStr">
        <is>
          <t>DG</t>
        </is>
      </c>
      <c r="D7" s="79" t="n">
        <v>4329</v>
      </c>
      <c r="E7" s="305" t="n">
        <v>4329</v>
      </c>
      <c r="F7" s="305" t="n">
        <v>4329</v>
      </c>
      <c r="G7" s="305" t="n">
        <v>4329</v>
      </c>
      <c r="H7" s="305" t="n">
        <v>4329</v>
      </c>
      <c r="I7" s="305" t="n">
        <v>4329</v>
      </c>
      <c r="J7" s="305" t="n">
        <v>4329</v>
      </c>
      <c r="K7" s="305" t="n">
        <v>4329</v>
      </c>
      <c r="L7" s="305" t="n">
        <v>4329</v>
      </c>
      <c r="M7" s="305" t="n">
        <v>4329</v>
      </c>
      <c r="N7" s="305" t="n">
        <v>4329</v>
      </c>
      <c r="O7" s="305" t="n">
        <v>4329</v>
      </c>
      <c r="P7" s="305" t="n">
        <v>4329</v>
      </c>
      <c r="Q7" s="305" t="n">
        <v>4329</v>
      </c>
      <c r="R7" s="318" t="n">
        <v>4329</v>
      </c>
      <c r="S7" s="318" t="n">
        <v>4329</v>
      </c>
      <c r="T7" s="318" t="n">
        <v>4329</v>
      </c>
      <c r="U7" s="318" t="n">
        <v>4329</v>
      </c>
      <c r="V7" s="315" t="n">
        <v>4329</v>
      </c>
      <c r="W7" s="315" t="n">
        <v>4329</v>
      </c>
      <c r="X7" s="315" t="n">
        <v>4329</v>
      </c>
      <c r="Y7" s="315" t="n">
        <v>4329</v>
      </c>
      <c r="Z7" s="315" t="n">
        <v>4329</v>
      </c>
      <c r="AA7" s="315" t="n">
        <v>4329</v>
      </c>
      <c r="AB7" s="315" t="n">
        <v>4329</v>
      </c>
      <c r="AC7" s="315" t="n">
        <v>4339</v>
      </c>
      <c r="AD7" s="315" t="n">
        <v>4339</v>
      </c>
      <c r="AE7" s="315" t="n">
        <v>4339</v>
      </c>
      <c r="AF7" s="315" t="n">
        <v>4339</v>
      </c>
      <c r="AG7" s="315" t="n">
        <v>4339</v>
      </c>
      <c r="AH7" s="315" t="n">
        <v>4339</v>
      </c>
      <c r="AI7" s="315" t="n">
        <v>4343</v>
      </c>
      <c r="AJ7" s="314">
        <f>AI7-D7</f>
        <v/>
      </c>
    </row>
    <row r="8">
      <c r="A8" s="541" t="n">
        <v>2</v>
      </c>
      <c r="B8" s="541" t="inlineStr">
        <is>
          <t>3F</t>
        </is>
      </c>
      <c r="C8" s="322" t="inlineStr">
        <is>
          <t>SL No 540430038845 (EB Unit)</t>
        </is>
      </c>
      <c r="D8" s="529" t="n">
        <v>1956</v>
      </c>
      <c r="E8" s="305" t="n">
        <v>1956</v>
      </c>
      <c r="F8" s="305" t="n">
        <v>1956</v>
      </c>
      <c r="G8" s="305" t="n">
        <v>1956</v>
      </c>
      <c r="H8" s="305" t="n">
        <v>1956</v>
      </c>
      <c r="I8" s="305" t="n">
        <v>1956</v>
      </c>
      <c r="J8" s="305" t="n">
        <v>1956</v>
      </c>
      <c r="K8" s="305" t="n">
        <v>1956</v>
      </c>
      <c r="L8" s="305" t="n">
        <v>1956</v>
      </c>
      <c r="M8" s="305" t="n">
        <v>1956</v>
      </c>
      <c r="N8" s="305" t="n">
        <v>1956</v>
      </c>
      <c r="O8" s="305" t="n">
        <v>1956</v>
      </c>
      <c r="P8" s="305" t="n">
        <v>1956</v>
      </c>
      <c r="Q8" s="305" t="n">
        <v>1956</v>
      </c>
      <c r="R8" s="541" t="n">
        <v>1956</v>
      </c>
      <c r="S8" s="541" t="n">
        <v>1956</v>
      </c>
      <c r="T8" s="541" t="n">
        <v>1956</v>
      </c>
      <c r="U8" s="541" t="n">
        <v>1956</v>
      </c>
      <c r="V8" s="541" t="n">
        <v>1956</v>
      </c>
      <c r="W8" s="541" t="n">
        <v>1956</v>
      </c>
      <c r="X8" s="541" t="n">
        <v>1956</v>
      </c>
      <c r="Y8" s="541" t="n">
        <v>1956</v>
      </c>
      <c r="Z8" s="541" t="n">
        <v>1956</v>
      </c>
      <c r="AA8" s="541" t="n">
        <v>1956</v>
      </c>
      <c r="AB8" s="541" t="n">
        <v>1956</v>
      </c>
      <c r="AC8" s="541" t="n">
        <v>1956</v>
      </c>
      <c r="AD8" s="541" t="n">
        <v>1956</v>
      </c>
      <c r="AE8" s="541" t="n">
        <v>1956</v>
      </c>
      <c r="AF8" s="541" t="n">
        <v>1956</v>
      </c>
      <c r="AG8" s="541" t="n">
        <v>1956</v>
      </c>
      <c r="AH8" s="541" t="n">
        <v>1956</v>
      </c>
      <c r="AI8" s="541" t="n">
        <v>1956</v>
      </c>
      <c r="AJ8" s="314">
        <f>AI8-D8</f>
        <v/>
      </c>
    </row>
    <row r="9">
      <c r="A9" s="541" t="n"/>
      <c r="B9" s="541" t="n"/>
      <c r="C9" s="325" t="inlineStr">
        <is>
          <t>DG</t>
        </is>
      </c>
      <c r="D9" s="529" t="n">
        <v>28.6</v>
      </c>
      <c r="E9" s="305" t="n">
        <v>28.6</v>
      </c>
      <c r="F9" s="305" t="n">
        <v>28.6</v>
      </c>
      <c r="G9" s="305" t="n">
        <v>28.6</v>
      </c>
      <c r="H9" s="305" t="n">
        <v>28.6</v>
      </c>
      <c r="I9" s="305" t="n">
        <v>28.6</v>
      </c>
      <c r="J9" s="305" t="n">
        <v>28.6</v>
      </c>
      <c r="K9" s="305" t="n">
        <v>28.6</v>
      </c>
      <c r="L9" s="305" t="n">
        <v>28.6</v>
      </c>
      <c r="M9" s="305" t="n">
        <v>28.6</v>
      </c>
      <c r="N9" s="305" t="n">
        <v>28.6</v>
      </c>
      <c r="O9" s="305" t="n">
        <v>28.6</v>
      </c>
      <c r="P9" s="305" t="n">
        <v>28.6</v>
      </c>
      <c r="Q9" s="305" t="n">
        <v>28.6</v>
      </c>
      <c r="R9" s="309" t="n">
        <v>28.6</v>
      </c>
      <c r="S9" s="309" t="n">
        <v>28.6</v>
      </c>
      <c r="T9" s="309" t="n">
        <v>28.6</v>
      </c>
      <c r="U9" s="309" t="n">
        <v>28.6</v>
      </c>
      <c r="V9" s="541" t="n">
        <v>28.6</v>
      </c>
      <c r="W9" s="541" t="n">
        <v>28.6</v>
      </c>
      <c r="X9" s="541" t="n">
        <v>28.6</v>
      </c>
      <c r="Y9" s="541" t="n">
        <v>28.6</v>
      </c>
      <c r="Z9" s="541" t="n">
        <v>28.6</v>
      </c>
      <c r="AA9" s="541" t="n">
        <v>28.6</v>
      </c>
      <c r="AB9" s="541" t="n">
        <v>28.6</v>
      </c>
      <c r="AC9" s="541" t="n">
        <v>28.6</v>
      </c>
      <c r="AD9" s="541" t="n">
        <v>28.6</v>
      </c>
      <c r="AE9" s="541" t="n">
        <v>28.6</v>
      </c>
      <c r="AF9" s="541" t="n">
        <v>28.6</v>
      </c>
      <c r="AG9" s="541" t="n">
        <v>28.6</v>
      </c>
      <c r="AH9" s="541" t="n">
        <v>28.6</v>
      </c>
      <c r="AI9" s="541" t="n">
        <v>28.6</v>
      </c>
      <c r="AJ9" s="314">
        <f>AI9-D9</f>
        <v/>
      </c>
    </row>
    <row r="10">
      <c r="A10" s="541" t="n">
        <v>3</v>
      </c>
      <c r="B10" s="541" t="inlineStr">
        <is>
          <t>3F</t>
        </is>
      </c>
      <c r="C10" s="322" t="inlineStr">
        <is>
          <t>SL No 540430038844 (EB Unit)</t>
        </is>
      </c>
      <c r="D10" s="393" t="n">
        <v>283914</v>
      </c>
      <c r="E10" s="330" t="n">
        <v>284312</v>
      </c>
      <c r="F10" s="331" t="n">
        <v>284601</v>
      </c>
      <c r="G10" s="331" t="n">
        <v>284864</v>
      </c>
      <c r="H10" s="331" t="n">
        <v>285209</v>
      </c>
      <c r="I10" s="331" t="n">
        <v>285572</v>
      </c>
      <c r="J10" s="541" t="n">
        <v>285919</v>
      </c>
      <c r="K10" s="541" t="n">
        <v>286267</v>
      </c>
      <c r="L10" s="541" t="n">
        <v>286606</v>
      </c>
      <c r="M10" s="541" t="n">
        <v>286898</v>
      </c>
      <c r="N10" s="541" t="n">
        <v>287179</v>
      </c>
      <c r="O10" s="541" t="n">
        <v>287540</v>
      </c>
      <c r="P10" s="541" t="n">
        <v>287501</v>
      </c>
      <c r="Q10" s="541" t="n">
        <v>288125</v>
      </c>
      <c r="R10" s="541" t="n">
        <v>288608</v>
      </c>
      <c r="S10" s="541" t="n">
        <v>288923</v>
      </c>
      <c r="T10" s="541" t="n">
        <v>289202</v>
      </c>
      <c r="U10" s="541" t="n">
        <v>289467</v>
      </c>
      <c r="V10" s="541" t="n">
        <v>289812</v>
      </c>
      <c r="W10" s="541" t="n">
        <v>290159</v>
      </c>
      <c r="X10" s="541" t="n">
        <v>290520</v>
      </c>
      <c r="Y10" s="541" t="n">
        <v>290865</v>
      </c>
      <c r="Z10" s="541" t="n">
        <v>291221</v>
      </c>
      <c r="AA10" s="309" t="n">
        <v>291513</v>
      </c>
      <c r="AB10" s="315" t="n">
        <v>291769</v>
      </c>
      <c r="AC10" s="315" t="n">
        <v>292099</v>
      </c>
      <c r="AD10" s="315" t="n">
        <v>292432</v>
      </c>
      <c r="AE10" s="318" t="n">
        <v>292708</v>
      </c>
      <c r="AF10" s="318" t="n">
        <v>293056</v>
      </c>
      <c r="AG10" s="390" t="n">
        <v>293381</v>
      </c>
      <c r="AH10" s="390" t="n">
        <v>293636</v>
      </c>
      <c r="AI10" s="310" t="n">
        <v>293912</v>
      </c>
      <c r="AJ10" s="314">
        <f>AI10-D10</f>
        <v/>
      </c>
    </row>
    <row r="11">
      <c r="A11" s="541" t="n"/>
      <c r="B11" s="541" t="n"/>
      <c r="C11" s="325" t="inlineStr">
        <is>
          <t>DG</t>
        </is>
      </c>
      <c r="D11" s="529" t="n">
        <v>6472</v>
      </c>
      <c r="E11" s="305" t="n">
        <v>6472</v>
      </c>
      <c r="F11" s="305" t="n">
        <v>6472</v>
      </c>
      <c r="G11" s="305" t="n">
        <v>6472</v>
      </c>
      <c r="H11" s="305" t="n">
        <v>6472</v>
      </c>
      <c r="I11" s="305" t="n">
        <v>6472</v>
      </c>
      <c r="J11" s="305" t="n">
        <v>6472</v>
      </c>
      <c r="K11" s="305" t="n">
        <v>6472</v>
      </c>
      <c r="L11" s="305" t="n">
        <v>6472</v>
      </c>
      <c r="M11" s="305" t="n">
        <v>6472</v>
      </c>
      <c r="N11" s="305" t="n">
        <v>6472</v>
      </c>
      <c r="O11" s="305" t="n">
        <v>6472</v>
      </c>
      <c r="P11" s="305" t="n">
        <v>6472</v>
      </c>
      <c r="Q11" s="305" t="n">
        <v>6472</v>
      </c>
      <c r="R11" s="309" t="n">
        <v>6472</v>
      </c>
      <c r="S11" s="309" t="n">
        <v>6472</v>
      </c>
      <c r="T11" s="309" t="n">
        <v>6472</v>
      </c>
      <c r="U11" s="309" t="n">
        <v>6472</v>
      </c>
      <c r="V11" s="541" t="n">
        <v>6472</v>
      </c>
      <c r="W11" s="541" t="n">
        <v>6472</v>
      </c>
      <c r="X11" s="541" t="n">
        <v>6472</v>
      </c>
      <c r="Y11" s="541" t="n">
        <v>6472</v>
      </c>
      <c r="Z11" s="541" t="n">
        <v>6472</v>
      </c>
      <c r="AA11" s="541" t="n">
        <v>6472</v>
      </c>
      <c r="AB11" s="541" t="n">
        <v>6472</v>
      </c>
      <c r="AC11" s="541" t="n">
        <v>6487</v>
      </c>
      <c r="AD11" s="541" t="n">
        <v>6487</v>
      </c>
      <c r="AE11" s="541" t="n">
        <v>6487</v>
      </c>
      <c r="AF11" s="541" t="n">
        <v>6487</v>
      </c>
      <c r="AG11" s="541" t="n">
        <v>6487</v>
      </c>
      <c r="AH11" s="541" t="n">
        <v>6487</v>
      </c>
      <c r="AI11" s="541" t="n">
        <v>6492</v>
      </c>
      <c r="AJ11" s="314">
        <f>AI11-D11</f>
        <v/>
      </c>
    </row>
    <row r="12">
      <c r="A12" s="541" t="n">
        <v>4</v>
      </c>
      <c r="B12" s="541" t="inlineStr">
        <is>
          <t>3F</t>
        </is>
      </c>
      <c r="C12" s="322" t="inlineStr">
        <is>
          <t>SL No 540430038821 (EB Unit)</t>
        </is>
      </c>
      <c r="D12" s="529" t="n">
        <v>0</v>
      </c>
      <c r="E12" s="305" t="n">
        <v>0</v>
      </c>
      <c r="F12" s="305" t="n">
        <v>0</v>
      </c>
      <c r="G12" s="305" t="n">
        <v>0</v>
      </c>
      <c r="H12" s="305" t="n">
        <v>0</v>
      </c>
      <c r="I12" s="305" t="n">
        <v>0</v>
      </c>
      <c r="J12" s="305" t="n">
        <v>0</v>
      </c>
      <c r="K12" s="305" t="n">
        <v>0</v>
      </c>
      <c r="L12" s="305" t="n">
        <v>0</v>
      </c>
      <c r="M12" s="305" t="n">
        <v>0</v>
      </c>
      <c r="N12" s="305" t="n">
        <v>0</v>
      </c>
      <c r="O12" s="305" t="n">
        <v>0</v>
      </c>
      <c r="P12" s="305" t="n">
        <v>0</v>
      </c>
      <c r="Q12" s="305" t="n">
        <v>0</v>
      </c>
      <c r="R12" s="541" t="n">
        <v>0</v>
      </c>
      <c r="S12" s="541" t="n">
        <v>0</v>
      </c>
      <c r="T12" s="541" t="n">
        <v>0</v>
      </c>
      <c r="U12" s="541" t="n">
        <v>0</v>
      </c>
      <c r="V12" s="541" t="n">
        <v>0</v>
      </c>
      <c r="W12" s="541" t="n">
        <v>0</v>
      </c>
      <c r="X12" s="541" t="n">
        <v>0</v>
      </c>
      <c r="Y12" s="541" t="n">
        <v>0</v>
      </c>
      <c r="Z12" s="541" t="n">
        <v>0</v>
      </c>
      <c r="AA12" s="541" t="n">
        <v>0</v>
      </c>
      <c r="AB12" s="541" t="n">
        <v>0</v>
      </c>
      <c r="AC12" s="541" t="n">
        <v>0</v>
      </c>
      <c r="AD12" s="541" t="n">
        <v>0</v>
      </c>
      <c r="AE12" s="541" t="n">
        <v>0</v>
      </c>
      <c r="AF12" s="541" t="n">
        <v>0</v>
      </c>
      <c r="AG12" s="541" t="n">
        <v>0</v>
      </c>
      <c r="AH12" s="541" t="n">
        <v>0</v>
      </c>
      <c r="AI12" s="541" t="n">
        <v>0</v>
      </c>
      <c r="AJ12" s="314">
        <f>AI12-D12</f>
        <v/>
      </c>
    </row>
    <row r="13">
      <c r="A13" s="541" t="n"/>
      <c r="B13" s="541" t="n"/>
      <c r="C13" s="325" t="inlineStr">
        <is>
          <t>DG</t>
        </is>
      </c>
      <c r="D13" s="529" t="n">
        <v>0</v>
      </c>
      <c r="E13" s="305" t="n">
        <v>0</v>
      </c>
      <c r="F13" s="305" t="n">
        <v>0</v>
      </c>
      <c r="G13" s="305" t="n">
        <v>0</v>
      </c>
      <c r="H13" s="305" t="n">
        <v>0</v>
      </c>
      <c r="I13" s="305" t="n">
        <v>0</v>
      </c>
      <c r="J13" s="305" t="n">
        <v>0</v>
      </c>
      <c r="K13" s="305" t="n">
        <v>0</v>
      </c>
      <c r="L13" s="305" t="n">
        <v>0</v>
      </c>
      <c r="M13" s="305" t="n">
        <v>0</v>
      </c>
      <c r="N13" s="305" t="n">
        <v>0</v>
      </c>
      <c r="O13" s="305" t="n">
        <v>0</v>
      </c>
      <c r="P13" s="305" t="n">
        <v>0</v>
      </c>
      <c r="Q13" s="305" t="n">
        <v>0</v>
      </c>
      <c r="R13" s="541" t="n">
        <v>0</v>
      </c>
      <c r="S13" s="541" t="n">
        <v>0</v>
      </c>
      <c r="T13" s="541" t="n">
        <v>0</v>
      </c>
      <c r="U13" s="541" t="n">
        <v>0</v>
      </c>
      <c r="V13" s="541" t="n">
        <v>0</v>
      </c>
      <c r="W13" s="541" t="n">
        <v>0</v>
      </c>
      <c r="X13" s="541" t="n">
        <v>0</v>
      </c>
      <c r="Y13" s="541" t="n">
        <v>0</v>
      </c>
      <c r="Z13" s="541" t="n">
        <v>0</v>
      </c>
      <c r="AA13" s="541" t="n">
        <v>0</v>
      </c>
      <c r="AB13" s="541" t="n">
        <v>0</v>
      </c>
      <c r="AC13" s="541" t="n">
        <v>0</v>
      </c>
      <c r="AD13" s="541" t="n">
        <v>0</v>
      </c>
      <c r="AE13" s="541" t="n">
        <v>0</v>
      </c>
      <c r="AF13" s="541" t="n">
        <v>0</v>
      </c>
      <c r="AG13" s="541" t="n">
        <v>0</v>
      </c>
      <c r="AH13" s="541" t="n">
        <v>0</v>
      </c>
      <c r="AI13" s="541" t="n">
        <v>0</v>
      </c>
      <c r="AJ13" s="314">
        <f>AI13-D13</f>
        <v/>
      </c>
    </row>
    <row r="14">
      <c r="A14" s="541" t="n">
        <v>5</v>
      </c>
      <c r="B14" s="541" t="inlineStr">
        <is>
          <t>3F</t>
        </is>
      </c>
      <c r="C14" s="322" t="inlineStr">
        <is>
          <t>SL No 540430038849 (EB Unit)</t>
        </is>
      </c>
      <c r="D14" s="393" t="n">
        <v>149904</v>
      </c>
      <c r="E14" s="335" t="n">
        <v>150177</v>
      </c>
      <c r="F14" s="315" t="n">
        <v>150283</v>
      </c>
      <c r="G14" s="315" t="n">
        <v>150409</v>
      </c>
      <c r="H14" s="315" t="n">
        <v>150621</v>
      </c>
      <c r="I14" s="315" t="n">
        <v>150832</v>
      </c>
      <c r="J14" s="541" t="n">
        <v>151045</v>
      </c>
      <c r="K14" s="541" t="n">
        <v>151252</v>
      </c>
      <c r="L14" s="541" t="n">
        <v>151446</v>
      </c>
      <c r="M14" s="541" t="n">
        <v>151583</v>
      </c>
      <c r="N14" s="541" t="n">
        <v>151719</v>
      </c>
      <c r="O14" s="541" t="n">
        <v>151919</v>
      </c>
      <c r="P14" s="541" t="n">
        <v>152123</v>
      </c>
      <c r="Q14" s="541" t="n">
        <v>152308</v>
      </c>
      <c r="R14" s="541" t="n">
        <v>152507</v>
      </c>
      <c r="S14" s="541" t="n">
        <v>152684</v>
      </c>
      <c r="T14" s="541" t="n">
        <v>152831</v>
      </c>
      <c r="U14" s="328" t="n">
        <v>152949</v>
      </c>
      <c r="V14" s="541" t="n">
        <v>153150</v>
      </c>
      <c r="W14" s="541" t="n">
        <v>153347</v>
      </c>
      <c r="X14" s="541" t="n">
        <v>153549</v>
      </c>
      <c r="Y14" s="541" t="n">
        <v>153750</v>
      </c>
      <c r="Z14" s="541" t="n">
        <v>153949</v>
      </c>
      <c r="AA14" s="309" t="n">
        <v>154083</v>
      </c>
      <c r="AB14" s="328" t="n">
        <v>154204</v>
      </c>
      <c r="AC14" s="328" t="n">
        <v>154400</v>
      </c>
      <c r="AD14" s="328" t="n">
        <v>154588</v>
      </c>
      <c r="AE14" s="551" t="n">
        <v>154716</v>
      </c>
      <c r="AF14" s="551" t="n">
        <v>154913</v>
      </c>
      <c r="AG14" s="390" t="n">
        <v>155098</v>
      </c>
      <c r="AH14" s="390" t="n">
        <v>155228</v>
      </c>
      <c r="AI14" s="310" t="n">
        <v>155368</v>
      </c>
      <c r="AJ14" s="314">
        <f>AI14-D14</f>
        <v/>
      </c>
    </row>
    <row r="15">
      <c r="A15" s="541" t="n"/>
      <c r="B15" s="541" t="n"/>
      <c r="C15" s="325" t="inlineStr">
        <is>
          <t>DG</t>
        </is>
      </c>
      <c r="D15" s="394" t="n">
        <v>3316</v>
      </c>
      <c r="E15" s="330" t="n">
        <v>3316</v>
      </c>
      <c r="F15" s="330" t="n">
        <v>3316</v>
      </c>
      <c r="G15" s="330" t="n">
        <v>3316</v>
      </c>
      <c r="H15" s="330" t="n">
        <v>3316</v>
      </c>
      <c r="I15" s="330" t="n">
        <v>3316</v>
      </c>
      <c r="J15" s="330" t="n">
        <v>3316</v>
      </c>
      <c r="K15" s="330" t="n">
        <v>3316</v>
      </c>
      <c r="L15" s="330" t="n">
        <v>3316</v>
      </c>
      <c r="M15" s="330" t="n">
        <v>3316</v>
      </c>
      <c r="N15" s="330" t="n">
        <v>3316</v>
      </c>
      <c r="O15" s="330" t="n">
        <v>3316</v>
      </c>
      <c r="P15" s="330" t="n">
        <v>3316</v>
      </c>
      <c r="Q15" s="330" t="n">
        <v>3316</v>
      </c>
      <c r="R15" s="330" t="n">
        <v>3316</v>
      </c>
      <c r="S15" s="330" t="n">
        <v>3316</v>
      </c>
      <c r="T15" s="330" t="n">
        <v>3316</v>
      </c>
      <c r="U15" s="330" t="n">
        <v>3316</v>
      </c>
      <c r="V15" s="331" t="n">
        <v>3316</v>
      </c>
      <c r="W15" s="331" t="n">
        <v>3316</v>
      </c>
      <c r="X15" s="331" t="n">
        <v>3316</v>
      </c>
      <c r="Y15" s="331" t="n">
        <v>3316</v>
      </c>
      <c r="Z15" s="331" t="n">
        <v>3316</v>
      </c>
      <c r="AA15" s="331" t="n">
        <v>3316</v>
      </c>
      <c r="AB15" s="331" t="n">
        <v>3316</v>
      </c>
      <c r="AC15" s="331" t="n">
        <v>3324</v>
      </c>
      <c r="AD15" s="331" t="n">
        <v>3324</v>
      </c>
      <c r="AE15" s="331" t="n">
        <v>3324</v>
      </c>
      <c r="AF15" s="331" t="n">
        <v>3324</v>
      </c>
      <c r="AG15" s="331" t="n">
        <v>3324</v>
      </c>
      <c r="AH15" s="331" t="n">
        <v>3327</v>
      </c>
      <c r="AI15" s="331" t="n">
        <v>3327</v>
      </c>
      <c r="AJ15" s="314">
        <f>AI15-D15</f>
        <v/>
      </c>
    </row>
    <row r="16">
      <c r="A16" s="541" t="n">
        <v>6</v>
      </c>
      <c r="B16" s="541" t="inlineStr">
        <is>
          <t>3F</t>
        </is>
      </c>
      <c r="C16" s="322" t="inlineStr">
        <is>
          <t>SL No 540430038646 (EB Unit)</t>
        </is>
      </c>
      <c r="D16" s="393" t="n">
        <v>166898</v>
      </c>
      <c r="E16" s="332" t="n">
        <v>167179</v>
      </c>
      <c r="F16" s="309" t="n">
        <v>167330</v>
      </c>
      <c r="G16" s="305" t="n">
        <v>167429</v>
      </c>
      <c r="H16" s="311" t="n">
        <v>167673</v>
      </c>
      <c r="I16" s="541" t="n">
        <v>167940</v>
      </c>
      <c r="J16" s="541" t="n">
        <v>168183</v>
      </c>
      <c r="K16" s="309" t="n">
        <v>168435</v>
      </c>
      <c r="L16" s="333" t="n">
        <v>168672</v>
      </c>
      <c r="M16" s="310" t="n">
        <v>168821</v>
      </c>
      <c r="N16" s="310" t="n">
        <v>168917</v>
      </c>
      <c r="O16" s="310" t="n">
        <v>169119</v>
      </c>
      <c r="P16" s="310" t="n">
        <v>169447</v>
      </c>
      <c r="Q16" s="334" t="n">
        <v>169687</v>
      </c>
      <c r="R16" s="310" t="n">
        <v>169946</v>
      </c>
      <c r="S16" s="311" t="n">
        <v>170188</v>
      </c>
      <c r="T16" s="541" t="n">
        <v>170308</v>
      </c>
      <c r="U16" s="541" t="n">
        <v>170432</v>
      </c>
      <c r="V16" s="541" t="n">
        <v>170704</v>
      </c>
      <c r="W16" s="541" t="n">
        <v>170980</v>
      </c>
      <c r="X16" s="541" t="n">
        <v>171268</v>
      </c>
      <c r="Y16" s="541" t="n">
        <v>171542</v>
      </c>
      <c r="Z16" s="541" t="n">
        <v>171801</v>
      </c>
      <c r="AA16" s="309" t="n">
        <v>171944</v>
      </c>
      <c r="AB16" s="309" t="n">
        <v>172078</v>
      </c>
      <c r="AC16" s="305" t="n">
        <v>172368</v>
      </c>
      <c r="AD16" s="305" t="n">
        <v>172623</v>
      </c>
      <c r="AE16" s="313" t="n">
        <v>172745</v>
      </c>
      <c r="AF16" s="313" t="n">
        <v>172997</v>
      </c>
      <c r="AG16" s="390" t="n">
        <v>173241</v>
      </c>
      <c r="AH16" s="390" t="n">
        <v>173347</v>
      </c>
      <c r="AI16" s="310" t="n">
        <v>173457</v>
      </c>
      <c r="AJ16" s="314">
        <f>AI16-D16</f>
        <v/>
      </c>
    </row>
    <row r="17">
      <c r="A17" s="541" t="n"/>
      <c r="B17" s="541" t="n"/>
      <c r="C17" s="325" t="inlineStr">
        <is>
          <t>DG</t>
        </is>
      </c>
      <c r="D17" s="395" t="n">
        <v>4297</v>
      </c>
      <c r="E17" s="335" t="n">
        <v>4297</v>
      </c>
      <c r="F17" s="335" t="n">
        <v>4297</v>
      </c>
      <c r="G17" s="335" t="n">
        <v>4297</v>
      </c>
      <c r="H17" s="335" t="n">
        <v>4297</v>
      </c>
      <c r="I17" s="335" t="n">
        <v>4297</v>
      </c>
      <c r="J17" s="335" t="n">
        <v>4297</v>
      </c>
      <c r="K17" s="335" t="n">
        <v>4297</v>
      </c>
      <c r="L17" s="335" t="n">
        <v>4297</v>
      </c>
      <c r="M17" s="335" t="n">
        <v>4297</v>
      </c>
      <c r="N17" s="335" t="n">
        <v>4297</v>
      </c>
      <c r="O17" s="335" t="n">
        <v>4297</v>
      </c>
      <c r="P17" s="335" t="n">
        <v>4297</v>
      </c>
      <c r="Q17" s="335" t="n">
        <v>4297</v>
      </c>
      <c r="R17" s="335" t="n">
        <v>4297</v>
      </c>
      <c r="S17" s="335" t="n">
        <v>4297</v>
      </c>
      <c r="T17" s="335" t="n">
        <v>4297</v>
      </c>
      <c r="U17" s="335" t="n">
        <v>4297</v>
      </c>
      <c r="V17" s="335" t="n">
        <v>4297</v>
      </c>
      <c r="W17" s="335" t="n">
        <v>4297</v>
      </c>
      <c r="X17" s="335" t="n">
        <v>4297</v>
      </c>
      <c r="Y17" s="335" t="n">
        <v>4297</v>
      </c>
      <c r="Z17" s="335" t="n">
        <v>4297</v>
      </c>
      <c r="AA17" s="335" t="n">
        <v>4297</v>
      </c>
      <c r="AB17" s="335" t="n">
        <v>4297</v>
      </c>
      <c r="AC17" s="335" t="n">
        <v>4308</v>
      </c>
      <c r="AD17" s="335" t="n">
        <v>4308</v>
      </c>
      <c r="AE17" s="335" t="n">
        <v>4308</v>
      </c>
      <c r="AF17" s="335" t="n">
        <v>4308</v>
      </c>
      <c r="AG17" s="335" t="n">
        <v>4308</v>
      </c>
      <c r="AH17" s="335" t="n">
        <v>4311</v>
      </c>
      <c r="AI17" s="335" t="n">
        <v>4311</v>
      </c>
      <c r="AJ17" s="314">
        <f>AI17-D17</f>
        <v/>
      </c>
    </row>
    <row r="18">
      <c r="A18" s="541" t="n">
        <v>7</v>
      </c>
      <c r="B18" s="541" t="inlineStr">
        <is>
          <t>3F</t>
        </is>
      </c>
      <c r="C18" s="322" t="inlineStr">
        <is>
          <t>SL No 540430038843 (EB Unit)</t>
        </is>
      </c>
      <c r="D18" s="393" t="n">
        <v>548563</v>
      </c>
      <c r="E18" s="311" t="n">
        <v>549307</v>
      </c>
      <c r="F18" s="541" t="n">
        <v>549711</v>
      </c>
      <c r="G18" s="541" t="n">
        <v>550092</v>
      </c>
      <c r="H18" s="541" t="n">
        <v>550821</v>
      </c>
      <c r="I18" s="541" t="n">
        <v>551534</v>
      </c>
      <c r="J18" s="541" t="n">
        <v>552181</v>
      </c>
      <c r="K18" s="541" t="n">
        <v>552862</v>
      </c>
      <c r="L18" s="541" t="n">
        <v>553486</v>
      </c>
      <c r="M18" s="541" t="n">
        <v>553905</v>
      </c>
      <c r="N18" s="336" t="n">
        <v>554260</v>
      </c>
      <c r="O18" s="541" t="n">
        <v>554964</v>
      </c>
      <c r="P18" s="541" t="n">
        <v>555661</v>
      </c>
      <c r="Q18" s="541" t="n">
        <v>556256</v>
      </c>
      <c r="R18" s="315" t="n">
        <v>556942</v>
      </c>
      <c r="S18" s="336" t="n">
        <v>557560</v>
      </c>
      <c r="T18" s="541" t="n">
        <v>557872</v>
      </c>
      <c r="U18" s="541" t="n">
        <v>558164</v>
      </c>
      <c r="V18" s="541" t="n">
        <v>558867</v>
      </c>
      <c r="W18" s="541" t="n">
        <v>559513</v>
      </c>
      <c r="X18" s="328" t="n">
        <v>560204</v>
      </c>
      <c r="Y18" s="541" t="n">
        <v>560880</v>
      </c>
      <c r="Z18" s="541" t="n">
        <v>561550</v>
      </c>
      <c r="AA18" s="309" t="n">
        <v>561821</v>
      </c>
      <c r="AB18" s="305" t="n">
        <v>562085</v>
      </c>
      <c r="AC18" s="337" t="n">
        <v>562720</v>
      </c>
      <c r="AD18" s="315" t="n">
        <v>563336</v>
      </c>
      <c r="AE18" s="318" t="n">
        <v>563585</v>
      </c>
      <c r="AF18" s="318" t="n">
        <v>564216</v>
      </c>
      <c r="AG18" s="390" t="n">
        <v>564857</v>
      </c>
      <c r="AH18" s="390" t="n">
        <v>565149</v>
      </c>
      <c r="AI18" s="310" t="n">
        <v>565472</v>
      </c>
      <c r="AJ18" s="314">
        <f>AI18-D18</f>
        <v/>
      </c>
    </row>
    <row r="19">
      <c r="A19" s="541" t="n"/>
      <c r="B19" s="541" t="n"/>
      <c r="C19" s="325" t="inlineStr">
        <is>
          <t>DG</t>
        </is>
      </c>
      <c r="D19" s="529" t="n">
        <v>11747</v>
      </c>
      <c r="E19" s="311" t="n">
        <v>11747</v>
      </c>
      <c r="F19" s="311" t="n">
        <v>11747</v>
      </c>
      <c r="G19" s="311" t="n">
        <v>11747</v>
      </c>
      <c r="H19" s="311" t="n">
        <v>11747</v>
      </c>
      <c r="I19" s="311" t="n">
        <v>11747</v>
      </c>
      <c r="J19" s="311" t="n">
        <v>11747</v>
      </c>
      <c r="K19" s="311" t="n">
        <v>11747</v>
      </c>
      <c r="L19" s="311" t="n">
        <v>11747</v>
      </c>
      <c r="M19" s="541" t="n">
        <v>11747</v>
      </c>
      <c r="N19" s="541" t="n">
        <v>11747</v>
      </c>
      <c r="O19" s="541" t="n">
        <v>11747</v>
      </c>
      <c r="P19" s="541" t="n">
        <v>11747</v>
      </c>
      <c r="Q19" s="541" t="n">
        <v>11747</v>
      </c>
      <c r="R19" s="541" t="n">
        <v>11747</v>
      </c>
      <c r="S19" s="541" t="n">
        <v>11747</v>
      </c>
      <c r="T19" s="541" t="n">
        <v>11747</v>
      </c>
      <c r="U19" s="541" t="n">
        <v>11747</v>
      </c>
      <c r="V19" s="541" t="n">
        <v>11747</v>
      </c>
      <c r="W19" s="541" t="n">
        <v>11747</v>
      </c>
      <c r="X19" s="541" t="n">
        <v>11747</v>
      </c>
      <c r="Y19" s="541" t="n">
        <v>11747</v>
      </c>
      <c r="Z19" s="541" t="n">
        <v>11747</v>
      </c>
      <c r="AA19" s="541" t="n">
        <v>11747</v>
      </c>
      <c r="AB19" s="541" t="n">
        <v>11747</v>
      </c>
      <c r="AC19" s="541" t="n">
        <v>11775</v>
      </c>
      <c r="AD19" s="541" t="n">
        <v>11775</v>
      </c>
      <c r="AE19" s="541" t="n">
        <v>11775</v>
      </c>
      <c r="AF19" s="541" t="n">
        <v>11775</v>
      </c>
      <c r="AG19" s="541" t="n">
        <v>11775</v>
      </c>
      <c r="AH19" s="541" t="n">
        <v>11775</v>
      </c>
      <c r="AI19" s="541" t="n">
        <v>11782</v>
      </c>
      <c r="AJ19" s="314">
        <f>AI19-D19</f>
        <v/>
      </c>
    </row>
    <row r="20">
      <c r="A20" s="541" t="n">
        <v>8</v>
      </c>
      <c r="B20" s="541" t="inlineStr">
        <is>
          <t>3F</t>
        </is>
      </c>
      <c r="C20" s="322" t="inlineStr">
        <is>
          <t>SL No 540430038848 (EB Unit)</t>
        </is>
      </c>
      <c r="D20" s="393" t="n">
        <v>105288</v>
      </c>
      <c r="E20" s="311" t="n">
        <v>105417</v>
      </c>
      <c r="F20" s="541" t="n">
        <v>105552</v>
      </c>
      <c r="G20" s="541" t="n">
        <v>105660</v>
      </c>
      <c r="H20" s="541" t="n">
        <v>105794</v>
      </c>
      <c r="I20" s="541" t="n">
        <v>105931</v>
      </c>
      <c r="J20" s="541" t="n">
        <v>106066</v>
      </c>
      <c r="K20" s="541" t="n">
        <v>106194</v>
      </c>
      <c r="L20" s="541" t="n">
        <v>106341</v>
      </c>
      <c r="M20" s="541" t="n">
        <v>106459</v>
      </c>
      <c r="N20" s="541" t="n">
        <v>106584</v>
      </c>
      <c r="O20" s="541" t="n">
        <v>106721</v>
      </c>
      <c r="P20" s="541" t="n">
        <v>106870</v>
      </c>
      <c r="Q20" s="541" t="n">
        <v>107000</v>
      </c>
      <c r="R20" s="541" t="n">
        <v>107133</v>
      </c>
      <c r="S20" s="541" t="n">
        <v>107265</v>
      </c>
      <c r="T20" s="541" t="n">
        <v>107398</v>
      </c>
      <c r="U20" s="541" t="n">
        <v>107529</v>
      </c>
      <c r="V20" s="541" t="n">
        <v>107689</v>
      </c>
      <c r="W20" s="541" t="n">
        <v>107842</v>
      </c>
      <c r="X20" s="541" t="n">
        <v>107991</v>
      </c>
      <c r="Y20" s="541" t="n">
        <v>108140</v>
      </c>
      <c r="Z20" s="541" t="n">
        <v>108302</v>
      </c>
      <c r="AA20" s="315" t="n">
        <v>108421</v>
      </c>
      <c r="AB20" s="315" t="n">
        <v>108533</v>
      </c>
      <c r="AC20" s="315" t="n">
        <v>108679</v>
      </c>
      <c r="AD20" s="315" t="n">
        <v>108838</v>
      </c>
      <c r="AE20" s="318" t="n">
        <v>108975</v>
      </c>
      <c r="AF20" s="318" t="n">
        <v>109126</v>
      </c>
      <c r="AG20" s="390" t="n">
        <v>109254</v>
      </c>
      <c r="AH20" s="390" t="n">
        <v>109359</v>
      </c>
      <c r="AI20" s="310" t="n">
        <v>109469</v>
      </c>
      <c r="AJ20" s="314">
        <f>AI20-D20</f>
        <v/>
      </c>
    </row>
    <row r="21">
      <c r="A21" s="541" t="n"/>
      <c r="B21" s="541" t="n"/>
      <c r="C21" s="325" t="inlineStr">
        <is>
          <t>DG</t>
        </is>
      </c>
      <c r="D21" s="529" t="n">
        <v>2232</v>
      </c>
      <c r="E21" s="311" t="n">
        <v>2232</v>
      </c>
      <c r="F21" s="311" t="n">
        <v>2232</v>
      </c>
      <c r="G21" s="311" t="n">
        <v>2232</v>
      </c>
      <c r="H21" s="311" t="n">
        <v>2232</v>
      </c>
      <c r="I21" s="311" t="n">
        <v>2232</v>
      </c>
      <c r="J21" s="311" t="n">
        <v>2232</v>
      </c>
      <c r="K21" s="311" t="n">
        <v>2232</v>
      </c>
      <c r="L21" s="311" t="n">
        <v>2232</v>
      </c>
      <c r="M21" s="541" t="n">
        <v>2232</v>
      </c>
      <c r="N21" s="541" t="n">
        <v>2232</v>
      </c>
      <c r="O21" s="541" t="n">
        <v>2232</v>
      </c>
      <c r="P21" s="541" t="n">
        <v>2232</v>
      </c>
      <c r="Q21" s="541" t="n">
        <v>2232</v>
      </c>
      <c r="R21" s="541" t="n">
        <v>2232</v>
      </c>
      <c r="S21" s="541" t="n">
        <v>2232</v>
      </c>
      <c r="T21" s="541" t="n">
        <v>2232</v>
      </c>
      <c r="U21" s="541" t="n">
        <v>2232</v>
      </c>
      <c r="V21" s="541" t="n">
        <v>2232</v>
      </c>
      <c r="W21" s="541" t="n">
        <v>2232</v>
      </c>
      <c r="X21" s="541" t="n">
        <v>2232</v>
      </c>
      <c r="Y21" s="541" t="n">
        <v>2232</v>
      </c>
      <c r="Z21" s="541" t="n">
        <v>2232</v>
      </c>
      <c r="AA21" s="541" t="n">
        <v>2232</v>
      </c>
      <c r="AB21" s="541" t="n">
        <v>2232</v>
      </c>
      <c r="AC21" s="541" t="n">
        <v>2232</v>
      </c>
      <c r="AD21" s="541" t="n">
        <v>2232</v>
      </c>
      <c r="AE21" s="541" t="n">
        <v>2232</v>
      </c>
      <c r="AF21" s="541" t="n">
        <v>2239</v>
      </c>
      <c r="AG21" s="541" t="n">
        <v>2239</v>
      </c>
      <c r="AH21" s="541" t="n">
        <v>2240</v>
      </c>
      <c r="AI21" s="541" t="n">
        <v>2240</v>
      </c>
      <c r="AJ21" s="314">
        <f>AI21-D21</f>
        <v/>
      </c>
    </row>
    <row r="22">
      <c r="A22" s="551" t="n"/>
    </row>
    <row r="23">
      <c r="A23" s="541" t="n">
        <v>1</v>
      </c>
      <c r="B23" s="541" t="inlineStr">
        <is>
          <t>3F</t>
        </is>
      </c>
      <c r="C23" s="322" t="inlineStr">
        <is>
          <t>AHU1</t>
        </is>
      </c>
      <c r="D23" s="398" t="n">
        <v>59001</v>
      </c>
      <c r="E23" s="311" t="n">
        <v>59111</v>
      </c>
      <c r="F23" s="541" t="n">
        <v>59175</v>
      </c>
      <c r="G23" s="541" t="n">
        <v>59175</v>
      </c>
      <c r="H23" s="541" t="n">
        <v>59235</v>
      </c>
      <c r="I23" s="541" t="n">
        <v>59302</v>
      </c>
      <c r="J23" s="541" t="n">
        <v>59360</v>
      </c>
      <c r="K23" s="541" t="n">
        <v>59420</v>
      </c>
      <c r="L23" s="541" t="n">
        <v>59475</v>
      </c>
      <c r="M23" s="541" t="n">
        <v>59507</v>
      </c>
      <c r="N23" s="541" t="n">
        <v>59507</v>
      </c>
      <c r="O23" s="541" t="n">
        <v>59567</v>
      </c>
      <c r="P23" s="541" t="n">
        <v>59625</v>
      </c>
      <c r="Q23" s="541" t="n">
        <v>59680</v>
      </c>
      <c r="R23" s="541" t="n">
        <v>59744</v>
      </c>
      <c r="S23" s="541" t="n">
        <v>59806</v>
      </c>
      <c r="T23" s="541" t="n">
        <v>59820</v>
      </c>
      <c r="U23" s="541" t="n">
        <v>59821</v>
      </c>
      <c r="V23" s="541" t="n">
        <v>59890</v>
      </c>
      <c r="W23" s="541" t="n">
        <v>59980</v>
      </c>
      <c r="X23" s="541" t="n">
        <v>60061</v>
      </c>
      <c r="Y23" s="541" t="n">
        <v>60142</v>
      </c>
      <c r="Z23" s="541" t="n">
        <v>60227</v>
      </c>
      <c r="AA23" s="541" t="n">
        <v>60249</v>
      </c>
      <c r="AB23" s="541" t="n">
        <v>60249</v>
      </c>
      <c r="AC23" s="541" t="n">
        <v>60346</v>
      </c>
      <c r="AD23" s="309" t="n">
        <v>60441</v>
      </c>
      <c r="AE23" s="305" t="n">
        <v>60442</v>
      </c>
      <c r="AF23" s="305" t="n">
        <v>60523</v>
      </c>
      <c r="AG23" s="305" t="n">
        <v>60598</v>
      </c>
      <c r="AH23" s="305" t="n">
        <v>60601</v>
      </c>
      <c r="AI23" s="310" t="n">
        <v>60602</v>
      </c>
      <c r="AJ23" s="314">
        <f>AI23-D23</f>
        <v/>
      </c>
    </row>
    <row r="24">
      <c r="A24" s="541" t="n"/>
      <c r="B24" s="541" t="n"/>
      <c r="C24" s="338" t="inlineStr">
        <is>
          <t>DG</t>
        </is>
      </c>
      <c r="D24" s="55" t="n">
        <v>1923</v>
      </c>
      <c r="E24" s="541" t="n">
        <v>1923</v>
      </c>
      <c r="F24" s="541" t="n">
        <v>1923</v>
      </c>
      <c r="G24" s="541" t="n">
        <v>1923</v>
      </c>
      <c r="H24" s="541" t="n">
        <v>1923</v>
      </c>
      <c r="I24" s="541" t="n">
        <v>1923</v>
      </c>
      <c r="J24" s="541" t="n">
        <v>1923</v>
      </c>
      <c r="K24" s="541" t="n">
        <v>1923</v>
      </c>
      <c r="L24" s="541" t="n">
        <v>1923</v>
      </c>
      <c r="M24" s="541" t="n">
        <v>1923</v>
      </c>
      <c r="N24" s="541" t="n">
        <v>1923</v>
      </c>
      <c r="O24" s="541" t="n">
        <v>1923</v>
      </c>
      <c r="P24" s="541" t="n">
        <v>1923</v>
      </c>
      <c r="Q24" s="541" t="n">
        <v>1923</v>
      </c>
      <c r="R24" s="541" t="n">
        <v>1923</v>
      </c>
      <c r="S24" s="541" t="n">
        <v>1923</v>
      </c>
      <c r="T24" s="541" t="n">
        <v>1923</v>
      </c>
      <c r="U24" s="541" t="n">
        <v>1923</v>
      </c>
      <c r="V24" s="541" t="n">
        <v>1923</v>
      </c>
      <c r="W24" s="541" t="n">
        <v>1923</v>
      </c>
      <c r="X24" s="541" t="n">
        <v>1923</v>
      </c>
      <c r="Y24" s="328" t="n">
        <v>1923</v>
      </c>
      <c r="Z24" s="328" t="n">
        <v>1923</v>
      </c>
      <c r="AA24" s="328" t="n">
        <v>1923</v>
      </c>
      <c r="AB24" s="328" t="n">
        <v>1923</v>
      </c>
      <c r="AC24" s="328" t="n">
        <v>1923</v>
      </c>
      <c r="AD24" s="328" t="n">
        <v>1923</v>
      </c>
      <c r="AE24" s="328" t="n">
        <v>1923</v>
      </c>
      <c r="AF24" s="328" t="n">
        <v>1923</v>
      </c>
      <c r="AG24" s="328" t="n">
        <v>1923</v>
      </c>
      <c r="AH24" s="305" t="n">
        <v>1923</v>
      </c>
      <c r="AI24" s="305" t="n">
        <v>1923</v>
      </c>
      <c r="AJ24" s="314">
        <f>AI24-D24</f>
        <v/>
      </c>
    </row>
    <row r="25">
      <c r="A25" s="541" t="n">
        <v>2</v>
      </c>
      <c r="B25" s="541" t="inlineStr">
        <is>
          <t>3F</t>
        </is>
      </c>
      <c r="C25" s="319" t="inlineStr">
        <is>
          <t>AHU2</t>
        </is>
      </c>
      <c r="D25" s="398" t="n">
        <v>61050</v>
      </c>
      <c r="E25" s="541" t="n">
        <v>61184</v>
      </c>
      <c r="F25" s="541" t="n">
        <v>61261</v>
      </c>
      <c r="G25" s="541" t="n">
        <v>61261</v>
      </c>
      <c r="H25" s="541" t="n">
        <v>61349</v>
      </c>
      <c r="I25" s="541" t="n">
        <v>61442</v>
      </c>
      <c r="J25" s="541" t="n">
        <v>61511</v>
      </c>
      <c r="K25" s="541" t="n">
        <v>61576</v>
      </c>
      <c r="L25" s="541" t="n">
        <v>61641</v>
      </c>
      <c r="M25" s="541" t="n">
        <v>61674</v>
      </c>
      <c r="N25" s="541" t="n">
        <v>61674</v>
      </c>
      <c r="O25" s="541" t="n">
        <v>61733</v>
      </c>
      <c r="P25" s="541" t="n">
        <v>61790</v>
      </c>
      <c r="Q25" s="541" t="n">
        <v>61849</v>
      </c>
      <c r="R25" s="541" t="n">
        <v>61912</v>
      </c>
      <c r="S25" s="541" t="n">
        <v>61978</v>
      </c>
      <c r="T25" s="541" t="n">
        <v>61979</v>
      </c>
      <c r="U25" s="541" t="n">
        <v>61980</v>
      </c>
      <c r="V25" s="541" t="n">
        <v>62049</v>
      </c>
      <c r="W25" s="541" t="n">
        <v>62114</v>
      </c>
      <c r="X25" s="541" t="n">
        <v>62176</v>
      </c>
      <c r="Y25" s="541" t="n">
        <v>62238</v>
      </c>
      <c r="Z25" s="541" t="n">
        <v>62299</v>
      </c>
      <c r="AA25" s="541" t="n">
        <v>62299</v>
      </c>
      <c r="AB25" s="541" t="n">
        <v>62299</v>
      </c>
      <c r="AC25" s="541" t="n">
        <v>62369</v>
      </c>
      <c r="AD25" s="309" t="n">
        <v>62444</v>
      </c>
      <c r="AE25" s="305" t="n">
        <v>62445</v>
      </c>
      <c r="AF25" s="305" t="n">
        <v>62517</v>
      </c>
      <c r="AG25" s="390" t="n">
        <v>62583</v>
      </c>
      <c r="AH25" s="390" t="n">
        <v>62620</v>
      </c>
      <c r="AI25" s="310" t="n">
        <v>62620</v>
      </c>
      <c r="AJ25" s="314">
        <f>AI25-D25</f>
        <v/>
      </c>
    </row>
    <row r="26">
      <c r="A26" s="541" t="n"/>
      <c r="B26" s="541" t="n"/>
      <c r="C26" s="338" t="inlineStr">
        <is>
          <t>DG</t>
        </is>
      </c>
      <c r="D26" s="210" t="n">
        <v>1911</v>
      </c>
      <c r="E26" s="541" t="n">
        <v>1911</v>
      </c>
      <c r="F26" s="541" t="n">
        <v>1911</v>
      </c>
      <c r="G26" s="541" t="n">
        <v>1911</v>
      </c>
      <c r="H26" s="541" t="n">
        <v>1911</v>
      </c>
      <c r="I26" s="541" t="n">
        <v>1911</v>
      </c>
      <c r="J26" s="541" t="n">
        <v>1911</v>
      </c>
      <c r="K26" s="541" t="n">
        <v>1911</v>
      </c>
      <c r="L26" s="541" t="n">
        <v>1911</v>
      </c>
      <c r="M26" s="541" t="n">
        <v>1911</v>
      </c>
      <c r="N26" s="541" t="n">
        <v>1911</v>
      </c>
      <c r="O26" s="541" t="n">
        <v>1911</v>
      </c>
      <c r="P26" s="541" t="n">
        <v>1911</v>
      </c>
      <c r="Q26" s="541" t="n">
        <v>1911</v>
      </c>
      <c r="R26" s="541" t="n">
        <v>1911</v>
      </c>
      <c r="S26" s="541" t="n">
        <v>1911</v>
      </c>
      <c r="T26" s="541" t="n">
        <v>1911</v>
      </c>
      <c r="U26" s="541" t="n">
        <v>1911</v>
      </c>
      <c r="V26" s="541" t="n">
        <v>1911</v>
      </c>
      <c r="W26" s="541" t="n">
        <v>1911</v>
      </c>
      <c r="X26" s="541" t="n">
        <v>1911</v>
      </c>
      <c r="Y26" s="541" t="n">
        <v>1911</v>
      </c>
      <c r="Z26" s="541" t="n">
        <v>1911</v>
      </c>
      <c r="AA26" s="541" t="n">
        <v>1911</v>
      </c>
      <c r="AB26" s="541" t="n">
        <v>1911</v>
      </c>
      <c r="AC26" s="541" t="n">
        <v>1945</v>
      </c>
      <c r="AD26" s="541" t="n">
        <v>1945</v>
      </c>
      <c r="AE26" s="541" t="n">
        <v>1945</v>
      </c>
      <c r="AF26" s="541" t="n">
        <v>1945</v>
      </c>
      <c r="AG26" s="541" t="n">
        <v>1945</v>
      </c>
      <c r="AH26" s="309" t="n">
        <v>1945</v>
      </c>
      <c r="AI26" s="309" t="n">
        <v>1945</v>
      </c>
      <c r="AJ26" s="314">
        <f>AI26-D26</f>
        <v/>
      </c>
    </row>
    <row r="27">
      <c r="A27" s="541" t="n">
        <v>3</v>
      </c>
      <c r="B27" s="541" t="inlineStr">
        <is>
          <t>3F</t>
        </is>
      </c>
      <c r="C27" s="319" t="inlineStr">
        <is>
          <t>AHU3</t>
        </is>
      </c>
      <c r="D27" s="398" t="n">
        <v>73971</v>
      </c>
      <c r="E27" s="541" t="n">
        <v>74060</v>
      </c>
      <c r="F27" s="541" t="n">
        <v>74122</v>
      </c>
      <c r="G27" s="541" t="n">
        <v>74122</v>
      </c>
      <c r="H27" s="541" t="n">
        <v>74208</v>
      </c>
      <c r="I27" s="541" t="n">
        <v>74302</v>
      </c>
      <c r="J27" s="541" t="n">
        <v>74372</v>
      </c>
      <c r="K27" s="541" t="n">
        <v>74453</v>
      </c>
      <c r="L27" s="541" t="n">
        <v>74522</v>
      </c>
      <c r="M27" s="541" t="n">
        <v>74593</v>
      </c>
      <c r="N27" s="541" t="n">
        <v>74593</v>
      </c>
      <c r="O27" s="541" t="n">
        <v>74674</v>
      </c>
      <c r="P27" s="541" t="n">
        <v>74747</v>
      </c>
      <c r="Q27" s="541" t="n">
        <v>74813</v>
      </c>
      <c r="R27" s="541" t="n">
        <v>74874</v>
      </c>
      <c r="S27" s="541" t="n">
        <v>74940</v>
      </c>
      <c r="T27" s="541" t="n">
        <v>74941</v>
      </c>
      <c r="U27" s="541" t="n">
        <v>74941</v>
      </c>
      <c r="V27" s="541" t="n">
        <v>75006</v>
      </c>
      <c r="W27" s="541" t="n">
        <v>75064</v>
      </c>
      <c r="X27" s="541" t="n">
        <v>75125</v>
      </c>
      <c r="Y27" s="541" t="n">
        <v>75183</v>
      </c>
      <c r="Z27" s="541" t="n">
        <v>75249</v>
      </c>
      <c r="AA27" s="541" t="n">
        <v>75270</v>
      </c>
      <c r="AB27" s="541" t="n">
        <v>75270</v>
      </c>
      <c r="AC27" s="541" t="n">
        <v>75382</v>
      </c>
      <c r="AD27" s="309" t="n">
        <v>75478</v>
      </c>
      <c r="AE27" s="305" t="n">
        <v>75482</v>
      </c>
      <c r="AF27" s="324" t="n">
        <v>75569</v>
      </c>
      <c r="AG27" s="390" t="n">
        <v>75652</v>
      </c>
      <c r="AH27" s="390" t="n">
        <v>75704</v>
      </c>
      <c r="AI27" s="310" t="n">
        <v>75704</v>
      </c>
      <c r="AJ27" s="314">
        <f>AI27-D27</f>
        <v/>
      </c>
    </row>
    <row r="28">
      <c r="A28" s="541" t="n"/>
      <c r="B28" s="541" t="n"/>
      <c r="C28" s="338" t="inlineStr">
        <is>
          <t>DG</t>
        </is>
      </c>
      <c r="D28" s="565" t="n">
        <v>2068</v>
      </c>
      <c r="E28" s="541" t="n">
        <v>2068</v>
      </c>
      <c r="F28" s="541" t="n">
        <v>2068</v>
      </c>
      <c r="G28" s="541" t="n">
        <v>2068</v>
      </c>
      <c r="H28" s="541" t="n">
        <v>2068</v>
      </c>
      <c r="I28" s="541" t="n">
        <v>2068</v>
      </c>
      <c r="J28" s="541" t="n">
        <v>2068</v>
      </c>
      <c r="K28" s="541" t="n">
        <v>2068</v>
      </c>
      <c r="L28" s="541" t="n">
        <v>2068</v>
      </c>
      <c r="M28" s="541" t="n">
        <v>2068</v>
      </c>
      <c r="N28" s="541" t="n">
        <v>2068</v>
      </c>
      <c r="O28" s="541" t="n">
        <v>2068</v>
      </c>
      <c r="P28" s="541" t="n">
        <v>2068</v>
      </c>
      <c r="Q28" s="541" t="n">
        <v>2068</v>
      </c>
      <c r="R28" s="541" t="n">
        <v>2068</v>
      </c>
      <c r="S28" s="541" t="n">
        <v>2068</v>
      </c>
      <c r="T28" s="541" t="n">
        <v>2068</v>
      </c>
      <c r="U28" s="541" t="n">
        <v>2068</v>
      </c>
      <c r="V28" s="541" t="n">
        <v>2068</v>
      </c>
      <c r="W28" s="541" t="n">
        <v>2068</v>
      </c>
      <c r="X28" s="541" t="n">
        <v>2068</v>
      </c>
      <c r="Y28" s="541" t="n">
        <v>2068</v>
      </c>
      <c r="Z28" s="541" t="n">
        <v>2068</v>
      </c>
      <c r="AA28" s="541" t="n">
        <v>2068</v>
      </c>
      <c r="AB28" s="541" t="n">
        <v>2068</v>
      </c>
      <c r="AC28" s="541" t="n">
        <v>2075</v>
      </c>
      <c r="AD28" s="541" t="n">
        <v>2075</v>
      </c>
      <c r="AE28" s="541" t="n">
        <v>2075</v>
      </c>
      <c r="AF28" s="541" t="n">
        <v>2075</v>
      </c>
      <c r="AG28" s="541" t="n">
        <v>2075</v>
      </c>
      <c r="AH28" s="541" t="n">
        <v>2075</v>
      </c>
      <c r="AI28" s="541" t="n">
        <v>2075</v>
      </c>
      <c r="AJ28" s="314">
        <f>AI28-D28</f>
        <v/>
      </c>
    </row>
    <row r="29">
      <c r="A29" s="541" t="n">
        <v>4</v>
      </c>
      <c r="B29" s="541" t="inlineStr">
        <is>
          <t>3F</t>
        </is>
      </c>
      <c r="C29" s="319" t="inlineStr">
        <is>
          <t>AHU4</t>
        </is>
      </c>
      <c r="D29" s="398" t="n">
        <v>49701</v>
      </c>
      <c r="E29" s="541" t="n">
        <v>49769</v>
      </c>
      <c r="F29" s="541" t="n">
        <v>49815</v>
      </c>
      <c r="G29" s="541" t="n">
        <v>49815</v>
      </c>
      <c r="H29" s="541" t="n">
        <v>49881</v>
      </c>
      <c r="I29" s="541" t="n">
        <v>49949</v>
      </c>
      <c r="J29" s="541" t="n">
        <v>50004</v>
      </c>
      <c r="K29" s="541" t="n">
        <v>50066</v>
      </c>
      <c r="L29" s="541" t="n">
        <v>50120</v>
      </c>
      <c r="M29" s="541" t="n">
        <v>50151</v>
      </c>
      <c r="N29" s="541" t="n">
        <v>50152</v>
      </c>
      <c r="O29" s="541" t="n">
        <v>50212</v>
      </c>
      <c r="P29" s="541" t="n">
        <v>50262</v>
      </c>
      <c r="Q29" s="541" t="n">
        <v>50319</v>
      </c>
      <c r="R29" s="541" t="n">
        <v>50374</v>
      </c>
      <c r="S29" s="541" t="n">
        <v>50425</v>
      </c>
      <c r="T29" s="541" t="n">
        <v>50425</v>
      </c>
      <c r="U29" s="541" t="n">
        <v>50426</v>
      </c>
      <c r="V29" s="541" t="n">
        <v>50490</v>
      </c>
      <c r="W29" s="541" t="n">
        <v>50540</v>
      </c>
      <c r="X29" s="541" t="n">
        <v>50603</v>
      </c>
      <c r="Y29" s="541" t="n">
        <v>50662</v>
      </c>
      <c r="Z29" s="541" t="n">
        <v>50729</v>
      </c>
      <c r="AA29" s="541" t="n">
        <v>50731</v>
      </c>
      <c r="AB29" s="541" t="n">
        <v>50732</v>
      </c>
      <c r="AC29" s="541" t="n">
        <v>50814</v>
      </c>
      <c r="AD29" s="541" t="n">
        <v>50903</v>
      </c>
      <c r="AE29" s="318" t="n">
        <v>50907</v>
      </c>
      <c r="AF29" s="318" t="n">
        <v>50989</v>
      </c>
      <c r="AG29" s="318" t="n">
        <v>51058</v>
      </c>
      <c r="AH29" s="400" t="n">
        <v>51062</v>
      </c>
      <c r="AI29" s="310" t="n">
        <v>51063</v>
      </c>
      <c r="AJ29" s="314">
        <f>AI29-D29</f>
        <v/>
      </c>
    </row>
    <row r="30">
      <c r="A30" s="541" t="n"/>
      <c r="B30" s="541" t="n"/>
      <c r="C30" s="338" t="inlineStr">
        <is>
          <t>DG</t>
        </is>
      </c>
      <c r="D30" s="565" t="n">
        <v>1788</v>
      </c>
      <c r="E30" s="541" t="n">
        <v>1788</v>
      </c>
      <c r="F30" s="541" t="n">
        <v>1788</v>
      </c>
      <c r="G30" s="541" t="n">
        <v>1788</v>
      </c>
      <c r="H30" s="541" t="n">
        <v>1788</v>
      </c>
      <c r="I30" s="541" t="n">
        <v>1788</v>
      </c>
      <c r="J30" s="541" t="n">
        <v>1788</v>
      </c>
      <c r="K30" s="541" t="n">
        <v>1788</v>
      </c>
      <c r="L30" s="541" t="n">
        <v>1788</v>
      </c>
      <c r="M30" s="541" t="n">
        <v>1788</v>
      </c>
      <c r="N30" s="541" t="n">
        <v>1788</v>
      </c>
      <c r="O30" s="541" t="n">
        <v>1788</v>
      </c>
      <c r="P30" s="541" t="n">
        <v>1788</v>
      </c>
      <c r="Q30" s="541" t="n">
        <v>1788</v>
      </c>
      <c r="R30" s="541" t="n">
        <v>1788</v>
      </c>
      <c r="S30" s="541" t="n">
        <v>1788</v>
      </c>
      <c r="T30" s="541" t="n">
        <v>1788</v>
      </c>
      <c r="U30" s="541" t="n">
        <v>1788</v>
      </c>
      <c r="V30" s="541" t="n">
        <v>1788</v>
      </c>
      <c r="W30" s="541" t="n">
        <v>1788</v>
      </c>
      <c r="X30" s="541" t="n">
        <v>1788</v>
      </c>
      <c r="Y30" s="541" t="n">
        <v>1788</v>
      </c>
      <c r="Z30" s="541" t="n">
        <v>1788</v>
      </c>
      <c r="AA30" s="541" t="n">
        <v>1788</v>
      </c>
      <c r="AB30" s="541" t="n">
        <v>1788</v>
      </c>
      <c r="AC30" s="541" t="n">
        <v>1793</v>
      </c>
      <c r="AD30" s="541" t="n">
        <v>1793</v>
      </c>
      <c r="AE30" s="541" t="n">
        <v>1793</v>
      </c>
      <c r="AF30" s="541" t="n">
        <v>1793</v>
      </c>
      <c r="AG30" s="541" t="n">
        <v>1793</v>
      </c>
      <c r="AH30" s="541" t="n">
        <v>1793</v>
      </c>
      <c r="AI30" s="541" t="n">
        <v>1793</v>
      </c>
      <c r="AJ30" s="314">
        <f>AI30-D30</f>
        <v/>
      </c>
    </row>
    <row r="31">
      <c r="A31" s="551" t="n"/>
    </row>
    <row r="32">
      <c r="A32" s="541" t="n">
        <v>1</v>
      </c>
      <c r="B32" s="541" t="inlineStr">
        <is>
          <t>3F</t>
        </is>
      </c>
      <c r="C32" s="319" t="inlineStr">
        <is>
          <t>AHU1 - BTU</t>
        </is>
      </c>
      <c r="D32" s="393" t="n">
        <v>426274</v>
      </c>
      <c r="E32" s="382" t="n">
        <v>426951</v>
      </c>
      <c r="F32" s="383" t="n">
        <v>427390</v>
      </c>
      <c r="G32" s="383" t="n">
        <v>427390</v>
      </c>
      <c r="H32" s="383" t="n">
        <v>427816</v>
      </c>
      <c r="I32" s="383" t="n">
        <v>428265</v>
      </c>
      <c r="J32" s="383" t="n">
        <v>428679</v>
      </c>
      <c r="K32" s="383" t="n">
        <v>429011</v>
      </c>
      <c r="L32" s="383" t="n">
        <v>429385</v>
      </c>
      <c r="M32" s="382" t="n">
        <v>429560</v>
      </c>
      <c r="N32" s="383" t="n">
        <v>429560</v>
      </c>
      <c r="O32" s="383" t="n">
        <v>430130</v>
      </c>
      <c r="P32" s="383" t="n">
        <v>430629</v>
      </c>
      <c r="Q32" s="382" t="n">
        <v>431087</v>
      </c>
      <c r="R32" s="383" t="n">
        <v>431492</v>
      </c>
      <c r="S32" s="383" t="n">
        <v>431834</v>
      </c>
      <c r="T32" s="383" t="n">
        <v>431925</v>
      </c>
      <c r="U32" s="382" t="n">
        <v>431925</v>
      </c>
      <c r="V32" s="383" t="n">
        <v>432469</v>
      </c>
      <c r="W32" s="383" t="n">
        <v>432939</v>
      </c>
      <c r="X32" s="383" t="n">
        <v>433355</v>
      </c>
      <c r="Y32" s="382" t="n">
        <v>433865</v>
      </c>
      <c r="Z32" s="383" t="n">
        <v>434294</v>
      </c>
      <c r="AA32" s="383" t="n">
        <v>434427</v>
      </c>
      <c r="AB32" s="383" t="n">
        <v>434427</v>
      </c>
      <c r="AC32" s="383" t="n">
        <v>434926</v>
      </c>
      <c r="AD32" s="382" t="n">
        <v>435534</v>
      </c>
      <c r="AE32" s="383" t="n">
        <v>435585</v>
      </c>
      <c r="AF32" s="383" t="n">
        <v>436083</v>
      </c>
      <c r="AG32" s="383" t="n">
        <v>436485</v>
      </c>
      <c r="AH32" s="383" t="n">
        <v>436512</v>
      </c>
      <c r="AI32" s="310" t="n">
        <v>436512</v>
      </c>
      <c r="AJ32" s="314">
        <f>AI32-D32</f>
        <v/>
      </c>
    </row>
    <row r="33">
      <c r="A33" s="541" t="n">
        <v>2</v>
      </c>
      <c r="B33" s="541" t="inlineStr">
        <is>
          <t>3F</t>
        </is>
      </c>
      <c r="C33" s="319" t="inlineStr">
        <is>
          <t>AHU2 - BTU</t>
        </is>
      </c>
      <c r="D33" s="393" t="n">
        <v>400631</v>
      </c>
      <c r="E33" s="383" t="n">
        <v>401127</v>
      </c>
      <c r="F33" s="383" t="n">
        <v>401304</v>
      </c>
      <c r="G33" s="383" t="n">
        <v>401304</v>
      </c>
      <c r="H33" s="383" t="n">
        <v>401788</v>
      </c>
      <c r="I33" s="383" t="n">
        <v>402146</v>
      </c>
      <c r="J33" s="383" t="n">
        <v>402492</v>
      </c>
      <c r="K33" s="383" t="n">
        <v>402846</v>
      </c>
      <c r="L33" s="383" t="n">
        <v>403168</v>
      </c>
      <c r="M33" s="383" t="n">
        <v>403360</v>
      </c>
      <c r="N33" s="383" t="n">
        <v>403360</v>
      </c>
      <c r="O33" s="383" t="n">
        <v>403862</v>
      </c>
      <c r="P33" s="383" t="n">
        <v>404354</v>
      </c>
      <c r="Q33" s="383" t="n">
        <v>404809</v>
      </c>
      <c r="R33" s="383" t="n">
        <v>405157</v>
      </c>
      <c r="S33" s="383" t="n">
        <v>405515</v>
      </c>
      <c r="T33" s="383" t="n">
        <v>405515</v>
      </c>
      <c r="U33" s="383" t="n">
        <v>405515</v>
      </c>
      <c r="V33" s="383" t="n">
        <v>406104</v>
      </c>
      <c r="W33" s="383" t="n">
        <v>406574</v>
      </c>
      <c r="X33" s="383" t="n">
        <v>407006</v>
      </c>
      <c r="Y33" s="383" t="n">
        <v>407568</v>
      </c>
      <c r="Z33" s="383" t="n">
        <v>407946</v>
      </c>
      <c r="AA33" s="383" t="n">
        <v>407946</v>
      </c>
      <c r="AB33" s="383" t="n">
        <v>407946</v>
      </c>
      <c r="AC33" s="383" t="n">
        <v>408445</v>
      </c>
      <c r="AD33" s="383" t="n">
        <v>409000</v>
      </c>
      <c r="AE33" s="383" t="n">
        <v>409048</v>
      </c>
      <c r="AF33" s="383" t="n">
        <v>409539</v>
      </c>
      <c r="AG33" s="383" t="n">
        <v>409968</v>
      </c>
      <c r="AH33" s="383" t="n">
        <v>410185</v>
      </c>
      <c r="AI33" s="310" t="n">
        <v>410185</v>
      </c>
      <c r="AJ33" s="314">
        <f>AI33-D33</f>
        <v/>
      </c>
    </row>
    <row r="34">
      <c r="A34" s="541" t="n">
        <v>3</v>
      </c>
      <c r="B34" s="541" t="inlineStr">
        <is>
          <t>3F</t>
        </is>
      </c>
      <c r="C34" s="319" t="inlineStr">
        <is>
          <t>AHU3 - BTU</t>
        </is>
      </c>
      <c r="D34" s="393" t="n">
        <v>431431</v>
      </c>
      <c r="E34" s="383" t="n">
        <v>432150</v>
      </c>
      <c r="F34" s="383" t="n">
        <v>432559</v>
      </c>
      <c r="G34" s="383" t="n">
        <v>432559</v>
      </c>
      <c r="H34" s="383" t="n">
        <v>433223</v>
      </c>
      <c r="I34" s="383" t="n">
        <v>433761</v>
      </c>
      <c r="J34" s="383" t="n">
        <v>434231</v>
      </c>
      <c r="K34" s="383" t="n">
        <v>434563</v>
      </c>
      <c r="L34" s="383" t="n">
        <v>434927</v>
      </c>
      <c r="M34" s="383" t="n">
        <v>435320</v>
      </c>
      <c r="N34" s="383" t="n">
        <v>435320</v>
      </c>
      <c r="O34" s="383" t="n">
        <v>436210</v>
      </c>
      <c r="P34" s="383" t="n">
        <v>436755</v>
      </c>
      <c r="Q34" s="383" t="n">
        <v>437369</v>
      </c>
      <c r="R34" s="383" t="n">
        <v>437815</v>
      </c>
      <c r="S34" s="383" t="n">
        <v>438277</v>
      </c>
      <c r="T34" s="383" t="n">
        <v>438277</v>
      </c>
      <c r="U34" s="383" t="n">
        <v>438277</v>
      </c>
      <c r="V34" s="383" t="n">
        <v>439031</v>
      </c>
      <c r="W34" s="383" t="n">
        <v>439578</v>
      </c>
      <c r="X34" s="383" t="n">
        <v>440160</v>
      </c>
      <c r="Y34" s="383" t="n">
        <v>440750</v>
      </c>
      <c r="Z34" s="383" t="n">
        <v>441339</v>
      </c>
      <c r="AA34" s="383" t="n">
        <v>441603</v>
      </c>
      <c r="AB34" s="383" t="n">
        <v>441603</v>
      </c>
      <c r="AC34" s="383" t="n">
        <v>442314</v>
      </c>
      <c r="AD34" s="383" t="n">
        <v>443038</v>
      </c>
      <c r="AE34" s="383" t="n">
        <v>443121</v>
      </c>
      <c r="AF34" s="383" t="n">
        <v>443733</v>
      </c>
      <c r="AG34" s="383" t="n">
        <v>444194</v>
      </c>
      <c r="AH34" s="383" t="n">
        <v>444498</v>
      </c>
      <c r="AI34" s="310" t="n">
        <v>444498</v>
      </c>
      <c r="AJ34" s="314">
        <f>AI34-D34</f>
        <v/>
      </c>
    </row>
    <row r="35">
      <c r="A35" s="541" t="n">
        <v>4</v>
      </c>
      <c r="B35" s="541" t="inlineStr">
        <is>
          <t>3F</t>
        </is>
      </c>
      <c r="C35" s="319" t="inlineStr">
        <is>
          <t>AHU4 - BTU</t>
        </is>
      </c>
      <c r="D35" s="396" t="n">
        <v>473317</v>
      </c>
      <c r="E35" s="379" t="n">
        <v>474228</v>
      </c>
      <c r="F35" s="379" t="n">
        <v>474694</v>
      </c>
      <c r="G35" s="379" t="n">
        <v>474694</v>
      </c>
      <c r="H35" s="379" t="n">
        <v>475457</v>
      </c>
      <c r="I35" s="379" t="n">
        <v>476194</v>
      </c>
      <c r="J35" s="379" t="n">
        <v>476924</v>
      </c>
      <c r="K35" s="379" t="n">
        <v>477604</v>
      </c>
      <c r="L35" s="379" t="n">
        <v>478257</v>
      </c>
      <c r="M35" s="379" t="n">
        <v>478600</v>
      </c>
      <c r="N35" s="379" t="n">
        <v>478600</v>
      </c>
      <c r="O35" s="379" t="n">
        <v>479421</v>
      </c>
      <c r="P35" s="380" t="n">
        <v>480156</v>
      </c>
      <c r="Q35" s="379" t="n">
        <v>480854</v>
      </c>
      <c r="R35" s="379" t="n">
        <v>481509</v>
      </c>
      <c r="S35" s="379" t="n">
        <v>482114</v>
      </c>
      <c r="T35" s="379" t="n">
        <v>482185</v>
      </c>
      <c r="U35" s="379" t="n">
        <v>482185</v>
      </c>
      <c r="V35" s="379" t="n">
        <v>483059</v>
      </c>
      <c r="W35" s="379" t="n">
        <v>483697</v>
      </c>
      <c r="X35" s="379" t="n">
        <v>484366</v>
      </c>
      <c r="Y35" s="379" t="n">
        <v>485107</v>
      </c>
      <c r="Z35" s="379" t="n">
        <v>485795</v>
      </c>
      <c r="AA35" s="379" t="n">
        <v>485945</v>
      </c>
      <c r="AB35" s="379" t="n">
        <v>485945</v>
      </c>
      <c r="AC35" s="379" t="n">
        <v>486741</v>
      </c>
      <c r="AD35" s="379" t="n">
        <v>487814</v>
      </c>
      <c r="AE35" s="381" t="n">
        <v>487967</v>
      </c>
      <c r="AF35" s="381" t="n">
        <v>488800</v>
      </c>
      <c r="AG35" s="381" t="n">
        <v>489515</v>
      </c>
      <c r="AH35" s="383" t="n">
        <v>489616</v>
      </c>
      <c r="AI35" s="392" t="n">
        <v>489616</v>
      </c>
      <c r="AJ35" s="314">
        <f>AI35-D35</f>
        <v/>
      </c>
    </row>
    <row r="36">
      <c r="A36" s="559" t="n"/>
    </row>
    <row r="37"/>
    <row r="38">
      <c r="A38" s="350" t="n"/>
      <c r="B38" s="555" t="inlineStr">
        <is>
          <t xml:space="preserve"> Daily Energy Report</t>
        </is>
      </c>
      <c r="C38" s="520" t="n"/>
      <c r="D38" s="501" t="n"/>
      <c r="E38" s="350" t="n"/>
      <c r="F38" s="350" t="n"/>
      <c r="G38" s="350" t="n"/>
      <c r="H38" s="350" t="n"/>
      <c r="I38" s="350" t="n"/>
      <c r="J38" s="350" t="n"/>
      <c r="K38" s="350" t="n"/>
      <c r="L38" s="350" t="n"/>
      <c r="M38" s="350" t="n"/>
      <c r="N38" s="350" t="n"/>
      <c r="O38" s="350" t="n"/>
      <c r="P38" s="350" t="n"/>
      <c r="Q38" s="350" t="n"/>
      <c r="R38" s="350" t="n"/>
      <c r="S38" s="350" t="n"/>
      <c r="T38" s="350" t="n"/>
      <c r="U38" s="350" t="n"/>
      <c r="V38" s="350" t="n"/>
      <c r="W38" s="350" t="n"/>
      <c r="X38" s="350" t="n"/>
      <c r="Y38" s="350" t="n"/>
      <c r="Z38" s="350" t="n"/>
      <c r="AA38" s="350" t="n"/>
      <c r="AB38" s="350" t="n"/>
      <c r="AC38" s="350" t="n"/>
      <c r="AD38" s="350" t="n"/>
      <c r="AE38" s="350" t="n"/>
      <c r="AF38" s="350" t="n"/>
      <c r="AG38" s="350" t="n"/>
      <c r="AH38" s="350" t="n"/>
      <c r="AI38" s="350" t="n"/>
    </row>
    <row r="39">
      <c r="A39" s="351" t="n"/>
      <c r="B39" s="560" t="inlineStr">
        <is>
          <t>Electricity Consumption</t>
        </is>
      </c>
      <c r="C39" s="520" t="n"/>
      <c r="D39" s="501" t="n"/>
      <c r="E39" s="351" t="n"/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  <c r="AI39" s="351" t="n"/>
    </row>
    <row r="40" ht="15" customHeight="1" s="488">
      <c r="A40" s="542" t="inlineStr">
        <is>
          <t>Sr.No</t>
        </is>
      </c>
      <c r="B40" s="542" t="inlineStr">
        <is>
          <t>Location</t>
        </is>
      </c>
      <c r="C40" s="542" t="inlineStr">
        <is>
          <t>Meter</t>
        </is>
      </c>
      <c r="D40" s="522" t="n"/>
      <c r="E40" s="301" t="n">
        <v>46143</v>
      </c>
      <c r="F40" s="301" t="n">
        <v>46144</v>
      </c>
      <c r="G40" s="301" t="n">
        <v>46145</v>
      </c>
      <c r="H40" s="301" t="n">
        <v>46146</v>
      </c>
      <c r="I40" s="301" t="n">
        <v>46147</v>
      </c>
      <c r="J40" s="301" t="n">
        <v>46148</v>
      </c>
      <c r="K40" s="301" t="n">
        <v>46149</v>
      </c>
      <c r="L40" s="301" t="n">
        <v>46150</v>
      </c>
      <c r="M40" s="301" t="n">
        <v>46151</v>
      </c>
      <c r="N40" s="301" t="n">
        <v>46152</v>
      </c>
      <c r="O40" s="301" t="n">
        <v>46153</v>
      </c>
      <c r="P40" s="301" t="n">
        <v>46154</v>
      </c>
      <c r="Q40" s="301" t="n">
        <v>46155</v>
      </c>
      <c r="R40" s="301" t="n">
        <v>46156</v>
      </c>
      <c r="S40" s="301" t="n">
        <v>46157</v>
      </c>
      <c r="T40" s="301" t="n">
        <v>46158</v>
      </c>
      <c r="U40" s="301" t="n">
        <v>46159</v>
      </c>
      <c r="V40" s="301" t="n">
        <v>46160</v>
      </c>
      <c r="W40" s="301" t="n">
        <v>46161</v>
      </c>
      <c r="X40" s="301" t="n">
        <v>46162</v>
      </c>
      <c r="Y40" s="301" t="n">
        <v>46163</v>
      </c>
      <c r="Z40" s="301" t="n">
        <v>46164</v>
      </c>
      <c r="AA40" s="301" t="n">
        <v>46165</v>
      </c>
      <c r="AB40" s="301" t="n">
        <v>46166</v>
      </c>
      <c r="AC40" s="301" t="n">
        <v>46167</v>
      </c>
      <c r="AD40" s="301" t="n">
        <v>46168</v>
      </c>
      <c r="AE40" s="301" t="n">
        <v>46169</v>
      </c>
      <c r="AF40" s="301" t="n">
        <v>46170</v>
      </c>
      <c r="AG40" s="301" t="n">
        <v>46171</v>
      </c>
      <c r="AH40" s="301" t="n">
        <v>46172</v>
      </c>
      <c r="AI40" s="301" t="n">
        <v>46173</v>
      </c>
      <c r="AJ40" s="542" t="inlineStr">
        <is>
          <t>Consumption</t>
        </is>
      </c>
    </row>
    <row r="41">
      <c r="A41" s="516" t="n"/>
      <c r="B41" s="516" t="n"/>
      <c r="C41" s="523" t="n"/>
      <c r="D41" s="524" t="n"/>
      <c r="E41" s="302" t="inlineStr">
        <is>
          <t>Fri</t>
        </is>
      </c>
      <c r="F41" s="302" t="inlineStr">
        <is>
          <t>Sat</t>
        </is>
      </c>
      <c r="G41" s="302" t="inlineStr">
        <is>
          <t>Sun</t>
        </is>
      </c>
      <c r="H41" s="302" t="inlineStr">
        <is>
          <t>Mon</t>
        </is>
      </c>
      <c r="I41" s="302" t="inlineStr">
        <is>
          <t>Tue</t>
        </is>
      </c>
      <c r="J41" s="302" t="inlineStr">
        <is>
          <t>Wed</t>
        </is>
      </c>
      <c r="K41" s="302" t="inlineStr">
        <is>
          <t>Thu</t>
        </is>
      </c>
      <c r="L41" s="302" t="inlineStr">
        <is>
          <t>Fri</t>
        </is>
      </c>
      <c r="M41" s="302" t="inlineStr">
        <is>
          <t>Sat</t>
        </is>
      </c>
      <c r="N41" s="302" t="inlineStr">
        <is>
          <t>Sun</t>
        </is>
      </c>
      <c r="O41" s="302" t="inlineStr">
        <is>
          <t>Mon</t>
        </is>
      </c>
      <c r="P41" s="302" t="inlineStr">
        <is>
          <t>Tue</t>
        </is>
      </c>
      <c r="Q41" s="302" t="inlineStr">
        <is>
          <t>Wed</t>
        </is>
      </c>
      <c r="R41" s="302" t="inlineStr">
        <is>
          <t>Thu</t>
        </is>
      </c>
      <c r="S41" s="302" t="inlineStr">
        <is>
          <t>Fri</t>
        </is>
      </c>
      <c r="T41" s="302" t="inlineStr">
        <is>
          <t>Sat</t>
        </is>
      </c>
      <c r="U41" s="302" t="inlineStr">
        <is>
          <t>Sun</t>
        </is>
      </c>
      <c r="V41" s="302" t="inlineStr">
        <is>
          <t>Mon</t>
        </is>
      </c>
      <c r="W41" s="302" t="inlineStr">
        <is>
          <t>Tue</t>
        </is>
      </c>
      <c r="X41" s="302" t="inlineStr">
        <is>
          <t>Wed</t>
        </is>
      </c>
      <c r="Y41" s="302" t="inlineStr">
        <is>
          <t>Thu</t>
        </is>
      </c>
      <c r="Z41" s="302" t="inlineStr">
        <is>
          <t>Fri</t>
        </is>
      </c>
      <c r="AA41" s="302" t="inlineStr">
        <is>
          <t>Sat</t>
        </is>
      </c>
      <c r="AB41" s="302" t="inlineStr">
        <is>
          <t>Sun</t>
        </is>
      </c>
      <c r="AC41" s="302" t="inlineStr">
        <is>
          <t>Mon</t>
        </is>
      </c>
      <c r="AD41" s="302" t="inlineStr">
        <is>
          <t>Tue</t>
        </is>
      </c>
      <c r="AE41" s="302" t="inlineStr">
        <is>
          <t>Wed</t>
        </is>
      </c>
      <c r="AF41" s="302" t="inlineStr">
        <is>
          <t>Thu</t>
        </is>
      </c>
      <c r="AG41" s="302" t="inlineStr">
        <is>
          <t>Fri</t>
        </is>
      </c>
      <c r="AH41" s="302" t="inlineStr">
        <is>
          <t>Sat</t>
        </is>
      </c>
      <c r="AI41" s="302" t="inlineStr">
        <is>
          <t>Sun</t>
        </is>
      </c>
      <c r="AJ41" s="516" t="n"/>
    </row>
    <row r="42">
      <c r="A42" s="516" t="n"/>
      <c r="B42" s="516" t="n"/>
      <c r="C42" s="523" t="n"/>
      <c r="D42" s="524" t="n"/>
      <c r="E42" s="353" t="inlineStr">
        <is>
          <t>Time</t>
        </is>
      </c>
      <c r="F42" s="353" t="inlineStr">
        <is>
          <t>Time</t>
        </is>
      </c>
      <c r="G42" s="353" t="inlineStr">
        <is>
          <t>Time</t>
        </is>
      </c>
      <c r="H42" s="353" t="inlineStr">
        <is>
          <t>Time</t>
        </is>
      </c>
      <c r="I42" s="353" t="inlineStr">
        <is>
          <t>Time</t>
        </is>
      </c>
      <c r="J42" s="353" t="inlineStr">
        <is>
          <t>Time</t>
        </is>
      </c>
      <c r="K42" s="353" t="inlineStr">
        <is>
          <t>Time</t>
        </is>
      </c>
      <c r="L42" s="353" t="inlineStr">
        <is>
          <t>Time</t>
        </is>
      </c>
      <c r="M42" s="353" t="inlineStr">
        <is>
          <t>Time</t>
        </is>
      </c>
      <c r="N42" s="353" t="inlineStr">
        <is>
          <t>Time</t>
        </is>
      </c>
      <c r="O42" s="353" t="inlineStr">
        <is>
          <t>Time</t>
        </is>
      </c>
      <c r="P42" s="353" t="inlineStr">
        <is>
          <t>Time</t>
        </is>
      </c>
      <c r="Q42" s="353" t="inlineStr">
        <is>
          <t>Time</t>
        </is>
      </c>
      <c r="R42" s="353" t="inlineStr">
        <is>
          <t>Time</t>
        </is>
      </c>
      <c r="S42" s="353" t="inlineStr">
        <is>
          <t>Time</t>
        </is>
      </c>
      <c r="T42" s="353" t="inlineStr">
        <is>
          <t>Time</t>
        </is>
      </c>
      <c r="U42" s="353" t="inlineStr">
        <is>
          <t>Time</t>
        </is>
      </c>
      <c r="V42" s="353" t="inlineStr">
        <is>
          <t>Time</t>
        </is>
      </c>
      <c r="W42" s="353" t="inlineStr">
        <is>
          <t>Time</t>
        </is>
      </c>
      <c r="X42" s="353" t="inlineStr">
        <is>
          <t>Time</t>
        </is>
      </c>
      <c r="Y42" s="353" t="inlineStr">
        <is>
          <t>Time</t>
        </is>
      </c>
      <c r="Z42" s="353" t="inlineStr">
        <is>
          <t>Time</t>
        </is>
      </c>
      <c r="AA42" s="353" t="inlineStr">
        <is>
          <t>Time</t>
        </is>
      </c>
      <c r="AB42" s="353" t="inlineStr">
        <is>
          <t>Time</t>
        </is>
      </c>
      <c r="AC42" s="353" t="inlineStr">
        <is>
          <t>Time</t>
        </is>
      </c>
      <c r="AD42" s="353" t="inlineStr">
        <is>
          <t>Time</t>
        </is>
      </c>
      <c r="AE42" s="352">
        <f>AE4</f>
        <v/>
      </c>
      <c r="AF42" s="303" t="inlineStr">
        <is>
          <t>Time</t>
        </is>
      </c>
      <c r="AG42" s="353" t="inlineStr">
        <is>
          <t>Time</t>
        </is>
      </c>
      <c r="AH42" s="353" t="inlineStr">
        <is>
          <t>Time</t>
        </is>
      </c>
      <c r="AI42" s="353" t="inlineStr">
        <is>
          <t>Time</t>
        </is>
      </c>
      <c r="AJ42" s="516" t="n"/>
    </row>
    <row r="43">
      <c r="A43" s="517" t="n"/>
      <c r="B43" s="517" t="n"/>
      <c r="C43" s="525" t="n"/>
      <c r="D43" s="526" t="n"/>
      <c r="E43" s="354" t="n">
        <v>0.3333333333333333</v>
      </c>
      <c r="F43" s="354" t="n">
        <v>0.3333333333333333</v>
      </c>
      <c r="G43" s="354" t="n">
        <v>0.3333333333333333</v>
      </c>
      <c r="H43" s="354" t="n">
        <v>0.3333333333333333</v>
      </c>
      <c r="I43" s="354" t="n">
        <v>0.3333333333333333</v>
      </c>
      <c r="J43" s="354" t="n">
        <v>0.3333333333333333</v>
      </c>
      <c r="K43" s="354" t="n">
        <v>0.3333333333333333</v>
      </c>
      <c r="L43" s="354" t="n">
        <v>0.3333333333333333</v>
      </c>
      <c r="M43" s="354" t="n">
        <v>0.3333333333333333</v>
      </c>
      <c r="N43" s="354" t="n">
        <v>0.3333333333333333</v>
      </c>
      <c r="O43" s="354" t="n">
        <v>0.3333333333333333</v>
      </c>
      <c r="P43" s="354" t="n">
        <v>0.3333333333333333</v>
      </c>
      <c r="Q43" s="354" t="n">
        <v>0.3333333333333333</v>
      </c>
      <c r="R43" s="354" t="n">
        <v>0.3333333333333333</v>
      </c>
      <c r="S43" s="354" t="n">
        <v>0.3333333333333333</v>
      </c>
      <c r="T43" s="354" t="n">
        <v>0.3333333333333333</v>
      </c>
      <c r="U43" s="354" t="n">
        <v>0.3333333333333333</v>
      </c>
      <c r="V43" s="354" t="n">
        <v>0.3333333333333333</v>
      </c>
      <c r="W43" s="354" t="n">
        <v>0.3333333333333333</v>
      </c>
      <c r="X43" s="354" t="n">
        <v>0.3333333333333333</v>
      </c>
      <c r="Y43" s="354" t="n">
        <v>0.3333333333333333</v>
      </c>
      <c r="Z43" s="354" t="n">
        <v>0.3333333333333333</v>
      </c>
      <c r="AA43" s="354" t="n">
        <v>0.3333333333333333</v>
      </c>
      <c r="AB43" s="354" t="n">
        <v>0.3333333333333333</v>
      </c>
      <c r="AC43" s="354" t="n">
        <v>0.3333333333333333</v>
      </c>
      <c r="AD43" s="354" t="n">
        <v>0.3333333333333333</v>
      </c>
      <c r="AE43" s="354" t="n">
        <v>0.3333333333333333</v>
      </c>
      <c r="AF43" s="304" t="n">
        <v>0.3333333333333333</v>
      </c>
      <c r="AG43" s="354" t="n">
        <v>0.3333333333333333</v>
      </c>
      <c r="AH43" s="354" t="n">
        <v>0.3333333333333333</v>
      </c>
      <c r="AI43" s="354" t="n">
        <v>0.3333333333333333</v>
      </c>
      <c r="AJ43" s="517" t="n"/>
    </row>
    <row r="44">
      <c r="A44" s="541" t="n">
        <v>1</v>
      </c>
      <c r="B44" s="541" t="inlineStr">
        <is>
          <t>3F</t>
        </is>
      </c>
      <c r="C44" s="541" t="inlineStr">
        <is>
          <t>SL No 540430038840 (EB Unit)</t>
        </is>
      </c>
      <c r="D44" s="501" t="n"/>
      <c r="E44" s="355">
        <f>E6-D6</f>
        <v/>
      </c>
      <c r="F44" s="355">
        <f>F6-E6</f>
        <v/>
      </c>
      <c r="G44" s="355">
        <f>G6-F6</f>
        <v/>
      </c>
      <c r="H44" s="355">
        <f>H6-G6</f>
        <v/>
      </c>
      <c r="I44" s="355">
        <f>I6-H6</f>
        <v/>
      </c>
      <c r="J44" s="355">
        <f>J6-I6</f>
        <v/>
      </c>
      <c r="K44" s="355">
        <f>K6-J6</f>
        <v/>
      </c>
      <c r="L44" s="355">
        <f>L6-K6</f>
        <v/>
      </c>
      <c r="M44" s="355">
        <f>M6-L6</f>
        <v/>
      </c>
      <c r="N44" s="355">
        <f>N6-M6</f>
        <v/>
      </c>
      <c r="O44" s="355">
        <f>O6-N6</f>
        <v/>
      </c>
      <c r="P44" s="355">
        <f>P6-O6</f>
        <v/>
      </c>
      <c r="Q44" s="355">
        <f>Q6-P6</f>
        <v/>
      </c>
      <c r="R44" s="355">
        <f>R6-Q6</f>
        <v/>
      </c>
      <c r="S44" s="355">
        <f>S6-R6</f>
        <v/>
      </c>
      <c r="T44" s="355">
        <f>T6-S6</f>
        <v/>
      </c>
      <c r="U44" s="355">
        <f>U6-T6</f>
        <v/>
      </c>
      <c r="V44" s="355">
        <f>V6-U6</f>
        <v/>
      </c>
      <c r="W44" s="355">
        <f>W6-V6</f>
        <v/>
      </c>
      <c r="X44" s="355">
        <f>X6-W6</f>
        <v/>
      </c>
      <c r="Y44" s="355">
        <f>Y6-X6</f>
        <v/>
      </c>
      <c r="Z44" s="355">
        <f>Z6-Y6</f>
        <v/>
      </c>
      <c r="AA44" s="355">
        <f>AA6-Z6</f>
        <v/>
      </c>
      <c r="AB44" s="355">
        <f>AB6-AA6</f>
        <v/>
      </c>
      <c r="AC44" s="355">
        <f>AC6-AB6</f>
        <v/>
      </c>
      <c r="AD44" s="355">
        <f>AD6-AC6</f>
        <v/>
      </c>
      <c r="AE44" s="355">
        <f>AE6-AD6</f>
        <v/>
      </c>
      <c r="AF44" s="355">
        <f>AF6-AE6</f>
        <v/>
      </c>
      <c r="AG44" s="355">
        <f>AG6-AF6</f>
        <v/>
      </c>
      <c r="AH44" s="355">
        <f>AH6-AG6</f>
        <v/>
      </c>
      <c r="AI44" s="355">
        <f>AI6-AH6</f>
        <v/>
      </c>
      <c r="AJ44" s="356">
        <f>SUM(E44:AI44)</f>
        <v/>
      </c>
    </row>
    <row r="45">
      <c r="A45" s="541" t="n"/>
      <c r="B45" s="541" t="n"/>
      <c r="C45" s="547" t="inlineStr">
        <is>
          <t>DG</t>
        </is>
      </c>
      <c r="D45" s="501" t="n"/>
      <c r="E45" s="355">
        <f>E7-D7</f>
        <v/>
      </c>
      <c r="F45" s="355">
        <f>F7-E7</f>
        <v/>
      </c>
      <c r="G45" s="355">
        <f>G7-F7</f>
        <v/>
      </c>
      <c r="H45" s="355">
        <f>H7-G7</f>
        <v/>
      </c>
      <c r="I45" s="355">
        <f>I7-H7</f>
        <v/>
      </c>
      <c r="J45" s="355">
        <f>J7-I7</f>
        <v/>
      </c>
      <c r="K45" s="355">
        <f>K7-J7</f>
        <v/>
      </c>
      <c r="L45" s="355">
        <f>L7-K7</f>
        <v/>
      </c>
      <c r="M45" s="355">
        <f>M7-L7</f>
        <v/>
      </c>
      <c r="N45" s="355">
        <f>N7-M7</f>
        <v/>
      </c>
      <c r="O45" s="355">
        <f>O7-N7</f>
        <v/>
      </c>
      <c r="P45" s="355">
        <f>P7-O7</f>
        <v/>
      </c>
      <c r="Q45" s="355">
        <f>Q7-P7</f>
        <v/>
      </c>
      <c r="R45" s="355">
        <f>R7-Q7</f>
        <v/>
      </c>
      <c r="S45" s="355">
        <f>S7-R7</f>
        <v/>
      </c>
      <c r="T45" s="355">
        <f>T7-S7</f>
        <v/>
      </c>
      <c r="U45" s="355">
        <f>U7-T7</f>
        <v/>
      </c>
      <c r="V45" s="355">
        <f>V7-U7</f>
        <v/>
      </c>
      <c r="W45" s="355">
        <f>W7-V7</f>
        <v/>
      </c>
      <c r="X45" s="355">
        <f>X7-W7</f>
        <v/>
      </c>
      <c r="Y45" s="355">
        <f>Y7-X7</f>
        <v/>
      </c>
      <c r="Z45" s="355">
        <f>Z7-Y7</f>
        <v/>
      </c>
      <c r="AA45" s="355">
        <f>AA7-Z7</f>
        <v/>
      </c>
      <c r="AB45" s="355">
        <f>AB7-AA7</f>
        <v/>
      </c>
      <c r="AC45" s="355">
        <f>AC7-AB7</f>
        <v/>
      </c>
      <c r="AD45" s="355">
        <f>AD7-AC7</f>
        <v/>
      </c>
      <c r="AE45" s="355">
        <f>AE7-AD7</f>
        <v/>
      </c>
      <c r="AF45" s="355">
        <f>AF7-AE7</f>
        <v/>
      </c>
      <c r="AG45" s="355">
        <f>AG7-AF7</f>
        <v/>
      </c>
      <c r="AH45" s="355">
        <f>AH7-AG7</f>
        <v/>
      </c>
      <c r="AI45" s="355">
        <f>AI7-AH7</f>
        <v/>
      </c>
      <c r="AJ45" s="356">
        <f>SUM(E45:AI45)</f>
        <v/>
      </c>
    </row>
    <row r="46">
      <c r="A46" s="541" t="n">
        <v>2</v>
      </c>
      <c r="B46" s="541" t="inlineStr">
        <is>
          <t>3F</t>
        </is>
      </c>
      <c r="C46" s="541" t="inlineStr">
        <is>
          <t>SL No 540430038845 (EB Unit)</t>
        </is>
      </c>
      <c r="D46" s="501" t="n"/>
      <c r="E46" s="355">
        <f>E8-D8</f>
        <v/>
      </c>
      <c r="F46" s="355">
        <f>F8-E8</f>
        <v/>
      </c>
      <c r="G46" s="355">
        <f>G8-F8</f>
        <v/>
      </c>
      <c r="H46" s="355">
        <f>H8-G8</f>
        <v/>
      </c>
      <c r="I46" s="355">
        <f>I8-H8</f>
        <v/>
      </c>
      <c r="J46" s="355">
        <f>J8-I8</f>
        <v/>
      </c>
      <c r="K46" s="355">
        <f>K8-J8</f>
        <v/>
      </c>
      <c r="L46" s="355">
        <f>L8-K8</f>
        <v/>
      </c>
      <c r="M46" s="355">
        <f>M8-L8</f>
        <v/>
      </c>
      <c r="N46" s="355">
        <f>N8-M8</f>
        <v/>
      </c>
      <c r="O46" s="355">
        <f>O8-N8</f>
        <v/>
      </c>
      <c r="P46" s="355">
        <f>P8-O8</f>
        <v/>
      </c>
      <c r="Q46" s="355">
        <f>Q8-P8</f>
        <v/>
      </c>
      <c r="R46" s="355">
        <f>R8-Q8</f>
        <v/>
      </c>
      <c r="S46" s="355">
        <f>S8-R8</f>
        <v/>
      </c>
      <c r="T46" s="355">
        <f>T8-S8</f>
        <v/>
      </c>
      <c r="U46" s="355">
        <f>U8-T8</f>
        <v/>
      </c>
      <c r="V46" s="355">
        <f>V8-U8</f>
        <v/>
      </c>
      <c r="W46" s="355">
        <f>W8-V8</f>
        <v/>
      </c>
      <c r="X46" s="355">
        <f>X8-W8</f>
        <v/>
      </c>
      <c r="Y46" s="355">
        <f>Y8-X8</f>
        <v/>
      </c>
      <c r="Z46" s="355">
        <f>Z8-Y8</f>
        <v/>
      </c>
      <c r="AA46" s="355">
        <f>AA8-Z8</f>
        <v/>
      </c>
      <c r="AB46" s="355">
        <f>AB8-AA8</f>
        <v/>
      </c>
      <c r="AC46" s="355">
        <f>AC8-AB8</f>
        <v/>
      </c>
      <c r="AD46" s="355">
        <f>AD8-AC8</f>
        <v/>
      </c>
      <c r="AE46" s="355">
        <f>AE8-AD8</f>
        <v/>
      </c>
      <c r="AF46" s="355">
        <f>AF8-AE8</f>
        <v/>
      </c>
      <c r="AG46" s="355">
        <f>AG8-AF8</f>
        <v/>
      </c>
      <c r="AH46" s="355">
        <f>AH8-AG8</f>
        <v/>
      </c>
      <c r="AI46" s="355">
        <f>AI8-AH8</f>
        <v/>
      </c>
      <c r="AJ46" s="356">
        <f>SUM(E46:AI46)</f>
        <v/>
      </c>
    </row>
    <row r="47">
      <c r="A47" s="541" t="n"/>
      <c r="B47" s="541" t="n"/>
      <c r="C47" s="547" t="inlineStr">
        <is>
          <t>DG</t>
        </is>
      </c>
      <c r="D47" s="501" t="n"/>
      <c r="E47" s="355">
        <f>E9-D9</f>
        <v/>
      </c>
      <c r="F47" s="355">
        <f>F9-E9</f>
        <v/>
      </c>
      <c r="G47" s="355">
        <f>G9-F9</f>
        <v/>
      </c>
      <c r="H47" s="355">
        <f>H9-G9</f>
        <v/>
      </c>
      <c r="I47" s="355">
        <f>I9-H9</f>
        <v/>
      </c>
      <c r="J47" s="355">
        <f>J9-I9</f>
        <v/>
      </c>
      <c r="K47" s="355">
        <f>K9-J9</f>
        <v/>
      </c>
      <c r="L47" s="355">
        <f>L9-K9</f>
        <v/>
      </c>
      <c r="M47" s="355">
        <f>M9-L9</f>
        <v/>
      </c>
      <c r="N47" s="355">
        <f>N9-M9</f>
        <v/>
      </c>
      <c r="O47" s="355">
        <f>O9-N9</f>
        <v/>
      </c>
      <c r="P47" s="355">
        <f>P9-O9</f>
        <v/>
      </c>
      <c r="Q47" s="355">
        <f>Q9-P9</f>
        <v/>
      </c>
      <c r="R47" s="355">
        <f>R9-Q9</f>
        <v/>
      </c>
      <c r="S47" s="355">
        <f>S9-R9</f>
        <v/>
      </c>
      <c r="T47" s="355">
        <f>T9-S9</f>
        <v/>
      </c>
      <c r="U47" s="355">
        <f>U9-T9</f>
        <v/>
      </c>
      <c r="V47" s="355">
        <f>V9-U9</f>
        <v/>
      </c>
      <c r="W47" s="355">
        <f>W9-V9</f>
        <v/>
      </c>
      <c r="X47" s="355">
        <f>X9-W9</f>
        <v/>
      </c>
      <c r="Y47" s="355">
        <f>Y9-X9</f>
        <v/>
      </c>
      <c r="Z47" s="355">
        <f>Z9-Y9</f>
        <v/>
      </c>
      <c r="AA47" s="355">
        <f>AA9-Z9</f>
        <v/>
      </c>
      <c r="AB47" s="355">
        <f>AB9-AA9</f>
        <v/>
      </c>
      <c r="AC47" s="355">
        <f>AC9-AB9</f>
        <v/>
      </c>
      <c r="AD47" s="355">
        <f>AD9-AC9</f>
        <v/>
      </c>
      <c r="AE47" s="355">
        <f>AE9-AD9</f>
        <v/>
      </c>
      <c r="AF47" s="355">
        <f>AF9-AE9</f>
        <v/>
      </c>
      <c r="AG47" s="355">
        <f>AG9-AF9</f>
        <v/>
      </c>
      <c r="AH47" s="355">
        <f>AH9-AG9</f>
        <v/>
      </c>
      <c r="AI47" s="355">
        <f>AI9-AH9</f>
        <v/>
      </c>
      <c r="AJ47" s="356">
        <f>SUM(E47:AI47)</f>
        <v/>
      </c>
    </row>
    <row r="48">
      <c r="A48" s="541" t="n">
        <v>3</v>
      </c>
      <c r="B48" s="541" t="inlineStr">
        <is>
          <t>3F</t>
        </is>
      </c>
      <c r="C48" s="541" t="inlineStr">
        <is>
          <t>SL No 540430038844 (EB Unit)</t>
        </is>
      </c>
      <c r="D48" s="501" t="n"/>
      <c r="E48" s="355">
        <f>E10-D10</f>
        <v/>
      </c>
      <c r="F48" s="355">
        <f>F10-E10</f>
        <v/>
      </c>
      <c r="G48" s="355">
        <f>G10-F10</f>
        <v/>
      </c>
      <c r="H48" s="355">
        <f>H10-G10</f>
        <v/>
      </c>
      <c r="I48" s="355">
        <f>I10-H10</f>
        <v/>
      </c>
      <c r="J48" s="355">
        <f>J10-I10</f>
        <v/>
      </c>
      <c r="K48" s="355">
        <f>K10-J10</f>
        <v/>
      </c>
      <c r="L48" s="355">
        <f>L10-K10</f>
        <v/>
      </c>
      <c r="M48" s="355">
        <f>M10-L10</f>
        <v/>
      </c>
      <c r="N48" s="355">
        <f>N10-M10</f>
        <v/>
      </c>
      <c r="O48" s="355">
        <f>O10-N10</f>
        <v/>
      </c>
      <c r="P48" s="355">
        <f>P10-O10</f>
        <v/>
      </c>
      <c r="Q48" s="355">
        <f>Q10-P10</f>
        <v/>
      </c>
      <c r="R48" s="355">
        <f>R10-Q10</f>
        <v/>
      </c>
      <c r="S48" s="355">
        <f>S10-R10</f>
        <v/>
      </c>
      <c r="T48" s="355">
        <f>T10-S10</f>
        <v/>
      </c>
      <c r="U48" s="355">
        <f>U10-T10</f>
        <v/>
      </c>
      <c r="V48" s="355">
        <f>V10-U10</f>
        <v/>
      </c>
      <c r="W48" s="355">
        <f>W10-V10</f>
        <v/>
      </c>
      <c r="X48" s="355">
        <f>X10-W10</f>
        <v/>
      </c>
      <c r="Y48" s="355">
        <f>Y10-X10</f>
        <v/>
      </c>
      <c r="Z48" s="355">
        <f>Z10-Y10</f>
        <v/>
      </c>
      <c r="AA48" s="355">
        <f>AA10-Z10</f>
        <v/>
      </c>
      <c r="AB48" s="355">
        <f>AB10-AA10</f>
        <v/>
      </c>
      <c r="AC48" s="355">
        <f>AC10-AB10</f>
        <v/>
      </c>
      <c r="AD48" s="355">
        <f>AD10-AC10</f>
        <v/>
      </c>
      <c r="AE48" s="355">
        <f>AE10-AD10</f>
        <v/>
      </c>
      <c r="AF48" s="355">
        <f>AF10-AE10</f>
        <v/>
      </c>
      <c r="AG48" s="355">
        <f>AG10-AF10</f>
        <v/>
      </c>
      <c r="AH48" s="355">
        <f>AH10-AG10</f>
        <v/>
      </c>
      <c r="AI48" s="355">
        <f>AI10-AH10</f>
        <v/>
      </c>
      <c r="AJ48" s="356">
        <f>SUM(E48:AI48)</f>
        <v/>
      </c>
    </row>
    <row r="49">
      <c r="A49" s="541" t="n"/>
      <c r="B49" s="541" t="n"/>
      <c r="C49" s="547" t="inlineStr">
        <is>
          <t>DG</t>
        </is>
      </c>
      <c r="D49" s="501" t="n"/>
      <c r="E49" s="355">
        <f>E11-D11</f>
        <v/>
      </c>
      <c r="F49" s="355">
        <f>F11-E11</f>
        <v/>
      </c>
      <c r="G49" s="355">
        <f>G11-F11</f>
        <v/>
      </c>
      <c r="H49" s="355">
        <f>H11-G11</f>
        <v/>
      </c>
      <c r="I49" s="355">
        <f>I11-H11</f>
        <v/>
      </c>
      <c r="J49" s="355">
        <f>J11-I11</f>
        <v/>
      </c>
      <c r="K49" s="355">
        <f>K11-J11</f>
        <v/>
      </c>
      <c r="L49" s="355">
        <f>L11-K11</f>
        <v/>
      </c>
      <c r="M49" s="355">
        <f>M11-L11</f>
        <v/>
      </c>
      <c r="N49" s="355">
        <f>N11-M11</f>
        <v/>
      </c>
      <c r="O49" s="355">
        <f>O11-N11</f>
        <v/>
      </c>
      <c r="P49" s="355">
        <f>P11-O11</f>
        <v/>
      </c>
      <c r="Q49" s="355">
        <f>Q11-P11</f>
        <v/>
      </c>
      <c r="R49" s="355">
        <f>R11-Q11</f>
        <v/>
      </c>
      <c r="S49" s="355">
        <f>S11-R11</f>
        <v/>
      </c>
      <c r="T49" s="355">
        <f>T11-S11</f>
        <v/>
      </c>
      <c r="U49" s="355">
        <f>U11-T11</f>
        <v/>
      </c>
      <c r="V49" s="355">
        <f>V11-U11</f>
        <v/>
      </c>
      <c r="W49" s="355">
        <f>W11-V11</f>
        <v/>
      </c>
      <c r="X49" s="355">
        <f>X11-W11</f>
        <v/>
      </c>
      <c r="Y49" s="355">
        <f>Y11-X11</f>
        <v/>
      </c>
      <c r="Z49" s="355">
        <f>Z11-Y11</f>
        <v/>
      </c>
      <c r="AA49" s="355">
        <f>AA11-Z11</f>
        <v/>
      </c>
      <c r="AB49" s="355">
        <f>AB11-AA11</f>
        <v/>
      </c>
      <c r="AC49" s="355">
        <f>AC11-AB11</f>
        <v/>
      </c>
      <c r="AD49" s="355">
        <f>AD11-AC11</f>
        <v/>
      </c>
      <c r="AE49" s="355">
        <f>AE11-AD11</f>
        <v/>
      </c>
      <c r="AF49" s="355">
        <f>AF11-AE11</f>
        <v/>
      </c>
      <c r="AG49" s="355">
        <f>AG11-AF11</f>
        <v/>
      </c>
      <c r="AH49" s="355">
        <f>AH11-AG11</f>
        <v/>
      </c>
      <c r="AI49" s="355">
        <f>AI11-AH11</f>
        <v/>
      </c>
      <c r="AJ49" s="356">
        <f>SUM(E49:AI49)</f>
        <v/>
      </c>
    </row>
    <row r="50">
      <c r="A50" s="541" t="n">
        <v>4</v>
      </c>
      <c r="B50" s="541" t="inlineStr">
        <is>
          <t>3F</t>
        </is>
      </c>
      <c r="C50" s="541" t="inlineStr">
        <is>
          <t>SL No 540430038821 (EB Unit)</t>
        </is>
      </c>
      <c r="D50" s="501" t="n"/>
      <c r="E50" s="355">
        <f>E12-D12</f>
        <v/>
      </c>
      <c r="F50" s="355">
        <f>F12-E12</f>
        <v/>
      </c>
      <c r="G50" s="355">
        <f>G12-F12</f>
        <v/>
      </c>
      <c r="H50" s="355">
        <f>H12-G12</f>
        <v/>
      </c>
      <c r="I50" s="355">
        <f>I12-H12</f>
        <v/>
      </c>
      <c r="J50" s="355">
        <f>J12-I12</f>
        <v/>
      </c>
      <c r="K50" s="355">
        <f>K12-J12</f>
        <v/>
      </c>
      <c r="L50" s="355">
        <f>L12-K12</f>
        <v/>
      </c>
      <c r="M50" s="355">
        <f>M12-L12</f>
        <v/>
      </c>
      <c r="N50" s="355">
        <f>N12-M12</f>
        <v/>
      </c>
      <c r="O50" s="355">
        <f>O12-N12</f>
        <v/>
      </c>
      <c r="P50" s="355">
        <f>P12-O12</f>
        <v/>
      </c>
      <c r="Q50" s="355">
        <f>Q12-P12</f>
        <v/>
      </c>
      <c r="R50" s="355">
        <f>R12-Q12</f>
        <v/>
      </c>
      <c r="S50" s="355">
        <f>S12-R12</f>
        <v/>
      </c>
      <c r="T50" s="355">
        <f>T12-S12</f>
        <v/>
      </c>
      <c r="U50" s="355">
        <f>U12-T12</f>
        <v/>
      </c>
      <c r="V50" s="355">
        <f>V12-U12</f>
        <v/>
      </c>
      <c r="W50" s="355">
        <f>W12-V12</f>
        <v/>
      </c>
      <c r="X50" s="355">
        <f>X12-W12</f>
        <v/>
      </c>
      <c r="Y50" s="355">
        <f>Y12-X12</f>
        <v/>
      </c>
      <c r="Z50" s="355">
        <f>Z12-Y12</f>
        <v/>
      </c>
      <c r="AA50" s="355">
        <f>AA12-Z12</f>
        <v/>
      </c>
      <c r="AB50" s="355">
        <f>AB12-AA12</f>
        <v/>
      </c>
      <c r="AC50" s="355">
        <f>AC12-AB12</f>
        <v/>
      </c>
      <c r="AD50" s="355">
        <f>AD12-AC12</f>
        <v/>
      </c>
      <c r="AE50" s="355">
        <f>AE12-AD12</f>
        <v/>
      </c>
      <c r="AF50" s="355">
        <f>AF12-AE12</f>
        <v/>
      </c>
      <c r="AG50" s="355">
        <f>AG12-AF12</f>
        <v/>
      </c>
      <c r="AH50" s="355">
        <f>AH12-AG12</f>
        <v/>
      </c>
      <c r="AI50" s="355">
        <f>AI12-AH12</f>
        <v/>
      </c>
      <c r="AJ50" s="356">
        <f>SUM(E50:AI50)</f>
        <v/>
      </c>
    </row>
    <row r="51">
      <c r="A51" s="541" t="n"/>
      <c r="B51" s="541" t="n"/>
      <c r="C51" s="547" t="inlineStr">
        <is>
          <t>DG</t>
        </is>
      </c>
      <c r="D51" s="501" t="n"/>
      <c r="E51" s="355">
        <f>E13-D13</f>
        <v/>
      </c>
      <c r="F51" s="355">
        <f>F13-E13</f>
        <v/>
      </c>
      <c r="G51" s="355">
        <f>G13-F13</f>
        <v/>
      </c>
      <c r="H51" s="355">
        <f>H13-G13</f>
        <v/>
      </c>
      <c r="I51" s="355">
        <f>I13-H13</f>
        <v/>
      </c>
      <c r="J51" s="355">
        <f>J13-I13</f>
        <v/>
      </c>
      <c r="K51" s="355">
        <f>K13-J13</f>
        <v/>
      </c>
      <c r="L51" s="355">
        <f>L13-K13</f>
        <v/>
      </c>
      <c r="M51" s="355">
        <f>M13-L13</f>
        <v/>
      </c>
      <c r="N51" s="355">
        <f>N13-M13</f>
        <v/>
      </c>
      <c r="O51" s="355">
        <f>O13-N13</f>
        <v/>
      </c>
      <c r="P51" s="355">
        <f>P13-O13</f>
        <v/>
      </c>
      <c r="Q51" s="355">
        <f>Q13-P13</f>
        <v/>
      </c>
      <c r="R51" s="355">
        <f>R13-Q13</f>
        <v/>
      </c>
      <c r="S51" s="355">
        <f>S13-R13</f>
        <v/>
      </c>
      <c r="T51" s="355">
        <f>T13-S13</f>
        <v/>
      </c>
      <c r="U51" s="355">
        <f>U13-T13</f>
        <v/>
      </c>
      <c r="V51" s="355">
        <f>V13-U13</f>
        <v/>
      </c>
      <c r="W51" s="355">
        <f>W13-V13</f>
        <v/>
      </c>
      <c r="X51" s="355">
        <f>X13-W13</f>
        <v/>
      </c>
      <c r="Y51" s="355">
        <f>Y13-X13</f>
        <v/>
      </c>
      <c r="Z51" s="355">
        <f>Z13-Y13</f>
        <v/>
      </c>
      <c r="AA51" s="355">
        <f>AA13-Z13</f>
        <v/>
      </c>
      <c r="AB51" s="355">
        <f>AB13-AA13</f>
        <v/>
      </c>
      <c r="AC51" s="355">
        <f>AC13-AB13</f>
        <v/>
      </c>
      <c r="AD51" s="355">
        <f>AD13-AC13</f>
        <v/>
      </c>
      <c r="AE51" s="355">
        <f>AE13-AD13</f>
        <v/>
      </c>
      <c r="AF51" s="355">
        <f>AF13-AE13</f>
        <v/>
      </c>
      <c r="AG51" s="355">
        <f>AG13-AF13</f>
        <v/>
      </c>
      <c r="AH51" s="355">
        <f>AH13-AG13</f>
        <v/>
      </c>
      <c r="AI51" s="355">
        <f>AI13-AH13</f>
        <v/>
      </c>
      <c r="AJ51" s="356">
        <f>SUM(E51:AI51)</f>
        <v/>
      </c>
    </row>
    <row r="52">
      <c r="A52" s="541" t="n">
        <v>5</v>
      </c>
      <c r="B52" s="541" t="inlineStr">
        <is>
          <t>3F</t>
        </is>
      </c>
      <c r="C52" s="541" t="inlineStr">
        <is>
          <t>SL No 540430038849 (EB Unit)</t>
        </is>
      </c>
      <c r="D52" s="501" t="n"/>
      <c r="E52" s="355">
        <f>E14-D14</f>
        <v/>
      </c>
      <c r="F52" s="355">
        <f>F14-E14</f>
        <v/>
      </c>
      <c r="G52" s="355">
        <f>G14-F14</f>
        <v/>
      </c>
      <c r="H52" s="355">
        <f>H14-G14</f>
        <v/>
      </c>
      <c r="I52" s="355">
        <f>I14-H14</f>
        <v/>
      </c>
      <c r="J52" s="355">
        <f>J14-I14</f>
        <v/>
      </c>
      <c r="K52" s="355">
        <f>K14-J14</f>
        <v/>
      </c>
      <c r="L52" s="355">
        <f>L14-K14</f>
        <v/>
      </c>
      <c r="M52" s="355">
        <f>M14-L14</f>
        <v/>
      </c>
      <c r="N52" s="355">
        <f>N14-M14</f>
        <v/>
      </c>
      <c r="O52" s="355">
        <f>O14-N14</f>
        <v/>
      </c>
      <c r="P52" s="355">
        <f>P14-O14</f>
        <v/>
      </c>
      <c r="Q52" s="355">
        <f>Q14-P14</f>
        <v/>
      </c>
      <c r="R52" s="355">
        <f>R14-Q14</f>
        <v/>
      </c>
      <c r="S52" s="355">
        <f>S14-R14</f>
        <v/>
      </c>
      <c r="T52" s="355">
        <f>T14-S14</f>
        <v/>
      </c>
      <c r="U52" s="355">
        <f>U14-T14</f>
        <v/>
      </c>
      <c r="V52" s="355">
        <f>V14-U14</f>
        <v/>
      </c>
      <c r="W52" s="355">
        <f>W14-V14</f>
        <v/>
      </c>
      <c r="X52" s="355">
        <f>X14-W14</f>
        <v/>
      </c>
      <c r="Y52" s="355">
        <f>Y14-X14</f>
        <v/>
      </c>
      <c r="Z52" s="355">
        <f>Z14-Y14</f>
        <v/>
      </c>
      <c r="AA52" s="355">
        <f>AA14-Z14</f>
        <v/>
      </c>
      <c r="AB52" s="355">
        <f>AB14-AA14</f>
        <v/>
      </c>
      <c r="AC52" s="355">
        <f>AC14-AB14</f>
        <v/>
      </c>
      <c r="AD52" s="355">
        <f>AD14-AC14</f>
        <v/>
      </c>
      <c r="AE52" s="355">
        <f>AE14-AD14</f>
        <v/>
      </c>
      <c r="AF52" s="355">
        <f>AF14-AE14</f>
        <v/>
      </c>
      <c r="AG52" s="355">
        <f>AG14-AF14</f>
        <v/>
      </c>
      <c r="AH52" s="355">
        <f>AH14-AG14</f>
        <v/>
      </c>
      <c r="AI52" s="355">
        <f>AI14-AH14</f>
        <v/>
      </c>
      <c r="AJ52" s="356">
        <f>SUM(E52:AI52)</f>
        <v/>
      </c>
    </row>
    <row r="53">
      <c r="A53" s="541" t="n"/>
      <c r="B53" s="541" t="n"/>
      <c r="C53" s="547" t="inlineStr">
        <is>
          <t>DG</t>
        </is>
      </c>
      <c r="D53" s="501" t="n"/>
      <c r="E53" s="355">
        <f>E15-D15</f>
        <v/>
      </c>
      <c r="F53" s="355">
        <f>F15-E15</f>
        <v/>
      </c>
      <c r="G53" s="355">
        <f>G15-F15</f>
        <v/>
      </c>
      <c r="H53" s="355">
        <f>H15-G15</f>
        <v/>
      </c>
      <c r="I53" s="355">
        <f>I15-H15</f>
        <v/>
      </c>
      <c r="J53" s="355">
        <f>J15-I15</f>
        <v/>
      </c>
      <c r="K53" s="355">
        <f>K15-J15</f>
        <v/>
      </c>
      <c r="L53" s="355">
        <f>L15-K15</f>
        <v/>
      </c>
      <c r="M53" s="355">
        <f>M15-L15</f>
        <v/>
      </c>
      <c r="N53" s="355">
        <f>N15-M15</f>
        <v/>
      </c>
      <c r="O53" s="355">
        <f>O15-N15</f>
        <v/>
      </c>
      <c r="P53" s="355">
        <f>P15-O15</f>
        <v/>
      </c>
      <c r="Q53" s="355">
        <f>Q15-P15</f>
        <v/>
      </c>
      <c r="R53" s="355">
        <f>R15-Q15</f>
        <v/>
      </c>
      <c r="S53" s="355">
        <f>S15-R15</f>
        <v/>
      </c>
      <c r="T53" s="355">
        <f>T15-S15</f>
        <v/>
      </c>
      <c r="U53" s="355">
        <f>U15-T15</f>
        <v/>
      </c>
      <c r="V53" s="355">
        <f>V15-U15</f>
        <v/>
      </c>
      <c r="W53" s="355">
        <f>W15-V15</f>
        <v/>
      </c>
      <c r="X53" s="355">
        <f>X15-W15</f>
        <v/>
      </c>
      <c r="Y53" s="355">
        <f>Y15-X15</f>
        <v/>
      </c>
      <c r="Z53" s="355">
        <f>Z15-Y15</f>
        <v/>
      </c>
      <c r="AA53" s="355">
        <f>AA15-Z15</f>
        <v/>
      </c>
      <c r="AB53" s="355">
        <f>AB15-AA15</f>
        <v/>
      </c>
      <c r="AC53" s="355">
        <f>AC15-AB15</f>
        <v/>
      </c>
      <c r="AD53" s="355">
        <f>AD15-AC15</f>
        <v/>
      </c>
      <c r="AE53" s="355">
        <f>AE15-AD15</f>
        <v/>
      </c>
      <c r="AF53" s="355">
        <f>AF15-AE15</f>
        <v/>
      </c>
      <c r="AG53" s="355">
        <f>AG15-AF15</f>
        <v/>
      </c>
      <c r="AH53" s="355">
        <f>AH15-AG15</f>
        <v/>
      </c>
      <c r="AI53" s="355">
        <f>AI15-AH15</f>
        <v/>
      </c>
      <c r="AJ53" s="356">
        <f>SUM(E53:AI53)</f>
        <v/>
      </c>
    </row>
    <row r="54">
      <c r="A54" s="541" t="n">
        <v>6</v>
      </c>
      <c r="B54" s="541" t="inlineStr">
        <is>
          <t>3F</t>
        </is>
      </c>
      <c r="C54" s="541" t="inlineStr">
        <is>
          <t>SL No 540430038696 (EB Unit)</t>
        </is>
      </c>
      <c r="D54" s="501" t="n"/>
      <c r="E54" s="355">
        <f>E16-D16</f>
        <v/>
      </c>
      <c r="F54" s="355">
        <f>F16-E16</f>
        <v/>
      </c>
      <c r="G54" s="355">
        <f>G16-F16</f>
        <v/>
      </c>
      <c r="H54" s="355">
        <f>H16-G16</f>
        <v/>
      </c>
      <c r="I54" s="355">
        <f>I16-H16</f>
        <v/>
      </c>
      <c r="J54" s="355">
        <f>J16-I16</f>
        <v/>
      </c>
      <c r="K54" s="355">
        <f>K16-J16</f>
        <v/>
      </c>
      <c r="L54" s="355">
        <f>L16-K16</f>
        <v/>
      </c>
      <c r="M54" s="355">
        <f>M16-L16</f>
        <v/>
      </c>
      <c r="N54" s="355">
        <f>N16-M16</f>
        <v/>
      </c>
      <c r="O54" s="355">
        <f>O16-N16</f>
        <v/>
      </c>
      <c r="P54" s="355">
        <f>P16-O16</f>
        <v/>
      </c>
      <c r="Q54" s="355">
        <f>Q16-P16</f>
        <v/>
      </c>
      <c r="R54" s="355">
        <f>R16-Q16</f>
        <v/>
      </c>
      <c r="S54" s="355">
        <f>S16-R16</f>
        <v/>
      </c>
      <c r="T54" s="355">
        <f>T16-S16</f>
        <v/>
      </c>
      <c r="U54" s="355">
        <f>U16-T16</f>
        <v/>
      </c>
      <c r="V54" s="355">
        <f>V16-U16</f>
        <v/>
      </c>
      <c r="W54" s="355">
        <f>W16-V16</f>
        <v/>
      </c>
      <c r="X54" s="355">
        <f>X16-W16</f>
        <v/>
      </c>
      <c r="Y54" s="355">
        <f>Y16-X16</f>
        <v/>
      </c>
      <c r="Z54" s="355">
        <f>Z16-Y16</f>
        <v/>
      </c>
      <c r="AA54" s="355">
        <f>AA16-Z16</f>
        <v/>
      </c>
      <c r="AB54" s="355">
        <f>AB16-AA16</f>
        <v/>
      </c>
      <c r="AC54" s="355">
        <f>AC16-AB16</f>
        <v/>
      </c>
      <c r="AD54" s="355">
        <f>AD16-AC16</f>
        <v/>
      </c>
      <c r="AE54" s="355">
        <f>AE16-AD16</f>
        <v/>
      </c>
      <c r="AF54" s="355">
        <f>AF16-AE16</f>
        <v/>
      </c>
      <c r="AG54" s="355">
        <f>AG16-AF16</f>
        <v/>
      </c>
      <c r="AH54" s="355">
        <f>AH16-AG16</f>
        <v/>
      </c>
      <c r="AI54" s="355">
        <f>AI16-AH16</f>
        <v/>
      </c>
      <c r="AJ54" s="356">
        <f>SUM(E54:AI54)</f>
        <v/>
      </c>
    </row>
    <row r="55">
      <c r="A55" s="541" t="n"/>
      <c r="B55" s="541" t="n"/>
      <c r="C55" s="547" t="inlineStr">
        <is>
          <t>DG</t>
        </is>
      </c>
      <c r="D55" s="501" t="n"/>
      <c r="E55" s="355">
        <f>E17-D17</f>
        <v/>
      </c>
      <c r="F55" s="355">
        <f>F17-E17</f>
        <v/>
      </c>
      <c r="G55" s="355">
        <f>G17-F17</f>
        <v/>
      </c>
      <c r="H55" s="355">
        <f>H17-G17</f>
        <v/>
      </c>
      <c r="I55" s="355">
        <f>I17-H17</f>
        <v/>
      </c>
      <c r="J55" s="355">
        <f>J17-I17</f>
        <v/>
      </c>
      <c r="K55" s="355">
        <f>K17-J17</f>
        <v/>
      </c>
      <c r="L55" s="355">
        <f>L17-K17</f>
        <v/>
      </c>
      <c r="M55" s="355">
        <f>M17-L17</f>
        <v/>
      </c>
      <c r="N55" s="355">
        <f>N17-M17</f>
        <v/>
      </c>
      <c r="O55" s="355">
        <f>O17-N17</f>
        <v/>
      </c>
      <c r="P55" s="355">
        <f>P17-O17</f>
        <v/>
      </c>
      <c r="Q55" s="355">
        <f>Q17-P17</f>
        <v/>
      </c>
      <c r="R55" s="355">
        <f>R17-Q17</f>
        <v/>
      </c>
      <c r="S55" s="355">
        <f>S17-R17</f>
        <v/>
      </c>
      <c r="T55" s="355">
        <f>T17-S17</f>
        <v/>
      </c>
      <c r="U55" s="355">
        <f>U17-T17</f>
        <v/>
      </c>
      <c r="V55" s="355">
        <f>V17-U17</f>
        <v/>
      </c>
      <c r="W55" s="355">
        <f>W17-V17</f>
        <v/>
      </c>
      <c r="X55" s="355">
        <f>X17-W17</f>
        <v/>
      </c>
      <c r="Y55" s="355">
        <f>Y17-X17</f>
        <v/>
      </c>
      <c r="Z55" s="355">
        <f>Z17-Y17</f>
        <v/>
      </c>
      <c r="AA55" s="355">
        <f>AA17-Z17</f>
        <v/>
      </c>
      <c r="AB55" s="355">
        <f>AB17-AA17</f>
        <v/>
      </c>
      <c r="AC55" s="355">
        <f>AC17-AB17</f>
        <v/>
      </c>
      <c r="AD55" s="355">
        <f>AD17-AC17</f>
        <v/>
      </c>
      <c r="AE55" s="355">
        <f>AE17-AD17</f>
        <v/>
      </c>
      <c r="AF55" s="355">
        <f>AF17-AE17</f>
        <v/>
      </c>
      <c r="AG55" s="355">
        <f>AG17-AF17</f>
        <v/>
      </c>
      <c r="AH55" s="355">
        <f>AH17-AG17</f>
        <v/>
      </c>
      <c r="AI55" s="355">
        <f>AI17-AH17</f>
        <v/>
      </c>
      <c r="AJ55" s="356">
        <f>SUM(E55:AI55)</f>
        <v/>
      </c>
    </row>
    <row r="56">
      <c r="A56" s="541" t="n">
        <v>7</v>
      </c>
      <c r="B56" s="541" t="inlineStr">
        <is>
          <t>3F</t>
        </is>
      </c>
      <c r="C56" s="541" t="inlineStr">
        <is>
          <t>SL No 540430038843 (EB Unit)</t>
        </is>
      </c>
      <c r="D56" s="501" t="n"/>
      <c r="E56" s="355">
        <f>E18-D18</f>
        <v/>
      </c>
      <c r="F56" s="355">
        <f>F18-E18</f>
        <v/>
      </c>
      <c r="G56" s="355">
        <f>G18-F18</f>
        <v/>
      </c>
      <c r="H56" s="355">
        <f>H18-G18</f>
        <v/>
      </c>
      <c r="I56" s="355">
        <f>I18-H18</f>
        <v/>
      </c>
      <c r="J56" s="355">
        <f>J18-I18</f>
        <v/>
      </c>
      <c r="K56" s="355">
        <f>K18-J18</f>
        <v/>
      </c>
      <c r="L56" s="355">
        <f>L18-K18</f>
        <v/>
      </c>
      <c r="M56" s="355">
        <f>M18-L18</f>
        <v/>
      </c>
      <c r="N56" s="355">
        <f>N18-M18</f>
        <v/>
      </c>
      <c r="O56" s="355">
        <f>O18-N18</f>
        <v/>
      </c>
      <c r="P56" s="355">
        <f>P18-O18</f>
        <v/>
      </c>
      <c r="Q56" s="355">
        <f>Q18-P18</f>
        <v/>
      </c>
      <c r="R56" s="355">
        <f>R18-Q18</f>
        <v/>
      </c>
      <c r="S56" s="355">
        <f>S18-R18</f>
        <v/>
      </c>
      <c r="T56" s="355">
        <f>T18-S18</f>
        <v/>
      </c>
      <c r="U56" s="355">
        <f>U18-T18</f>
        <v/>
      </c>
      <c r="V56" s="355">
        <f>V18-U18</f>
        <v/>
      </c>
      <c r="W56" s="355">
        <f>W18-V18</f>
        <v/>
      </c>
      <c r="X56" s="355">
        <f>X18-W18</f>
        <v/>
      </c>
      <c r="Y56" s="355">
        <f>Y18-X18</f>
        <v/>
      </c>
      <c r="Z56" s="355">
        <f>Z18-Y18</f>
        <v/>
      </c>
      <c r="AA56" s="355">
        <f>AA18-Z18</f>
        <v/>
      </c>
      <c r="AB56" s="355">
        <f>AB18-AA18</f>
        <v/>
      </c>
      <c r="AC56" s="355">
        <f>AC18-AB18</f>
        <v/>
      </c>
      <c r="AD56" s="355">
        <f>AD18-AC18</f>
        <v/>
      </c>
      <c r="AE56" s="355">
        <f>AE18-AD18</f>
        <v/>
      </c>
      <c r="AF56" s="355">
        <f>AF18-AE18</f>
        <v/>
      </c>
      <c r="AG56" s="355">
        <f>AG18-AF18</f>
        <v/>
      </c>
      <c r="AH56" s="355">
        <f>AH18-AG18</f>
        <v/>
      </c>
      <c r="AI56" s="355">
        <f>AI18-AH18</f>
        <v/>
      </c>
      <c r="AJ56" s="356">
        <f>SUM(E56:AI56)</f>
        <v/>
      </c>
    </row>
    <row r="57">
      <c r="A57" s="541" t="n"/>
      <c r="B57" s="541" t="n"/>
      <c r="C57" s="547" t="inlineStr">
        <is>
          <t>DG</t>
        </is>
      </c>
      <c r="D57" s="501" t="n"/>
      <c r="E57" s="355">
        <f>E19-D19</f>
        <v/>
      </c>
      <c r="F57" s="355">
        <f>F19-E19</f>
        <v/>
      </c>
      <c r="G57" s="355">
        <f>G19-F19</f>
        <v/>
      </c>
      <c r="H57" s="355">
        <f>H19-G19</f>
        <v/>
      </c>
      <c r="I57" s="355">
        <f>I19-H19</f>
        <v/>
      </c>
      <c r="J57" s="355">
        <f>J19-I19</f>
        <v/>
      </c>
      <c r="K57" s="355">
        <f>K19-J19</f>
        <v/>
      </c>
      <c r="L57" s="355">
        <f>L19-K19</f>
        <v/>
      </c>
      <c r="M57" s="355">
        <f>M19-L19</f>
        <v/>
      </c>
      <c r="N57" s="355">
        <f>N19-M19</f>
        <v/>
      </c>
      <c r="O57" s="355">
        <f>O19-N19</f>
        <v/>
      </c>
      <c r="P57" s="355">
        <f>P19-O19</f>
        <v/>
      </c>
      <c r="Q57" s="355">
        <f>Q19-P19</f>
        <v/>
      </c>
      <c r="R57" s="355">
        <f>R19-Q19</f>
        <v/>
      </c>
      <c r="S57" s="355">
        <f>S19-R19</f>
        <v/>
      </c>
      <c r="T57" s="355">
        <f>T19-S19</f>
        <v/>
      </c>
      <c r="U57" s="355">
        <f>U19-T19</f>
        <v/>
      </c>
      <c r="V57" s="355">
        <f>V19-U19</f>
        <v/>
      </c>
      <c r="W57" s="355">
        <f>W19-V19</f>
        <v/>
      </c>
      <c r="X57" s="355">
        <f>X19-W19</f>
        <v/>
      </c>
      <c r="Y57" s="355">
        <f>Y19-X19</f>
        <v/>
      </c>
      <c r="Z57" s="355">
        <f>Z19-Y19</f>
        <v/>
      </c>
      <c r="AA57" s="355">
        <f>AA19-Z19</f>
        <v/>
      </c>
      <c r="AB57" s="355">
        <f>AB19-AA19</f>
        <v/>
      </c>
      <c r="AC57" s="355">
        <f>AC19-AB19</f>
        <v/>
      </c>
      <c r="AD57" s="355">
        <f>AD19-AC19</f>
        <v/>
      </c>
      <c r="AE57" s="355">
        <f>AE19-AD19</f>
        <v/>
      </c>
      <c r="AF57" s="355">
        <f>AF19-AE19</f>
        <v/>
      </c>
      <c r="AG57" s="355">
        <f>AG19-AF19</f>
        <v/>
      </c>
      <c r="AH57" s="355">
        <f>AH19-AG19</f>
        <v/>
      </c>
      <c r="AI57" s="355">
        <f>AI19-AH19</f>
        <v/>
      </c>
      <c r="AJ57" s="356">
        <f>SUM(E57:AI57)</f>
        <v/>
      </c>
    </row>
    <row r="58">
      <c r="A58" s="541" t="n">
        <v>8</v>
      </c>
      <c r="B58" s="541" t="inlineStr">
        <is>
          <t>3F</t>
        </is>
      </c>
      <c r="C58" s="541" t="inlineStr">
        <is>
          <t>SL No 540430038848 (EB Unit)</t>
        </is>
      </c>
      <c r="D58" s="501" t="n"/>
      <c r="E58" s="355">
        <f>E20-D20</f>
        <v/>
      </c>
      <c r="F58" s="355">
        <f>F20-E20</f>
        <v/>
      </c>
      <c r="G58" s="355">
        <f>G20-F20</f>
        <v/>
      </c>
      <c r="H58" s="355">
        <f>H20-G20</f>
        <v/>
      </c>
      <c r="I58" s="355">
        <f>I20-H20</f>
        <v/>
      </c>
      <c r="J58" s="355">
        <f>J20-I20</f>
        <v/>
      </c>
      <c r="K58" s="355">
        <f>K20-J20</f>
        <v/>
      </c>
      <c r="L58" s="355">
        <f>L20-K20</f>
        <v/>
      </c>
      <c r="M58" s="355">
        <f>M20-L20</f>
        <v/>
      </c>
      <c r="N58" s="355">
        <f>N20-M20</f>
        <v/>
      </c>
      <c r="O58" s="355">
        <f>O20-N20</f>
        <v/>
      </c>
      <c r="P58" s="355">
        <f>P20-O20</f>
        <v/>
      </c>
      <c r="Q58" s="355">
        <f>Q20-P20</f>
        <v/>
      </c>
      <c r="R58" s="355">
        <f>R20-Q20</f>
        <v/>
      </c>
      <c r="S58" s="355">
        <f>S20-R20</f>
        <v/>
      </c>
      <c r="T58" s="355">
        <f>T20-S20</f>
        <v/>
      </c>
      <c r="U58" s="355">
        <f>U20-T20</f>
        <v/>
      </c>
      <c r="V58" s="355">
        <f>V20-U20</f>
        <v/>
      </c>
      <c r="W58" s="355">
        <f>W20-V20</f>
        <v/>
      </c>
      <c r="X58" s="355">
        <f>X20-W20</f>
        <v/>
      </c>
      <c r="Y58" s="355">
        <f>Y20-X20</f>
        <v/>
      </c>
      <c r="Z58" s="355">
        <f>Z20-Y20</f>
        <v/>
      </c>
      <c r="AA58" s="355">
        <f>AA20-Z20</f>
        <v/>
      </c>
      <c r="AB58" s="355">
        <f>AB20-AA20</f>
        <v/>
      </c>
      <c r="AC58" s="355">
        <f>AC20-AB20</f>
        <v/>
      </c>
      <c r="AD58" s="355">
        <f>AD20-AC20</f>
        <v/>
      </c>
      <c r="AE58" s="355">
        <f>AE20-AD20</f>
        <v/>
      </c>
      <c r="AF58" s="355">
        <f>AF20-AE20</f>
        <v/>
      </c>
      <c r="AG58" s="355">
        <f>AG20-AF20</f>
        <v/>
      </c>
      <c r="AH58" s="355">
        <f>AH20-AG20</f>
        <v/>
      </c>
      <c r="AI58" s="355">
        <f>AI20-AH20</f>
        <v/>
      </c>
      <c r="AJ58" s="356">
        <f>SUM(E58:AI58)</f>
        <v/>
      </c>
    </row>
    <row r="59">
      <c r="A59" s="541" t="n"/>
      <c r="B59" s="541" t="n"/>
      <c r="C59" s="547" t="inlineStr">
        <is>
          <t>DG</t>
        </is>
      </c>
      <c r="D59" s="501" t="n"/>
      <c r="E59" s="355">
        <f>E21-D21</f>
        <v/>
      </c>
      <c r="F59" s="355">
        <f>F21-E21</f>
        <v/>
      </c>
      <c r="G59" s="355">
        <f>G21-F21</f>
        <v/>
      </c>
      <c r="H59" s="355">
        <f>H21-G21</f>
        <v/>
      </c>
      <c r="I59" s="355">
        <f>I21-H21</f>
        <v/>
      </c>
      <c r="J59" s="355">
        <f>J21-I21</f>
        <v/>
      </c>
      <c r="K59" s="355">
        <f>K21-J21</f>
        <v/>
      </c>
      <c r="L59" s="355">
        <f>L21-K21</f>
        <v/>
      </c>
      <c r="M59" s="355">
        <f>M21-L21</f>
        <v/>
      </c>
      <c r="N59" s="355">
        <f>N21-M21</f>
        <v/>
      </c>
      <c r="O59" s="355">
        <f>O21-N21</f>
        <v/>
      </c>
      <c r="P59" s="355">
        <f>P21-O21</f>
        <v/>
      </c>
      <c r="Q59" s="355">
        <f>Q21-P21</f>
        <v/>
      </c>
      <c r="R59" s="355">
        <f>R21-Q21</f>
        <v/>
      </c>
      <c r="S59" s="355">
        <f>S21-R21</f>
        <v/>
      </c>
      <c r="T59" s="355">
        <f>T21-S21</f>
        <v/>
      </c>
      <c r="U59" s="355">
        <f>U21-T21</f>
        <v/>
      </c>
      <c r="V59" s="355">
        <f>V21-U21</f>
        <v/>
      </c>
      <c r="W59" s="355">
        <f>W21-V21</f>
        <v/>
      </c>
      <c r="X59" s="355">
        <f>X21-W21</f>
        <v/>
      </c>
      <c r="Y59" s="355">
        <f>Y21-X21</f>
        <v/>
      </c>
      <c r="Z59" s="355">
        <f>Z21-Y21</f>
        <v/>
      </c>
      <c r="AA59" s="355">
        <f>AA21-Z21</f>
        <v/>
      </c>
      <c r="AB59" s="355">
        <f>AB21-AA21</f>
        <v/>
      </c>
      <c r="AC59" s="355">
        <f>AC21-AB21</f>
        <v/>
      </c>
      <c r="AD59" s="355">
        <f>AD21-AC21</f>
        <v/>
      </c>
      <c r="AE59" s="355">
        <f>AE21-AD21</f>
        <v/>
      </c>
      <c r="AF59" s="355">
        <f>AF21-AE21</f>
        <v/>
      </c>
      <c r="AG59" s="355">
        <f>AG21-AF21</f>
        <v/>
      </c>
      <c r="AH59" s="355">
        <f>AH21-AG21</f>
        <v/>
      </c>
      <c r="AI59" s="355">
        <f>AI21-AH21</f>
        <v/>
      </c>
      <c r="AJ59" s="356">
        <f>SUM(E59:AI59)</f>
        <v/>
      </c>
    </row>
    <row r="60">
      <c r="A60" s="357" t="n"/>
      <c r="B60" s="357" t="n"/>
      <c r="C60" s="553" t="inlineStr">
        <is>
          <t>Total Power - EB Unit</t>
        </is>
      </c>
      <c r="D60" s="501" t="n"/>
      <c r="E60" s="358">
        <f>SUM(E58,E56,E54,E52,E50,E48,E46,E44)</f>
        <v/>
      </c>
      <c r="F60" s="358">
        <f>SUM(F58,F56,F54,F52,F50,F48,F46,F44)</f>
        <v/>
      </c>
      <c r="G60" s="358">
        <f>SUM(G58,G56,G54,G52,G50,G48,G46,G44)</f>
        <v/>
      </c>
      <c r="H60" s="358">
        <f>SUM(H58,H56,H54,H52,H50,H48,H46,H44)</f>
        <v/>
      </c>
      <c r="I60" s="358">
        <f>SUM(I58,I56,I54,I52,I50,I48,I46,I44)</f>
        <v/>
      </c>
      <c r="J60" s="358">
        <f>SUM(J58,J56,J54,J52,J50,J48,J46,J44)</f>
        <v/>
      </c>
      <c r="K60" s="358">
        <f>SUM(K58,K56,K54,K52,K50,K48,K46,K44)</f>
        <v/>
      </c>
      <c r="L60" s="358">
        <f>SUM(L58,L56,L54,L52,L50,L48,L46,L44)</f>
        <v/>
      </c>
      <c r="M60" s="358">
        <f>SUM(M58,M56,M54,M52,M50,M48,M46,M44)</f>
        <v/>
      </c>
      <c r="N60" s="358">
        <f>SUM(N58,N56,N54,N52,N50,N48,N46,N44)</f>
        <v/>
      </c>
      <c r="O60" s="358">
        <f>SUM(O58,O56,O54,O52,O50,O48,O46,O44)</f>
        <v/>
      </c>
      <c r="P60" s="358">
        <f>SUM(P58,P56,P54,P52,P50,P48,P46,P44)</f>
        <v/>
      </c>
      <c r="Q60" s="358">
        <f>SUM(Q58,Q56,Q54,Q52,Q50,Q48,Q46,Q44)</f>
        <v/>
      </c>
      <c r="R60" s="358">
        <f>SUM(R58,R56,R54,R52,R50,R48,R46,R44)</f>
        <v/>
      </c>
      <c r="S60" s="358">
        <f>SUM(S58,S56,S54,S52,S50,S48,S46,S44)</f>
        <v/>
      </c>
      <c r="T60" s="358">
        <f>SUM(T58,T56,T54,T52,T50,T48,T46,T44)</f>
        <v/>
      </c>
      <c r="U60" s="358">
        <f>SUM(U58,U56,U54,U52,U50,U48,U46,U44)</f>
        <v/>
      </c>
      <c r="V60" s="358">
        <f>SUM(V58,V56,V54,V52,V50,V48,V46,V44)</f>
        <v/>
      </c>
      <c r="W60" s="358">
        <f>SUM(W58,W56,W54,W52,W50,W48,W46,W44)</f>
        <v/>
      </c>
      <c r="X60" s="358">
        <f>SUM(X58,X56,X54,X52,X50,X48,X46,X44)</f>
        <v/>
      </c>
      <c r="Y60" s="358">
        <f>SUM(Y58,Y56,Y54,Y52,Y50,Y48,Y46,Y44)</f>
        <v/>
      </c>
      <c r="Z60" s="358">
        <f>SUM(Z58,Z56,Z54,Z52,Z50,Z48,Z46,Z44)</f>
        <v/>
      </c>
      <c r="AA60" s="358">
        <f>SUM(AA58,AA56,AA54,AA52,AA50,AA48,AA46,AA44)</f>
        <v/>
      </c>
      <c r="AB60" s="358">
        <f>SUM(AB58,AB56,AB54,AB52,AB50,AB48,AB46,AB44)</f>
        <v/>
      </c>
      <c r="AC60" s="358">
        <f>SUM(AC58,AC56,AC54,AC52,AC50,AC48,AC46,AC44)</f>
        <v/>
      </c>
      <c r="AD60" s="358">
        <f>SUM(AD58,AD56,AD54,AD52,AD50,AD48,AD46,AD44)</f>
        <v/>
      </c>
      <c r="AE60" s="358">
        <f>SUM(AE58,AE56,AE54,AE52,AE50,AE48,AE46,AE44)</f>
        <v/>
      </c>
      <c r="AF60" s="358">
        <f>SUM(AF58,AF56,AF54,AF52,AF50,AF48,AF46,AF44)</f>
        <v/>
      </c>
      <c r="AG60" s="358">
        <f>SUM(AG58,AG56,AG54,AG52,AG50,AG48,AG46,AG44)</f>
        <v/>
      </c>
      <c r="AH60" s="358">
        <f>SUM(AH58,AH56,AH54,AH52,AH50,AH48,AH46,AH44)</f>
        <v/>
      </c>
      <c r="AI60" s="358">
        <f>SUM(AI58,AI56,AI54,AI52,AI50,AI48,AI46,AI44)</f>
        <v/>
      </c>
      <c r="AJ60" s="359">
        <f>SUM(E60:AI60)</f>
        <v/>
      </c>
    </row>
    <row r="61">
      <c r="A61" s="357" t="n"/>
      <c r="B61" s="357" t="n"/>
      <c r="C61" s="360" t="inlineStr">
        <is>
          <t>Total Power- DG</t>
        </is>
      </c>
      <c r="D61" s="361" t="n"/>
      <c r="E61" s="358">
        <f>SUM(E45,E47,E49,E51,E53,E55,E57,E59)</f>
        <v/>
      </c>
      <c r="F61" s="358">
        <f>SUM(F45,F47,F49,F51,F53,F55,F57,F59)</f>
        <v/>
      </c>
      <c r="G61" s="358">
        <f>SUM(G45,G47,G49,G51,G53,G55,G57,G59)</f>
        <v/>
      </c>
      <c r="H61" s="358">
        <f>SUM(H45,H47,H49,H51,H53,H55,H57,H59)</f>
        <v/>
      </c>
      <c r="I61" s="358">
        <f>SUM(I45,I47,I49,I51,I53,I55,I57,I59)</f>
        <v/>
      </c>
      <c r="J61" s="358">
        <f>SUM(J45,J47,J49,J51,J53,J55,J57,J59)</f>
        <v/>
      </c>
      <c r="K61" s="358">
        <f>SUM(K45,K47,K49,K51,K53,K55,K57,K59)</f>
        <v/>
      </c>
      <c r="L61" s="358">
        <f>SUM(L45,L47,L49,L51,L53,L55,L57,L59)</f>
        <v/>
      </c>
      <c r="M61" s="358">
        <f>SUM(M45,M47,M49,M51,M53,M55,M57,M59)</f>
        <v/>
      </c>
      <c r="N61" s="358">
        <f>SUM(N45,N47,N49,N51,N53,N55,N57,N59)</f>
        <v/>
      </c>
      <c r="O61" s="358">
        <f>SUM(O45,O47,O49,O51,O53,O55,O57,O59)</f>
        <v/>
      </c>
      <c r="P61" s="358">
        <f>SUM(P45,P47,P49,P51,P53,P55,P57,P59)</f>
        <v/>
      </c>
      <c r="Q61" s="358">
        <f>SUM(Q45,Q47,Q49,Q51,Q53,Q55,Q57,Q59)</f>
        <v/>
      </c>
      <c r="R61" s="358">
        <f>SUM(R45,R47,R49,R51,R53,R55,R57,R59)</f>
        <v/>
      </c>
      <c r="S61" s="358">
        <f>SUM(S45,S47,S49,S51,S53,S55,S57,S59)</f>
        <v/>
      </c>
      <c r="T61" s="358">
        <f>SUM(T45,T47,T49,T51,T53,T55,T57,T59)</f>
        <v/>
      </c>
      <c r="U61" s="358">
        <f>SUM(U45,U47,U49,U51,U53,U55,U57,U59)</f>
        <v/>
      </c>
      <c r="V61" s="358">
        <f>SUM(V45,V47,V49,V51,V53,V55,V57,V59)</f>
        <v/>
      </c>
      <c r="W61" s="358">
        <f>SUM(W45,W47,W49,W51,W53,W55,W57,W59)</f>
        <v/>
      </c>
      <c r="X61" s="358">
        <f>SUM(X45,X47,X49,X51,X53,X55,X57,X59)</f>
        <v/>
      </c>
      <c r="Y61" s="358">
        <f>SUM(Y45,Y47,Y49,Y51,Y53,Y55,Y57,Y59)</f>
        <v/>
      </c>
      <c r="Z61" s="358">
        <f>SUM(Z45,Z47,Z49,Z51,Z53,Z55,Z57,Z59)</f>
        <v/>
      </c>
      <c r="AA61" s="358">
        <f>SUM(AA45,AA47,AA49,AA51,AA53,AA55,AA57,AA59)</f>
        <v/>
      </c>
      <c r="AB61" s="358">
        <f>SUM(AB45,AB47,AB49,AB51,AB53,AB55,AB57,AB59)</f>
        <v/>
      </c>
      <c r="AC61" s="358">
        <f>SUM(AC45,AC47,AC49,AC51,AC53,AC55,AC57,AC59)</f>
        <v/>
      </c>
      <c r="AD61" s="358">
        <f>SUM(AD45,AD47,AD49,AD51,AD53,AD55,AD57,AD59)</f>
        <v/>
      </c>
      <c r="AE61" s="358">
        <f>SUM(AE45,AE47,AE49,AE51,AE53,AE55,AE57,AE59)</f>
        <v/>
      </c>
      <c r="AF61" s="358">
        <f>SUM(AF45,AF47,AF49,AF51,AF53,AF55,AF57,AF59)</f>
        <v/>
      </c>
      <c r="AG61" s="358">
        <f>SUM(AG45,AG47,AG49,AG51,AG53,AG55,AG57,AG59)</f>
        <v/>
      </c>
      <c r="AH61" s="358">
        <f>SUM(AH45,AH47,AH49,AH51,AH53,AH55,AH57,AH59)</f>
        <v/>
      </c>
      <c r="AI61" s="358">
        <f>SUM(AI45,AI47,AI49,AI51,AI53,AI55,AI57,AI59)</f>
        <v/>
      </c>
      <c r="AJ61" s="359">
        <f>SUM(E61:AI61)</f>
        <v/>
      </c>
    </row>
    <row r="62">
      <c r="A62" s="555" t="n"/>
      <c r="B62" s="555" t="n"/>
      <c r="C62" s="545" t="inlineStr">
        <is>
          <t>Total Power Cumulative</t>
        </is>
      </c>
      <c r="D62" s="501" t="n"/>
      <c r="E62" s="363">
        <f>E60</f>
        <v/>
      </c>
      <c r="F62" s="363">
        <f>F60</f>
        <v/>
      </c>
      <c r="G62" s="363">
        <f>G60</f>
        <v/>
      </c>
      <c r="H62" s="363">
        <f>H60</f>
        <v/>
      </c>
      <c r="I62" s="363">
        <f>I60</f>
        <v/>
      </c>
      <c r="J62" s="363">
        <f>J60</f>
        <v/>
      </c>
      <c r="K62" s="363">
        <f>K60</f>
        <v/>
      </c>
      <c r="L62" s="363">
        <f>L60</f>
        <v/>
      </c>
      <c r="M62" s="363">
        <f>M60</f>
        <v/>
      </c>
      <c r="N62" s="363">
        <f>N60</f>
        <v/>
      </c>
      <c r="O62" s="363">
        <f>O60</f>
        <v/>
      </c>
      <c r="P62" s="363">
        <f>P60</f>
        <v/>
      </c>
      <c r="Q62" s="363">
        <f>Q60</f>
        <v/>
      </c>
      <c r="R62" s="363">
        <f>R60</f>
        <v/>
      </c>
      <c r="S62" s="363">
        <f>S60</f>
        <v/>
      </c>
      <c r="T62" s="363">
        <f>T60</f>
        <v/>
      </c>
      <c r="U62" s="363">
        <f>U60</f>
        <v/>
      </c>
      <c r="V62" s="363">
        <f>V60</f>
        <v/>
      </c>
      <c r="W62" s="363">
        <f>W60</f>
        <v/>
      </c>
      <c r="X62" s="363">
        <f>X60</f>
        <v/>
      </c>
      <c r="Y62" s="363">
        <f>Y60</f>
        <v/>
      </c>
      <c r="Z62" s="363">
        <f>Z60</f>
        <v/>
      </c>
      <c r="AA62" s="363">
        <f>AA60</f>
        <v/>
      </c>
      <c r="AB62" s="363">
        <f>AB60</f>
        <v/>
      </c>
      <c r="AC62" s="363">
        <f>AC60</f>
        <v/>
      </c>
      <c r="AD62" s="363">
        <f>AD60</f>
        <v/>
      </c>
      <c r="AE62" s="363">
        <f>AE60</f>
        <v/>
      </c>
      <c r="AF62" s="363">
        <f>AF60</f>
        <v/>
      </c>
      <c r="AG62" s="363">
        <f>AG60</f>
        <v/>
      </c>
      <c r="AH62" s="363">
        <f>AH60</f>
        <v/>
      </c>
      <c r="AI62" s="363">
        <f>AI60</f>
        <v/>
      </c>
      <c r="AJ62" s="363">
        <f>AJ60</f>
        <v/>
      </c>
    </row>
    <row r="63">
      <c r="A63" s="351" t="n"/>
      <c r="B63" s="560" t="n"/>
      <c r="C63" s="365" t="n"/>
      <c r="D63" s="366" t="n"/>
      <c r="E63" s="351" t="n"/>
      <c r="F63" s="351" t="n"/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  <c r="AJ63" s="351" t="n"/>
    </row>
    <row r="64">
      <c r="A64" s="367" t="inlineStr">
        <is>
          <t>S No</t>
        </is>
      </c>
      <c r="B64" s="367" t="inlineStr">
        <is>
          <t>Location</t>
        </is>
      </c>
      <c r="C64" s="552" t="inlineStr">
        <is>
          <t>Meter</t>
        </is>
      </c>
      <c r="D64" s="501" t="n"/>
      <c r="E64" s="367" t="n"/>
      <c r="F64" s="367" t="n"/>
      <c r="G64" s="367" t="n"/>
      <c r="H64" s="367" t="n"/>
      <c r="I64" s="367" t="n"/>
      <c r="J64" s="367" t="n"/>
      <c r="K64" s="367" t="n"/>
      <c r="L64" s="367" t="n"/>
      <c r="M64" s="367" t="n"/>
      <c r="N64" s="367" t="n"/>
      <c r="O64" s="367" t="n"/>
      <c r="P64" s="367" t="n"/>
      <c r="Q64" s="367" t="n"/>
      <c r="R64" s="367" t="n"/>
      <c r="S64" s="367" t="n"/>
      <c r="T64" s="367" t="n"/>
      <c r="U64" s="367" t="n"/>
      <c r="V64" s="367" t="n"/>
      <c r="W64" s="367" t="n"/>
      <c r="X64" s="367" t="n"/>
      <c r="Y64" s="367" t="n"/>
      <c r="Z64" s="367" t="n"/>
      <c r="AA64" s="367" t="n"/>
      <c r="AB64" s="367" t="n"/>
      <c r="AC64" s="367" t="n"/>
      <c r="AD64" s="367" t="n"/>
      <c r="AE64" s="367" t="n"/>
      <c r="AF64" s="367" t="n"/>
      <c r="AG64" s="367" t="n"/>
      <c r="AH64" s="367" t="n"/>
      <c r="AI64" s="367" t="n"/>
      <c r="AJ64" s="368" t="n"/>
    </row>
    <row r="65">
      <c r="A65" s="541" t="n">
        <v>1</v>
      </c>
      <c r="B65" s="541" t="inlineStr">
        <is>
          <t>3F</t>
        </is>
      </c>
      <c r="C65" s="558" t="inlineStr">
        <is>
          <t>AHU1</t>
        </is>
      </c>
      <c r="D65" s="501" t="n"/>
      <c r="E65" s="363">
        <f>E23-D23</f>
        <v/>
      </c>
      <c r="F65" s="363">
        <f>F23-E23</f>
        <v/>
      </c>
      <c r="G65" s="363">
        <f>G23-F23</f>
        <v/>
      </c>
      <c r="H65" s="363">
        <f>H23-G23</f>
        <v/>
      </c>
      <c r="I65" s="363">
        <f>I23-H23</f>
        <v/>
      </c>
      <c r="J65" s="363">
        <f>J23-I23</f>
        <v/>
      </c>
      <c r="K65" s="363">
        <f>K23-J23</f>
        <v/>
      </c>
      <c r="L65" s="363">
        <f>L23-K23</f>
        <v/>
      </c>
      <c r="M65" s="363">
        <f>M23-L23</f>
        <v/>
      </c>
      <c r="N65" s="363">
        <f>N23-M23</f>
        <v/>
      </c>
      <c r="O65" s="363">
        <f>O23-N23</f>
        <v/>
      </c>
      <c r="P65" s="363">
        <f>P23-O23</f>
        <v/>
      </c>
      <c r="Q65" s="363">
        <f>Q23-P23</f>
        <v/>
      </c>
      <c r="R65" s="363">
        <f>R23-Q23</f>
        <v/>
      </c>
      <c r="S65" s="363">
        <f>S23-R23</f>
        <v/>
      </c>
      <c r="T65" s="363">
        <f>T23-S23</f>
        <v/>
      </c>
      <c r="U65" s="363">
        <f>U23-T23</f>
        <v/>
      </c>
      <c r="V65" s="363">
        <f>V23-U23</f>
        <v/>
      </c>
      <c r="W65" s="363">
        <f>W23-V23</f>
        <v/>
      </c>
      <c r="X65" s="363">
        <f>X23-W23</f>
        <v/>
      </c>
      <c r="Y65" s="363">
        <f>Y23-X23</f>
        <v/>
      </c>
      <c r="Z65" s="363">
        <f>Z23-Y23</f>
        <v/>
      </c>
      <c r="AA65" s="363">
        <f>AA23-Z23</f>
        <v/>
      </c>
      <c r="AB65" s="363">
        <f>AB23-AA23</f>
        <v/>
      </c>
      <c r="AC65" s="363">
        <f>AC23-AB23</f>
        <v/>
      </c>
      <c r="AD65" s="363">
        <f>AD23-AC23</f>
        <v/>
      </c>
      <c r="AE65" s="363">
        <f>AE23-AD23</f>
        <v/>
      </c>
      <c r="AF65" s="363">
        <f>AF23-AE23</f>
        <v/>
      </c>
      <c r="AG65" s="363">
        <f>AG23-AF23</f>
        <v/>
      </c>
      <c r="AH65" s="363">
        <f>AH23-AG23</f>
        <v/>
      </c>
      <c r="AI65" s="363">
        <f>AI23-AH23</f>
        <v/>
      </c>
      <c r="AJ65" s="363">
        <f>SUM(E65:AI65)</f>
        <v/>
      </c>
    </row>
    <row r="66">
      <c r="A66" s="541" t="n"/>
      <c r="B66" s="541" t="n"/>
      <c r="C66" s="546" t="inlineStr">
        <is>
          <t>DG</t>
        </is>
      </c>
      <c r="D66" s="501" t="n"/>
      <c r="E66" s="363">
        <f>E24-D24</f>
        <v/>
      </c>
      <c r="F66" s="363">
        <f>F24-E24</f>
        <v/>
      </c>
      <c r="G66" s="363">
        <f>G24-F24</f>
        <v/>
      </c>
      <c r="H66" s="363">
        <f>H24-G24</f>
        <v/>
      </c>
      <c r="I66" s="363">
        <f>I24-H24</f>
        <v/>
      </c>
      <c r="J66" s="363">
        <f>J24-I24</f>
        <v/>
      </c>
      <c r="K66" s="363">
        <f>K24-J24</f>
        <v/>
      </c>
      <c r="L66" s="363">
        <f>L24-K24</f>
        <v/>
      </c>
      <c r="M66" s="363">
        <f>M24-L24</f>
        <v/>
      </c>
      <c r="N66" s="363">
        <f>N24-M24</f>
        <v/>
      </c>
      <c r="O66" s="363">
        <f>O24-N24</f>
        <v/>
      </c>
      <c r="P66" s="363">
        <f>P24-O24</f>
        <v/>
      </c>
      <c r="Q66" s="363">
        <f>Q24-P24</f>
        <v/>
      </c>
      <c r="R66" s="363">
        <f>R24-Q24</f>
        <v/>
      </c>
      <c r="S66" s="363">
        <f>S24-R24</f>
        <v/>
      </c>
      <c r="T66" s="363">
        <f>T24-S24</f>
        <v/>
      </c>
      <c r="U66" s="363">
        <f>U24-T24</f>
        <v/>
      </c>
      <c r="V66" s="363">
        <f>V24-U24</f>
        <v/>
      </c>
      <c r="W66" s="363">
        <f>W24-V24</f>
        <v/>
      </c>
      <c r="X66" s="363">
        <f>X24-W24</f>
        <v/>
      </c>
      <c r="Y66" s="363">
        <f>Y24-X24</f>
        <v/>
      </c>
      <c r="Z66" s="363">
        <f>Z24-Y24</f>
        <v/>
      </c>
      <c r="AA66" s="363">
        <f>AA24-Z24</f>
        <v/>
      </c>
      <c r="AB66" s="363">
        <f>AB24-AA24</f>
        <v/>
      </c>
      <c r="AC66" s="363">
        <f>AC24-AB24</f>
        <v/>
      </c>
      <c r="AD66" s="363">
        <f>AD24-AC24</f>
        <v/>
      </c>
      <c r="AE66" s="363">
        <f>AE24-AD24</f>
        <v/>
      </c>
      <c r="AF66" s="363">
        <f>AF24-AE24</f>
        <v/>
      </c>
      <c r="AG66" s="363">
        <f>AG24-AF24</f>
        <v/>
      </c>
      <c r="AH66" s="363">
        <f>AH24-AG24</f>
        <v/>
      </c>
      <c r="AI66" s="363">
        <f>AI24-AH24</f>
        <v/>
      </c>
      <c r="AJ66" s="363">
        <f>SUM(E66:AI66)</f>
        <v/>
      </c>
    </row>
    <row r="67">
      <c r="A67" s="541" t="n">
        <v>2</v>
      </c>
      <c r="B67" s="541" t="inlineStr">
        <is>
          <t>3F</t>
        </is>
      </c>
      <c r="C67" s="558" t="inlineStr">
        <is>
          <t>AHU2</t>
        </is>
      </c>
      <c r="D67" s="501" t="n"/>
      <c r="E67" s="363">
        <f>E25-D25</f>
        <v/>
      </c>
      <c r="F67" s="363">
        <f>F25-E25</f>
        <v/>
      </c>
      <c r="G67" s="363">
        <f>G25-F25</f>
        <v/>
      </c>
      <c r="H67" s="363">
        <f>H25-G25</f>
        <v/>
      </c>
      <c r="I67" s="363">
        <f>I25-H25</f>
        <v/>
      </c>
      <c r="J67" s="363">
        <f>J25-I25</f>
        <v/>
      </c>
      <c r="K67" s="363">
        <f>K25-J25</f>
        <v/>
      </c>
      <c r="L67" s="363">
        <f>L25-K25</f>
        <v/>
      </c>
      <c r="M67" s="363">
        <f>M25-L25</f>
        <v/>
      </c>
      <c r="N67" s="363">
        <f>N25-M25</f>
        <v/>
      </c>
      <c r="O67" s="363">
        <f>O25-N25</f>
        <v/>
      </c>
      <c r="P67" s="363">
        <f>P25-O25</f>
        <v/>
      </c>
      <c r="Q67" s="363">
        <f>Q25-P25</f>
        <v/>
      </c>
      <c r="R67" s="363">
        <f>R25-Q25</f>
        <v/>
      </c>
      <c r="S67" s="363">
        <f>S25-R25</f>
        <v/>
      </c>
      <c r="T67" s="363">
        <f>T25-S25</f>
        <v/>
      </c>
      <c r="U67" s="363">
        <f>U25-T25</f>
        <v/>
      </c>
      <c r="V67" s="363">
        <f>V25-U25</f>
        <v/>
      </c>
      <c r="W67" s="363">
        <f>W25-V25</f>
        <v/>
      </c>
      <c r="X67" s="363">
        <f>X25-W25</f>
        <v/>
      </c>
      <c r="Y67" s="363">
        <f>Y25-X25</f>
        <v/>
      </c>
      <c r="Z67" s="363">
        <f>Z25-Y25</f>
        <v/>
      </c>
      <c r="AA67" s="363">
        <f>AA25-Z25</f>
        <v/>
      </c>
      <c r="AB67" s="363">
        <f>AB25-AA25</f>
        <v/>
      </c>
      <c r="AC67" s="363">
        <f>AC25-AB25</f>
        <v/>
      </c>
      <c r="AD67" s="363">
        <f>AD25-AC25</f>
        <v/>
      </c>
      <c r="AE67" s="363">
        <f>AE25-AD25</f>
        <v/>
      </c>
      <c r="AF67" s="363">
        <f>AF25-AE25</f>
        <v/>
      </c>
      <c r="AG67" s="363">
        <f>AG25-AF25</f>
        <v/>
      </c>
      <c r="AH67" s="363">
        <f>AH25-AG25</f>
        <v/>
      </c>
      <c r="AI67" s="363">
        <f>AI25-AH25</f>
        <v/>
      </c>
      <c r="AJ67" s="363">
        <f>SUM(E67:AI67)</f>
        <v/>
      </c>
    </row>
    <row r="68">
      <c r="A68" s="541" t="n"/>
      <c r="B68" s="541" t="n"/>
      <c r="C68" s="546" t="inlineStr">
        <is>
          <t>DG</t>
        </is>
      </c>
      <c r="D68" s="501" t="n"/>
      <c r="E68" s="363">
        <f>E26-D26</f>
        <v/>
      </c>
      <c r="F68" s="363">
        <f>F26-E26</f>
        <v/>
      </c>
      <c r="G68" s="363">
        <f>G26-F26</f>
        <v/>
      </c>
      <c r="H68" s="363">
        <f>H26-G26</f>
        <v/>
      </c>
      <c r="I68" s="363">
        <f>I26-H26</f>
        <v/>
      </c>
      <c r="J68" s="363">
        <f>J26-I26</f>
        <v/>
      </c>
      <c r="K68" s="363">
        <f>K26-J26</f>
        <v/>
      </c>
      <c r="L68" s="363">
        <f>L26-K26</f>
        <v/>
      </c>
      <c r="M68" s="363">
        <f>M26-L26</f>
        <v/>
      </c>
      <c r="N68" s="363">
        <f>N26-M26</f>
        <v/>
      </c>
      <c r="O68" s="363">
        <f>O26-N26</f>
        <v/>
      </c>
      <c r="P68" s="363">
        <f>P26-O26</f>
        <v/>
      </c>
      <c r="Q68" s="363">
        <f>Q26-P26</f>
        <v/>
      </c>
      <c r="R68" s="363">
        <f>R26-Q26</f>
        <v/>
      </c>
      <c r="S68" s="363">
        <f>S26-R26</f>
        <v/>
      </c>
      <c r="T68" s="363">
        <f>T26-S26</f>
        <v/>
      </c>
      <c r="U68" s="363">
        <f>U26-T26</f>
        <v/>
      </c>
      <c r="V68" s="363">
        <f>V26-U26</f>
        <v/>
      </c>
      <c r="W68" s="363">
        <f>W26-V26</f>
        <v/>
      </c>
      <c r="X68" s="363">
        <f>X26-W26</f>
        <v/>
      </c>
      <c r="Y68" s="363">
        <f>Y26-X26</f>
        <v/>
      </c>
      <c r="Z68" s="363">
        <f>Z26-Y26</f>
        <v/>
      </c>
      <c r="AA68" s="363">
        <f>AA26-Z26</f>
        <v/>
      </c>
      <c r="AB68" s="363">
        <f>AB26-AA26</f>
        <v/>
      </c>
      <c r="AC68" s="363">
        <f>AC26-AB26</f>
        <v/>
      </c>
      <c r="AD68" s="363">
        <f>AD26-AC26</f>
        <v/>
      </c>
      <c r="AE68" s="363">
        <f>AE26-AD26</f>
        <v/>
      </c>
      <c r="AF68" s="363">
        <f>AF26-AE26</f>
        <v/>
      </c>
      <c r="AG68" s="363">
        <f>AG26-AF26</f>
        <v/>
      </c>
      <c r="AH68" s="363">
        <f>AH26-AG26</f>
        <v/>
      </c>
      <c r="AI68" s="363">
        <f>AI26-AH26</f>
        <v/>
      </c>
      <c r="AJ68" s="363">
        <f>SUM(E68:AI68)</f>
        <v/>
      </c>
      <c r="AK68" s="115" t="inlineStr">
        <is>
          <t>EB</t>
        </is>
      </c>
      <c r="AL68" s="116">
        <f>AJ60</f>
        <v/>
      </c>
    </row>
    <row r="69">
      <c r="A69" s="541" t="n">
        <v>3</v>
      </c>
      <c r="B69" s="541" t="inlineStr">
        <is>
          <t>3F</t>
        </is>
      </c>
      <c r="C69" s="558" t="inlineStr">
        <is>
          <t>AHU3</t>
        </is>
      </c>
      <c r="D69" s="501" t="n"/>
      <c r="E69" s="363">
        <f>E27-D27</f>
        <v/>
      </c>
      <c r="F69" s="363">
        <f>F27-E27</f>
        <v/>
      </c>
      <c r="G69" s="363">
        <f>G27-F27</f>
        <v/>
      </c>
      <c r="H69" s="363">
        <f>H27-G27</f>
        <v/>
      </c>
      <c r="I69" s="363">
        <f>I27-H27</f>
        <v/>
      </c>
      <c r="J69" s="363">
        <f>J27-I27</f>
        <v/>
      </c>
      <c r="K69" s="363">
        <f>K27-J27</f>
        <v/>
      </c>
      <c r="L69" s="363">
        <f>L27-K27</f>
        <v/>
      </c>
      <c r="M69" s="363">
        <f>M27-L27</f>
        <v/>
      </c>
      <c r="N69" s="363">
        <f>N27-M27</f>
        <v/>
      </c>
      <c r="O69" s="363">
        <f>O27-N27</f>
        <v/>
      </c>
      <c r="P69" s="363">
        <f>P27-O27</f>
        <v/>
      </c>
      <c r="Q69" s="363">
        <f>Q27-P27</f>
        <v/>
      </c>
      <c r="R69" s="363">
        <f>R27-Q27</f>
        <v/>
      </c>
      <c r="S69" s="363">
        <f>S27-R27</f>
        <v/>
      </c>
      <c r="T69" s="363">
        <f>T27-S27</f>
        <v/>
      </c>
      <c r="U69" s="363">
        <f>U27-T27</f>
        <v/>
      </c>
      <c r="V69" s="363">
        <f>V27-U27</f>
        <v/>
      </c>
      <c r="W69" s="363">
        <f>W27-V27</f>
        <v/>
      </c>
      <c r="X69" s="363">
        <f>X27-W27</f>
        <v/>
      </c>
      <c r="Y69" s="363">
        <f>Y27-X27</f>
        <v/>
      </c>
      <c r="Z69" s="363">
        <f>Z27-Y27</f>
        <v/>
      </c>
      <c r="AA69" s="363">
        <f>AA27-Z27</f>
        <v/>
      </c>
      <c r="AB69" s="363">
        <f>AB27-AA27</f>
        <v/>
      </c>
      <c r="AC69" s="363">
        <f>AC27-AB27</f>
        <v/>
      </c>
      <c r="AD69" s="363">
        <f>AD27-AC27</f>
        <v/>
      </c>
      <c r="AE69" s="363">
        <f>AE27-AD27</f>
        <v/>
      </c>
      <c r="AF69" s="363">
        <f>AF27-AE27</f>
        <v/>
      </c>
      <c r="AG69" s="363">
        <f>AG27-AF27</f>
        <v/>
      </c>
      <c r="AH69" s="363">
        <f>AH27-AG27</f>
        <v/>
      </c>
      <c r="AI69" s="363">
        <f>AI27-AH27</f>
        <v/>
      </c>
      <c r="AJ69" s="363">
        <f>SUM(E69:AI69)</f>
        <v/>
      </c>
      <c r="AK69" s="115" t="inlineStr">
        <is>
          <t>AHU</t>
        </is>
      </c>
      <c r="AL69" s="116">
        <f>AJ73</f>
        <v/>
      </c>
    </row>
    <row r="70">
      <c r="A70" s="541" t="n"/>
      <c r="B70" s="541" t="n"/>
      <c r="C70" s="546" t="inlineStr">
        <is>
          <t>DG</t>
        </is>
      </c>
      <c r="D70" s="501" t="n"/>
      <c r="E70" s="363">
        <f>E28-D28</f>
        <v/>
      </c>
      <c r="F70" s="363">
        <f>F28-E28</f>
        <v/>
      </c>
      <c r="G70" s="363">
        <f>G28-F28</f>
        <v/>
      </c>
      <c r="H70" s="363">
        <f>H28-G28</f>
        <v/>
      </c>
      <c r="I70" s="363">
        <f>I28-H28</f>
        <v/>
      </c>
      <c r="J70" s="363">
        <f>J28-I28</f>
        <v/>
      </c>
      <c r="K70" s="363">
        <f>K28-J28</f>
        <v/>
      </c>
      <c r="L70" s="363">
        <f>L28-K28</f>
        <v/>
      </c>
      <c r="M70" s="363">
        <f>M28-L28</f>
        <v/>
      </c>
      <c r="N70" s="363">
        <f>N28-M28</f>
        <v/>
      </c>
      <c r="O70" s="363">
        <f>O28-N28</f>
        <v/>
      </c>
      <c r="P70" s="363">
        <f>P28-O28</f>
        <v/>
      </c>
      <c r="Q70" s="363">
        <f>Q28-P28</f>
        <v/>
      </c>
      <c r="R70" s="363">
        <f>R28-Q28</f>
        <v/>
      </c>
      <c r="S70" s="363">
        <f>S28-R28</f>
        <v/>
      </c>
      <c r="T70" s="363">
        <f>T28-S28</f>
        <v/>
      </c>
      <c r="U70" s="363">
        <f>U28-T28</f>
        <v/>
      </c>
      <c r="V70" s="363">
        <f>V28-U28</f>
        <v/>
      </c>
      <c r="W70" s="363">
        <f>W28-V28</f>
        <v/>
      </c>
      <c r="X70" s="363">
        <f>X28-W28</f>
        <v/>
      </c>
      <c r="Y70" s="363">
        <f>Y28-X28</f>
        <v/>
      </c>
      <c r="Z70" s="363">
        <f>Z28-Y28</f>
        <v/>
      </c>
      <c r="AA70" s="363">
        <f>AA28-Z28</f>
        <v/>
      </c>
      <c r="AB70" s="363">
        <f>AB28-AA28</f>
        <v/>
      </c>
      <c r="AC70" s="363">
        <f>AC28-AB28</f>
        <v/>
      </c>
      <c r="AD70" s="363">
        <f>AD28-AC28</f>
        <v/>
      </c>
      <c r="AE70" s="363">
        <f>AE28-AD28</f>
        <v/>
      </c>
      <c r="AF70" s="363">
        <f>AF28-AE28</f>
        <v/>
      </c>
      <c r="AG70" s="363">
        <f>AG28-AF28</f>
        <v/>
      </c>
      <c r="AH70" s="363">
        <f>AH28-AG28</f>
        <v/>
      </c>
      <c r="AI70" s="363">
        <f>AI28-AH28</f>
        <v/>
      </c>
      <c r="AJ70" s="363">
        <f>SUM(E70:AI70)</f>
        <v/>
      </c>
      <c r="AK70" s="115" t="inlineStr">
        <is>
          <t>BTU</t>
        </is>
      </c>
      <c r="AL70" s="116">
        <f>AJ79*40%</f>
        <v/>
      </c>
    </row>
    <row r="71">
      <c r="A71" s="541" t="n">
        <v>4</v>
      </c>
      <c r="B71" s="541" t="inlineStr">
        <is>
          <t>3F</t>
        </is>
      </c>
      <c r="C71" s="558" t="inlineStr">
        <is>
          <t>AHU4</t>
        </is>
      </c>
      <c r="D71" s="501" t="n"/>
      <c r="E71" s="363">
        <f>E29-D29</f>
        <v/>
      </c>
      <c r="F71" s="363">
        <f>F29-E29</f>
        <v/>
      </c>
      <c r="G71" s="363">
        <f>G29-F29</f>
        <v/>
      </c>
      <c r="H71" s="363">
        <f>H29-G29</f>
        <v/>
      </c>
      <c r="I71" s="363">
        <f>I29-H29</f>
        <v/>
      </c>
      <c r="J71" s="363">
        <f>J29-I29</f>
        <v/>
      </c>
      <c r="K71" s="363">
        <f>K29-J29</f>
        <v/>
      </c>
      <c r="L71" s="363">
        <f>L29-K29</f>
        <v/>
      </c>
      <c r="M71" s="363">
        <f>M29-L29</f>
        <v/>
      </c>
      <c r="N71" s="363">
        <f>N29-M29</f>
        <v/>
      </c>
      <c r="O71" s="363">
        <f>O29-N29</f>
        <v/>
      </c>
      <c r="P71" s="363">
        <f>P29-O29</f>
        <v/>
      </c>
      <c r="Q71" s="363">
        <f>Q29-P29</f>
        <v/>
      </c>
      <c r="R71" s="363">
        <f>R29-Q29</f>
        <v/>
      </c>
      <c r="S71" s="363">
        <f>S29-R29</f>
        <v/>
      </c>
      <c r="T71" s="363">
        <f>T29-S29</f>
        <v/>
      </c>
      <c r="U71" s="363">
        <f>U29-T29</f>
        <v/>
      </c>
      <c r="V71" s="363">
        <f>V29-U29</f>
        <v/>
      </c>
      <c r="W71" s="363">
        <f>W29-V29</f>
        <v/>
      </c>
      <c r="X71" s="363">
        <f>X29-W29</f>
        <v/>
      </c>
      <c r="Y71" s="363">
        <f>Y29-X29</f>
        <v/>
      </c>
      <c r="Z71" s="363">
        <f>Z29-Y29</f>
        <v/>
      </c>
      <c r="AA71" s="363">
        <f>AA29-Z29</f>
        <v/>
      </c>
      <c r="AB71" s="363">
        <f>AB29-AA29</f>
        <v/>
      </c>
      <c r="AC71" s="363">
        <f>AC29-AB29</f>
        <v/>
      </c>
      <c r="AD71" s="363">
        <f>AD29-AC29</f>
        <v/>
      </c>
      <c r="AE71" s="363">
        <f>AE29-AD29</f>
        <v/>
      </c>
      <c r="AF71" s="363">
        <f>AF29-AE29</f>
        <v/>
      </c>
      <c r="AG71" s="363">
        <f>AG29-AF29</f>
        <v/>
      </c>
      <c r="AH71" s="363">
        <f>AH29-AG29</f>
        <v/>
      </c>
      <c r="AI71" s="363">
        <f>AI29-AH29</f>
        <v/>
      </c>
      <c r="AJ71" s="363">
        <f>SUM(E71:AI71)</f>
        <v/>
      </c>
      <c r="AK71" s="117" t="inlineStr">
        <is>
          <t>DG</t>
        </is>
      </c>
      <c r="AL71" s="118">
        <f>AJ74+AJ61</f>
        <v/>
      </c>
    </row>
    <row r="72">
      <c r="A72" s="541" t="n"/>
      <c r="B72" s="541" t="n"/>
      <c r="C72" s="546" t="inlineStr">
        <is>
          <t>DG</t>
        </is>
      </c>
      <c r="D72" s="501" t="n"/>
      <c r="E72" s="363">
        <f>E30-D30</f>
        <v/>
      </c>
      <c r="F72" s="363">
        <f>F30-E30</f>
        <v/>
      </c>
      <c r="G72" s="363">
        <f>G30-F30</f>
        <v/>
      </c>
      <c r="H72" s="363">
        <f>H30-G30</f>
        <v/>
      </c>
      <c r="I72" s="363">
        <f>I30-H30</f>
        <v/>
      </c>
      <c r="J72" s="363">
        <f>J30-I30</f>
        <v/>
      </c>
      <c r="K72" s="363">
        <f>K30-J30</f>
        <v/>
      </c>
      <c r="L72" s="363">
        <f>L30-K30</f>
        <v/>
      </c>
      <c r="M72" s="363">
        <f>M30-L30</f>
        <v/>
      </c>
      <c r="N72" s="363">
        <f>N30-M30</f>
        <v/>
      </c>
      <c r="O72" s="363">
        <f>O30-N30</f>
        <v/>
      </c>
      <c r="P72" s="363">
        <f>P30-O30</f>
        <v/>
      </c>
      <c r="Q72" s="363">
        <f>Q30-P30</f>
        <v/>
      </c>
      <c r="R72" s="363">
        <f>R30-Q30</f>
        <v/>
      </c>
      <c r="S72" s="363">
        <f>S30-R30</f>
        <v/>
      </c>
      <c r="T72" s="363">
        <f>T30-S30</f>
        <v/>
      </c>
      <c r="U72" s="363">
        <f>U30-T30</f>
        <v/>
      </c>
      <c r="V72" s="363">
        <f>V30-U30</f>
        <v/>
      </c>
      <c r="W72" s="363">
        <f>W30-V30</f>
        <v/>
      </c>
      <c r="X72" s="363">
        <f>X30-W30</f>
        <v/>
      </c>
      <c r="Y72" s="363">
        <f>Y30-X30</f>
        <v/>
      </c>
      <c r="Z72" s="363">
        <f>Z30-Y30</f>
        <v/>
      </c>
      <c r="AA72" s="363">
        <f>AA30-Z30</f>
        <v/>
      </c>
      <c r="AB72" s="363">
        <f>AB30-AA30</f>
        <v/>
      </c>
      <c r="AC72" s="363">
        <f>AC30-AB30</f>
        <v/>
      </c>
      <c r="AD72" s="363">
        <f>AD30-AC30</f>
        <v/>
      </c>
      <c r="AE72" s="363">
        <f>AE30-AD30</f>
        <v/>
      </c>
      <c r="AF72" s="363">
        <f>AF30-AE30</f>
        <v/>
      </c>
      <c r="AG72" s="363">
        <f>AG30-AF30</f>
        <v/>
      </c>
      <c r="AH72" s="363">
        <f>AH30-AG30</f>
        <v/>
      </c>
      <c r="AI72" s="363">
        <f>AI30-AH30</f>
        <v/>
      </c>
      <c r="AJ72" s="363">
        <f>SUM(E72:AI72)</f>
        <v/>
      </c>
    </row>
    <row r="73">
      <c r="A73" s="357" t="n"/>
      <c r="B73" s="357" t="n"/>
      <c r="C73" s="553" t="inlineStr">
        <is>
          <t>Total AHU Power Consumption</t>
        </is>
      </c>
      <c r="D73" s="501" t="n"/>
      <c r="E73" s="358">
        <f>SUM(E65,E67,E69,E71)</f>
        <v/>
      </c>
      <c r="F73" s="358">
        <f>SUM(F65,F67,F69,F71)</f>
        <v/>
      </c>
      <c r="G73" s="358">
        <f>SUM(G65,G67,G69,G71)</f>
        <v/>
      </c>
      <c r="H73" s="358">
        <f>SUM(H65,H67,H69,H71)</f>
        <v/>
      </c>
      <c r="I73" s="358">
        <f>SUM(I65,I67,I69,I71)</f>
        <v/>
      </c>
      <c r="J73" s="358">
        <f>SUM(J65,J67,J69,J71)</f>
        <v/>
      </c>
      <c r="K73" s="358">
        <f>SUM(K65,K67,K69,K71)</f>
        <v/>
      </c>
      <c r="L73" s="358">
        <f>SUM(L65,L67,L69,L71)</f>
        <v/>
      </c>
      <c r="M73" s="358">
        <f>SUM(M65,M67,M69,M71)</f>
        <v/>
      </c>
      <c r="N73" s="358">
        <f>SUM(N65,N67,N69,N71)</f>
        <v/>
      </c>
      <c r="O73" s="358">
        <f>SUM(O65,O67,O69,O71)</f>
        <v/>
      </c>
      <c r="P73" s="358">
        <f>SUM(P65,P67,P69,P71)</f>
        <v/>
      </c>
      <c r="Q73" s="358">
        <f>SUM(Q65,Q67,Q69,Q71)</f>
        <v/>
      </c>
      <c r="R73" s="358">
        <f>SUM(R65,R67,R69,R71)</f>
        <v/>
      </c>
      <c r="S73" s="358">
        <f>SUM(S65,S67,S69,S71)</f>
        <v/>
      </c>
      <c r="T73" s="358">
        <f>SUM(T65,T67,T69,T71)</f>
        <v/>
      </c>
      <c r="U73" s="358">
        <f>SUM(U65,U67,U69,U71)</f>
        <v/>
      </c>
      <c r="V73" s="358">
        <f>SUM(V65,V67,V69,V71)</f>
        <v/>
      </c>
      <c r="W73" s="358">
        <f>SUM(W65,W67,W69,W71)</f>
        <v/>
      </c>
      <c r="X73" s="358">
        <f>SUM(X65,X67,X69,X71)</f>
        <v/>
      </c>
      <c r="Y73" s="358">
        <f>SUM(Y65,Y67,Y69,Y71)</f>
        <v/>
      </c>
      <c r="Z73" s="358">
        <f>SUM(Z65,Z67,Z69,Z71)</f>
        <v/>
      </c>
      <c r="AA73" s="358">
        <f>SUM(AA65,AA67,AA69,AA71)</f>
        <v/>
      </c>
      <c r="AB73" s="358">
        <f>SUM(AB65,AB67,AB69,AB71)</f>
        <v/>
      </c>
      <c r="AC73" s="358">
        <f>SUM(AC65,AC67,AC69,AC71)</f>
        <v/>
      </c>
      <c r="AD73" s="358">
        <f>SUM(AD65,AD67,AD69,AD71)</f>
        <v/>
      </c>
      <c r="AE73" s="358">
        <f>SUM(AE65,AE67,AE69,AE71)</f>
        <v/>
      </c>
      <c r="AF73" s="358">
        <f>SUM(AF65,AF67,AF69,AF71)</f>
        <v/>
      </c>
      <c r="AG73" s="358">
        <f>SUM(AG65,AG67,AG69,AG71)</f>
        <v/>
      </c>
      <c r="AH73" s="358">
        <f>SUM(AH65,AH67,AH69,AH71)</f>
        <v/>
      </c>
      <c r="AI73" s="358">
        <f>SUM(AI65,AI67,AI69,AI71)</f>
        <v/>
      </c>
      <c r="AJ73" s="359">
        <f>SUM(E73:AI73)</f>
        <v/>
      </c>
    </row>
    <row r="74">
      <c r="A74" s="357" t="n"/>
      <c r="B74" s="357" t="n"/>
      <c r="C74" s="549" t="inlineStr">
        <is>
          <t>Total AHU DG consumption</t>
        </is>
      </c>
      <c r="D74" s="501" t="n"/>
      <c r="E74" s="358">
        <f>SUM(E66,E68,E70,E72)</f>
        <v/>
      </c>
      <c r="F74" s="358">
        <f>SUM(F66,F68,F70,F72)</f>
        <v/>
      </c>
      <c r="G74" s="358">
        <f>SUM(G66,G68,G70,G72)</f>
        <v/>
      </c>
      <c r="H74" s="358">
        <f>SUM(H66,H68,H70,H72)</f>
        <v/>
      </c>
      <c r="I74" s="358">
        <f>SUM(I66,I68,I70,I72)</f>
        <v/>
      </c>
      <c r="J74" s="358">
        <f>SUM(J66,J68,J70,J72)</f>
        <v/>
      </c>
      <c r="K74" s="358">
        <f>SUM(K66,K68,K70,K72)</f>
        <v/>
      </c>
      <c r="L74" s="358">
        <f>SUM(L66,L68,L70,L72)</f>
        <v/>
      </c>
      <c r="M74" s="358">
        <f>SUM(M66,M68,M70,M72)</f>
        <v/>
      </c>
      <c r="N74" s="358">
        <f>SUM(N66,N68,N70,N72)</f>
        <v/>
      </c>
      <c r="O74" s="358">
        <f>SUM(O66,O68,O70,O72)</f>
        <v/>
      </c>
      <c r="P74" s="358">
        <f>SUM(P66,P68,P70,P72)</f>
        <v/>
      </c>
      <c r="Q74" s="358">
        <f>SUM(Q66,Q68,Q70,Q72)</f>
        <v/>
      </c>
      <c r="R74" s="358">
        <f>SUM(R66,R68,R70,R72)</f>
        <v/>
      </c>
      <c r="S74" s="358">
        <f>SUM(S66,S68,S70,S72)</f>
        <v/>
      </c>
      <c r="T74" s="358">
        <f>SUM(T66,T68,T70,T72)</f>
        <v/>
      </c>
      <c r="U74" s="358">
        <f>SUM(U66,U68,U70,U72)</f>
        <v/>
      </c>
      <c r="V74" s="358">
        <f>SUM(V66,V68,V70,V72)</f>
        <v/>
      </c>
      <c r="W74" s="358">
        <f>SUM(W66,W68,W70,W72)</f>
        <v/>
      </c>
      <c r="X74" s="358">
        <f>SUM(X66,X68,X70,X72)</f>
        <v/>
      </c>
      <c r="Y74" s="358">
        <f>SUM(Y66,Y68,Y70,Y72)</f>
        <v/>
      </c>
      <c r="Z74" s="358">
        <f>SUM(Z66,Z68,Z70,Z72)</f>
        <v/>
      </c>
      <c r="AA74" s="358">
        <f>SUM(AA66,AA68,AA70,AA72)</f>
        <v/>
      </c>
      <c r="AB74" s="358">
        <f>SUM(AB66,AB68,AB70,AB72)</f>
        <v/>
      </c>
      <c r="AC74" s="358">
        <f>SUM(AC66,AC68,AC70,AC72)</f>
        <v/>
      </c>
      <c r="AD74" s="358">
        <f>SUM(AD66,AD68,AD70,AD72)</f>
        <v/>
      </c>
      <c r="AE74" s="358">
        <f>SUM(AE66,AE68,AE70,AE72)</f>
        <v/>
      </c>
      <c r="AF74" s="358">
        <f>SUM(AF66,AF68,AF70,AF72)</f>
        <v/>
      </c>
      <c r="AG74" s="358">
        <f>SUM(AG66,AG68,AG70,AG72)</f>
        <v/>
      </c>
      <c r="AH74" s="358">
        <f>SUM(AH66,AH68,AH70,AH72)</f>
        <v/>
      </c>
      <c r="AI74" s="358">
        <f>SUM(AI66,AI68,AI70,AI72)</f>
        <v/>
      </c>
      <c r="AJ74" s="359">
        <f>SUM(E74:AI74)</f>
        <v/>
      </c>
    </row>
    <row r="75">
      <c r="A75" s="541" t="n">
        <v>1</v>
      </c>
      <c r="B75" s="541" t="inlineStr">
        <is>
          <t>3F</t>
        </is>
      </c>
      <c r="C75" s="541" t="inlineStr">
        <is>
          <t>AHU1 - BTU</t>
        </is>
      </c>
      <c r="D75" s="501" t="n"/>
      <c r="E75" s="363">
        <f>E32-D32</f>
        <v/>
      </c>
      <c r="F75" s="363">
        <f>F32-E32</f>
        <v/>
      </c>
      <c r="G75" s="363">
        <f>G32-F32</f>
        <v/>
      </c>
      <c r="H75" s="363">
        <f>H32-G32</f>
        <v/>
      </c>
      <c r="I75" s="363">
        <f>I32-H32</f>
        <v/>
      </c>
      <c r="J75" s="363">
        <f>J32-I32</f>
        <v/>
      </c>
      <c r="K75" s="363">
        <f>K32-J32</f>
        <v/>
      </c>
      <c r="L75" s="363">
        <f>L32-K32</f>
        <v/>
      </c>
      <c r="M75" s="363">
        <f>M32-L32</f>
        <v/>
      </c>
      <c r="N75" s="363">
        <f>N32-M32</f>
        <v/>
      </c>
      <c r="O75" s="363">
        <f>O32-N32</f>
        <v/>
      </c>
      <c r="P75" s="363">
        <f>P32-O32</f>
        <v/>
      </c>
      <c r="Q75" s="363">
        <f>Q32-P32</f>
        <v/>
      </c>
      <c r="R75" s="363">
        <f>R32-Q32</f>
        <v/>
      </c>
      <c r="S75" s="363">
        <f>S32-R32</f>
        <v/>
      </c>
      <c r="T75" s="363">
        <f>T32-S32</f>
        <v/>
      </c>
      <c r="U75" s="363">
        <f>U32-T32</f>
        <v/>
      </c>
      <c r="V75" s="363">
        <f>V32-U32</f>
        <v/>
      </c>
      <c r="W75" s="363">
        <f>W32-V32</f>
        <v/>
      </c>
      <c r="X75" s="363">
        <f>X32-W32</f>
        <v/>
      </c>
      <c r="Y75" s="363">
        <f>Y32-X32</f>
        <v/>
      </c>
      <c r="Z75" s="363">
        <f>Z32-Y32</f>
        <v/>
      </c>
      <c r="AA75" s="363">
        <f>AA32-Z32</f>
        <v/>
      </c>
      <c r="AB75" s="363">
        <f>AB32-AA32</f>
        <v/>
      </c>
      <c r="AC75" s="363">
        <f>AC32-AB32</f>
        <v/>
      </c>
      <c r="AD75" s="363">
        <f>AD32-AC32</f>
        <v/>
      </c>
      <c r="AE75" s="363">
        <f>AE32-AD32</f>
        <v/>
      </c>
      <c r="AF75" s="363">
        <f>AF32-AE32</f>
        <v/>
      </c>
      <c r="AG75" s="363">
        <f>AG32-AF32</f>
        <v/>
      </c>
      <c r="AH75" s="363">
        <f>AH32-AG32</f>
        <v/>
      </c>
      <c r="AI75" s="363">
        <f>AI32-AH32</f>
        <v/>
      </c>
      <c r="AJ75" s="363">
        <f>SUM(E75:AI75)</f>
        <v/>
      </c>
    </row>
    <row r="76">
      <c r="A76" s="541" t="n">
        <v>2</v>
      </c>
      <c r="B76" s="541" t="inlineStr">
        <is>
          <t>3F</t>
        </is>
      </c>
      <c r="C76" s="541" t="inlineStr">
        <is>
          <t>AHU2 - BTU</t>
        </is>
      </c>
      <c r="D76" s="501" t="n"/>
      <c r="E76" s="363">
        <f>E33-D33</f>
        <v/>
      </c>
      <c r="F76" s="363">
        <f>F33-E33</f>
        <v/>
      </c>
      <c r="G76" s="363">
        <f>G33-F33</f>
        <v/>
      </c>
      <c r="H76" s="363">
        <f>H33-G33</f>
        <v/>
      </c>
      <c r="I76" s="363">
        <f>I33-H33</f>
        <v/>
      </c>
      <c r="J76" s="363">
        <f>J33-I33</f>
        <v/>
      </c>
      <c r="K76" s="363">
        <f>K33-J33</f>
        <v/>
      </c>
      <c r="L76" s="363">
        <f>L33-K33</f>
        <v/>
      </c>
      <c r="M76" s="363">
        <f>M33-L33</f>
        <v/>
      </c>
      <c r="N76" s="363">
        <f>N33-M33</f>
        <v/>
      </c>
      <c r="O76" s="363">
        <f>O33-N33</f>
        <v/>
      </c>
      <c r="P76" s="363">
        <f>P33-O33</f>
        <v/>
      </c>
      <c r="Q76" s="363">
        <f>Q33-P33</f>
        <v/>
      </c>
      <c r="R76" s="363">
        <f>R33-Q33</f>
        <v/>
      </c>
      <c r="S76" s="363">
        <f>S33-R33</f>
        <v/>
      </c>
      <c r="T76" s="363">
        <f>T33-S33</f>
        <v/>
      </c>
      <c r="U76" s="363">
        <f>U33-T33</f>
        <v/>
      </c>
      <c r="V76" s="363">
        <f>V33-U33</f>
        <v/>
      </c>
      <c r="W76" s="363">
        <f>W33-V33</f>
        <v/>
      </c>
      <c r="X76" s="363">
        <f>X33-W33</f>
        <v/>
      </c>
      <c r="Y76" s="363">
        <f>Y33-X33</f>
        <v/>
      </c>
      <c r="Z76" s="363">
        <f>Z33-Y33</f>
        <v/>
      </c>
      <c r="AA76" s="363">
        <f>AA33-Z33</f>
        <v/>
      </c>
      <c r="AB76" s="363">
        <f>AB33-AA33</f>
        <v/>
      </c>
      <c r="AC76" s="363">
        <f>AC33-AB33</f>
        <v/>
      </c>
      <c r="AD76" s="363">
        <f>AD33-AC33</f>
        <v/>
      </c>
      <c r="AE76" s="363">
        <f>AE33-AD33</f>
        <v/>
      </c>
      <c r="AF76" s="363">
        <f>AF33-AE33</f>
        <v/>
      </c>
      <c r="AG76" s="363">
        <f>AG33-AF33</f>
        <v/>
      </c>
      <c r="AH76" s="363">
        <f>AH33-AG33</f>
        <v/>
      </c>
      <c r="AI76" s="363">
        <f>AI33-AH33</f>
        <v/>
      </c>
      <c r="AJ76" s="363">
        <f>SUM(E76:AI76)</f>
        <v/>
      </c>
    </row>
    <row r="77">
      <c r="A77" s="541" t="n">
        <v>3</v>
      </c>
      <c r="B77" s="541" t="inlineStr">
        <is>
          <t>3F</t>
        </is>
      </c>
      <c r="C77" s="541" t="inlineStr">
        <is>
          <t>AHU3 - BTU</t>
        </is>
      </c>
      <c r="D77" s="501" t="n"/>
      <c r="E77" s="363">
        <f>E34-D34</f>
        <v/>
      </c>
      <c r="F77" s="363">
        <f>F34-E34</f>
        <v/>
      </c>
      <c r="G77" s="363">
        <f>G34-F34</f>
        <v/>
      </c>
      <c r="H77" s="363">
        <f>H34-G34</f>
        <v/>
      </c>
      <c r="I77" s="363">
        <f>I34-H34</f>
        <v/>
      </c>
      <c r="J77" s="363">
        <f>J34-I34</f>
        <v/>
      </c>
      <c r="K77" s="363">
        <f>K34-J34</f>
        <v/>
      </c>
      <c r="L77" s="363">
        <f>L34-K34</f>
        <v/>
      </c>
      <c r="M77" s="363">
        <f>M34-L34</f>
        <v/>
      </c>
      <c r="N77" s="363">
        <f>N34-M34</f>
        <v/>
      </c>
      <c r="O77" s="363">
        <f>O34-N34</f>
        <v/>
      </c>
      <c r="P77" s="363">
        <f>P34-O34</f>
        <v/>
      </c>
      <c r="Q77" s="363">
        <f>Q34-P34</f>
        <v/>
      </c>
      <c r="R77" s="363">
        <f>R34-Q34</f>
        <v/>
      </c>
      <c r="S77" s="363">
        <f>S34-R34</f>
        <v/>
      </c>
      <c r="T77" s="363">
        <f>T34-S34</f>
        <v/>
      </c>
      <c r="U77" s="363">
        <f>U34-T34</f>
        <v/>
      </c>
      <c r="V77" s="363">
        <f>V34-U34</f>
        <v/>
      </c>
      <c r="W77" s="363">
        <f>W34-V34</f>
        <v/>
      </c>
      <c r="X77" s="363">
        <f>X34-W34</f>
        <v/>
      </c>
      <c r="Y77" s="363">
        <f>Y34-X34</f>
        <v/>
      </c>
      <c r="Z77" s="363">
        <f>Z34-Y34</f>
        <v/>
      </c>
      <c r="AA77" s="363">
        <f>AA34-Z34</f>
        <v/>
      </c>
      <c r="AB77" s="363">
        <f>AB34-AA34</f>
        <v/>
      </c>
      <c r="AC77" s="363">
        <f>AC34-AB34</f>
        <v/>
      </c>
      <c r="AD77" s="363">
        <f>AD34-AC34</f>
        <v/>
      </c>
      <c r="AE77" s="363">
        <f>AE34-AD34</f>
        <v/>
      </c>
      <c r="AF77" s="363">
        <f>AF34-AE34</f>
        <v/>
      </c>
      <c r="AG77" s="363">
        <f>AG34-AF34</f>
        <v/>
      </c>
      <c r="AH77" s="363">
        <f>AH34-AG34</f>
        <v/>
      </c>
      <c r="AI77" s="363">
        <f>AI34-AH34</f>
        <v/>
      </c>
      <c r="AJ77" s="363">
        <f>SUM(E77:AI77)</f>
        <v/>
      </c>
    </row>
    <row r="78">
      <c r="A78" s="541" t="n">
        <v>4</v>
      </c>
      <c r="B78" s="541" t="inlineStr">
        <is>
          <t>3F</t>
        </is>
      </c>
      <c r="C78" s="541" t="inlineStr">
        <is>
          <t>AHU4 - BTU</t>
        </is>
      </c>
      <c r="D78" s="501" t="n"/>
      <c r="E78" s="363">
        <f>E35-D35</f>
        <v/>
      </c>
      <c r="F78" s="363">
        <f>F35-E35</f>
        <v/>
      </c>
      <c r="G78" s="363">
        <f>G35-F35</f>
        <v/>
      </c>
      <c r="H78" s="363">
        <f>H35-G35</f>
        <v/>
      </c>
      <c r="I78" s="363">
        <f>I35-H35</f>
        <v/>
      </c>
      <c r="J78" s="363">
        <f>J35-I35</f>
        <v/>
      </c>
      <c r="K78" s="363">
        <f>K35-J35</f>
        <v/>
      </c>
      <c r="L78" s="363">
        <f>L35-K35</f>
        <v/>
      </c>
      <c r="M78" s="363">
        <f>M35-L35</f>
        <v/>
      </c>
      <c r="N78" s="363">
        <f>N35-M35</f>
        <v/>
      </c>
      <c r="O78" s="363">
        <f>O35-N35</f>
        <v/>
      </c>
      <c r="P78" s="363">
        <f>P35-O35</f>
        <v/>
      </c>
      <c r="Q78" s="363">
        <f>Q35-P35</f>
        <v/>
      </c>
      <c r="R78" s="363">
        <f>R35-Q35</f>
        <v/>
      </c>
      <c r="S78" s="363">
        <f>S35-R35</f>
        <v/>
      </c>
      <c r="T78" s="363">
        <f>T35-S35</f>
        <v/>
      </c>
      <c r="U78" s="363">
        <f>U35-T35</f>
        <v/>
      </c>
      <c r="V78" s="363">
        <f>V35-U35</f>
        <v/>
      </c>
      <c r="W78" s="363">
        <f>W35-V35</f>
        <v/>
      </c>
      <c r="X78" s="363">
        <f>X35-W35</f>
        <v/>
      </c>
      <c r="Y78" s="363">
        <f>Y35-X35</f>
        <v/>
      </c>
      <c r="Z78" s="363">
        <f>Z35-Y35</f>
        <v/>
      </c>
      <c r="AA78" s="363">
        <f>AA35-Z35</f>
        <v/>
      </c>
      <c r="AB78" s="363">
        <f>AB35-AA35</f>
        <v/>
      </c>
      <c r="AC78" s="363">
        <f>AC35-AB35</f>
        <v/>
      </c>
      <c r="AD78" s="363">
        <f>AD35-AC35</f>
        <v/>
      </c>
      <c r="AE78" s="363">
        <f>AE35-AD35</f>
        <v/>
      </c>
      <c r="AF78" s="363">
        <f>AF35-AE35</f>
        <v/>
      </c>
      <c r="AG78" s="363">
        <f>AG35-AF35</f>
        <v/>
      </c>
      <c r="AH78" s="363">
        <f>AH35-AG35</f>
        <v/>
      </c>
      <c r="AI78" s="363">
        <f>AI35-AH35</f>
        <v/>
      </c>
      <c r="AJ78" s="363">
        <f>SUM(E78:AI78)</f>
        <v/>
      </c>
    </row>
    <row r="79">
      <c r="A79" s="357" t="n"/>
      <c r="B79" s="357" t="n"/>
      <c r="C79" s="553" t="inlineStr">
        <is>
          <t>Total BTU Consumption</t>
        </is>
      </c>
      <c r="D79" s="501" t="n"/>
      <c r="E79" s="358">
        <f>SUM(E75:E78)</f>
        <v/>
      </c>
      <c r="F79" s="358">
        <f>SUM(F75:F78)</f>
        <v/>
      </c>
      <c r="G79" s="358">
        <f>SUM(G75:G78)</f>
        <v/>
      </c>
      <c r="H79" s="358">
        <f>SUM(H75:H78)</f>
        <v/>
      </c>
      <c r="I79" s="358">
        <f>SUM(I75:I78)</f>
        <v/>
      </c>
      <c r="J79" s="358">
        <f>SUM(J75:J78)</f>
        <v/>
      </c>
      <c r="K79" s="358">
        <f>SUM(K75:K78)</f>
        <v/>
      </c>
      <c r="L79" s="358">
        <f>SUM(L75:L78)</f>
        <v/>
      </c>
      <c r="M79" s="358">
        <f>SUM(M75:M78)</f>
        <v/>
      </c>
      <c r="N79" s="358">
        <f>SUM(N75:N78)</f>
        <v/>
      </c>
      <c r="O79" s="358">
        <f>SUM(O75:O78)</f>
        <v/>
      </c>
      <c r="P79" s="358">
        <f>SUM(P75:P78)</f>
        <v/>
      </c>
      <c r="Q79" s="358">
        <f>SUM(Q75:Q78)</f>
        <v/>
      </c>
      <c r="R79" s="358">
        <f>SUM(R75:R78)</f>
        <v/>
      </c>
      <c r="S79" s="358">
        <f>SUM(S75:S78)</f>
        <v/>
      </c>
      <c r="T79" s="358">
        <f>SUM(T75:T78)</f>
        <v/>
      </c>
      <c r="U79" s="358">
        <f>SUM(U75:U78)</f>
        <v/>
      </c>
      <c r="V79" s="358">
        <f>SUM(V75:V78)</f>
        <v/>
      </c>
      <c r="W79" s="358">
        <f>SUM(W75:W78)</f>
        <v/>
      </c>
      <c r="X79" s="358">
        <f>SUM(X75:X78)</f>
        <v/>
      </c>
      <c r="Y79" s="358">
        <f>SUM(Y75:Y78)</f>
        <v/>
      </c>
      <c r="Z79" s="358">
        <f>SUM(Z75:Z78)</f>
        <v/>
      </c>
      <c r="AA79" s="358">
        <f>SUM(AA75:AA78)</f>
        <v/>
      </c>
      <c r="AB79" s="358">
        <f>SUM(AB75:AB78)</f>
        <v/>
      </c>
      <c r="AC79" s="358">
        <f>SUM(AC75:AC78)</f>
        <v/>
      </c>
      <c r="AD79" s="358">
        <f>SUM(AD75:AD78)</f>
        <v/>
      </c>
      <c r="AE79" s="358">
        <f>SUM(AE75:AE78)</f>
        <v/>
      </c>
      <c r="AF79" s="358">
        <f>SUM(AF75:AF78)</f>
        <v/>
      </c>
      <c r="AG79" s="358">
        <f>SUM(AG75:AG78)</f>
        <v/>
      </c>
      <c r="AH79" s="358">
        <f>SUM(AH75:AH78)</f>
        <v/>
      </c>
      <c r="AI79" s="358">
        <f>SUM(AI75:AI78)</f>
        <v/>
      </c>
      <c r="AJ79" s="359">
        <f>SUM(E79:AI79)</f>
        <v/>
      </c>
    </row>
    <row r="80">
      <c r="A80" s="300" t="n"/>
      <c r="B80" s="300" t="n"/>
      <c r="C80" s="300" t="n"/>
      <c r="D80" s="300" t="n"/>
      <c r="E80" s="300" t="n"/>
      <c r="F80" s="300" t="n"/>
      <c r="G80" s="300" t="n"/>
      <c r="H80" s="300" t="n"/>
      <c r="I80" s="300" t="n"/>
      <c r="J80" s="300" t="n"/>
      <c r="K80" s="300" t="n"/>
      <c r="L80" s="300" t="n"/>
      <c r="M80" s="300" t="n"/>
      <c r="N80" s="300" t="n"/>
      <c r="O80" s="300" t="n"/>
      <c r="P80" s="300" t="n"/>
      <c r="Q80" s="300" t="n"/>
      <c r="R80" s="300" t="n"/>
      <c r="S80" s="300" t="n"/>
      <c r="T80" s="300" t="n"/>
      <c r="U80" s="300" t="n"/>
      <c r="V80" s="300" t="n"/>
      <c r="W80" s="300" t="n"/>
      <c r="X80" s="300" t="n"/>
      <c r="Y80" s="300" t="n"/>
      <c r="Z80" s="300" t="n"/>
      <c r="AA80" s="300" t="n"/>
      <c r="AB80" s="300" t="n"/>
      <c r="AC80" s="300" t="n"/>
      <c r="AD80" s="300" t="n"/>
      <c r="AE80" s="300" t="n"/>
      <c r="AF80" s="300" t="n"/>
      <c r="AG80" s="300" t="n"/>
      <c r="AH80" s="300" t="n"/>
    </row>
    <row r="81">
      <c r="A81" s="300" t="n"/>
      <c r="B81" s="300" t="n"/>
      <c r="C81" s="300" t="n"/>
      <c r="D81" s="300" t="n"/>
      <c r="E81" s="300" t="n"/>
      <c r="F81" s="300" t="n"/>
      <c r="G81" s="300" t="n"/>
      <c r="H81" s="300" t="n"/>
      <c r="I81" s="300" t="n"/>
      <c r="J81" s="300" t="n"/>
      <c r="K81" s="300" t="n"/>
      <c r="L81" s="300" t="n"/>
      <c r="M81" s="300" t="n"/>
      <c r="N81" s="300" t="n"/>
      <c r="O81" s="300" t="n"/>
      <c r="P81" s="300" t="n"/>
      <c r="Q81" s="300" t="n"/>
      <c r="R81" s="300" t="n"/>
      <c r="S81" s="300" t="n"/>
      <c r="T81" s="300" t="n"/>
      <c r="U81" s="300" t="n"/>
      <c r="V81" s="300" t="n"/>
      <c r="W81" s="300" t="n"/>
      <c r="X81" s="300" t="n"/>
      <c r="Y81" s="300" t="n"/>
      <c r="Z81" s="300" t="n"/>
      <c r="AA81" s="300" t="n"/>
      <c r="AB81" s="300" t="n"/>
      <c r="AC81" s="300" t="n"/>
      <c r="AD81" s="300" t="n"/>
      <c r="AE81" s="300" t="n"/>
      <c r="AF81" s="300" t="n"/>
      <c r="AG81" s="300" t="n"/>
      <c r="AH81" s="300" t="n"/>
    </row>
    <row r="82">
      <c r="A82" s="300" t="n"/>
      <c r="B82" s="300" t="n"/>
      <c r="C82" s="300" t="n"/>
      <c r="D82" s="300" t="n"/>
      <c r="E82" s="300" t="n"/>
      <c r="F82" s="300" t="n"/>
      <c r="G82" s="300" t="n"/>
      <c r="H82" s="300" t="n"/>
      <c r="I82" s="300" t="n"/>
      <c r="J82" s="300" t="n"/>
      <c r="K82" s="300" t="n"/>
      <c r="L82" s="300" t="n"/>
      <c r="M82" s="300" t="n"/>
      <c r="N82" s="300" t="n"/>
      <c r="O82" s="300" t="n"/>
      <c r="P82" s="300" t="n"/>
      <c r="Q82" s="300" t="n"/>
      <c r="R82" s="300" t="n"/>
      <c r="S82" s="300" t="n"/>
      <c r="T82" s="300" t="n"/>
      <c r="U82" s="300" t="n"/>
      <c r="V82" s="300" t="n"/>
      <c r="W82" s="300" t="n"/>
      <c r="X82" s="300" t="n"/>
      <c r="Y82" s="300" t="n"/>
      <c r="Z82" s="300" t="n"/>
      <c r="AA82" s="300" t="n"/>
      <c r="AB82" s="300" t="n"/>
      <c r="AC82" s="300" t="n"/>
      <c r="AD82" s="300" t="n"/>
      <c r="AE82" s="300" t="n"/>
      <c r="AF82" s="300" t="n"/>
      <c r="AG82" s="300" t="n"/>
      <c r="AH82" s="300" t="n"/>
    </row>
    <row r="83" ht="15" customHeight="1" s="488">
      <c r="A83" s="557" t="n"/>
      <c r="B83" s="505" t="n"/>
      <c r="C83" s="505" t="n"/>
      <c r="D83" s="506" t="n"/>
      <c r="E83" s="544" t="inlineStr">
        <is>
          <t>May - 2026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505" t="n"/>
      <c r="AG83" s="505" t="n"/>
      <c r="AH83" s="505" t="n"/>
      <c r="AI83" s="506" t="n"/>
    </row>
    <row r="84">
      <c r="A84" s="550" t="inlineStr">
        <is>
          <t>Sr.No</t>
        </is>
      </c>
      <c r="B84" s="550" t="inlineStr">
        <is>
          <t>Location</t>
        </is>
      </c>
      <c r="C84" s="554" t="inlineStr">
        <is>
          <t>Meter</t>
        </is>
      </c>
      <c r="D84" s="543" t="inlineStr">
        <is>
          <t>Previous Reading</t>
        </is>
      </c>
      <c r="E84" s="301" t="n">
        <v>46143</v>
      </c>
      <c r="F84" s="301" t="n">
        <v>46144</v>
      </c>
      <c r="G84" s="301" t="n">
        <v>46145</v>
      </c>
      <c r="H84" s="301" t="n">
        <v>46146</v>
      </c>
      <c r="I84" s="301" t="n">
        <v>46147</v>
      </c>
      <c r="J84" s="301" t="n">
        <v>46148</v>
      </c>
      <c r="K84" s="301" t="n">
        <v>46149</v>
      </c>
      <c r="L84" s="301" t="n">
        <v>46150</v>
      </c>
      <c r="M84" s="301" t="n">
        <v>46151</v>
      </c>
      <c r="N84" s="301" t="n">
        <v>46152</v>
      </c>
      <c r="O84" s="301" t="n">
        <v>46153</v>
      </c>
      <c r="P84" s="301" t="n">
        <v>46154</v>
      </c>
      <c r="Q84" s="301" t="n">
        <v>46155</v>
      </c>
      <c r="R84" s="301" t="n">
        <v>46156</v>
      </c>
      <c r="S84" s="301" t="n">
        <v>46157</v>
      </c>
      <c r="T84" s="301" t="n">
        <v>46158</v>
      </c>
      <c r="U84" s="301" t="n">
        <v>46159</v>
      </c>
      <c r="V84" s="301" t="n">
        <v>46160</v>
      </c>
      <c r="W84" s="301" t="n">
        <v>46161</v>
      </c>
      <c r="X84" s="301" t="n">
        <v>46162</v>
      </c>
      <c r="Y84" s="301" t="n">
        <v>46163</v>
      </c>
      <c r="Z84" s="301" t="n">
        <v>46164</v>
      </c>
      <c r="AA84" s="301" t="n">
        <v>46165</v>
      </c>
      <c r="AB84" s="301" t="n">
        <v>46166</v>
      </c>
      <c r="AC84" s="301" t="n">
        <v>46167</v>
      </c>
      <c r="AD84" s="301" t="n">
        <v>46168</v>
      </c>
      <c r="AE84" s="301" t="n">
        <v>46169</v>
      </c>
      <c r="AF84" s="301" t="n">
        <v>46170</v>
      </c>
      <c r="AG84" s="301" t="n">
        <v>46171</v>
      </c>
      <c r="AH84" s="301" t="n">
        <v>46172</v>
      </c>
      <c r="AI84" s="301" t="n">
        <v>46173</v>
      </c>
      <c r="AJ84" s="542" t="inlineStr">
        <is>
          <t>Consumption</t>
        </is>
      </c>
    </row>
    <row r="85">
      <c r="A85" s="509" t="n"/>
      <c r="B85" s="509" t="n"/>
      <c r="C85" s="509" t="n"/>
      <c r="D85" s="509" t="n"/>
      <c r="E85" s="302" t="inlineStr">
        <is>
          <t>Fri</t>
        </is>
      </c>
      <c r="F85" s="302" t="inlineStr">
        <is>
          <t>Sat</t>
        </is>
      </c>
      <c r="G85" s="302" t="inlineStr">
        <is>
          <t>Sun</t>
        </is>
      </c>
      <c r="H85" s="302" t="inlineStr">
        <is>
          <t>Mon</t>
        </is>
      </c>
      <c r="I85" s="302" t="inlineStr">
        <is>
          <t>Tue</t>
        </is>
      </c>
      <c r="J85" s="302" t="inlineStr">
        <is>
          <t>Wed</t>
        </is>
      </c>
      <c r="K85" s="302" t="inlineStr">
        <is>
          <t>Thu</t>
        </is>
      </c>
      <c r="L85" s="302" t="inlineStr">
        <is>
          <t>Fri</t>
        </is>
      </c>
      <c r="M85" s="302" t="inlineStr">
        <is>
          <t>Sat</t>
        </is>
      </c>
      <c r="N85" s="302" t="inlineStr">
        <is>
          <t>Sun</t>
        </is>
      </c>
      <c r="O85" s="302" t="inlineStr">
        <is>
          <t>Mon</t>
        </is>
      </c>
      <c r="P85" s="302" t="inlineStr">
        <is>
          <t>Tue</t>
        </is>
      </c>
      <c r="Q85" s="302" t="inlineStr">
        <is>
          <t>Wed</t>
        </is>
      </c>
      <c r="R85" s="302" t="inlineStr">
        <is>
          <t>Thu</t>
        </is>
      </c>
      <c r="S85" s="302" t="inlineStr">
        <is>
          <t>Fri</t>
        </is>
      </c>
      <c r="T85" s="302" t="inlineStr">
        <is>
          <t>Sat</t>
        </is>
      </c>
      <c r="U85" s="302" t="inlineStr">
        <is>
          <t>Sun</t>
        </is>
      </c>
      <c r="V85" s="302" t="inlineStr">
        <is>
          <t>Mon</t>
        </is>
      </c>
      <c r="W85" s="302" t="inlineStr">
        <is>
          <t>Tue</t>
        </is>
      </c>
      <c r="X85" s="302" t="inlineStr">
        <is>
          <t>Wed</t>
        </is>
      </c>
      <c r="Y85" s="302" t="inlineStr">
        <is>
          <t>Thu</t>
        </is>
      </c>
      <c r="Z85" s="302" t="inlineStr">
        <is>
          <t>Fri</t>
        </is>
      </c>
      <c r="AA85" s="302" t="inlineStr">
        <is>
          <t>Sat</t>
        </is>
      </c>
      <c r="AB85" s="302" t="inlineStr">
        <is>
          <t>Sun</t>
        </is>
      </c>
      <c r="AC85" s="302" t="inlineStr">
        <is>
          <t>Mon</t>
        </is>
      </c>
      <c r="AD85" s="302" t="inlineStr">
        <is>
          <t>Tue</t>
        </is>
      </c>
      <c r="AE85" s="302" t="inlineStr">
        <is>
          <t>Wed</t>
        </is>
      </c>
      <c r="AF85" s="302" t="inlineStr">
        <is>
          <t>Thu</t>
        </is>
      </c>
      <c r="AG85" s="302" t="inlineStr">
        <is>
          <t>Fri</t>
        </is>
      </c>
      <c r="AH85" s="302" t="inlineStr">
        <is>
          <t>Sat</t>
        </is>
      </c>
      <c r="AI85" s="302" t="inlineStr">
        <is>
          <t>Sun</t>
        </is>
      </c>
      <c r="AJ85" s="516" t="n"/>
    </row>
    <row r="86">
      <c r="A86" s="509" t="n"/>
      <c r="B86" s="509" t="n"/>
      <c r="C86" s="509" t="n"/>
      <c r="D86" s="509" t="n"/>
      <c r="E86" s="303" t="inlineStr">
        <is>
          <t>Time</t>
        </is>
      </c>
      <c r="F86" s="303" t="inlineStr">
        <is>
          <t>Time</t>
        </is>
      </c>
      <c r="G86" s="303" t="inlineStr">
        <is>
          <t>Time</t>
        </is>
      </c>
      <c r="H86" s="303" t="inlineStr">
        <is>
          <t>Time</t>
        </is>
      </c>
      <c r="I86" s="303" t="inlineStr">
        <is>
          <t>Time</t>
        </is>
      </c>
      <c r="J86" s="303" t="inlineStr">
        <is>
          <t>Time</t>
        </is>
      </c>
      <c r="K86" s="303" t="inlineStr">
        <is>
          <t>Time</t>
        </is>
      </c>
      <c r="L86" s="303" t="inlineStr">
        <is>
          <t>Time</t>
        </is>
      </c>
      <c r="M86" s="303" t="inlineStr">
        <is>
          <t>Time</t>
        </is>
      </c>
      <c r="N86" s="303" t="inlineStr">
        <is>
          <t>Time</t>
        </is>
      </c>
      <c r="O86" s="303" t="inlineStr">
        <is>
          <t>Time</t>
        </is>
      </c>
      <c r="P86" s="303" t="inlineStr">
        <is>
          <t>Time</t>
        </is>
      </c>
      <c r="Q86" s="303" t="inlineStr">
        <is>
          <t>Time</t>
        </is>
      </c>
      <c r="R86" s="303" t="inlineStr">
        <is>
          <t>Time</t>
        </is>
      </c>
      <c r="S86" s="303" t="inlineStr">
        <is>
          <t>Time</t>
        </is>
      </c>
      <c r="T86" s="303" t="inlineStr">
        <is>
          <t>Time</t>
        </is>
      </c>
      <c r="U86" s="303" t="inlineStr">
        <is>
          <t>Time</t>
        </is>
      </c>
      <c r="V86" s="303" t="inlineStr">
        <is>
          <t>Time</t>
        </is>
      </c>
      <c r="W86" s="303" t="inlineStr">
        <is>
          <t>Time</t>
        </is>
      </c>
      <c r="X86" s="303" t="inlineStr">
        <is>
          <t>Time</t>
        </is>
      </c>
      <c r="Y86" s="303" t="inlineStr">
        <is>
          <t>Time</t>
        </is>
      </c>
      <c r="Z86" s="303" t="inlineStr">
        <is>
          <t>Time</t>
        </is>
      </c>
      <c r="AA86" s="303" t="inlineStr">
        <is>
          <t>Time</t>
        </is>
      </c>
      <c r="AB86" s="303" t="inlineStr">
        <is>
          <t>Time</t>
        </is>
      </c>
      <c r="AC86" s="303" t="inlineStr">
        <is>
          <t>Time</t>
        </is>
      </c>
      <c r="AD86" s="303" t="inlineStr">
        <is>
          <t>Time</t>
        </is>
      </c>
      <c r="AE86" s="303" t="inlineStr">
        <is>
          <t>Time</t>
        </is>
      </c>
      <c r="AF86" s="303" t="inlineStr">
        <is>
          <t>Time</t>
        </is>
      </c>
      <c r="AG86" s="303" t="inlineStr">
        <is>
          <t>Time</t>
        </is>
      </c>
      <c r="AH86" s="303" t="inlineStr">
        <is>
          <t>Time</t>
        </is>
      </c>
      <c r="AI86" s="303" t="inlineStr">
        <is>
          <t>Time</t>
        </is>
      </c>
      <c r="AJ86" s="516" t="n"/>
    </row>
    <row r="87">
      <c r="A87" s="510" t="n"/>
      <c r="B87" s="510" t="n"/>
      <c r="C87" s="510" t="n"/>
      <c r="D87" s="510" t="n"/>
      <c r="E87" s="369" t="n">
        <v>0.3333333333333333</v>
      </c>
      <c r="F87" s="369" t="n">
        <v>0.3333333333333333</v>
      </c>
      <c r="G87" s="369" t="n">
        <v>0.3333333333333333</v>
      </c>
      <c r="H87" s="369" t="n">
        <v>0.3333333333333333</v>
      </c>
      <c r="I87" s="369" t="n">
        <v>0.3333333333333333</v>
      </c>
      <c r="J87" s="369" t="n">
        <v>0.3333333333333333</v>
      </c>
      <c r="K87" s="369" t="n">
        <v>0.3333333333333333</v>
      </c>
      <c r="L87" s="369" t="n">
        <v>0.3333333333333333</v>
      </c>
      <c r="M87" s="369" t="n">
        <v>0.3333333333333333</v>
      </c>
      <c r="N87" s="369" t="n">
        <v>0.3333333333333333</v>
      </c>
      <c r="O87" s="369" t="n">
        <v>0.3333333333333333</v>
      </c>
      <c r="P87" s="369" t="n">
        <v>0.3333333333333333</v>
      </c>
      <c r="Q87" s="369" t="n">
        <v>0.3333333333333333</v>
      </c>
      <c r="R87" s="369" t="n">
        <v>0.3333333333333333</v>
      </c>
      <c r="S87" s="369" t="n">
        <v>0.3333333333333333</v>
      </c>
      <c r="T87" s="369" t="n">
        <v>0.3333333333333333</v>
      </c>
      <c r="U87" s="369" t="n">
        <v>0.3333333333333333</v>
      </c>
      <c r="V87" s="369" t="n">
        <v>0.3333333333333333</v>
      </c>
      <c r="W87" s="369" t="n">
        <v>0.3333333333333333</v>
      </c>
      <c r="X87" s="369" t="n">
        <v>0.3333333333333333</v>
      </c>
      <c r="Y87" s="369" t="n">
        <v>0.3333333333333333</v>
      </c>
      <c r="Z87" s="369" t="n">
        <v>0.3333333333333333</v>
      </c>
      <c r="AA87" s="369" t="n">
        <v>0.3333333333333333</v>
      </c>
      <c r="AB87" s="369" t="n">
        <v>0.3333333333333333</v>
      </c>
      <c r="AC87" s="369" t="n">
        <v>0.3333333333333333</v>
      </c>
      <c r="AD87" s="369" t="n">
        <v>0.3333333333333333</v>
      </c>
      <c r="AE87" s="369" t="n">
        <v>0.3333333333333333</v>
      </c>
      <c r="AF87" s="369" t="n">
        <v>0.3333333333333333</v>
      </c>
      <c r="AG87" s="369" t="n">
        <v>0.3333333333333333</v>
      </c>
      <c r="AH87" s="369" t="n">
        <v>0.3333333333333333</v>
      </c>
      <c r="AI87" s="369" t="n">
        <v>0.3333333333333333</v>
      </c>
      <c r="AJ87" s="517" t="n"/>
    </row>
    <row r="88">
      <c r="A88" s="310" t="n">
        <v>1</v>
      </c>
      <c r="B88" s="370" t="inlineStr">
        <is>
          <t>Basement:-2</t>
        </is>
      </c>
      <c r="C88" s="370" t="inlineStr">
        <is>
          <t>Liberty-170</t>
        </is>
      </c>
      <c r="D88" s="370" t="n">
        <v>2870</v>
      </c>
      <c r="E88" s="370" t="n">
        <v>2877</v>
      </c>
      <c r="F88" s="370" t="n">
        <v>2877</v>
      </c>
      <c r="G88" s="370" t="n">
        <v>2877</v>
      </c>
      <c r="H88" s="370" t="n">
        <v>2877</v>
      </c>
      <c r="I88" s="370" t="n">
        <v>2886</v>
      </c>
      <c r="J88" s="370" t="n">
        <v>2893</v>
      </c>
      <c r="K88" s="370" t="n">
        <v>2893</v>
      </c>
      <c r="L88" s="370" t="n">
        <v>2900</v>
      </c>
      <c r="M88" s="370" t="n">
        <v>2900</v>
      </c>
      <c r="N88" s="370" t="n">
        <v>2900</v>
      </c>
      <c r="O88" s="370" t="n">
        <v>2900</v>
      </c>
      <c r="P88" s="370" t="n">
        <v>2914</v>
      </c>
      <c r="Q88" s="370" t="n">
        <v>2942</v>
      </c>
      <c r="R88" s="370" t="n">
        <v>2955</v>
      </c>
      <c r="S88" s="370" t="n">
        <v>2972</v>
      </c>
      <c r="T88" s="370" t="n">
        <v>2972</v>
      </c>
      <c r="U88" s="370" t="n">
        <v>2972</v>
      </c>
      <c r="V88" s="370" t="n">
        <v>2997</v>
      </c>
      <c r="W88" s="370" t="n">
        <v>3022</v>
      </c>
      <c r="X88" s="370" t="n">
        <v>3032</v>
      </c>
      <c r="Y88" s="370" t="n">
        <v>3059</v>
      </c>
      <c r="Z88" s="370" t="n">
        <v>3076</v>
      </c>
      <c r="AA88" s="370" t="n">
        <v>3076</v>
      </c>
      <c r="AB88" s="370" t="n">
        <v>3076</v>
      </c>
      <c r="AC88" s="370" t="n">
        <v>3076</v>
      </c>
      <c r="AD88" s="370" t="n">
        <v>3099</v>
      </c>
      <c r="AE88" s="370" t="n">
        <v>3099</v>
      </c>
      <c r="AF88" s="370" t="n">
        <v>3124</v>
      </c>
      <c r="AG88" s="370" t="n">
        <v>3124</v>
      </c>
      <c r="AH88" s="370" t="n">
        <v>3124</v>
      </c>
      <c r="AI88" s="39" t="n">
        <v>3124</v>
      </c>
      <c r="AJ88" s="399" t="n"/>
    </row>
    <row r="89">
      <c r="A89" s="300" t="n"/>
      <c r="B89" s="300" t="n"/>
      <c r="C89" s="300" t="n"/>
      <c r="D89" s="300" t="n"/>
      <c r="E89" s="300" t="n"/>
      <c r="F89" s="300" t="n"/>
      <c r="G89" s="300" t="n"/>
      <c r="H89" s="300" t="n"/>
      <c r="I89" s="300" t="n"/>
      <c r="J89" s="300" t="n"/>
      <c r="K89" s="300" t="n"/>
      <c r="L89" s="300" t="n"/>
      <c r="M89" s="300" t="n"/>
      <c r="N89" s="300" t="n"/>
      <c r="O89" s="300" t="n"/>
      <c r="P89" s="300" t="n"/>
      <c r="Q89" s="300" t="n"/>
      <c r="R89" s="300" t="n"/>
      <c r="S89" s="300" t="n"/>
      <c r="T89" s="300" t="n"/>
      <c r="U89" s="300" t="n"/>
      <c r="V89" s="300" t="n"/>
      <c r="W89" s="300" t="n"/>
      <c r="X89" s="300" t="n"/>
      <c r="Y89" s="300" t="n"/>
      <c r="Z89" s="300" t="n"/>
      <c r="AA89" s="300" t="n"/>
      <c r="AB89" s="300" t="n"/>
      <c r="AC89" s="300" t="n"/>
      <c r="AD89" s="300" t="n"/>
      <c r="AE89" s="300" t="n"/>
      <c r="AF89" s="300" t="n"/>
      <c r="AG89" s="300" t="n"/>
      <c r="AH89" s="300" t="n"/>
    </row>
    <row r="90">
      <c r="A90" s="542" t="inlineStr">
        <is>
          <t>Sr.No</t>
        </is>
      </c>
      <c r="B90" s="542" t="inlineStr">
        <is>
          <t>Location</t>
        </is>
      </c>
      <c r="C90" s="542" t="inlineStr">
        <is>
          <t>Meter</t>
        </is>
      </c>
      <c r="D90" s="522" t="n"/>
      <c r="E90" s="352">
        <f>E84</f>
        <v/>
      </c>
      <c r="F90" s="352">
        <f>F84</f>
        <v/>
      </c>
      <c r="G90" s="352">
        <f>G84</f>
        <v/>
      </c>
      <c r="H90" s="352">
        <f>H84</f>
        <v/>
      </c>
      <c r="I90" s="352">
        <f>I84</f>
        <v/>
      </c>
      <c r="J90" s="352">
        <f>J84</f>
        <v/>
      </c>
      <c r="K90" s="352">
        <f>K84</f>
        <v/>
      </c>
      <c r="L90" s="352">
        <f>L84</f>
        <v/>
      </c>
      <c r="M90" s="352">
        <f>M84</f>
        <v/>
      </c>
      <c r="N90" s="352">
        <f>N84</f>
        <v/>
      </c>
      <c r="O90" s="352">
        <f>O84</f>
        <v/>
      </c>
      <c r="P90" s="352">
        <f>P84</f>
        <v/>
      </c>
      <c r="Q90" s="352">
        <f>Q84</f>
        <v/>
      </c>
      <c r="R90" s="352">
        <f>R84</f>
        <v/>
      </c>
      <c r="S90" s="352">
        <f>S84</f>
        <v/>
      </c>
      <c r="T90" s="352">
        <f>T84</f>
        <v/>
      </c>
      <c r="U90" s="352">
        <f>U84</f>
        <v/>
      </c>
      <c r="V90" s="352">
        <f>V84</f>
        <v/>
      </c>
      <c r="W90" s="352">
        <f>W84</f>
        <v/>
      </c>
      <c r="X90" s="352">
        <f>X84</f>
        <v/>
      </c>
      <c r="Y90" s="352">
        <f>Y84</f>
        <v/>
      </c>
      <c r="Z90" s="352">
        <f>Z84</f>
        <v/>
      </c>
      <c r="AA90" s="352">
        <f>AA84</f>
        <v/>
      </c>
      <c r="AB90" s="352">
        <f>AB84</f>
        <v/>
      </c>
      <c r="AC90" s="352">
        <f>AC84</f>
        <v/>
      </c>
      <c r="AD90" s="352">
        <f>AD84</f>
        <v/>
      </c>
      <c r="AE90" s="352">
        <f>AE84</f>
        <v/>
      </c>
      <c r="AF90" s="352">
        <f>AF84</f>
        <v/>
      </c>
      <c r="AG90" s="352">
        <f>AG84</f>
        <v/>
      </c>
      <c r="AH90" s="352">
        <f>AH84</f>
        <v/>
      </c>
      <c r="AI90" s="352">
        <f>AI84</f>
        <v/>
      </c>
      <c r="AJ90" s="542" t="inlineStr">
        <is>
          <t>Consumption</t>
        </is>
      </c>
    </row>
    <row r="91">
      <c r="A91" s="516" t="n"/>
      <c r="B91" s="516" t="n"/>
      <c r="C91" s="523" t="n"/>
      <c r="D91" s="524" t="n"/>
      <c r="E91" s="302" t="inlineStr">
        <is>
          <t>Fri</t>
        </is>
      </c>
      <c r="F91" s="302" t="inlineStr">
        <is>
          <t>Sat</t>
        </is>
      </c>
      <c r="G91" s="302" t="inlineStr">
        <is>
          <t>Sun</t>
        </is>
      </c>
      <c r="H91" s="302" t="inlineStr">
        <is>
          <t>Mon</t>
        </is>
      </c>
      <c r="I91" s="302" t="inlineStr">
        <is>
          <t>Tue</t>
        </is>
      </c>
      <c r="J91" s="302" t="inlineStr">
        <is>
          <t>Wed</t>
        </is>
      </c>
      <c r="K91" s="302" t="inlineStr">
        <is>
          <t>Thu</t>
        </is>
      </c>
      <c r="L91" s="302" t="inlineStr">
        <is>
          <t>Fri</t>
        </is>
      </c>
      <c r="M91" s="302" t="inlineStr">
        <is>
          <t>Sat</t>
        </is>
      </c>
      <c r="N91" s="302" t="inlineStr">
        <is>
          <t>Sun</t>
        </is>
      </c>
      <c r="O91" s="302" t="inlineStr">
        <is>
          <t>Mon</t>
        </is>
      </c>
      <c r="P91" s="302" t="inlineStr">
        <is>
          <t>Tue</t>
        </is>
      </c>
      <c r="Q91" s="302" t="inlineStr">
        <is>
          <t>Wed</t>
        </is>
      </c>
      <c r="R91" s="302" t="inlineStr">
        <is>
          <t>Thu</t>
        </is>
      </c>
      <c r="S91" s="302" t="inlineStr">
        <is>
          <t>Fri</t>
        </is>
      </c>
      <c r="T91" s="302" t="inlineStr">
        <is>
          <t>Sat</t>
        </is>
      </c>
      <c r="U91" s="302" t="inlineStr">
        <is>
          <t>Sun</t>
        </is>
      </c>
      <c r="V91" s="302" t="inlineStr">
        <is>
          <t>Mon</t>
        </is>
      </c>
      <c r="W91" s="302" t="inlineStr">
        <is>
          <t>Tue</t>
        </is>
      </c>
      <c r="X91" s="302" t="inlineStr">
        <is>
          <t>Wed</t>
        </is>
      </c>
      <c r="Y91" s="302" t="inlineStr">
        <is>
          <t>Thu</t>
        </is>
      </c>
      <c r="Z91" s="302" t="inlineStr">
        <is>
          <t>Fri</t>
        </is>
      </c>
      <c r="AA91" s="302" t="inlineStr">
        <is>
          <t>Sat</t>
        </is>
      </c>
      <c r="AB91" s="302" t="inlineStr">
        <is>
          <t>Sun</t>
        </is>
      </c>
      <c r="AC91" s="302" t="inlineStr">
        <is>
          <t>Mon</t>
        </is>
      </c>
      <c r="AD91" s="302" t="inlineStr">
        <is>
          <t>Tue</t>
        </is>
      </c>
      <c r="AE91" s="302" t="inlineStr">
        <is>
          <t>Wed</t>
        </is>
      </c>
      <c r="AF91" s="302" t="inlineStr">
        <is>
          <t>Thu</t>
        </is>
      </c>
      <c r="AG91" s="302" t="inlineStr">
        <is>
          <t>Fri</t>
        </is>
      </c>
      <c r="AH91" s="302" t="inlineStr">
        <is>
          <t>Sat</t>
        </is>
      </c>
      <c r="AI91" s="302" t="inlineStr">
        <is>
          <t>Sun</t>
        </is>
      </c>
      <c r="AJ91" s="516" t="n"/>
    </row>
    <row r="92">
      <c r="A92" s="516" t="n"/>
      <c r="B92" s="516" t="n"/>
      <c r="C92" s="523" t="n"/>
      <c r="D92" s="524" t="n"/>
      <c r="E92" s="353" t="inlineStr">
        <is>
          <t>Time</t>
        </is>
      </c>
      <c r="F92" s="353" t="inlineStr">
        <is>
          <t>Time</t>
        </is>
      </c>
      <c r="G92" s="353" t="inlineStr">
        <is>
          <t>Time</t>
        </is>
      </c>
      <c r="H92" s="353" t="inlineStr">
        <is>
          <t>Time</t>
        </is>
      </c>
      <c r="I92" s="353" t="inlineStr">
        <is>
          <t>Time</t>
        </is>
      </c>
      <c r="J92" s="353" t="inlineStr">
        <is>
          <t>Time</t>
        </is>
      </c>
      <c r="K92" s="353" t="inlineStr">
        <is>
          <t>Time</t>
        </is>
      </c>
      <c r="L92" s="353" t="inlineStr">
        <is>
          <t>Time</t>
        </is>
      </c>
      <c r="M92" s="353" t="inlineStr">
        <is>
          <t>Time</t>
        </is>
      </c>
      <c r="N92" s="353" t="inlineStr">
        <is>
          <t>Time</t>
        </is>
      </c>
      <c r="O92" s="353" t="inlineStr">
        <is>
          <t>Time</t>
        </is>
      </c>
      <c r="P92" s="353" t="inlineStr">
        <is>
          <t>Time</t>
        </is>
      </c>
      <c r="Q92" s="353" t="inlineStr">
        <is>
          <t>Time</t>
        </is>
      </c>
      <c r="R92" s="353" t="inlineStr">
        <is>
          <t>Time</t>
        </is>
      </c>
      <c r="S92" s="353" t="inlineStr">
        <is>
          <t>Time</t>
        </is>
      </c>
      <c r="T92" s="353" t="inlineStr">
        <is>
          <t>Time</t>
        </is>
      </c>
      <c r="U92" s="353" t="inlineStr">
        <is>
          <t>Time</t>
        </is>
      </c>
      <c r="V92" s="353" t="inlineStr">
        <is>
          <t>Time</t>
        </is>
      </c>
      <c r="W92" s="353" t="inlineStr">
        <is>
          <t>Time</t>
        </is>
      </c>
      <c r="X92" s="353" t="inlineStr">
        <is>
          <t>Time</t>
        </is>
      </c>
      <c r="Y92" s="353" t="inlineStr">
        <is>
          <t>Time</t>
        </is>
      </c>
      <c r="Z92" s="353" t="inlineStr">
        <is>
          <t>Time</t>
        </is>
      </c>
      <c r="AA92" s="353" t="inlineStr">
        <is>
          <t>Time</t>
        </is>
      </c>
      <c r="AB92" s="353" t="inlineStr">
        <is>
          <t>Time</t>
        </is>
      </c>
      <c r="AC92" s="353" t="inlineStr">
        <is>
          <t>Time</t>
        </is>
      </c>
      <c r="AD92" s="353" t="inlineStr">
        <is>
          <t>Time</t>
        </is>
      </c>
      <c r="AE92" s="353" t="inlineStr">
        <is>
          <t>Time</t>
        </is>
      </c>
      <c r="AF92" s="353" t="inlineStr">
        <is>
          <t>Time</t>
        </is>
      </c>
      <c r="AG92" s="353" t="inlineStr">
        <is>
          <t>Time</t>
        </is>
      </c>
      <c r="AH92" s="353" t="inlineStr">
        <is>
          <t>Time</t>
        </is>
      </c>
      <c r="AI92" s="353" t="inlineStr">
        <is>
          <t>Time</t>
        </is>
      </c>
      <c r="AJ92" s="516" t="n"/>
    </row>
    <row r="93">
      <c r="A93" s="517" t="n"/>
      <c r="B93" s="517" t="n"/>
      <c r="C93" s="525" t="n"/>
      <c r="D93" s="526" t="n"/>
      <c r="E93" s="354" t="n">
        <v>0.3333333333333333</v>
      </c>
      <c r="F93" s="354" t="n">
        <v>0.3333333333333333</v>
      </c>
      <c r="G93" s="354" t="n">
        <v>0.3333333333333333</v>
      </c>
      <c r="H93" s="354" t="n">
        <v>0.3333333333333333</v>
      </c>
      <c r="I93" s="354" t="n">
        <v>0.3333333333333333</v>
      </c>
      <c r="J93" s="354" t="n">
        <v>0.3333333333333333</v>
      </c>
      <c r="K93" s="354" t="n">
        <v>0.3333333333333333</v>
      </c>
      <c r="L93" s="354" t="n">
        <v>0.3333333333333333</v>
      </c>
      <c r="M93" s="354" t="n">
        <v>0.3333333333333333</v>
      </c>
      <c r="N93" s="354" t="n">
        <v>0.3333333333333333</v>
      </c>
      <c r="O93" s="354" t="n">
        <v>0.3333333333333333</v>
      </c>
      <c r="P93" s="354" t="n">
        <v>0.3333333333333333</v>
      </c>
      <c r="Q93" s="354" t="n">
        <v>0.3333333333333333</v>
      </c>
      <c r="R93" s="354" t="n">
        <v>0.3333333333333333</v>
      </c>
      <c r="S93" s="354" t="n">
        <v>0.3333333333333333</v>
      </c>
      <c r="T93" s="354" t="n">
        <v>0.3333333333333333</v>
      </c>
      <c r="U93" s="354" t="n">
        <v>0.3333333333333333</v>
      </c>
      <c r="V93" s="354" t="n">
        <v>0.3333333333333333</v>
      </c>
      <c r="W93" s="354" t="n">
        <v>0.3333333333333333</v>
      </c>
      <c r="X93" s="354" t="n">
        <v>0.3333333333333333</v>
      </c>
      <c r="Y93" s="354" t="n">
        <v>0.3333333333333333</v>
      </c>
      <c r="Z93" s="354" t="n">
        <v>0.3333333333333333</v>
      </c>
      <c r="AA93" s="354" t="n">
        <v>0.3333333333333333</v>
      </c>
      <c r="AB93" s="354" t="n">
        <v>0.3333333333333333</v>
      </c>
      <c r="AC93" s="354" t="n">
        <v>0.3333333333333333</v>
      </c>
      <c r="AD93" s="354" t="n">
        <v>0.3333333333333333</v>
      </c>
      <c r="AE93" s="354" t="n">
        <v>0.3333333333333333</v>
      </c>
      <c r="AF93" s="354" t="n">
        <v>0.3333333333333333</v>
      </c>
      <c r="AG93" s="354" t="n">
        <v>0.3333333333333333</v>
      </c>
      <c r="AH93" s="354" t="n">
        <v>0.3333333333333333</v>
      </c>
      <c r="AI93" s="354" t="n">
        <v>0.3333333333333333</v>
      </c>
      <c r="AJ93" s="517" t="n"/>
    </row>
    <row r="94">
      <c r="A94" s="558" t="n">
        <v>1</v>
      </c>
      <c r="B94" s="373" t="inlineStr">
        <is>
          <t>Basement:-2</t>
        </is>
      </c>
      <c r="C94" s="558" t="inlineStr">
        <is>
          <t>Liberty-170</t>
        </is>
      </c>
      <c r="D94" s="501" t="n"/>
      <c r="E94" s="355">
        <f>E88-D88</f>
        <v/>
      </c>
      <c r="F94" s="355">
        <f>F88-E88</f>
        <v/>
      </c>
      <c r="G94" s="355">
        <f>G88-F88</f>
        <v/>
      </c>
      <c r="H94" s="355">
        <f>H88-G88</f>
        <v/>
      </c>
      <c r="I94" s="355">
        <f>I88-H88</f>
        <v/>
      </c>
      <c r="J94" s="355">
        <f>J88-I88</f>
        <v/>
      </c>
      <c r="K94" s="355">
        <f>K88-J88</f>
        <v/>
      </c>
      <c r="L94" s="355">
        <f>L88-K88</f>
        <v/>
      </c>
      <c r="M94" s="355">
        <f>M88-L88</f>
        <v/>
      </c>
      <c r="N94" s="355">
        <f>N88-M88</f>
        <v/>
      </c>
      <c r="O94" s="355">
        <f>O88-N88</f>
        <v/>
      </c>
      <c r="P94" s="355">
        <f>P88-O88</f>
        <v/>
      </c>
      <c r="Q94" s="355">
        <f>Q88-P88</f>
        <v/>
      </c>
      <c r="R94" s="355">
        <f>R88-Q88</f>
        <v/>
      </c>
      <c r="S94" s="355">
        <f>S88-R88</f>
        <v/>
      </c>
      <c r="T94" s="355">
        <f>T88-S88</f>
        <v/>
      </c>
      <c r="U94" s="355">
        <f>U88-T88</f>
        <v/>
      </c>
      <c r="V94" s="355">
        <f>V88-U88</f>
        <v/>
      </c>
      <c r="W94" s="355">
        <f>W88-V88</f>
        <v/>
      </c>
      <c r="X94" s="355">
        <f>X88-W88</f>
        <v/>
      </c>
      <c r="Y94" s="355">
        <f>Y88-X88</f>
        <v/>
      </c>
      <c r="Z94" s="355">
        <f>Z88-Y88</f>
        <v/>
      </c>
      <c r="AA94" s="355">
        <f>AA88-Z88</f>
        <v/>
      </c>
      <c r="AB94" s="355">
        <f>AB88-AA88</f>
        <v/>
      </c>
      <c r="AC94" s="355">
        <f>AC88-AB88</f>
        <v/>
      </c>
      <c r="AD94" s="355">
        <f>AD88-AC88</f>
        <v/>
      </c>
      <c r="AE94" s="355">
        <f>AE88-AD88</f>
        <v/>
      </c>
      <c r="AF94" s="355">
        <f>AF88-AE88</f>
        <v/>
      </c>
      <c r="AG94" s="355">
        <f>AG88-AF88</f>
        <v/>
      </c>
      <c r="AH94" s="355">
        <f>AH88-AG88</f>
        <v/>
      </c>
      <c r="AI94" s="355">
        <f>AI88-AH88</f>
        <v/>
      </c>
      <c r="AJ94" s="355">
        <f>SUM(H94:AI94)</f>
        <v/>
      </c>
    </row>
  </sheetData>
  <mergeCells count="61">
    <mergeCell ref="C77:D77"/>
    <mergeCell ref="AJ40:AJ43"/>
    <mergeCell ref="D84:D87"/>
    <mergeCell ref="C62:D62"/>
    <mergeCell ref="C68:D68"/>
    <mergeCell ref="AJ90:AJ93"/>
    <mergeCell ref="C58:D58"/>
    <mergeCell ref="C40:D43"/>
    <mergeCell ref="A31:AI31"/>
    <mergeCell ref="C45:D45"/>
    <mergeCell ref="AJ2:AJ5"/>
    <mergeCell ref="C74:D74"/>
    <mergeCell ref="C64:D64"/>
    <mergeCell ref="B2:B5"/>
    <mergeCell ref="C79:D79"/>
    <mergeCell ref="D2:D5"/>
    <mergeCell ref="B38:D38"/>
    <mergeCell ref="C73:D73"/>
    <mergeCell ref="C90:D93"/>
    <mergeCell ref="A90:A93"/>
    <mergeCell ref="A84:A87"/>
    <mergeCell ref="C84:C87"/>
    <mergeCell ref="A1:AJ1"/>
    <mergeCell ref="C69:D69"/>
    <mergeCell ref="C47:D47"/>
    <mergeCell ref="C54:D54"/>
    <mergeCell ref="A83:D83"/>
    <mergeCell ref="C94:D94"/>
    <mergeCell ref="C65:D65"/>
    <mergeCell ref="C55:D55"/>
    <mergeCell ref="C50:D50"/>
    <mergeCell ref="C75:D75"/>
    <mergeCell ref="C44:D44"/>
    <mergeCell ref="C56:D56"/>
    <mergeCell ref="C59:D59"/>
    <mergeCell ref="C49:D49"/>
    <mergeCell ref="B84:B87"/>
    <mergeCell ref="C46:D46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E83:AI83"/>
    <mergeCell ref="C48:D48"/>
    <mergeCell ref="C72:D72"/>
    <mergeCell ref="C67:D67"/>
    <mergeCell ref="AJ84:AJ87"/>
    <mergeCell ref="C57:D57"/>
    <mergeCell ref="C66:D66"/>
    <mergeCell ref="A22:AI22"/>
    <mergeCell ref="C53:D53"/>
    <mergeCell ref="B39:D39"/>
    <mergeCell ref="C78:D78"/>
    <mergeCell ref="A36:AI37"/>
    <mergeCell ref="A40:A43"/>
    <mergeCell ref="B90:B9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94"/>
  <sheetViews>
    <sheetView topLeftCell="AA55" zoomScale="70" zoomScaleNormal="70" workbookViewId="0">
      <selection activeCell="T1" sqref="A1:XFD1048576"/>
    </sheetView>
  </sheetViews>
  <sheetFormatPr baseColWidth="8" defaultRowHeight="14.5"/>
  <cols>
    <col width="17" customWidth="1" style="488" min="1" max="1"/>
    <col width="27" customWidth="1" style="488" min="2" max="2"/>
    <col width="32" customWidth="1" style="488" min="3" max="3"/>
    <col width="20" bestFit="1" customWidth="1" style="488" min="4" max="4"/>
    <col width="36" customWidth="1" style="488" min="5" max="5"/>
    <col width="23" customWidth="1" style="488" min="6" max="34"/>
    <col width="18" customWidth="1" style="488" min="35" max="35"/>
    <col width="14" customWidth="1" style="488" min="36" max="36"/>
    <col width="18" customWidth="1" style="488" min="37" max="37"/>
  </cols>
  <sheetData>
    <row r="1" ht="21" customHeight="1" s="488">
      <c r="A1" s="556" t="inlineStr">
        <is>
          <t>April -  2026</t>
        </is>
      </c>
    </row>
    <row r="2" ht="17.25" customFormat="1" customHeight="1" s="570">
      <c r="A2" s="508" t="inlineStr">
        <is>
          <t>Sr.No</t>
        </is>
      </c>
      <c r="B2" s="508" t="inlineStr">
        <is>
          <t>Location</t>
        </is>
      </c>
      <c r="C2" s="572" t="inlineStr">
        <is>
          <t>Meter</t>
        </is>
      </c>
      <c r="D2" s="562" t="inlineStr">
        <is>
          <t>Previous Reading</t>
        </is>
      </c>
      <c r="E2" s="51" t="n">
        <v>46113</v>
      </c>
      <c r="F2" s="51" t="n">
        <v>46114</v>
      </c>
      <c r="G2" s="51" t="n">
        <v>46115</v>
      </c>
      <c r="H2" s="51" t="n">
        <v>46116</v>
      </c>
      <c r="I2" s="51" t="n">
        <v>46117</v>
      </c>
      <c r="J2" s="51" t="n">
        <v>46118</v>
      </c>
      <c r="K2" s="51" t="n">
        <v>46119</v>
      </c>
      <c r="L2" s="51" t="n">
        <v>46120</v>
      </c>
      <c r="M2" s="51" t="n">
        <v>46121</v>
      </c>
      <c r="N2" s="51" t="n">
        <v>46122</v>
      </c>
      <c r="O2" s="51" t="n">
        <v>46123</v>
      </c>
      <c r="P2" s="51" t="n">
        <v>46124</v>
      </c>
      <c r="Q2" s="51" t="n">
        <v>46125</v>
      </c>
      <c r="R2" s="51" t="n">
        <v>46126</v>
      </c>
      <c r="S2" s="51" t="n">
        <v>46127</v>
      </c>
      <c r="T2" s="51" t="n">
        <v>46128</v>
      </c>
      <c r="U2" s="51" t="n">
        <v>46129</v>
      </c>
      <c r="V2" s="51" t="n">
        <v>46130</v>
      </c>
      <c r="W2" s="51" t="n">
        <v>46131</v>
      </c>
      <c r="X2" s="51" t="n">
        <v>46132</v>
      </c>
      <c r="Y2" s="51" t="n">
        <v>46133</v>
      </c>
      <c r="Z2" s="51" t="n">
        <v>46134</v>
      </c>
      <c r="AA2" s="51" t="n">
        <v>46135</v>
      </c>
      <c r="AB2" s="51" t="n">
        <v>46136</v>
      </c>
      <c r="AC2" s="51" t="n">
        <v>46137</v>
      </c>
      <c r="AD2" s="51" t="n">
        <v>46138</v>
      </c>
      <c r="AE2" s="51" t="n">
        <v>46139</v>
      </c>
      <c r="AF2" s="51" t="n">
        <v>46140</v>
      </c>
      <c r="AG2" s="51" t="n">
        <v>46141</v>
      </c>
      <c r="AH2" s="51" t="n">
        <v>46142</v>
      </c>
      <c r="AI2" s="518" t="inlineStr">
        <is>
          <t>Consumption</t>
        </is>
      </c>
    </row>
    <row r="3" ht="17.25" customFormat="1" customHeight="1" s="570">
      <c r="A3" s="509" t="n"/>
      <c r="B3" s="509" t="n"/>
      <c r="C3" s="509" t="n"/>
      <c r="D3" s="509" t="n"/>
      <c r="E3" s="1" t="inlineStr">
        <is>
          <t>Wed</t>
        </is>
      </c>
      <c r="F3" s="1" t="inlineStr">
        <is>
          <t>Thu</t>
        </is>
      </c>
      <c r="G3" s="1" t="inlineStr">
        <is>
          <t>Fri</t>
        </is>
      </c>
      <c r="H3" s="1" t="inlineStr">
        <is>
          <t>Sat</t>
        </is>
      </c>
      <c r="I3" s="1" t="inlineStr">
        <is>
          <t>Sun</t>
        </is>
      </c>
      <c r="J3" s="1" t="inlineStr">
        <is>
          <t>Mon</t>
        </is>
      </c>
      <c r="K3" s="1" t="inlineStr">
        <is>
          <t>Tue</t>
        </is>
      </c>
      <c r="L3" s="1" t="inlineStr">
        <is>
          <t>Wed</t>
        </is>
      </c>
      <c r="M3" s="1" t="inlineStr">
        <is>
          <t>Thu</t>
        </is>
      </c>
      <c r="N3" s="1" t="inlineStr">
        <is>
          <t>Fri</t>
        </is>
      </c>
      <c r="O3" s="1" t="inlineStr">
        <is>
          <t>Sat</t>
        </is>
      </c>
      <c r="P3" s="1" t="inlineStr">
        <is>
          <t>Sun</t>
        </is>
      </c>
      <c r="Q3" s="1" t="inlineStr">
        <is>
          <t>Mon</t>
        </is>
      </c>
      <c r="R3" s="1" t="inlineStr">
        <is>
          <t>Tue</t>
        </is>
      </c>
      <c r="S3" s="1" t="inlineStr">
        <is>
          <t>Wed</t>
        </is>
      </c>
      <c r="T3" s="1" t="inlineStr">
        <is>
          <t>Thu</t>
        </is>
      </c>
      <c r="U3" s="1" t="inlineStr">
        <is>
          <t>Fri</t>
        </is>
      </c>
      <c r="V3" s="1" t="inlineStr">
        <is>
          <t>Sat</t>
        </is>
      </c>
      <c r="W3" s="1" t="inlineStr">
        <is>
          <t>Sun</t>
        </is>
      </c>
      <c r="X3" s="1" t="inlineStr">
        <is>
          <t>Mon</t>
        </is>
      </c>
      <c r="Y3" s="1" t="inlineStr">
        <is>
          <t>Tue</t>
        </is>
      </c>
      <c r="Z3" s="1" t="inlineStr">
        <is>
          <t>Wed</t>
        </is>
      </c>
      <c r="AA3" s="1" t="inlineStr">
        <is>
          <t>Thu</t>
        </is>
      </c>
      <c r="AB3" s="1" t="inlineStr">
        <is>
          <t>Fri</t>
        </is>
      </c>
      <c r="AC3" s="1" t="inlineStr">
        <is>
          <t>Sat</t>
        </is>
      </c>
      <c r="AD3" s="1" t="inlineStr">
        <is>
          <t>Sun</t>
        </is>
      </c>
      <c r="AE3" s="1" t="inlineStr">
        <is>
          <t>Mon</t>
        </is>
      </c>
      <c r="AF3" s="1" t="inlineStr">
        <is>
          <t>Tue</t>
        </is>
      </c>
      <c r="AG3" s="1" t="inlineStr">
        <is>
          <t>Wed</t>
        </is>
      </c>
      <c r="AH3" s="1" t="inlineStr">
        <is>
          <t>Thu</t>
        </is>
      </c>
      <c r="AI3" s="509" t="n"/>
    </row>
    <row r="4" ht="17.25" customFormat="1" customHeight="1" s="570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09" t="n"/>
    </row>
    <row r="5" ht="17.25" customFormat="1" customHeight="1" s="570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53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10" t="n"/>
    </row>
    <row r="6" ht="24" customFormat="1" customHeight="1" s="570">
      <c r="A6" s="48" t="n">
        <v>1</v>
      </c>
      <c r="B6" s="561" t="inlineStr">
        <is>
          <t>3F</t>
        </is>
      </c>
      <c r="C6" s="402" t="inlineStr">
        <is>
          <t>SL No 540430038840 (EB Unit)</t>
        </is>
      </c>
      <c r="D6" s="398" t="n">
        <v>188707</v>
      </c>
      <c r="E6" s="403" t="n">
        <v>189123</v>
      </c>
      <c r="F6" s="403" t="n">
        <v>189320</v>
      </c>
      <c r="G6" s="403" t="n">
        <v>189538</v>
      </c>
      <c r="H6" s="403" t="n">
        <v>189741</v>
      </c>
      <c r="I6" s="403" t="n">
        <v>189949</v>
      </c>
      <c r="J6" s="403" t="n">
        <v>190161</v>
      </c>
      <c r="K6" s="403" t="n">
        <v>190419</v>
      </c>
      <c r="L6" s="403" t="n">
        <v>190690</v>
      </c>
      <c r="M6" s="403" t="n">
        <v>190946</v>
      </c>
      <c r="N6" s="403" t="n">
        <v>191202</v>
      </c>
      <c r="O6" s="403" t="n">
        <v>191403</v>
      </c>
      <c r="P6" s="403" t="n">
        <v>191603</v>
      </c>
      <c r="Q6" s="403" t="n">
        <v>191870</v>
      </c>
      <c r="R6" s="403" t="n">
        <v>192127</v>
      </c>
      <c r="S6" s="403" t="n">
        <v>192390</v>
      </c>
      <c r="T6" s="403" t="n">
        <v>192641</v>
      </c>
      <c r="U6" s="403" t="n">
        <v>192912</v>
      </c>
      <c r="V6" s="403" t="n">
        <v>193129</v>
      </c>
      <c r="W6" s="403" t="n">
        <v>193328</v>
      </c>
      <c r="X6" s="403" t="n">
        <v>193592</v>
      </c>
      <c r="Y6" s="403" t="n">
        <v>193854</v>
      </c>
      <c r="Z6" s="403" t="n">
        <v>194112</v>
      </c>
      <c r="AA6" s="403" t="n">
        <v>194369</v>
      </c>
      <c r="AB6" s="403" t="n">
        <v>194620</v>
      </c>
      <c r="AC6" s="403" t="n">
        <v>194833</v>
      </c>
      <c r="AD6" s="403" t="n">
        <v>195041</v>
      </c>
      <c r="AE6" s="403" t="n">
        <v>195292</v>
      </c>
      <c r="AF6" s="403" t="n">
        <v>195556</v>
      </c>
      <c r="AG6" s="403" t="n">
        <v>195813</v>
      </c>
      <c r="AH6" s="403" t="n">
        <v>196078</v>
      </c>
      <c r="AI6" s="57">
        <f>AH6-D6</f>
        <v/>
      </c>
    </row>
    <row r="7" ht="24" customFormat="1" customHeight="1" s="570">
      <c r="A7" s="8" t="n"/>
      <c r="B7" s="8" t="n"/>
      <c r="C7" s="404" t="inlineStr">
        <is>
          <t>DG</t>
        </is>
      </c>
      <c r="D7" s="45" t="n">
        <v>4329</v>
      </c>
      <c r="E7" s="48" t="n">
        <v>4329</v>
      </c>
      <c r="F7" s="48" t="n">
        <v>4329</v>
      </c>
      <c r="G7" s="48" t="n">
        <v>4329</v>
      </c>
      <c r="H7" s="48" t="n">
        <v>4329</v>
      </c>
      <c r="I7" s="48" t="n">
        <v>4329</v>
      </c>
      <c r="J7" s="48" t="n">
        <v>4329</v>
      </c>
      <c r="K7" s="48" t="n">
        <v>4329</v>
      </c>
      <c r="L7" s="48" t="n">
        <v>4329</v>
      </c>
      <c r="M7" s="128" t="n">
        <v>4329</v>
      </c>
      <c r="N7" s="128" t="n">
        <v>4329</v>
      </c>
      <c r="O7" s="128" t="n">
        <v>4329</v>
      </c>
      <c r="P7" s="128" t="n">
        <v>4329</v>
      </c>
      <c r="Q7" s="128" t="n">
        <v>4329</v>
      </c>
      <c r="R7" s="128" t="n">
        <v>4329</v>
      </c>
      <c r="S7" s="128" t="n">
        <v>4329</v>
      </c>
      <c r="T7" s="128" t="n">
        <v>4329</v>
      </c>
      <c r="U7" s="8" t="n">
        <v>4329</v>
      </c>
      <c r="V7" s="8" t="n">
        <v>4329</v>
      </c>
      <c r="W7" s="8" t="n">
        <v>4329</v>
      </c>
      <c r="X7" s="8" t="n">
        <v>4329</v>
      </c>
      <c r="Y7" s="8" t="n">
        <v>4329</v>
      </c>
      <c r="Z7" s="8" t="n">
        <v>4329</v>
      </c>
      <c r="AA7" s="8" t="n">
        <v>4329</v>
      </c>
      <c r="AB7" s="8" t="n">
        <v>4329</v>
      </c>
      <c r="AC7" s="8" t="n">
        <v>4329</v>
      </c>
      <c r="AD7" s="8" t="n">
        <v>4329</v>
      </c>
      <c r="AE7" s="8" t="n">
        <v>4329</v>
      </c>
      <c r="AF7" s="8" t="n">
        <v>4329</v>
      </c>
      <c r="AG7" s="8" t="n">
        <v>4329</v>
      </c>
      <c r="AH7" s="8" t="n">
        <v>4329</v>
      </c>
      <c r="AI7" s="57">
        <f>AH7-D7</f>
        <v/>
      </c>
    </row>
    <row r="8" ht="24" customFormat="1" customHeight="1" s="570">
      <c r="A8" s="561" t="n">
        <v>2</v>
      </c>
      <c r="B8" s="561" t="inlineStr">
        <is>
          <t>3F</t>
        </is>
      </c>
      <c r="C8" s="405" t="inlineStr">
        <is>
          <t>SL No 540430038845 (EB Unit)</t>
        </is>
      </c>
      <c r="D8" s="565" t="n">
        <v>1956</v>
      </c>
      <c r="E8" s="48" t="n">
        <v>1956</v>
      </c>
      <c r="F8" s="48" t="n">
        <v>1956</v>
      </c>
      <c r="G8" s="48" t="n">
        <v>1956</v>
      </c>
      <c r="H8" s="48" t="n">
        <v>1956</v>
      </c>
      <c r="I8" s="48" t="n">
        <v>1956</v>
      </c>
      <c r="J8" s="48" t="n">
        <v>1956</v>
      </c>
      <c r="K8" s="48" t="n">
        <v>1956</v>
      </c>
      <c r="L8" s="48" t="n">
        <v>1956</v>
      </c>
      <c r="M8" s="561" t="n">
        <v>1956</v>
      </c>
      <c r="N8" s="561" t="n">
        <v>1956</v>
      </c>
      <c r="O8" s="561" t="n">
        <v>1956</v>
      </c>
      <c r="P8" s="561" t="n">
        <v>1956</v>
      </c>
      <c r="Q8" s="561" t="n">
        <v>1956</v>
      </c>
      <c r="R8" s="561" t="n">
        <v>1956</v>
      </c>
      <c r="S8" s="561" t="n">
        <v>1956</v>
      </c>
      <c r="T8" s="561" t="n">
        <v>1956</v>
      </c>
      <c r="U8" s="561" t="n">
        <v>1956</v>
      </c>
      <c r="V8" s="561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61" t="n">
        <v>1956</v>
      </c>
      <c r="AI8" s="57">
        <f>AH8-D8</f>
        <v/>
      </c>
    </row>
    <row r="9" ht="24" customFormat="1" customHeight="1" s="570">
      <c r="A9" s="561" t="n"/>
      <c r="B9" s="561" t="n"/>
      <c r="C9" s="404" t="inlineStr">
        <is>
          <t>DG</t>
        </is>
      </c>
      <c r="D9" s="565" t="n">
        <v>28.6</v>
      </c>
      <c r="E9" s="48" t="n">
        <v>28.3</v>
      </c>
      <c r="F9" s="48" t="n">
        <v>28.6</v>
      </c>
      <c r="G9" s="48" t="n">
        <v>28.6</v>
      </c>
      <c r="H9" s="48" t="n">
        <v>28.6</v>
      </c>
      <c r="I9" s="48" t="n">
        <v>28.6</v>
      </c>
      <c r="J9" s="48" t="n">
        <v>28.6</v>
      </c>
      <c r="K9" s="48" t="n">
        <v>28.6</v>
      </c>
      <c r="L9" s="48" t="n">
        <v>28.6</v>
      </c>
      <c r="M9" s="58" t="n">
        <v>28.6</v>
      </c>
      <c r="N9" s="58" t="n">
        <v>28.6</v>
      </c>
      <c r="O9" s="58" t="n">
        <v>28.6</v>
      </c>
      <c r="P9" s="58" t="n">
        <v>28.6</v>
      </c>
      <c r="Q9" s="58" t="n">
        <v>28.6</v>
      </c>
      <c r="R9" s="58" t="n">
        <v>28.6</v>
      </c>
      <c r="S9" s="58" t="n">
        <v>28.6</v>
      </c>
      <c r="T9" s="58" t="n">
        <v>28.6</v>
      </c>
      <c r="U9" s="561" t="n">
        <v>28.6</v>
      </c>
      <c r="V9" s="561" t="n">
        <v>28.6</v>
      </c>
      <c r="W9" s="561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61" t="n">
        <v>28.6</v>
      </c>
      <c r="AI9" s="57">
        <f>AH9-D9</f>
        <v/>
      </c>
    </row>
    <row r="10" ht="24" customFormat="1" customHeight="1" s="570">
      <c r="A10" s="561" t="n">
        <v>3</v>
      </c>
      <c r="B10" s="561" t="inlineStr">
        <is>
          <t>3F</t>
        </is>
      </c>
      <c r="C10" s="405" t="inlineStr">
        <is>
          <t>SL No 540430038844 (EB Unit)</t>
        </is>
      </c>
      <c r="D10" s="398" t="n">
        <v>273490</v>
      </c>
      <c r="E10" s="215" t="n">
        <v>274089</v>
      </c>
      <c r="F10" s="60" t="n">
        <v>274381</v>
      </c>
      <c r="G10" s="60" t="n">
        <v>274673</v>
      </c>
      <c r="H10" s="60" t="n">
        <v>274947</v>
      </c>
      <c r="I10" s="60" t="n">
        <v>275222</v>
      </c>
      <c r="J10" s="561" t="n">
        <v>275511</v>
      </c>
      <c r="K10" s="561" t="n">
        <v>275886</v>
      </c>
      <c r="L10" s="561" t="n">
        <v>276282</v>
      </c>
      <c r="M10" s="561" t="n">
        <v>276656</v>
      </c>
      <c r="N10" s="561" t="n">
        <v>277020</v>
      </c>
      <c r="O10" s="561" t="n">
        <v>277292</v>
      </c>
      <c r="P10" s="561" t="n">
        <v>277559</v>
      </c>
      <c r="Q10" s="561" t="n">
        <v>277944</v>
      </c>
      <c r="R10" s="561" t="n">
        <v>278324</v>
      </c>
      <c r="S10" s="561" t="n">
        <v>278709</v>
      </c>
      <c r="T10" s="561" t="n">
        <v>279075</v>
      </c>
      <c r="U10" s="561" t="n">
        <v>279465</v>
      </c>
      <c r="V10" s="561" t="n">
        <v>279746</v>
      </c>
      <c r="W10" s="561" t="n">
        <v>280016</v>
      </c>
      <c r="X10" s="561" t="n">
        <v>280397</v>
      </c>
      <c r="Y10" s="561" t="n">
        <v>280781</v>
      </c>
      <c r="Z10" s="561" t="n">
        <v>281152</v>
      </c>
      <c r="AA10" s="58" t="n">
        <v>281529</v>
      </c>
      <c r="AB10" s="8" t="n">
        <v>281886</v>
      </c>
      <c r="AC10" s="8" t="n">
        <v>282171</v>
      </c>
      <c r="AD10" s="8" t="n">
        <v>282447</v>
      </c>
      <c r="AE10" s="128" t="n">
        <v>282812</v>
      </c>
      <c r="AF10" s="128" t="n">
        <v>283201</v>
      </c>
      <c r="AG10" s="406" t="n">
        <v>283566</v>
      </c>
      <c r="AH10" s="407" t="n">
        <v>283914</v>
      </c>
      <c r="AI10" s="57">
        <f>AH10-D10</f>
        <v/>
      </c>
    </row>
    <row r="11" ht="24" customFormat="1" customHeight="1" s="570">
      <c r="A11" s="561" t="n"/>
      <c r="B11" s="561" t="n"/>
      <c r="C11" s="404" t="inlineStr">
        <is>
          <t>DG</t>
        </is>
      </c>
      <c r="D11" s="565" t="n">
        <v>6472</v>
      </c>
      <c r="E11" s="48" t="n">
        <v>6472</v>
      </c>
      <c r="F11" s="48" t="n">
        <v>6472</v>
      </c>
      <c r="G11" s="48" t="n">
        <v>6472</v>
      </c>
      <c r="H11" s="48" t="n">
        <v>6472</v>
      </c>
      <c r="I11" s="48" t="n">
        <v>6472</v>
      </c>
      <c r="J11" s="48" t="n">
        <v>6472</v>
      </c>
      <c r="K11" s="48" t="n">
        <v>6472</v>
      </c>
      <c r="L11" s="48" t="n">
        <v>6472</v>
      </c>
      <c r="M11" s="58" t="n">
        <v>6472</v>
      </c>
      <c r="N11" s="58" t="n">
        <v>6472</v>
      </c>
      <c r="O11" s="58" t="n">
        <v>6472</v>
      </c>
      <c r="P11" s="58" t="n">
        <v>6472</v>
      </c>
      <c r="Q11" s="58" t="n">
        <v>6472</v>
      </c>
      <c r="R11" s="58" t="n">
        <v>6472</v>
      </c>
      <c r="S11" s="58" t="n">
        <v>6472</v>
      </c>
      <c r="T11" s="58" t="n">
        <v>6472</v>
      </c>
      <c r="U11" s="561" t="n">
        <v>6472</v>
      </c>
      <c r="V11" s="561" t="n">
        <v>6472</v>
      </c>
      <c r="W11" s="561" t="n">
        <v>6472</v>
      </c>
      <c r="X11" s="561" t="n">
        <v>6472</v>
      </c>
      <c r="Y11" s="561" t="n">
        <v>6472</v>
      </c>
      <c r="Z11" s="561" t="n">
        <v>6472</v>
      </c>
      <c r="AA11" s="561" t="n">
        <v>6472</v>
      </c>
      <c r="AB11" s="561" t="n">
        <v>6472</v>
      </c>
      <c r="AC11" s="561" t="n">
        <v>6472</v>
      </c>
      <c r="AD11" s="561" t="n">
        <v>6472</v>
      </c>
      <c r="AE11" s="561" t="n">
        <v>6472</v>
      </c>
      <c r="AF11" s="561" t="n">
        <v>6472</v>
      </c>
      <c r="AG11" s="561" t="n">
        <v>6472</v>
      </c>
      <c r="AH11" s="561" t="n">
        <v>6472</v>
      </c>
      <c r="AI11" s="57">
        <f>AH11-D11</f>
        <v/>
      </c>
    </row>
    <row r="12" ht="24" customFormat="1" customHeight="1" s="570">
      <c r="A12" s="561" t="n">
        <v>4</v>
      </c>
      <c r="B12" s="561" t="inlineStr">
        <is>
          <t>3F</t>
        </is>
      </c>
      <c r="C12" s="405" t="inlineStr">
        <is>
          <t>SL No 540430038821 (EB Unit)</t>
        </is>
      </c>
      <c r="D12" s="565" t="n">
        <v>0</v>
      </c>
      <c r="E12" s="48" t="n">
        <v>0</v>
      </c>
      <c r="F12" s="48" t="n">
        <v>0</v>
      </c>
      <c r="G12" s="48" t="n">
        <v>0</v>
      </c>
      <c r="H12" s="48" t="n">
        <v>0</v>
      </c>
      <c r="I12" s="48" t="n">
        <v>0</v>
      </c>
      <c r="J12" s="48" t="n">
        <v>0</v>
      </c>
      <c r="K12" s="48" t="n">
        <v>0</v>
      </c>
      <c r="L12" s="48" t="n">
        <v>0</v>
      </c>
      <c r="M12" s="561" t="n">
        <v>0</v>
      </c>
      <c r="N12" s="561" t="n">
        <v>0</v>
      </c>
      <c r="O12" s="561" t="n">
        <v>0</v>
      </c>
      <c r="P12" s="561" t="n">
        <v>0</v>
      </c>
      <c r="Q12" s="561" t="n">
        <v>0</v>
      </c>
      <c r="R12" s="561" t="n">
        <v>0</v>
      </c>
      <c r="S12" s="561" t="n">
        <v>0</v>
      </c>
      <c r="T12" s="561" t="n">
        <v>0</v>
      </c>
      <c r="U12" s="561" t="n">
        <v>0</v>
      </c>
      <c r="V12" s="561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61" t="n">
        <v>0</v>
      </c>
      <c r="AI12" s="57">
        <f>AH12-D12</f>
        <v/>
      </c>
    </row>
    <row r="13" ht="24" customFormat="1" customHeight="1" s="570">
      <c r="A13" s="561" t="n"/>
      <c r="B13" s="561" t="n"/>
      <c r="C13" s="404" t="inlineStr">
        <is>
          <t>DG</t>
        </is>
      </c>
      <c r="D13" s="565" t="n">
        <v>0</v>
      </c>
      <c r="E13" s="48" t="n">
        <v>0</v>
      </c>
      <c r="F13" s="48" t="n">
        <v>0</v>
      </c>
      <c r="G13" s="48" t="n">
        <v>0</v>
      </c>
      <c r="H13" s="48" t="n">
        <v>0</v>
      </c>
      <c r="I13" s="48" t="n">
        <v>0</v>
      </c>
      <c r="J13" s="48" t="n">
        <v>0</v>
      </c>
      <c r="K13" s="48" t="n">
        <v>0</v>
      </c>
      <c r="L13" s="48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7">
        <f>AH13-D13</f>
        <v/>
      </c>
    </row>
    <row r="14" ht="24" customFormat="1" customHeight="1" s="570">
      <c r="A14" s="561" t="n">
        <v>5</v>
      </c>
      <c r="B14" s="561" t="inlineStr">
        <is>
          <t>3F</t>
        </is>
      </c>
      <c r="C14" s="405" t="inlineStr">
        <is>
          <t>SL No 540430038849 (EB Unit)</t>
        </is>
      </c>
      <c r="D14" s="398" t="n">
        <v>143732</v>
      </c>
      <c r="E14" s="129" t="n">
        <v>144105</v>
      </c>
      <c r="F14" s="8" t="n">
        <v>144275</v>
      </c>
      <c r="G14" s="8" t="n">
        <v>144415</v>
      </c>
      <c r="H14" s="8" t="n">
        <v>144547</v>
      </c>
      <c r="I14" s="8" t="n">
        <v>144696</v>
      </c>
      <c r="J14" s="561" t="n">
        <v>144865</v>
      </c>
      <c r="K14" s="561" t="n">
        <v>145101</v>
      </c>
      <c r="L14" s="561" t="n">
        <v>145346</v>
      </c>
      <c r="M14" s="561" t="n">
        <v>145503</v>
      </c>
      <c r="N14" s="561" t="n">
        <v>145806</v>
      </c>
      <c r="O14" s="561" t="n">
        <v>145945</v>
      </c>
      <c r="P14" s="561" t="n">
        <v>146078</v>
      </c>
      <c r="Q14" s="561" t="n">
        <v>146322</v>
      </c>
      <c r="R14" s="561" t="n">
        <v>146563</v>
      </c>
      <c r="S14" s="561" t="n">
        <v>146772</v>
      </c>
      <c r="T14" s="561" t="n">
        <v>147037</v>
      </c>
      <c r="U14" s="33" t="n">
        <v>147286</v>
      </c>
      <c r="V14" s="561" t="n">
        <v>147413</v>
      </c>
      <c r="W14" s="561" t="n">
        <v>147529</v>
      </c>
      <c r="X14" s="561" t="n">
        <v>147769</v>
      </c>
      <c r="Y14" s="561" t="n">
        <v>148006</v>
      </c>
      <c r="Z14" s="561" t="n">
        <v>148246</v>
      </c>
      <c r="AA14" s="58" t="n">
        <v>148476</v>
      </c>
      <c r="AB14" s="33" t="n">
        <v>148699</v>
      </c>
      <c r="AC14" s="33" t="n">
        <v>148853</v>
      </c>
      <c r="AD14" s="33" t="n">
        <v>148985</v>
      </c>
      <c r="AE14" s="569" t="n">
        <v>149200</v>
      </c>
      <c r="AF14" s="569" t="n">
        <v>149433</v>
      </c>
      <c r="AG14" s="406" t="n">
        <v>149662</v>
      </c>
      <c r="AH14" s="407" t="n">
        <v>149904</v>
      </c>
      <c r="AI14" s="57">
        <f>AH14-D14</f>
        <v/>
      </c>
    </row>
    <row r="15" ht="24" customFormat="1" customHeight="1" s="570">
      <c r="A15" s="561" t="n"/>
      <c r="B15" s="561" t="n"/>
      <c r="C15" s="404" t="inlineStr">
        <is>
          <t>DG</t>
        </is>
      </c>
      <c r="D15" s="408" t="n">
        <v>3316</v>
      </c>
      <c r="E15" s="215" t="n">
        <v>3316</v>
      </c>
      <c r="F15" s="215" t="n">
        <v>3316</v>
      </c>
      <c r="G15" s="215" t="n">
        <v>3316</v>
      </c>
      <c r="H15" s="215" t="n">
        <v>3316</v>
      </c>
      <c r="I15" s="215" t="n">
        <v>3316</v>
      </c>
      <c r="J15" s="215" t="n">
        <v>3316</v>
      </c>
      <c r="K15" s="215" t="n">
        <v>3316</v>
      </c>
      <c r="L15" s="215" t="n">
        <v>3316</v>
      </c>
      <c r="M15" s="215" t="n">
        <v>3316</v>
      </c>
      <c r="N15" s="215" t="n">
        <v>3316</v>
      </c>
      <c r="O15" s="215" t="n">
        <v>3316</v>
      </c>
      <c r="P15" s="215" t="n">
        <v>3316</v>
      </c>
      <c r="Q15" s="215" t="n">
        <v>3316</v>
      </c>
      <c r="R15" s="215" t="n">
        <v>3316</v>
      </c>
      <c r="S15" s="215" t="n">
        <v>3316</v>
      </c>
      <c r="T15" s="215" t="n">
        <v>3316</v>
      </c>
      <c r="U15" s="60" t="n">
        <v>3316</v>
      </c>
      <c r="V15" s="60" t="n">
        <v>3316</v>
      </c>
      <c r="W15" s="60" t="n">
        <v>3316</v>
      </c>
      <c r="X15" s="60" t="n">
        <v>3316</v>
      </c>
      <c r="Y15" s="60" t="n">
        <v>3316</v>
      </c>
      <c r="Z15" s="60" t="n">
        <v>3316</v>
      </c>
      <c r="AA15" s="60" t="n">
        <v>3316</v>
      </c>
      <c r="AB15" s="60" t="n">
        <v>3316</v>
      </c>
      <c r="AC15" s="60" t="n">
        <v>3316</v>
      </c>
      <c r="AD15" s="60" t="n">
        <v>3316</v>
      </c>
      <c r="AE15" s="60" t="n">
        <v>3316</v>
      </c>
      <c r="AF15" s="60" t="n">
        <v>3316</v>
      </c>
      <c r="AG15" s="60" t="n">
        <v>3316</v>
      </c>
      <c r="AH15" s="60" t="n">
        <v>3316</v>
      </c>
      <c r="AI15" s="57">
        <f>AH15-D15</f>
        <v/>
      </c>
    </row>
    <row r="16" ht="24" customFormat="1" customHeight="1" s="570">
      <c r="A16" s="561" t="n">
        <v>6</v>
      </c>
      <c r="B16" s="561" t="inlineStr">
        <is>
          <t>3F</t>
        </is>
      </c>
      <c r="C16" s="405" t="inlineStr">
        <is>
          <t>SL No 540430038646 (EB Unit)</t>
        </is>
      </c>
      <c r="D16" s="398" t="n">
        <v>160213</v>
      </c>
      <c r="E16" s="409" t="n">
        <v>160642</v>
      </c>
      <c r="F16" s="58" t="n">
        <v>160877</v>
      </c>
      <c r="G16" s="48" t="n">
        <v>160988</v>
      </c>
      <c r="H16" s="59" t="n">
        <v>161082</v>
      </c>
      <c r="I16" s="561" t="n">
        <v>161173</v>
      </c>
      <c r="J16" s="561" t="n">
        <v>161261</v>
      </c>
      <c r="K16" s="58" t="n">
        <v>161530</v>
      </c>
      <c r="L16" s="127" t="n">
        <v>161795</v>
      </c>
      <c r="M16" s="407" t="n">
        <v>162059</v>
      </c>
      <c r="N16" s="407" t="n">
        <v>162320</v>
      </c>
      <c r="O16" s="407" t="n">
        <v>162434</v>
      </c>
      <c r="P16" s="407" t="n">
        <v>162516</v>
      </c>
      <c r="Q16" s="410" t="n">
        <v>162803</v>
      </c>
      <c r="R16" s="407" t="n">
        <v>163074</v>
      </c>
      <c r="S16" s="59" t="n">
        <v>163354</v>
      </c>
      <c r="T16" s="561" t="n">
        <v>163619</v>
      </c>
      <c r="U16" s="561" t="n">
        <v>163924</v>
      </c>
      <c r="V16" s="561" t="n">
        <v>164045</v>
      </c>
      <c r="W16" s="561" t="n">
        <v>164136</v>
      </c>
      <c r="X16" s="561" t="n">
        <v>164396</v>
      </c>
      <c r="Y16" s="561" t="n">
        <v>164687</v>
      </c>
      <c r="Z16" s="561" t="n">
        <v>164971</v>
      </c>
      <c r="AA16" s="58" t="n">
        <v>165253</v>
      </c>
      <c r="AB16" s="58" t="n">
        <v>165535</v>
      </c>
      <c r="AC16" s="48" t="n">
        <v>165683</v>
      </c>
      <c r="AD16" s="48" t="n">
        <v>165800</v>
      </c>
      <c r="AE16" s="169" t="n">
        <v>166065</v>
      </c>
      <c r="AF16" s="169" t="n">
        <v>166337</v>
      </c>
      <c r="AG16" s="406" t="n">
        <v>166611</v>
      </c>
      <c r="AH16" s="407" t="n">
        <v>166898</v>
      </c>
      <c r="AI16" s="57">
        <f>AH16-D16</f>
        <v/>
      </c>
    </row>
    <row r="17" ht="24" customFormat="1" customHeight="1" s="570">
      <c r="A17" s="561" t="n"/>
      <c r="B17" s="561" t="n"/>
      <c r="C17" s="404" t="inlineStr">
        <is>
          <t>DG</t>
        </is>
      </c>
      <c r="D17" s="156" t="n">
        <v>4297</v>
      </c>
      <c r="E17" s="129" t="n">
        <v>4297</v>
      </c>
      <c r="F17" s="129" t="n">
        <v>4297</v>
      </c>
      <c r="G17" s="129" t="n">
        <v>4297</v>
      </c>
      <c r="H17" s="129" t="n">
        <v>4297</v>
      </c>
      <c r="I17" s="129" t="n">
        <v>4297</v>
      </c>
      <c r="J17" s="129" t="n">
        <v>4297</v>
      </c>
      <c r="K17" s="129" t="n">
        <v>4297</v>
      </c>
      <c r="L17" s="129" t="n">
        <v>4297</v>
      </c>
      <c r="M17" s="129" t="n">
        <v>4297</v>
      </c>
      <c r="N17" s="129" t="n">
        <v>4297</v>
      </c>
      <c r="O17" s="129" t="n">
        <v>4297</v>
      </c>
      <c r="P17" s="129" t="n">
        <v>4297</v>
      </c>
      <c r="Q17" s="129" t="n">
        <v>4297</v>
      </c>
      <c r="R17" s="129" t="n">
        <v>4297</v>
      </c>
      <c r="S17" s="129" t="n">
        <v>4297</v>
      </c>
      <c r="T17" s="129" t="n">
        <v>4297</v>
      </c>
      <c r="U17" s="129" t="n">
        <v>4297</v>
      </c>
      <c r="V17" s="129" t="n">
        <v>4297</v>
      </c>
      <c r="W17" s="129" t="n">
        <v>4297</v>
      </c>
      <c r="X17" s="129" t="n">
        <v>4297</v>
      </c>
      <c r="Y17" s="129" t="n">
        <v>4297</v>
      </c>
      <c r="Z17" s="129" t="n">
        <v>4297</v>
      </c>
      <c r="AA17" s="129" t="n">
        <v>4297</v>
      </c>
      <c r="AB17" s="129" t="n">
        <v>4297</v>
      </c>
      <c r="AC17" s="129" t="n">
        <v>4297</v>
      </c>
      <c r="AD17" s="129" t="n">
        <v>4297</v>
      </c>
      <c r="AE17" s="129" t="n">
        <v>4297</v>
      </c>
      <c r="AF17" s="129" t="n">
        <v>4297</v>
      </c>
      <c r="AG17" s="129" t="n">
        <v>4297</v>
      </c>
      <c r="AH17" s="129" t="n">
        <v>4297</v>
      </c>
      <c r="AI17" s="57">
        <f>AH17-D17</f>
        <v/>
      </c>
    </row>
    <row r="18" ht="24" customFormat="1" customHeight="1" s="570">
      <c r="A18" s="561" t="n">
        <v>7</v>
      </c>
      <c r="B18" s="561" t="inlineStr">
        <is>
          <t>3F</t>
        </is>
      </c>
      <c r="C18" s="405" t="inlineStr">
        <is>
          <t>SL No 540430038843 (EB Unit)</t>
        </is>
      </c>
      <c r="D18" s="398" t="n">
        <v>528403</v>
      </c>
      <c r="E18" s="59" t="n">
        <v>529732</v>
      </c>
      <c r="F18" s="561" t="n">
        <v>530347</v>
      </c>
      <c r="G18" s="561" t="n">
        <v>530777</v>
      </c>
      <c r="H18" s="561" t="n">
        <v>531162</v>
      </c>
      <c r="I18" s="561" t="n">
        <v>531674</v>
      </c>
      <c r="J18" s="561" t="n">
        <v>532109</v>
      </c>
      <c r="K18" s="561" t="n">
        <v>532851</v>
      </c>
      <c r="L18" s="561" t="n">
        <v>533672</v>
      </c>
      <c r="M18" s="561" t="n">
        <v>534410</v>
      </c>
      <c r="N18" s="5" t="n">
        <v>535246</v>
      </c>
      <c r="O18" s="561" t="n">
        <v>535602</v>
      </c>
      <c r="P18" s="561" t="n">
        <v>536003</v>
      </c>
      <c r="Q18" s="561" t="n">
        <v>536803</v>
      </c>
      <c r="R18" s="8" t="n">
        <v>537574</v>
      </c>
      <c r="S18" s="5" t="n">
        <v>538394</v>
      </c>
      <c r="T18" s="561" t="n">
        <v>539168</v>
      </c>
      <c r="U18" s="561" t="n">
        <v>539950</v>
      </c>
      <c r="V18" s="561" t="n">
        <v>540353</v>
      </c>
      <c r="W18" s="561" t="n">
        <v>540688</v>
      </c>
      <c r="X18" s="33" t="n">
        <v>541492</v>
      </c>
      <c r="Y18" s="561" t="n">
        <v>542247</v>
      </c>
      <c r="Z18" s="561" t="n">
        <v>543018</v>
      </c>
      <c r="AA18" s="58" t="n">
        <v>543788</v>
      </c>
      <c r="AB18" s="48" t="n">
        <v>544541</v>
      </c>
      <c r="AC18" s="201" t="n">
        <v>545059</v>
      </c>
      <c r="AD18" s="8" t="n">
        <v>545464</v>
      </c>
      <c r="AE18" s="128" t="n">
        <v>546206</v>
      </c>
      <c r="AF18" s="128" t="n">
        <v>547009</v>
      </c>
      <c r="AG18" s="406" t="n">
        <v>547765</v>
      </c>
      <c r="AH18" s="407" t="n">
        <v>548563</v>
      </c>
      <c r="AI18" s="57">
        <f>AH18-D18</f>
        <v/>
      </c>
    </row>
    <row r="19" ht="24" customFormat="1" customHeight="1" s="570">
      <c r="A19" s="561" t="n"/>
      <c r="B19" s="561" t="n"/>
      <c r="C19" s="404" t="inlineStr">
        <is>
          <t>DG</t>
        </is>
      </c>
      <c r="D19" s="565" t="n">
        <v>11747</v>
      </c>
      <c r="E19" s="59" t="n">
        <v>11747</v>
      </c>
      <c r="F19" s="59" t="n">
        <v>11747</v>
      </c>
      <c r="G19" s="59" t="n">
        <v>11747</v>
      </c>
      <c r="H19" s="59" t="n">
        <v>11747</v>
      </c>
      <c r="I19" s="59" t="n">
        <v>11747</v>
      </c>
      <c r="J19" s="59" t="n">
        <v>11747</v>
      </c>
      <c r="K19" s="59" t="n">
        <v>11747</v>
      </c>
      <c r="L19" s="59" t="n">
        <v>11747</v>
      </c>
      <c r="M19" s="561" t="n">
        <v>11747</v>
      </c>
      <c r="N19" s="561" t="n">
        <v>11747</v>
      </c>
      <c r="O19" s="561" t="n">
        <v>11747</v>
      </c>
      <c r="P19" s="561" t="n">
        <v>11747</v>
      </c>
      <c r="Q19" s="561" t="n">
        <v>11747</v>
      </c>
      <c r="R19" s="561" t="n">
        <v>11747</v>
      </c>
      <c r="S19" s="561" t="n">
        <v>11747</v>
      </c>
      <c r="T19" s="561" t="n">
        <v>11747</v>
      </c>
      <c r="U19" s="561" t="n">
        <v>11747</v>
      </c>
      <c r="V19" s="561" t="n">
        <v>11747</v>
      </c>
      <c r="W19" s="561" t="n">
        <v>11747</v>
      </c>
      <c r="X19" s="561" t="n">
        <v>11747</v>
      </c>
      <c r="Y19" s="561" t="n">
        <v>11747</v>
      </c>
      <c r="Z19" s="561" t="n">
        <v>11747</v>
      </c>
      <c r="AA19" s="561" t="n">
        <v>11747</v>
      </c>
      <c r="AB19" s="561" t="n">
        <v>11747</v>
      </c>
      <c r="AC19" s="561" t="n">
        <v>11747</v>
      </c>
      <c r="AD19" s="561" t="n">
        <v>11747</v>
      </c>
      <c r="AE19" s="561" t="n">
        <v>11747</v>
      </c>
      <c r="AF19" s="561" t="n">
        <v>11747</v>
      </c>
      <c r="AG19" s="561" t="n">
        <v>11747</v>
      </c>
      <c r="AH19" s="561" t="n">
        <v>11747</v>
      </c>
      <c r="AI19" s="57">
        <f>AH19-D19</f>
        <v/>
      </c>
    </row>
    <row r="20" ht="24" customFormat="1" customHeight="1" s="570">
      <c r="A20" s="561" t="n">
        <v>8</v>
      </c>
      <c r="B20" s="561" t="inlineStr">
        <is>
          <t>3F</t>
        </is>
      </c>
      <c r="C20" s="405" t="inlineStr">
        <is>
          <t>SL No 540430038848 (EB Unit)</t>
        </is>
      </c>
      <c r="D20" s="398" t="n">
        <v>101290</v>
      </c>
      <c r="E20" s="59" t="n">
        <v>101483</v>
      </c>
      <c r="F20" s="561" t="n">
        <v>101577</v>
      </c>
      <c r="G20" s="561" t="n">
        <v>101694</v>
      </c>
      <c r="H20" s="561" t="n">
        <v>101810</v>
      </c>
      <c r="I20" s="561" t="n">
        <v>101928</v>
      </c>
      <c r="J20" s="561" t="n">
        <v>102051</v>
      </c>
      <c r="K20" s="561" t="n">
        <v>102170</v>
      </c>
      <c r="L20" s="561" t="n">
        <v>102297</v>
      </c>
      <c r="M20" s="561" t="n">
        <v>102413</v>
      </c>
      <c r="N20" s="561" t="n">
        <v>102536</v>
      </c>
      <c r="O20" s="561" t="n">
        <v>102638</v>
      </c>
      <c r="P20" s="561" t="n">
        <v>102748</v>
      </c>
      <c r="Q20" s="561" t="n">
        <v>102877</v>
      </c>
      <c r="R20" s="561" t="n">
        <v>103011</v>
      </c>
      <c r="S20" s="561" t="n">
        <v>103150</v>
      </c>
      <c r="T20" s="561" t="n">
        <v>103298</v>
      </c>
      <c r="U20" s="561" t="n">
        <v>103444</v>
      </c>
      <c r="V20" s="561" t="n">
        <v>103565</v>
      </c>
      <c r="W20" s="561" t="n">
        <v>103682</v>
      </c>
      <c r="X20" s="561" t="n">
        <v>103830</v>
      </c>
      <c r="Y20" s="561" t="n">
        <v>103953</v>
      </c>
      <c r="Z20" s="561" t="n">
        <v>104115</v>
      </c>
      <c r="AA20" s="8" t="n">
        <v>104246</v>
      </c>
      <c r="AB20" s="8" t="n">
        <v>104395</v>
      </c>
      <c r="AC20" s="8" t="n">
        <v>104535</v>
      </c>
      <c r="AD20" s="8" t="n">
        <v>104669</v>
      </c>
      <c r="AE20" s="128" t="n">
        <v>104819</v>
      </c>
      <c r="AF20" s="128" t="n">
        <v>104982</v>
      </c>
      <c r="AG20" s="406" t="n">
        <v>105143</v>
      </c>
      <c r="AH20" s="407" t="n">
        <v>105288</v>
      </c>
      <c r="AI20" s="57">
        <f>AH20-D20</f>
        <v/>
      </c>
    </row>
    <row r="21" ht="24" customFormat="1" customHeight="1" s="570">
      <c r="A21" s="561" t="n"/>
      <c r="B21" s="561" t="n"/>
      <c r="C21" s="404" t="inlineStr">
        <is>
          <t>DG</t>
        </is>
      </c>
      <c r="D21" s="565" t="n">
        <v>2232</v>
      </c>
      <c r="E21" s="59" t="n">
        <v>2232</v>
      </c>
      <c r="F21" s="59" t="n">
        <v>2232</v>
      </c>
      <c r="G21" s="59" t="n">
        <v>2232</v>
      </c>
      <c r="H21" s="59" t="n">
        <v>2232</v>
      </c>
      <c r="I21" s="59" t="n">
        <v>2232</v>
      </c>
      <c r="J21" s="59" t="n">
        <v>2232</v>
      </c>
      <c r="K21" s="59" t="n">
        <v>2232</v>
      </c>
      <c r="L21" s="59" t="n">
        <v>2232</v>
      </c>
      <c r="M21" s="561" t="n">
        <v>2232</v>
      </c>
      <c r="N21" s="561" t="n">
        <v>2232</v>
      </c>
      <c r="O21" s="561" t="n">
        <v>2232</v>
      </c>
      <c r="P21" s="561" t="n">
        <v>2232</v>
      </c>
      <c r="Q21" s="561" t="n">
        <v>2232</v>
      </c>
      <c r="R21" s="561" t="n">
        <v>2232</v>
      </c>
      <c r="S21" s="561" t="n">
        <v>2232</v>
      </c>
      <c r="T21" s="561" t="n">
        <v>2232</v>
      </c>
      <c r="U21" s="561" t="n">
        <v>2232</v>
      </c>
      <c r="V21" s="561" t="n">
        <v>2232</v>
      </c>
      <c r="W21" s="561" t="n">
        <v>2232</v>
      </c>
      <c r="X21" s="561" t="n">
        <v>2232</v>
      </c>
      <c r="Y21" s="561" t="n">
        <v>2232</v>
      </c>
      <c r="Z21" s="561" t="n">
        <v>2232</v>
      </c>
      <c r="AA21" s="561" t="n">
        <v>2232</v>
      </c>
      <c r="AB21" s="561" t="n">
        <v>2232</v>
      </c>
      <c r="AC21" s="561" t="n">
        <v>2232</v>
      </c>
      <c r="AD21" s="561" t="n">
        <v>2232</v>
      </c>
      <c r="AE21" s="561" t="n">
        <v>2232</v>
      </c>
      <c r="AF21" s="561" t="n">
        <v>2232</v>
      </c>
      <c r="AG21" s="561" t="n">
        <v>2232</v>
      </c>
      <c r="AH21" s="561" t="n">
        <v>2232</v>
      </c>
      <c r="AI21" s="57">
        <f>AH21-D21</f>
        <v/>
      </c>
    </row>
    <row r="22" ht="24" customFormat="1" customHeight="1" s="570">
      <c r="A22" s="569" t="n"/>
    </row>
    <row r="23" ht="24" customFormat="1" customHeight="1" s="570">
      <c r="A23" s="561" t="n">
        <v>1</v>
      </c>
      <c r="B23" s="561" t="inlineStr">
        <is>
          <t>3F</t>
        </is>
      </c>
      <c r="C23" s="405" t="inlineStr">
        <is>
          <t>AHU1</t>
        </is>
      </c>
      <c r="D23" s="398" t="n">
        <v>56137</v>
      </c>
      <c r="E23" s="59" t="n">
        <v>56320</v>
      </c>
      <c r="F23" s="561" t="n">
        <v>56448</v>
      </c>
      <c r="G23" s="561" t="n">
        <v>56468</v>
      </c>
      <c r="H23" s="561" t="n">
        <v>56468</v>
      </c>
      <c r="I23" s="561" t="n">
        <v>56468</v>
      </c>
      <c r="J23" s="561" t="n">
        <v>56493</v>
      </c>
      <c r="K23" s="561" t="n">
        <v>56657</v>
      </c>
      <c r="L23" s="561" t="n">
        <v>56836</v>
      </c>
      <c r="M23" s="561" t="n">
        <v>57014</v>
      </c>
      <c r="N23" s="561" t="n">
        <v>57199</v>
      </c>
      <c r="O23" s="561" t="n">
        <v>57240</v>
      </c>
      <c r="P23" s="561" t="n">
        <v>57241</v>
      </c>
      <c r="Q23" s="561" t="n">
        <v>57378</v>
      </c>
      <c r="R23" s="561" t="n">
        <v>57536</v>
      </c>
      <c r="S23" s="561" t="n">
        <v>57667</v>
      </c>
      <c r="T23" s="561" t="n">
        <v>57812</v>
      </c>
      <c r="U23" s="561" t="n">
        <v>57930</v>
      </c>
      <c r="V23" s="561" t="n">
        <v>57951</v>
      </c>
      <c r="W23" s="561" t="n">
        <v>57951</v>
      </c>
      <c r="X23" s="561" t="n">
        <v>58060</v>
      </c>
      <c r="Y23" s="561" t="n">
        <v>58181</v>
      </c>
      <c r="Z23" s="561" t="n">
        <v>58295</v>
      </c>
      <c r="AA23" s="561" t="n">
        <v>58389</v>
      </c>
      <c r="AB23" s="561" t="n">
        <v>58487</v>
      </c>
      <c r="AC23" s="561" t="n">
        <v>58537</v>
      </c>
      <c r="AD23" s="58" t="n">
        <v>58537</v>
      </c>
      <c r="AE23" s="48" t="n">
        <v>58692</v>
      </c>
      <c r="AF23" s="48" t="n">
        <v>58760</v>
      </c>
      <c r="AG23" s="48" t="n">
        <v>58879</v>
      </c>
      <c r="AH23" s="407" t="n">
        <v>59001</v>
      </c>
      <c r="AI23" s="411">
        <f>AH23-D23</f>
        <v/>
      </c>
    </row>
    <row r="24" ht="24" customFormat="1" customHeight="1" s="570">
      <c r="A24" s="561" t="n"/>
      <c r="B24" s="561" t="n"/>
      <c r="C24" s="412" t="inlineStr">
        <is>
          <t>DG</t>
        </is>
      </c>
      <c r="D24" s="55" t="n">
        <v>1923</v>
      </c>
      <c r="E24" s="561" t="n">
        <v>1923</v>
      </c>
      <c r="F24" s="561" t="n">
        <v>1923</v>
      </c>
      <c r="G24" s="561" t="n">
        <v>1923</v>
      </c>
      <c r="H24" s="561" t="n">
        <v>1923</v>
      </c>
      <c r="I24" s="561" t="n">
        <v>1923</v>
      </c>
      <c r="J24" s="561" t="n">
        <v>1923</v>
      </c>
      <c r="K24" s="561" t="n">
        <v>1923</v>
      </c>
      <c r="L24" s="561" t="n">
        <v>1923</v>
      </c>
      <c r="M24" s="561" t="n">
        <v>1923</v>
      </c>
      <c r="N24" s="561" t="n">
        <v>1923</v>
      </c>
      <c r="O24" s="561" t="n">
        <v>1923</v>
      </c>
      <c r="P24" s="561" t="n">
        <v>1923</v>
      </c>
      <c r="Q24" s="561" t="n">
        <v>1923</v>
      </c>
      <c r="R24" s="561" t="n">
        <v>1923</v>
      </c>
      <c r="S24" s="561" t="n">
        <v>1923</v>
      </c>
      <c r="T24" s="561" t="n">
        <v>1923</v>
      </c>
      <c r="U24" s="561" t="n">
        <v>1923</v>
      </c>
      <c r="V24" s="561" t="n">
        <v>1923</v>
      </c>
      <c r="W24" s="561" t="n">
        <v>1923</v>
      </c>
      <c r="X24" s="33" t="n">
        <v>1923</v>
      </c>
      <c r="Y24" s="33" t="n">
        <v>1923</v>
      </c>
      <c r="Z24" s="33" t="n">
        <v>1923</v>
      </c>
      <c r="AA24" s="33" t="n">
        <v>1923</v>
      </c>
      <c r="AB24" s="33" t="n">
        <v>1923</v>
      </c>
      <c r="AC24" s="33" t="n">
        <v>1923</v>
      </c>
      <c r="AD24" s="33" t="n">
        <v>1923</v>
      </c>
      <c r="AE24" s="33" t="n">
        <v>1923</v>
      </c>
      <c r="AF24" s="33" t="n">
        <v>1923</v>
      </c>
      <c r="AG24" s="48" t="n">
        <v>1923</v>
      </c>
      <c r="AH24" s="48" t="n">
        <v>1923</v>
      </c>
      <c r="AI24" s="411">
        <f>AH24-D24</f>
        <v/>
      </c>
    </row>
    <row r="25" ht="24" customFormat="1" customHeight="1" s="570">
      <c r="A25" s="561" t="n">
        <v>2</v>
      </c>
      <c r="B25" s="561" t="inlineStr">
        <is>
          <t>3F</t>
        </is>
      </c>
      <c r="C25" s="413" t="inlineStr">
        <is>
          <t>AHU2</t>
        </is>
      </c>
      <c r="D25" s="398" t="n">
        <v>58488</v>
      </c>
      <c r="E25" s="561" t="n">
        <v>58617</v>
      </c>
      <c r="F25" s="561" t="n">
        <v>58695</v>
      </c>
      <c r="G25" s="561" t="n">
        <v>58695</v>
      </c>
      <c r="H25" s="561" t="n">
        <v>58695</v>
      </c>
      <c r="I25" s="561" t="n">
        <v>58695</v>
      </c>
      <c r="J25" s="561" t="n">
        <v>58743</v>
      </c>
      <c r="K25" s="561" t="n">
        <v>58842</v>
      </c>
      <c r="L25" s="561" t="n">
        <v>58910</v>
      </c>
      <c r="M25" s="561" t="n">
        <v>58972</v>
      </c>
      <c r="N25" s="561" t="n">
        <v>59064</v>
      </c>
      <c r="O25" s="561" t="n">
        <v>59064</v>
      </c>
      <c r="P25" s="561" t="n">
        <v>59065</v>
      </c>
      <c r="Q25" s="561" t="n">
        <v>59191</v>
      </c>
      <c r="R25" s="561" t="n">
        <v>59343</v>
      </c>
      <c r="S25" s="561" t="n">
        <v>59468</v>
      </c>
      <c r="T25" s="561" t="n">
        <v>59594</v>
      </c>
      <c r="U25" s="561" t="n">
        <v>59718</v>
      </c>
      <c r="V25" s="561" t="n">
        <v>59731</v>
      </c>
      <c r="W25" s="561" t="n">
        <v>59731</v>
      </c>
      <c r="X25" s="561" t="n">
        <v>59859</v>
      </c>
      <c r="Y25" s="561" t="n">
        <v>59994</v>
      </c>
      <c r="Z25" s="561" t="n">
        <v>60131</v>
      </c>
      <c r="AA25" s="561" t="n">
        <v>60302</v>
      </c>
      <c r="AB25" s="561" t="n">
        <v>60431</v>
      </c>
      <c r="AC25" s="561" t="n">
        <v>60502</v>
      </c>
      <c r="AD25" s="58" t="n">
        <v>60502</v>
      </c>
      <c r="AE25" s="48" t="n">
        <v>60638</v>
      </c>
      <c r="AF25" s="48" t="n">
        <v>60787</v>
      </c>
      <c r="AG25" s="406" t="n">
        <v>60934</v>
      </c>
      <c r="AH25" s="407" t="n">
        <v>61050</v>
      </c>
      <c r="AI25" s="411">
        <f>AH25-D25</f>
        <v/>
      </c>
    </row>
    <row r="26" ht="24" customFormat="1" customHeight="1" s="570">
      <c r="A26" s="561" t="n"/>
      <c r="B26" s="561" t="n"/>
      <c r="C26" s="412" t="inlineStr">
        <is>
          <t>DG</t>
        </is>
      </c>
      <c r="D26" s="210" t="n">
        <v>1911</v>
      </c>
      <c r="E26" s="561" t="n">
        <v>1911</v>
      </c>
      <c r="F26" s="561" t="n">
        <v>1911</v>
      </c>
      <c r="G26" s="561" t="n">
        <v>1911</v>
      </c>
      <c r="H26" s="561" t="n">
        <v>1911</v>
      </c>
      <c r="I26" s="561" t="n">
        <v>1911</v>
      </c>
      <c r="J26" s="561" t="n">
        <v>1911</v>
      </c>
      <c r="K26" s="561" t="n">
        <v>1911</v>
      </c>
      <c r="L26" s="561" t="n">
        <v>1911</v>
      </c>
      <c r="M26" s="561" t="n">
        <v>1911</v>
      </c>
      <c r="N26" s="561" t="n">
        <v>1911</v>
      </c>
      <c r="O26" s="561" t="n">
        <v>1911</v>
      </c>
      <c r="P26" s="561" t="n">
        <v>1911</v>
      </c>
      <c r="Q26" s="561" t="n">
        <v>1911</v>
      </c>
      <c r="R26" s="561" t="n">
        <v>1911</v>
      </c>
      <c r="S26" s="561" t="n">
        <v>1911</v>
      </c>
      <c r="T26" s="561" t="n">
        <v>1911</v>
      </c>
      <c r="U26" s="561" t="n">
        <v>1911</v>
      </c>
      <c r="V26" s="561" t="n">
        <v>1911</v>
      </c>
      <c r="W26" s="561" t="n">
        <v>1911</v>
      </c>
      <c r="X26" s="561" t="n">
        <v>1911</v>
      </c>
      <c r="Y26" s="561" t="n">
        <v>1911</v>
      </c>
      <c r="Z26" s="561" t="n">
        <v>1911</v>
      </c>
      <c r="AA26" s="561" t="n">
        <v>1911</v>
      </c>
      <c r="AB26" s="561" t="n">
        <v>1911</v>
      </c>
      <c r="AC26" s="561" t="n">
        <v>1911</v>
      </c>
      <c r="AD26" s="561" t="n">
        <v>1911</v>
      </c>
      <c r="AE26" s="561" t="n">
        <v>1940</v>
      </c>
      <c r="AF26" s="561" t="n">
        <v>1940</v>
      </c>
      <c r="AG26" s="58" t="n">
        <v>1940</v>
      </c>
      <c r="AH26" s="58" t="n">
        <v>1940</v>
      </c>
      <c r="AI26" s="411">
        <f>AH26-D26</f>
        <v/>
      </c>
    </row>
    <row r="27" ht="24" customFormat="1" customHeight="1" s="570">
      <c r="A27" s="561" t="n">
        <v>3</v>
      </c>
      <c r="B27" s="561" t="inlineStr">
        <is>
          <t>3F</t>
        </is>
      </c>
      <c r="C27" s="413" t="inlineStr">
        <is>
          <t>AHU3</t>
        </is>
      </c>
      <c r="D27" s="398" t="n">
        <v>71032</v>
      </c>
      <c r="E27" s="561" t="n">
        <v>71196</v>
      </c>
      <c r="F27" s="561" t="n">
        <v>71310</v>
      </c>
      <c r="G27" s="561" t="n">
        <v>71310</v>
      </c>
      <c r="H27" s="561" t="n">
        <v>71364</v>
      </c>
      <c r="I27" s="561" t="n">
        <v>71486</v>
      </c>
      <c r="J27" s="561" t="n">
        <v>71534</v>
      </c>
      <c r="K27" s="561" t="n">
        <v>71636</v>
      </c>
      <c r="L27" s="561" t="n">
        <v>71741</v>
      </c>
      <c r="M27" s="561" t="n">
        <v>71846</v>
      </c>
      <c r="N27" s="561" t="n">
        <v>71972</v>
      </c>
      <c r="O27" s="561" t="n">
        <v>71972</v>
      </c>
      <c r="P27" s="561" t="n">
        <v>71972</v>
      </c>
      <c r="Q27" s="561" t="n">
        <v>72100</v>
      </c>
      <c r="R27" s="561" t="n">
        <v>72180</v>
      </c>
      <c r="S27" s="561" t="n">
        <v>72260</v>
      </c>
      <c r="T27" s="561" t="n">
        <v>72330</v>
      </c>
      <c r="U27" s="561" t="n">
        <v>72424</v>
      </c>
      <c r="V27" s="561" t="n">
        <v>72505</v>
      </c>
      <c r="W27" s="561" t="n">
        <v>72659</v>
      </c>
      <c r="X27" s="561" t="n">
        <v>72854</v>
      </c>
      <c r="Y27" s="561" t="n">
        <v>72938</v>
      </c>
      <c r="Z27" s="561" t="n">
        <v>73026</v>
      </c>
      <c r="AA27" s="561" t="n">
        <v>73152</v>
      </c>
      <c r="AB27" s="561" t="n">
        <v>73275</v>
      </c>
      <c r="AC27" s="561" t="n">
        <v>73353</v>
      </c>
      <c r="AD27" s="58" t="n">
        <v>73432</v>
      </c>
      <c r="AE27" s="48" t="n">
        <v>73594</v>
      </c>
      <c r="AF27" s="414" t="n">
        <v>73721</v>
      </c>
      <c r="AG27" s="406" t="n">
        <v>73852</v>
      </c>
      <c r="AH27" s="407" t="n">
        <v>73971</v>
      </c>
      <c r="AI27" s="411">
        <f>AH27-D27</f>
        <v/>
      </c>
    </row>
    <row r="28" ht="24" customFormat="1" customHeight="1" s="570">
      <c r="A28" s="561" t="n"/>
      <c r="B28" s="561" t="n"/>
      <c r="C28" s="412" t="inlineStr">
        <is>
          <t>DG</t>
        </is>
      </c>
      <c r="D28" s="565" t="n">
        <v>2068</v>
      </c>
      <c r="E28" s="561" t="n">
        <v>2068</v>
      </c>
      <c r="F28" s="561" t="n">
        <v>2068</v>
      </c>
      <c r="G28" s="561" t="n">
        <v>2068</v>
      </c>
      <c r="H28" s="561" t="n">
        <v>2068</v>
      </c>
      <c r="I28" s="561" t="n">
        <v>2068</v>
      </c>
      <c r="J28" s="561" t="n">
        <v>2068</v>
      </c>
      <c r="K28" s="561" t="n">
        <v>2068</v>
      </c>
      <c r="L28" s="561" t="n">
        <v>2068</v>
      </c>
      <c r="M28" s="561" t="n">
        <v>2068</v>
      </c>
      <c r="N28" s="561" t="n">
        <v>2068</v>
      </c>
      <c r="O28" s="561" t="n">
        <v>2068</v>
      </c>
      <c r="P28" s="561" t="n">
        <v>2068</v>
      </c>
      <c r="Q28" s="561" t="n">
        <v>2068</v>
      </c>
      <c r="R28" s="561" t="n">
        <v>2068</v>
      </c>
      <c r="S28" s="561" t="n">
        <v>2068</v>
      </c>
      <c r="T28" s="561" t="n">
        <v>2068</v>
      </c>
      <c r="U28" s="561" t="n">
        <v>2068</v>
      </c>
      <c r="V28" s="561" t="n">
        <v>2068</v>
      </c>
      <c r="W28" s="561" t="n">
        <v>2068</v>
      </c>
      <c r="X28" s="561" t="n">
        <v>2068</v>
      </c>
      <c r="Y28" s="561" t="n">
        <v>2068</v>
      </c>
      <c r="Z28" s="561" t="n">
        <v>2068</v>
      </c>
      <c r="AA28" s="561" t="n">
        <v>2068</v>
      </c>
      <c r="AB28" s="561" t="n">
        <v>2068</v>
      </c>
      <c r="AC28" s="561" t="n">
        <v>2068</v>
      </c>
      <c r="AD28" s="561" t="n">
        <v>2068</v>
      </c>
      <c r="AE28" s="561" t="n">
        <v>2068</v>
      </c>
      <c r="AF28" s="561" t="n">
        <v>2068</v>
      </c>
      <c r="AG28" s="561" t="n">
        <v>2068</v>
      </c>
      <c r="AH28" s="561" t="n">
        <v>2068</v>
      </c>
      <c r="AI28" s="411">
        <f>AH28-D28</f>
        <v/>
      </c>
    </row>
    <row r="29" ht="24" customFormat="1" customHeight="1" s="570">
      <c r="A29" s="561" t="n">
        <v>4</v>
      </c>
      <c r="B29" s="561" t="inlineStr">
        <is>
          <t>3F</t>
        </is>
      </c>
      <c r="C29" s="413" t="inlineStr">
        <is>
          <t>AHU4</t>
        </is>
      </c>
      <c r="D29" s="398" t="n">
        <v>47765</v>
      </c>
      <c r="E29" s="561" t="n">
        <v>47906</v>
      </c>
      <c r="F29" s="561" t="n">
        <v>48032</v>
      </c>
      <c r="G29" s="561" t="n">
        <v>48032</v>
      </c>
      <c r="H29" s="561" t="n">
        <v>48032</v>
      </c>
      <c r="I29" s="561" t="n">
        <v>48032</v>
      </c>
      <c r="J29" s="561" t="n">
        <v>48033</v>
      </c>
      <c r="K29" s="561" t="n">
        <v>48136</v>
      </c>
      <c r="L29" s="561" t="n">
        <v>48201</v>
      </c>
      <c r="M29" s="561" t="n">
        <v>48267</v>
      </c>
      <c r="N29" s="561" t="n">
        <v>48337</v>
      </c>
      <c r="O29" s="561" t="n">
        <v>48337</v>
      </c>
      <c r="P29" s="561" t="n">
        <v>48369</v>
      </c>
      <c r="Q29" s="561" t="n">
        <v>48527</v>
      </c>
      <c r="R29" s="561" t="n">
        <v>48620</v>
      </c>
      <c r="S29" s="561" t="n">
        <v>48701</v>
      </c>
      <c r="T29" s="561" t="n">
        <v>48769</v>
      </c>
      <c r="U29" s="561" t="n">
        <v>48839</v>
      </c>
      <c r="V29" s="561" t="n">
        <v>48851</v>
      </c>
      <c r="W29" s="561" t="n">
        <v>48851</v>
      </c>
      <c r="X29" s="561" t="n">
        <v>48936</v>
      </c>
      <c r="Y29" s="561" t="n">
        <v>49009</v>
      </c>
      <c r="Z29" s="561" t="n">
        <v>49092</v>
      </c>
      <c r="AA29" s="561" t="n">
        <v>49162</v>
      </c>
      <c r="AB29" s="561" t="n">
        <v>49234</v>
      </c>
      <c r="AC29" s="561" t="n">
        <v>49279</v>
      </c>
      <c r="AD29" s="561" t="n">
        <v>49332</v>
      </c>
      <c r="AE29" s="128" t="n">
        <v>49462</v>
      </c>
      <c r="AF29" s="128" t="n">
        <v>49547</v>
      </c>
      <c r="AG29" s="128" t="n">
        <v>49629</v>
      </c>
      <c r="AH29" s="407" t="n">
        <v>49701</v>
      </c>
      <c r="AI29" s="411">
        <f>AH29-D29</f>
        <v/>
      </c>
    </row>
    <row r="30" ht="24" customFormat="1" customHeight="1" s="570">
      <c r="A30" s="561" t="n"/>
      <c r="B30" s="561" t="n"/>
      <c r="C30" s="412" t="inlineStr">
        <is>
          <t>DG</t>
        </is>
      </c>
      <c r="D30" s="565" t="n">
        <v>1788</v>
      </c>
      <c r="E30" s="561" t="n">
        <v>1788</v>
      </c>
      <c r="F30" s="561" t="n">
        <v>1788</v>
      </c>
      <c r="G30" s="561" t="n">
        <v>1788</v>
      </c>
      <c r="H30" s="561" t="n">
        <v>1788</v>
      </c>
      <c r="I30" s="561" t="n">
        <v>1788</v>
      </c>
      <c r="J30" s="561" t="n">
        <v>1788</v>
      </c>
      <c r="K30" s="561" t="n">
        <v>1788</v>
      </c>
      <c r="L30" s="561" t="n">
        <v>1788</v>
      </c>
      <c r="M30" s="561" t="n">
        <v>1788</v>
      </c>
      <c r="N30" s="561" t="n">
        <v>1788</v>
      </c>
      <c r="O30" s="561" t="n">
        <v>1788</v>
      </c>
      <c r="P30" s="561" t="n">
        <v>1788</v>
      </c>
      <c r="Q30" s="561" t="n">
        <v>1788</v>
      </c>
      <c r="R30" s="561" t="n">
        <v>1788</v>
      </c>
      <c r="S30" s="561" t="n">
        <v>1788</v>
      </c>
      <c r="T30" s="561" t="n">
        <v>1788</v>
      </c>
      <c r="U30" s="561" t="n">
        <v>1788</v>
      </c>
      <c r="V30" s="561" t="n">
        <v>1788</v>
      </c>
      <c r="W30" s="561" t="n">
        <v>1788</v>
      </c>
      <c r="X30" s="561" t="n">
        <v>1788</v>
      </c>
      <c r="Y30" s="561" t="n">
        <v>1788</v>
      </c>
      <c r="Z30" s="561" t="n">
        <v>1788</v>
      </c>
      <c r="AA30" s="561" t="n">
        <v>1788</v>
      </c>
      <c r="AB30" s="561" t="n">
        <v>1788</v>
      </c>
      <c r="AC30" s="561" t="n">
        <v>1788</v>
      </c>
      <c r="AD30" s="561" t="n">
        <v>1788</v>
      </c>
      <c r="AE30" s="561" t="n">
        <v>1788</v>
      </c>
      <c r="AF30" s="561" t="n">
        <v>1788</v>
      </c>
      <c r="AG30" s="561" t="n">
        <v>1788</v>
      </c>
      <c r="AH30" s="561" t="n">
        <v>1788</v>
      </c>
      <c r="AI30" s="411">
        <f>AH30-D30</f>
        <v/>
      </c>
    </row>
    <row r="31" ht="24" customFormat="1" customHeight="1" s="570">
      <c r="A31" s="569" t="n"/>
    </row>
    <row r="32" ht="24" customFormat="1" customHeight="1" s="570">
      <c r="A32" s="561" t="n">
        <v>1</v>
      </c>
      <c r="B32" s="561" t="inlineStr">
        <is>
          <t>3F</t>
        </is>
      </c>
      <c r="C32" s="413" t="inlineStr">
        <is>
          <t>AHU1 - BTU</t>
        </is>
      </c>
      <c r="D32" s="398" t="n">
        <v>414628</v>
      </c>
      <c r="E32" s="415" t="n">
        <v>415189</v>
      </c>
      <c r="F32" s="208" t="n">
        <v>415568</v>
      </c>
      <c r="G32" s="208" t="n">
        <v>415659</v>
      </c>
      <c r="H32" s="208" t="n">
        <v>415659</v>
      </c>
      <c r="I32" s="208" t="n">
        <v>415659</v>
      </c>
      <c r="J32" s="208" t="n">
        <v>415659</v>
      </c>
      <c r="K32" s="208" t="n">
        <v>416210</v>
      </c>
      <c r="L32" s="208" t="n">
        <v>416607</v>
      </c>
      <c r="M32" s="415" t="n">
        <v>417121</v>
      </c>
      <c r="N32" s="208" t="n">
        <v>417535</v>
      </c>
      <c r="O32" s="208" t="n">
        <v>417620</v>
      </c>
      <c r="P32" s="208" t="n">
        <v>417620</v>
      </c>
      <c r="Q32" s="415" t="n">
        <v>418192</v>
      </c>
      <c r="R32" s="208" t="n">
        <v>418717</v>
      </c>
      <c r="S32" s="208" t="n">
        <v>419243</v>
      </c>
      <c r="T32" s="208" t="n">
        <v>419741</v>
      </c>
      <c r="U32" s="415" t="n">
        <v>420357</v>
      </c>
      <c r="V32" s="208" t="n">
        <v>420429</v>
      </c>
      <c r="W32" s="208" t="n">
        <v>420429</v>
      </c>
      <c r="X32" s="208" t="n">
        <v>421020</v>
      </c>
      <c r="Y32" s="415" t="n">
        <v>421633</v>
      </c>
      <c r="Z32" s="208" t="n">
        <v>422282</v>
      </c>
      <c r="AA32" s="208" t="n">
        <v>422853</v>
      </c>
      <c r="AB32" s="208" t="n">
        <v>423297</v>
      </c>
      <c r="AC32" s="208" t="n">
        <v>423735</v>
      </c>
      <c r="AD32" s="415" t="n">
        <v>423735</v>
      </c>
      <c r="AE32" s="208" t="n">
        <v>424357</v>
      </c>
      <c r="AF32" s="208" t="n">
        <v>425049</v>
      </c>
      <c r="AG32" s="208" t="n">
        <v>425782</v>
      </c>
      <c r="AH32" s="407" t="n">
        <v>426274</v>
      </c>
      <c r="AI32" s="57">
        <f>AH32-D32</f>
        <v/>
      </c>
    </row>
    <row r="33" ht="24" customFormat="1" customHeight="1" s="570">
      <c r="A33" s="561" t="n">
        <v>2</v>
      </c>
      <c r="B33" s="561" t="inlineStr">
        <is>
          <t>3F</t>
        </is>
      </c>
      <c r="C33" s="413" t="inlineStr">
        <is>
          <t>AHU2 - BTU</t>
        </is>
      </c>
      <c r="D33" s="398" t="n">
        <v>390121</v>
      </c>
      <c r="E33" s="208" t="n">
        <v>390737</v>
      </c>
      <c r="F33" s="208" t="n">
        <v>391182</v>
      </c>
      <c r="G33" s="208" t="n">
        <v>391218</v>
      </c>
      <c r="H33" s="208" t="n">
        <v>391218</v>
      </c>
      <c r="I33" s="208" t="n">
        <v>391218</v>
      </c>
      <c r="J33" s="208" t="n">
        <v>391325</v>
      </c>
      <c r="K33" s="208" t="n">
        <v>391834</v>
      </c>
      <c r="L33" s="208" t="n">
        <v>392223</v>
      </c>
      <c r="M33" s="208" t="n">
        <v>392604</v>
      </c>
      <c r="N33" s="208" t="n">
        <v>392963</v>
      </c>
      <c r="O33" s="208" t="n">
        <v>392963</v>
      </c>
      <c r="P33" s="208" t="n">
        <v>392963</v>
      </c>
      <c r="Q33" s="208" t="n">
        <v>393469</v>
      </c>
      <c r="R33" s="208" t="n">
        <v>393973</v>
      </c>
      <c r="S33" s="208" t="n">
        <v>394494</v>
      </c>
      <c r="T33" s="208" t="n">
        <v>394956</v>
      </c>
      <c r="U33" s="208" t="n">
        <v>395469</v>
      </c>
      <c r="V33" s="208" t="n">
        <v>395578</v>
      </c>
      <c r="W33" s="208" t="n">
        <v>395578</v>
      </c>
      <c r="X33" s="208" t="n">
        <v>396141</v>
      </c>
      <c r="Y33" s="208" t="n">
        <v>396609</v>
      </c>
      <c r="Z33" s="208" t="n">
        <v>397117</v>
      </c>
      <c r="AA33" s="208" t="n">
        <v>397759</v>
      </c>
      <c r="AB33" s="208" t="n">
        <v>398184</v>
      </c>
      <c r="AC33" s="208" t="n">
        <v>398557</v>
      </c>
      <c r="AD33" s="208" t="n">
        <v>398557</v>
      </c>
      <c r="AE33" s="208" t="n">
        <v>399178</v>
      </c>
      <c r="AF33" s="208" t="n">
        <v>399731</v>
      </c>
      <c r="AG33" s="208" t="n">
        <v>400245</v>
      </c>
      <c r="AH33" s="407" t="n">
        <v>400631</v>
      </c>
      <c r="AI33" s="57">
        <f>AH33-D33</f>
        <v/>
      </c>
    </row>
    <row r="34" ht="24" customFormat="1" customHeight="1" s="570">
      <c r="A34" s="561" t="n">
        <v>3</v>
      </c>
      <c r="B34" s="561" t="inlineStr">
        <is>
          <t>3F</t>
        </is>
      </c>
      <c r="C34" s="413" t="inlineStr">
        <is>
          <t>AHU3 - BTU</t>
        </is>
      </c>
      <c r="D34" s="398" t="n">
        <v>417583</v>
      </c>
      <c r="E34" s="208" t="n">
        <v>418236</v>
      </c>
      <c r="F34" s="208" t="n">
        <v>418594</v>
      </c>
      <c r="G34" s="208" t="n">
        <v>418612</v>
      </c>
      <c r="H34" s="208" t="n">
        <v>418787</v>
      </c>
      <c r="I34" s="208" t="n">
        <v>419257</v>
      </c>
      <c r="J34" s="208" t="n">
        <v>419582</v>
      </c>
      <c r="K34" s="208" t="n">
        <v>419998</v>
      </c>
      <c r="L34" s="208" t="n">
        <v>420397</v>
      </c>
      <c r="M34" s="208" t="n">
        <v>420848</v>
      </c>
      <c r="N34" s="208" t="n">
        <v>421274</v>
      </c>
      <c r="O34" s="208" t="n">
        <v>421305</v>
      </c>
      <c r="P34" s="208" t="n">
        <v>421305</v>
      </c>
      <c r="Q34" s="208" t="n">
        <v>421850</v>
      </c>
      <c r="R34" s="208" t="n">
        <v>422329</v>
      </c>
      <c r="S34" s="208" t="n">
        <v>422870</v>
      </c>
      <c r="T34" s="208" t="n">
        <v>423362</v>
      </c>
      <c r="U34" s="208" t="n">
        <v>423693</v>
      </c>
      <c r="V34" s="208" t="n">
        <v>423987</v>
      </c>
      <c r="W34" s="208" t="n">
        <v>424672</v>
      </c>
      <c r="X34" s="208" t="n">
        <v>425784</v>
      </c>
      <c r="Y34" s="208" t="n">
        <v>426382</v>
      </c>
      <c r="Z34" s="208" t="n">
        <v>426897</v>
      </c>
      <c r="AA34" s="208" t="n">
        <v>427552</v>
      </c>
      <c r="AB34" s="208" t="n">
        <v>428062</v>
      </c>
      <c r="AC34" s="208" t="n">
        <v>428525</v>
      </c>
      <c r="AD34" s="208" t="n">
        <v>428896</v>
      </c>
      <c r="AE34" s="208" t="n">
        <v>430019</v>
      </c>
      <c r="AF34" s="208" t="n">
        <v>430582</v>
      </c>
      <c r="AG34" s="208" t="n">
        <v>431030</v>
      </c>
      <c r="AH34" s="407" t="n">
        <v>431431</v>
      </c>
      <c r="AI34" s="57">
        <f>AH34-D34</f>
        <v/>
      </c>
    </row>
    <row r="35" ht="24" customFormat="1" customHeight="1" s="570">
      <c r="A35" s="561" t="n">
        <v>4</v>
      </c>
      <c r="B35" s="561" t="inlineStr">
        <is>
          <t>3F</t>
        </is>
      </c>
      <c r="C35" s="413" t="inlineStr">
        <is>
          <t>AHU4 - BTU</t>
        </is>
      </c>
      <c r="D35" s="416" t="n">
        <v>456076</v>
      </c>
      <c r="E35" s="161" t="n">
        <v>457006</v>
      </c>
      <c r="F35" s="161" t="n">
        <v>457713</v>
      </c>
      <c r="G35" s="161" t="n">
        <v>457812</v>
      </c>
      <c r="H35" s="161" t="n">
        <v>457812</v>
      </c>
      <c r="I35" s="161" t="n">
        <v>457812</v>
      </c>
      <c r="J35" s="161" t="n">
        <v>457947</v>
      </c>
      <c r="K35" s="161" t="n">
        <v>458733</v>
      </c>
      <c r="L35" s="161" t="n">
        <v>459480</v>
      </c>
      <c r="M35" s="161" t="n">
        <v>460167</v>
      </c>
      <c r="N35" s="161" t="n">
        <v>460786</v>
      </c>
      <c r="O35" s="161" t="n">
        <v>460858</v>
      </c>
      <c r="P35" s="417" t="n">
        <v>460958</v>
      </c>
      <c r="Q35" s="161" t="n">
        <v>462079</v>
      </c>
      <c r="R35" s="161" t="n">
        <v>462829</v>
      </c>
      <c r="S35" s="161" t="n">
        <v>463651</v>
      </c>
      <c r="T35" s="161" t="n">
        <v>464390</v>
      </c>
      <c r="U35" s="161" t="n">
        <v>465069</v>
      </c>
      <c r="V35" s="161" t="n">
        <v>465248</v>
      </c>
      <c r="W35" s="161" t="n">
        <v>465248</v>
      </c>
      <c r="X35" s="161" t="n">
        <v>466114</v>
      </c>
      <c r="Y35" s="161" t="n">
        <v>466872</v>
      </c>
      <c r="Z35" s="161" t="n">
        <v>467647</v>
      </c>
      <c r="AA35" s="161" t="n">
        <v>468395</v>
      </c>
      <c r="AB35" s="161" t="n">
        <v>468985</v>
      </c>
      <c r="AC35" s="161" t="n">
        <v>469490</v>
      </c>
      <c r="AD35" s="161" t="n">
        <v>469749</v>
      </c>
      <c r="AE35" s="418" t="n">
        <v>470843</v>
      </c>
      <c r="AF35" s="418" t="n">
        <v>471730</v>
      </c>
      <c r="AG35" s="418" t="n">
        <v>472605</v>
      </c>
      <c r="AH35" s="419" t="n">
        <v>473317</v>
      </c>
      <c r="AI35" s="57">
        <f>AH35-D35</f>
        <v/>
      </c>
    </row>
    <row r="36" ht="17.25" customFormat="1" customHeight="1" s="570">
      <c r="A36" s="575" t="n"/>
    </row>
    <row r="37" ht="17.25" customFormat="1" customHeight="1" s="570"/>
    <row r="38" ht="17.25" customFormat="1" customHeight="1" s="570">
      <c r="A38" s="16" t="n"/>
      <c r="B38" s="571" t="inlineStr">
        <is>
          <t xml:space="preserve"> Daily Energy Report</t>
        </is>
      </c>
      <c r="C38" s="520" t="n"/>
      <c r="D38" s="501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</row>
    <row r="39" ht="17.25" customFormat="1" customHeight="1" s="570">
      <c r="A39" s="17" t="n"/>
      <c r="B39" s="519" t="inlineStr">
        <is>
          <t>Electricity Consumption</t>
        </is>
      </c>
      <c r="C39" s="520" t="n"/>
      <c r="D39" s="501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</row>
    <row r="40" ht="17.25" customFormat="1" customHeight="1" s="570">
      <c r="A40" s="515" t="inlineStr">
        <is>
          <t>Sr.No</t>
        </is>
      </c>
      <c r="B40" s="515" t="inlineStr">
        <is>
          <t>Location</t>
        </is>
      </c>
      <c r="C40" s="515" t="inlineStr">
        <is>
          <t>Meter</t>
        </is>
      </c>
      <c r="D40" s="522" t="n"/>
      <c r="E40" s="51" t="n">
        <v>46113</v>
      </c>
      <c r="F40" s="51" t="n">
        <v>46114</v>
      </c>
      <c r="G40" s="51" t="n">
        <v>46115</v>
      </c>
      <c r="H40" s="51" t="n">
        <v>46116</v>
      </c>
      <c r="I40" s="51" t="n">
        <v>46117</v>
      </c>
      <c r="J40" s="51" t="n">
        <v>46118</v>
      </c>
      <c r="K40" s="51" t="n">
        <v>46119</v>
      </c>
      <c r="L40" s="51" t="n">
        <v>46120</v>
      </c>
      <c r="M40" s="51" t="n">
        <v>46121</v>
      </c>
      <c r="N40" s="51" t="n">
        <v>46122</v>
      </c>
      <c r="O40" s="51" t="n">
        <v>46123</v>
      </c>
      <c r="P40" s="51" t="n">
        <v>46124</v>
      </c>
      <c r="Q40" s="51" t="n">
        <v>46125</v>
      </c>
      <c r="R40" s="51" t="n">
        <v>46126</v>
      </c>
      <c r="S40" s="51" t="n">
        <v>46127</v>
      </c>
      <c r="T40" s="51" t="n">
        <v>46128</v>
      </c>
      <c r="U40" s="51" t="n">
        <v>46129</v>
      </c>
      <c r="V40" s="51" t="n">
        <v>46130</v>
      </c>
      <c r="W40" s="51" t="n">
        <v>46131</v>
      </c>
      <c r="X40" s="51" t="n">
        <v>46132</v>
      </c>
      <c r="Y40" s="51" t="n">
        <v>46133</v>
      </c>
      <c r="Z40" s="51" t="n">
        <v>46134</v>
      </c>
      <c r="AA40" s="51" t="n">
        <v>46135</v>
      </c>
      <c r="AB40" s="51" t="n">
        <v>46136</v>
      </c>
      <c r="AC40" s="51" t="n">
        <v>46137</v>
      </c>
      <c r="AD40" s="51" t="n">
        <v>46138</v>
      </c>
      <c r="AE40" s="51" t="n">
        <v>46139</v>
      </c>
      <c r="AF40" s="51" t="n">
        <v>46140</v>
      </c>
      <c r="AG40" s="51" t="n">
        <v>46141</v>
      </c>
      <c r="AH40" s="51" t="n">
        <v>46142</v>
      </c>
      <c r="AI40" s="515" t="inlineStr">
        <is>
          <t>Consumption</t>
        </is>
      </c>
    </row>
    <row r="41" ht="17.25" customFormat="1" customHeight="1" s="570">
      <c r="A41" s="516" t="n"/>
      <c r="B41" s="516" t="n"/>
      <c r="C41" s="523" t="n"/>
      <c r="D41" s="524" t="n"/>
      <c r="E41" s="1" t="inlineStr">
        <is>
          <t>Wed</t>
        </is>
      </c>
      <c r="F41" s="1" t="inlineStr">
        <is>
          <t>Thu</t>
        </is>
      </c>
      <c r="G41" s="1" t="inlineStr">
        <is>
          <t>Fri</t>
        </is>
      </c>
      <c r="H41" s="1" t="inlineStr">
        <is>
          <t>Sat</t>
        </is>
      </c>
      <c r="I41" s="1" t="inlineStr">
        <is>
          <t>Sun</t>
        </is>
      </c>
      <c r="J41" s="1" t="inlineStr">
        <is>
          <t>Mon</t>
        </is>
      </c>
      <c r="K41" s="1" t="inlineStr">
        <is>
          <t>Tue</t>
        </is>
      </c>
      <c r="L41" s="1" t="inlineStr">
        <is>
          <t>Wed</t>
        </is>
      </c>
      <c r="M41" s="1" t="inlineStr">
        <is>
          <t>Thu</t>
        </is>
      </c>
      <c r="N41" s="1" t="inlineStr">
        <is>
          <t>Fri</t>
        </is>
      </c>
      <c r="O41" s="1" t="inlineStr">
        <is>
          <t>Sat</t>
        </is>
      </c>
      <c r="P41" s="1" t="inlineStr">
        <is>
          <t>Sun</t>
        </is>
      </c>
      <c r="Q41" s="1" t="inlineStr">
        <is>
          <t>Mon</t>
        </is>
      </c>
      <c r="R41" s="1" t="inlineStr">
        <is>
          <t>Tue</t>
        </is>
      </c>
      <c r="S41" s="1" t="inlineStr">
        <is>
          <t>Wed</t>
        </is>
      </c>
      <c r="T41" s="1" t="inlineStr">
        <is>
          <t>Thu</t>
        </is>
      </c>
      <c r="U41" s="1" t="inlineStr">
        <is>
          <t>Fri</t>
        </is>
      </c>
      <c r="V41" s="1" t="inlineStr">
        <is>
          <t>Sat</t>
        </is>
      </c>
      <c r="W41" s="1" t="inlineStr">
        <is>
          <t>Sun</t>
        </is>
      </c>
      <c r="X41" s="1" t="inlineStr">
        <is>
          <t>Mon</t>
        </is>
      </c>
      <c r="Y41" s="1" t="inlineStr">
        <is>
          <t>Tue</t>
        </is>
      </c>
      <c r="Z41" s="1" t="inlineStr">
        <is>
          <t>Wed</t>
        </is>
      </c>
      <c r="AA41" s="1" t="inlineStr">
        <is>
          <t>Thu</t>
        </is>
      </c>
      <c r="AB41" s="1" t="inlineStr">
        <is>
          <t>Fri</t>
        </is>
      </c>
      <c r="AC41" s="1" t="inlineStr">
        <is>
          <t>Sat</t>
        </is>
      </c>
      <c r="AD41" s="1" t="inlineStr">
        <is>
          <t>Sun</t>
        </is>
      </c>
      <c r="AE41" s="1" t="inlineStr">
        <is>
          <t>Mon</t>
        </is>
      </c>
      <c r="AF41" s="1" t="inlineStr">
        <is>
          <t>Tue</t>
        </is>
      </c>
      <c r="AG41" s="1" t="inlineStr">
        <is>
          <t>Wed</t>
        </is>
      </c>
      <c r="AH41" s="1" t="inlineStr">
        <is>
          <t>Thu</t>
        </is>
      </c>
      <c r="AI41" s="516" t="n"/>
    </row>
    <row r="42" ht="17.25" customFormat="1" customHeight="1" s="570">
      <c r="A42" s="516" t="n"/>
      <c r="B42" s="516" t="n"/>
      <c r="C42" s="523" t="n"/>
      <c r="D42" s="524" t="n"/>
      <c r="E42" s="18" t="inlineStr">
        <is>
          <t>Time</t>
        </is>
      </c>
      <c r="F42" s="18" t="inlineStr">
        <is>
          <t>Time</t>
        </is>
      </c>
      <c r="G42" s="18" t="inlineStr">
        <is>
          <t>Time</t>
        </is>
      </c>
      <c r="H42" s="18" t="inlineStr">
        <is>
          <t>Time</t>
        </is>
      </c>
      <c r="I42" s="18" t="inlineStr">
        <is>
          <t>Time</t>
        </is>
      </c>
      <c r="J42" s="18" t="inlineStr">
        <is>
          <t>Time</t>
        </is>
      </c>
      <c r="K42" s="18" t="inlineStr">
        <is>
          <t>Time</t>
        </is>
      </c>
      <c r="L42" s="18" t="inlineStr">
        <is>
          <t>Time</t>
        </is>
      </c>
      <c r="M42" s="18" t="inlineStr">
        <is>
          <t>Time</t>
        </is>
      </c>
      <c r="N42" s="18" t="inlineStr">
        <is>
          <t>Time</t>
        </is>
      </c>
      <c r="O42" s="18" t="inlineStr">
        <is>
          <t>Time</t>
        </is>
      </c>
      <c r="P42" s="18" t="inlineStr">
        <is>
          <t>Time</t>
        </is>
      </c>
      <c r="Q42" s="18" t="inlineStr">
        <is>
          <t>Time</t>
        </is>
      </c>
      <c r="R42" s="18" t="inlineStr">
        <is>
          <t>Time</t>
        </is>
      </c>
      <c r="S42" s="18" t="inlineStr">
        <is>
          <t>Time</t>
        </is>
      </c>
      <c r="T42" s="18" t="inlineStr">
        <is>
          <t>Time</t>
        </is>
      </c>
      <c r="U42" s="18" t="inlineStr">
        <is>
          <t>Time</t>
        </is>
      </c>
      <c r="V42" s="18" t="inlineStr">
        <is>
          <t>Time</t>
        </is>
      </c>
      <c r="W42" s="18" t="inlineStr">
        <is>
          <t>Time</t>
        </is>
      </c>
      <c r="X42" s="18" t="inlineStr">
        <is>
          <t>Time</t>
        </is>
      </c>
      <c r="Y42" s="18" t="inlineStr">
        <is>
          <t>Time</t>
        </is>
      </c>
      <c r="Z42" s="18" t="inlineStr">
        <is>
          <t>Time</t>
        </is>
      </c>
      <c r="AA42" s="18" t="inlineStr">
        <is>
          <t>Time</t>
        </is>
      </c>
      <c r="AB42" s="18" t="inlineStr">
        <is>
          <t>Time</t>
        </is>
      </c>
      <c r="AC42" s="18" t="inlineStr">
        <is>
          <t>Time</t>
        </is>
      </c>
      <c r="AD42" s="18" t="inlineStr">
        <is>
          <t>Time</t>
        </is>
      </c>
      <c r="AE42" s="42">
        <f>AE4</f>
        <v/>
      </c>
      <c r="AF42" s="52" t="inlineStr">
        <is>
          <t>Time</t>
        </is>
      </c>
      <c r="AG42" s="18" t="inlineStr">
        <is>
          <t>Time</t>
        </is>
      </c>
      <c r="AH42" s="18" t="inlineStr">
        <is>
          <t>Time</t>
        </is>
      </c>
      <c r="AI42" s="516" t="n"/>
    </row>
    <row r="43" ht="17.25" customFormat="1" customHeight="1" s="570">
      <c r="A43" s="517" t="n"/>
      <c r="B43" s="517" t="n"/>
      <c r="C43" s="525" t="n"/>
      <c r="D43" s="526" t="n"/>
      <c r="E43" s="19" t="n">
        <v>0.3333333333333333</v>
      </c>
      <c r="F43" s="19" t="n">
        <v>0.3333333333333333</v>
      </c>
      <c r="G43" s="19" t="n">
        <v>0.3333333333333333</v>
      </c>
      <c r="H43" s="19" t="n">
        <v>0.3333333333333333</v>
      </c>
      <c r="I43" s="19" t="n">
        <v>0.3333333333333333</v>
      </c>
      <c r="J43" s="19" t="n">
        <v>0.3333333333333333</v>
      </c>
      <c r="K43" s="19" t="n">
        <v>0.3333333333333333</v>
      </c>
      <c r="L43" s="19" t="n">
        <v>0.3333333333333333</v>
      </c>
      <c r="M43" s="19" t="n">
        <v>0.3333333333333333</v>
      </c>
      <c r="N43" s="19" t="n">
        <v>0.3333333333333333</v>
      </c>
      <c r="O43" s="19" t="n">
        <v>0.3333333333333333</v>
      </c>
      <c r="P43" s="19" t="n">
        <v>0.3333333333333333</v>
      </c>
      <c r="Q43" s="19" t="n">
        <v>0.3333333333333333</v>
      </c>
      <c r="R43" s="19" t="n">
        <v>0.3333333333333333</v>
      </c>
      <c r="S43" s="19" t="n">
        <v>0.3333333333333333</v>
      </c>
      <c r="T43" s="19" t="n">
        <v>0.3333333333333333</v>
      </c>
      <c r="U43" s="19" t="n">
        <v>0.3333333333333333</v>
      </c>
      <c r="V43" s="19" t="n">
        <v>0.3333333333333333</v>
      </c>
      <c r="W43" s="19" t="n">
        <v>0.3333333333333333</v>
      </c>
      <c r="X43" s="19" t="n">
        <v>0.3333333333333333</v>
      </c>
      <c r="Y43" s="19" t="n">
        <v>0.3333333333333333</v>
      </c>
      <c r="Z43" s="19" t="n">
        <v>0.3333333333333333</v>
      </c>
      <c r="AA43" s="19" t="n">
        <v>0.3333333333333333</v>
      </c>
      <c r="AB43" s="19" t="n">
        <v>0.3333333333333333</v>
      </c>
      <c r="AC43" s="19" t="n">
        <v>0.3333333333333333</v>
      </c>
      <c r="AD43" s="19" t="n">
        <v>0.3333333333333333</v>
      </c>
      <c r="AE43" s="19" t="n">
        <v>0.3333333333333333</v>
      </c>
      <c r="AF43" s="53" t="n">
        <v>0.3333333333333333</v>
      </c>
      <c r="AG43" s="19" t="n">
        <v>0.3333333333333333</v>
      </c>
      <c r="AH43" s="19" t="n">
        <v>0.3333333333333333</v>
      </c>
      <c r="AI43" s="517" t="n"/>
    </row>
    <row r="44" ht="17.25" customFormat="1" customHeight="1" s="570">
      <c r="A44" s="561" t="n">
        <v>1</v>
      </c>
      <c r="B44" s="561" t="inlineStr">
        <is>
          <t>3F</t>
        </is>
      </c>
      <c r="C44" s="561" t="inlineStr">
        <is>
          <t>SL No 540430038840 (EB Unit)</t>
        </is>
      </c>
      <c r="D44" s="501" t="n"/>
      <c r="E44" s="420">
        <f>E6-D6</f>
        <v/>
      </c>
      <c r="F44" s="420">
        <f>F6-E6</f>
        <v/>
      </c>
      <c r="G44" s="420">
        <f>G6-F6</f>
        <v/>
      </c>
      <c r="H44" s="420">
        <f>H6-G6</f>
        <v/>
      </c>
      <c r="I44" s="420">
        <f>I6-H6</f>
        <v/>
      </c>
      <c r="J44" s="420">
        <f>J6-I6</f>
        <v/>
      </c>
      <c r="K44" s="420">
        <f>K6-J6</f>
        <v/>
      </c>
      <c r="L44" s="420">
        <f>L6-K6</f>
        <v/>
      </c>
      <c r="M44" s="420">
        <f>M6-L6</f>
        <v/>
      </c>
      <c r="N44" s="420">
        <f>N6-M6</f>
        <v/>
      </c>
      <c r="O44" s="420">
        <f>O6-N6</f>
        <v/>
      </c>
      <c r="P44" s="420">
        <f>P6-O6</f>
        <v/>
      </c>
      <c r="Q44" s="420">
        <f>Q6-P6</f>
        <v/>
      </c>
      <c r="R44" s="420">
        <f>R6-Q6</f>
        <v/>
      </c>
      <c r="S44" s="420">
        <f>S6-R6</f>
        <v/>
      </c>
      <c r="T44" s="420">
        <f>T6-S6</f>
        <v/>
      </c>
      <c r="U44" s="420">
        <f>U6-T6</f>
        <v/>
      </c>
      <c r="V44" s="420">
        <f>V6-U6</f>
        <v/>
      </c>
      <c r="W44" s="420">
        <f>W6-V6</f>
        <v/>
      </c>
      <c r="X44" s="420">
        <f>X6-W6</f>
        <v/>
      </c>
      <c r="Y44" s="420">
        <f>Y6-X6</f>
        <v/>
      </c>
      <c r="Z44" s="420">
        <f>Z6-Y6</f>
        <v/>
      </c>
      <c r="AA44" s="420">
        <f>AA6-Z6</f>
        <v/>
      </c>
      <c r="AB44" s="420">
        <f>AB6-AA6</f>
        <v/>
      </c>
      <c r="AC44" s="420">
        <f>AC6-AB6</f>
        <v/>
      </c>
      <c r="AD44" s="420">
        <f>AD6-AC6</f>
        <v/>
      </c>
      <c r="AE44" s="420">
        <f>AE6-AD6</f>
        <v/>
      </c>
      <c r="AF44" s="420">
        <f>AF6-AE6</f>
        <v/>
      </c>
      <c r="AG44" s="420">
        <f>AG6-AF6</f>
        <v/>
      </c>
      <c r="AH44" s="420">
        <f>AH6-AG6</f>
        <v/>
      </c>
      <c r="AI44" s="421">
        <f>SUM(H44:AH44)</f>
        <v/>
      </c>
    </row>
    <row r="45" ht="17.25" customFormat="1" customHeight="1" s="570">
      <c r="A45" s="561" t="n"/>
      <c r="B45" s="561" t="n"/>
      <c r="C45" s="565" t="inlineStr">
        <is>
          <t>DG</t>
        </is>
      </c>
      <c r="D45" s="501" t="n"/>
      <c r="E45" s="420">
        <f>E7-D7</f>
        <v/>
      </c>
      <c r="F45" s="420">
        <f>F7-E7</f>
        <v/>
      </c>
      <c r="G45" s="420">
        <f>G7-F7</f>
        <v/>
      </c>
      <c r="H45" s="420">
        <f>H7-G7</f>
        <v/>
      </c>
      <c r="I45" s="420">
        <f>I7-H7</f>
        <v/>
      </c>
      <c r="J45" s="420">
        <f>J7-I7</f>
        <v/>
      </c>
      <c r="K45" s="420">
        <f>K7-J7</f>
        <v/>
      </c>
      <c r="L45" s="420">
        <f>L7-K7</f>
        <v/>
      </c>
      <c r="M45" s="420">
        <f>M7-L7</f>
        <v/>
      </c>
      <c r="N45" s="420">
        <f>N7-M7</f>
        <v/>
      </c>
      <c r="O45" s="420">
        <f>O7-N7</f>
        <v/>
      </c>
      <c r="P45" s="420">
        <f>P7-O7</f>
        <v/>
      </c>
      <c r="Q45" s="420">
        <f>Q7-P7</f>
        <v/>
      </c>
      <c r="R45" s="420">
        <f>R7-Q7</f>
        <v/>
      </c>
      <c r="S45" s="420">
        <f>S7-R7</f>
        <v/>
      </c>
      <c r="T45" s="420">
        <f>T7-S7</f>
        <v/>
      </c>
      <c r="U45" s="420">
        <f>U7-T7</f>
        <v/>
      </c>
      <c r="V45" s="420">
        <f>V7-U7</f>
        <v/>
      </c>
      <c r="W45" s="420">
        <f>W7-V7</f>
        <v/>
      </c>
      <c r="X45" s="420">
        <f>X7-W7</f>
        <v/>
      </c>
      <c r="Y45" s="420">
        <f>Y7-X7</f>
        <v/>
      </c>
      <c r="Z45" s="420">
        <f>Z7-Y7</f>
        <v/>
      </c>
      <c r="AA45" s="420">
        <f>AA7-Z7</f>
        <v/>
      </c>
      <c r="AB45" s="420">
        <f>AB7-AA7</f>
        <v/>
      </c>
      <c r="AC45" s="420">
        <f>AC7-AB7</f>
        <v/>
      </c>
      <c r="AD45" s="420">
        <f>AD7-AC7</f>
        <v/>
      </c>
      <c r="AE45" s="420">
        <f>AE7-AD7</f>
        <v/>
      </c>
      <c r="AF45" s="420">
        <f>AF7-AE7</f>
        <v/>
      </c>
      <c r="AG45" s="420">
        <f>AG7-AF7</f>
        <v/>
      </c>
      <c r="AH45" s="420">
        <f>AH7-AG7</f>
        <v/>
      </c>
      <c r="AI45" s="421">
        <f>SUM(H45:AH45)</f>
        <v/>
      </c>
    </row>
    <row r="46" ht="17.25" customFormat="1" customHeight="1" s="570">
      <c r="A46" s="561" t="n">
        <v>2</v>
      </c>
      <c r="B46" s="561" t="inlineStr">
        <is>
          <t>3F</t>
        </is>
      </c>
      <c r="C46" s="561" t="inlineStr">
        <is>
          <t>SL No 540430038845 (EB Unit)</t>
        </is>
      </c>
      <c r="D46" s="501" t="n"/>
      <c r="E46" s="420">
        <f>E8-D8</f>
        <v/>
      </c>
      <c r="F46" s="420">
        <f>F8-E8</f>
        <v/>
      </c>
      <c r="G46" s="420">
        <f>G8-F8</f>
        <v/>
      </c>
      <c r="H46" s="420">
        <f>H8-G8</f>
        <v/>
      </c>
      <c r="I46" s="420">
        <f>I8-H8</f>
        <v/>
      </c>
      <c r="J46" s="420">
        <f>J8-I8</f>
        <v/>
      </c>
      <c r="K46" s="420">
        <f>K8-J8</f>
        <v/>
      </c>
      <c r="L46" s="420">
        <f>L8-K8</f>
        <v/>
      </c>
      <c r="M46" s="420">
        <f>M8-L8</f>
        <v/>
      </c>
      <c r="N46" s="420">
        <f>N8-M8</f>
        <v/>
      </c>
      <c r="O46" s="420">
        <f>O8-N8</f>
        <v/>
      </c>
      <c r="P46" s="420">
        <f>P8-O8</f>
        <v/>
      </c>
      <c r="Q46" s="420">
        <f>Q8-P8</f>
        <v/>
      </c>
      <c r="R46" s="420">
        <f>R8-Q8</f>
        <v/>
      </c>
      <c r="S46" s="420">
        <f>S8-R8</f>
        <v/>
      </c>
      <c r="T46" s="420">
        <f>T8-S8</f>
        <v/>
      </c>
      <c r="U46" s="420">
        <f>U8-T8</f>
        <v/>
      </c>
      <c r="V46" s="420">
        <f>V8-U8</f>
        <v/>
      </c>
      <c r="W46" s="420">
        <f>W8-V8</f>
        <v/>
      </c>
      <c r="X46" s="420">
        <f>X8-W8</f>
        <v/>
      </c>
      <c r="Y46" s="420">
        <f>Y8-X8</f>
        <v/>
      </c>
      <c r="Z46" s="420">
        <f>Z8-Y8</f>
        <v/>
      </c>
      <c r="AA46" s="420">
        <f>AA8-Z8</f>
        <v/>
      </c>
      <c r="AB46" s="420">
        <f>AB8-AA8</f>
        <v/>
      </c>
      <c r="AC46" s="420">
        <f>AC8-AB8</f>
        <v/>
      </c>
      <c r="AD46" s="420">
        <f>AD8-AC8</f>
        <v/>
      </c>
      <c r="AE46" s="420">
        <f>AE8-AD8</f>
        <v/>
      </c>
      <c r="AF46" s="420">
        <f>AF8-AE8</f>
        <v/>
      </c>
      <c r="AG46" s="420">
        <f>AG8-AF8</f>
        <v/>
      </c>
      <c r="AH46" s="420">
        <f>AH8-AG8</f>
        <v/>
      </c>
      <c r="AI46" s="421">
        <f>SUM(H46:AH46)</f>
        <v/>
      </c>
    </row>
    <row r="47" ht="17.25" customFormat="1" customHeight="1" s="570">
      <c r="A47" s="561" t="n"/>
      <c r="B47" s="561" t="n"/>
      <c r="C47" s="565" t="inlineStr">
        <is>
          <t>DG</t>
        </is>
      </c>
      <c r="D47" s="501" t="n"/>
      <c r="E47" s="420">
        <f>E9-D9</f>
        <v/>
      </c>
      <c r="F47" s="420">
        <f>F9-E9</f>
        <v/>
      </c>
      <c r="G47" s="420">
        <f>G9-F9</f>
        <v/>
      </c>
      <c r="H47" s="420">
        <f>H9-G9</f>
        <v/>
      </c>
      <c r="I47" s="420">
        <f>I9-H9</f>
        <v/>
      </c>
      <c r="J47" s="420">
        <f>J9-I9</f>
        <v/>
      </c>
      <c r="K47" s="420">
        <f>K9-J9</f>
        <v/>
      </c>
      <c r="L47" s="420">
        <f>L9-K9</f>
        <v/>
      </c>
      <c r="M47" s="420">
        <f>M9-L9</f>
        <v/>
      </c>
      <c r="N47" s="420">
        <f>N9-M9</f>
        <v/>
      </c>
      <c r="O47" s="420">
        <f>O9-N9</f>
        <v/>
      </c>
      <c r="P47" s="420">
        <f>P9-O9</f>
        <v/>
      </c>
      <c r="Q47" s="420">
        <f>Q9-P9</f>
        <v/>
      </c>
      <c r="R47" s="420">
        <f>R9-Q9</f>
        <v/>
      </c>
      <c r="S47" s="420">
        <f>S9-R9</f>
        <v/>
      </c>
      <c r="T47" s="420">
        <f>T9-S9</f>
        <v/>
      </c>
      <c r="U47" s="420">
        <f>U9-T9</f>
        <v/>
      </c>
      <c r="V47" s="420">
        <f>V9-U9</f>
        <v/>
      </c>
      <c r="W47" s="420">
        <f>W9-V9</f>
        <v/>
      </c>
      <c r="X47" s="420">
        <f>X9-W9</f>
        <v/>
      </c>
      <c r="Y47" s="420">
        <f>Y9-X9</f>
        <v/>
      </c>
      <c r="Z47" s="420">
        <f>Z9-Y9</f>
        <v/>
      </c>
      <c r="AA47" s="420">
        <f>AA9-Z9</f>
        <v/>
      </c>
      <c r="AB47" s="420">
        <f>AB9-AA9</f>
        <v/>
      </c>
      <c r="AC47" s="420">
        <f>AC9-AB9</f>
        <v/>
      </c>
      <c r="AD47" s="420">
        <f>AD9-AC9</f>
        <v/>
      </c>
      <c r="AE47" s="420">
        <f>AE9-AD9</f>
        <v/>
      </c>
      <c r="AF47" s="420">
        <f>AF9-AE9</f>
        <v/>
      </c>
      <c r="AG47" s="420">
        <f>AG9-AF9</f>
        <v/>
      </c>
      <c r="AH47" s="420">
        <f>AH9-AG9</f>
        <v/>
      </c>
      <c r="AI47" s="421">
        <f>SUM(H47:AH47)</f>
        <v/>
      </c>
    </row>
    <row r="48" ht="17.25" customFormat="1" customHeight="1" s="570">
      <c r="A48" s="561" t="n">
        <v>3</v>
      </c>
      <c r="B48" s="561" t="inlineStr">
        <is>
          <t>3F</t>
        </is>
      </c>
      <c r="C48" s="561" t="inlineStr">
        <is>
          <t>SL No 540430038844 (EB Unit)</t>
        </is>
      </c>
      <c r="D48" s="501" t="n"/>
      <c r="E48" s="420">
        <f>E10-D10</f>
        <v/>
      </c>
      <c r="F48" s="420">
        <f>F10-E10</f>
        <v/>
      </c>
      <c r="G48" s="420">
        <f>G10-F10</f>
        <v/>
      </c>
      <c r="H48" s="420">
        <f>H10-G10</f>
        <v/>
      </c>
      <c r="I48" s="420">
        <f>I10-H10</f>
        <v/>
      </c>
      <c r="J48" s="420">
        <f>J10-I10</f>
        <v/>
      </c>
      <c r="K48" s="420">
        <f>K10-J10</f>
        <v/>
      </c>
      <c r="L48" s="420">
        <f>L10-K10</f>
        <v/>
      </c>
      <c r="M48" s="420">
        <f>M10-L10</f>
        <v/>
      </c>
      <c r="N48" s="420">
        <f>N10-M10</f>
        <v/>
      </c>
      <c r="O48" s="420">
        <f>O10-N10</f>
        <v/>
      </c>
      <c r="P48" s="420">
        <f>P10-O10</f>
        <v/>
      </c>
      <c r="Q48" s="420">
        <f>Q10-P10</f>
        <v/>
      </c>
      <c r="R48" s="420">
        <f>R10-Q10</f>
        <v/>
      </c>
      <c r="S48" s="420">
        <f>S10-R10</f>
        <v/>
      </c>
      <c r="T48" s="420">
        <f>T10-S10</f>
        <v/>
      </c>
      <c r="U48" s="420">
        <f>U10-T10</f>
        <v/>
      </c>
      <c r="V48" s="420">
        <f>V10-U10</f>
        <v/>
      </c>
      <c r="W48" s="420">
        <f>W10-V10</f>
        <v/>
      </c>
      <c r="X48" s="420">
        <f>X10-W10</f>
        <v/>
      </c>
      <c r="Y48" s="420">
        <f>Y10-X10</f>
        <v/>
      </c>
      <c r="Z48" s="420">
        <f>Z10-Y10</f>
        <v/>
      </c>
      <c r="AA48" s="420">
        <f>AA10-Z10</f>
        <v/>
      </c>
      <c r="AB48" s="420">
        <f>AB10-AA10</f>
        <v/>
      </c>
      <c r="AC48" s="420">
        <f>AC10-AB10</f>
        <v/>
      </c>
      <c r="AD48" s="420">
        <f>AD10-AC10</f>
        <v/>
      </c>
      <c r="AE48" s="420">
        <f>AE10-AD10</f>
        <v/>
      </c>
      <c r="AF48" s="420">
        <f>AF10-AE10</f>
        <v/>
      </c>
      <c r="AG48" s="420">
        <f>AG10-AF10</f>
        <v/>
      </c>
      <c r="AH48" s="420">
        <f>AH10-AG10</f>
        <v/>
      </c>
      <c r="AI48" s="421">
        <f>SUM(H48:AH48)</f>
        <v/>
      </c>
    </row>
    <row r="49" ht="17.25" customFormat="1" customHeight="1" s="570">
      <c r="A49" s="561" t="n"/>
      <c r="B49" s="561" t="n"/>
      <c r="C49" s="565" t="inlineStr">
        <is>
          <t>DG</t>
        </is>
      </c>
      <c r="D49" s="501" t="n"/>
      <c r="E49" s="420">
        <f>E11-D11</f>
        <v/>
      </c>
      <c r="F49" s="420">
        <f>F11-E11</f>
        <v/>
      </c>
      <c r="G49" s="420">
        <f>G11-F11</f>
        <v/>
      </c>
      <c r="H49" s="420">
        <f>H11-G11</f>
        <v/>
      </c>
      <c r="I49" s="420">
        <f>I11-H11</f>
        <v/>
      </c>
      <c r="J49" s="420">
        <f>J11-I11</f>
        <v/>
      </c>
      <c r="K49" s="420">
        <f>K11-J11</f>
        <v/>
      </c>
      <c r="L49" s="420">
        <f>L11-K11</f>
        <v/>
      </c>
      <c r="M49" s="420">
        <f>M11-L11</f>
        <v/>
      </c>
      <c r="N49" s="420">
        <f>N11-M11</f>
        <v/>
      </c>
      <c r="O49" s="420">
        <f>O11-N11</f>
        <v/>
      </c>
      <c r="P49" s="420">
        <f>P11-O11</f>
        <v/>
      </c>
      <c r="Q49" s="420">
        <f>Q11-P11</f>
        <v/>
      </c>
      <c r="R49" s="420">
        <f>R11-Q11</f>
        <v/>
      </c>
      <c r="S49" s="420">
        <f>S11-R11</f>
        <v/>
      </c>
      <c r="T49" s="420">
        <f>T11-S11</f>
        <v/>
      </c>
      <c r="U49" s="420">
        <f>U11-T11</f>
        <v/>
      </c>
      <c r="V49" s="420">
        <f>V11-U11</f>
        <v/>
      </c>
      <c r="W49" s="420">
        <f>W11-V11</f>
        <v/>
      </c>
      <c r="X49" s="420">
        <f>X11-W11</f>
        <v/>
      </c>
      <c r="Y49" s="420">
        <f>Y11-X11</f>
        <v/>
      </c>
      <c r="Z49" s="420">
        <f>Z11-Y11</f>
        <v/>
      </c>
      <c r="AA49" s="420">
        <f>AA11-Z11</f>
        <v/>
      </c>
      <c r="AB49" s="420">
        <f>AB11-AA11</f>
        <v/>
      </c>
      <c r="AC49" s="420">
        <f>AC11-AB11</f>
        <v/>
      </c>
      <c r="AD49" s="420">
        <f>AD11-AC11</f>
        <v/>
      </c>
      <c r="AE49" s="420">
        <f>AE11-AD11</f>
        <v/>
      </c>
      <c r="AF49" s="420">
        <f>AF11-AE11</f>
        <v/>
      </c>
      <c r="AG49" s="420">
        <f>AG11-AF11</f>
        <v/>
      </c>
      <c r="AH49" s="420">
        <f>AH11-AG11</f>
        <v/>
      </c>
      <c r="AI49" s="421">
        <f>SUM(H49:AH49)</f>
        <v/>
      </c>
    </row>
    <row r="50" ht="17.25" customFormat="1" customHeight="1" s="570">
      <c r="A50" s="561" t="n">
        <v>4</v>
      </c>
      <c r="B50" s="561" t="inlineStr">
        <is>
          <t>3F</t>
        </is>
      </c>
      <c r="C50" s="561" t="inlineStr">
        <is>
          <t>SL No 540430038821 (EB Unit)</t>
        </is>
      </c>
      <c r="D50" s="501" t="n"/>
      <c r="E50" s="420">
        <f>E12-D12</f>
        <v/>
      </c>
      <c r="F50" s="420">
        <f>F12-E12</f>
        <v/>
      </c>
      <c r="G50" s="420">
        <f>G12-F12</f>
        <v/>
      </c>
      <c r="H50" s="420">
        <f>H12-G12</f>
        <v/>
      </c>
      <c r="I50" s="420">
        <f>I12-H12</f>
        <v/>
      </c>
      <c r="J50" s="420">
        <f>J12-I12</f>
        <v/>
      </c>
      <c r="K50" s="420">
        <f>K12-J12</f>
        <v/>
      </c>
      <c r="L50" s="420">
        <f>L12-K12</f>
        <v/>
      </c>
      <c r="M50" s="420">
        <f>M12-L12</f>
        <v/>
      </c>
      <c r="N50" s="420">
        <f>N12-M12</f>
        <v/>
      </c>
      <c r="O50" s="420">
        <f>O12-N12</f>
        <v/>
      </c>
      <c r="P50" s="420">
        <f>P12-O12</f>
        <v/>
      </c>
      <c r="Q50" s="420">
        <f>Q12-P12</f>
        <v/>
      </c>
      <c r="R50" s="420">
        <f>R12-Q12</f>
        <v/>
      </c>
      <c r="S50" s="420">
        <f>S12-R12</f>
        <v/>
      </c>
      <c r="T50" s="420">
        <f>T12-S12</f>
        <v/>
      </c>
      <c r="U50" s="420">
        <f>U12-T12</f>
        <v/>
      </c>
      <c r="V50" s="420">
        <f>V12-U12</f>
        <v/>
      </c>
      <c r="W50" s="420">
        <f>W12-V12</f>
        <v/>
      </c>
      <c r="X50" s="420">
        <f>X12-W12</f>
        <v/>
      </c>
      <c r="Y50" s="420">
        <f>Y12-X12</f>
        <v/>
      </c>
      <c r="Z50" s="420">
        <f>Z12-Y12</f>
        <v/>
      </c>
      <c r="AA50" s="420">
        <f>AA12-Z12</f>
        <v/>
      </c>
      <c r="AB50" s="420">
        <f>AB12-AA12</f>
        <v/>
      </c>
      <c r="AC50" s="420">
        <f>AC12-AB12</f>
        <v/>
      </c>
      <c r="AD50" s="420">
        <f>AD12-AC12</f>
        <v/>
      </c>
      <c r="AE50" s="420">
        <f>AE12-AD12</f>
        <v/>
      </c>
      <c r="AF50" s="420">
        <f>AF12-AE12</f>
        <v/>
      </c>
      <c r="AG50" s="420">
        <f>AG12-AF12</f>
        <v/>
      </c>
      <c r="AH50" s="420">
        <f>AH12-AG12</f>
        <v/>
      </c>
      <c r="AI50" s="421">
        <f>SUM(H50:AH50)</f>
        <v/>
      </c>
    </row>
    <row r="51" ht="17.25" customFormat="1" customHeight="1" s="570">
      <c r="A51" s="561" t="n"/>
      <c r="B51" s="561" t="n"/>
      <c r="C51" s="565" t="inlineStr">
        <is>
          <t>DG</t>
        </is>
      </c>
      <c r="D51" s="501" t="n"/>
      <c r="E51" s="420">
        <f>E13-D13</f>
        <v/>
      </c>
      <c r="F51" s="420">
        <f>F13-E13</f>
        <v/>
      </c>
      <c r="G51" s="420">
        <f>G13-F13</f>
        <v/>
      </c>
      <c r="H51" s="420">
        <f>H13-G13</f>
        <v/>
      </c>
      <c r="I51" s="420">
        <f>I13-H13</f>
        <v/>
      </c>
      <c r="J51" s="420">
        <f>J13-I13</f>
        <v/>
      </c>
      <c r="K51" s="420">
        <f>K13-J13</f>
        <v/>
      </c>
      <c r="L51" s="420">
        <f>L13-K13</f>
        <v/>
      </c>
      <c r="M51" s="420">
        <f>M13-L13</f>
        <v/>
      </c>
      <c r="N51" s="420">
        <f>N13-M13</f>
        <v/>
      </c>
      <c r="O51" s="420">
        <f>O13-N13</f>
        <v/>
      </c>
      <c r="P51" s="420">
        <f>P13-O13</f>
        <v/>
      </c>
      <c r="Q51" s="420">
        <f>Q13-P13</f>
        <v/>
      </c>
      <c r="R51" s="420">
        <f>R13-Q13</f>
        <v/>
      </c>
      <c r="S51" s="420">
        <f>S13-R13</f>
        <v/>
      </c>
      <c r="T51" s="420">
        <f>T13-S13</f>
        <v/>
      </c>
      <c r="U51" s="420">
        <f>U13-T13</f>
        <v/>
      </c>
      <c r="V51" s="420">
        <f>V13-U13</f>
        <v/>
      </c>
      <c r="W51" s="420">
        <f>W13-V13</f>
        <v/>
      </c>
      <c r="X51" s="420">
        <f>X13-W13</f>
        <v/>
      </c>
      <c r="Y51" s="420">
        <f>Y13-X13</f>
        <v/>
      </c>
      <c r="Z51" s="420">
        <f>Z13-Y13</f>
        <v/>
      </c>
      <c r="AA51" s="420">
        <f>AA13-Z13</f>
        <v/>
      </c>
      <c r="AB51" s="420">
        <f>AB13-AA13</f>
        <v/>
      </c>
      <c r="AC51" s="420">
        <f>AC13-AB13</f>
        <v/>
      </c>
      <c r="AD51" s="420">
        <f>AD13-AC13</f>
        <v/>
      </c>
      <c r="AE51" s="420">
        <f>AE13-AD13</f>
        <v/>
      </c>
      <c r="AF51" s="420">
        <f>AF13-AE13</f>
        <v/>
      </c>
      <c r="AG51" s="420">
        <f>AG13-AF13</f>
        <v/>
      </c>
      <c r="AH51" s="420">
        <f>AH13-AG13</f>
        <v/>
      </c>
      <c r="AI51" s="421">
        <f>SUM(H51:AH51)</f>
        <v/>
      </c>
    </row>
    <row r="52" ht="17.25" customFormat="1" customHeight="1" s="570">
      <c r="A52" s="561" t="n">
        <v>5</v>
      </c>
      <c r="B52" s="561" t="inlineStr">
        <is>
          <t>3F</t>
        </is>
      </c>
      <c r="C52" s="561" t="inlineStr">
        <is>
          <t>SL No 540430038849 (EB Unit)</t>
        </is>
      </c>
      <c r="D52" s="501" t="n"/>
      <c r="E52" s="420">
        <f>E14-D14</f>
        <v/>
      </c>
      <c r="F52" s="420">
        <f>F14-E14</f>
        <v/>
      </c>
      <c r="G52" s="420">
        <f>G14-F14</f>
        <v/>
      </c>
      <c r="H52" s="420">
        <f>H14-G14</f>
        <v/>
      </c>
      <c r="I52" s="420">
        <f>I14-H14</f>
        <v/>
      </c>
      <c r="J52" s="420">
        <f>J14-I14</f>
        <v/>
      </c>
      <c r="K52" s="420">
        <f>K14-J14</f>
        <v/>
      </c>
      <c r="L52" s="420">
        <f>L14-K14</f>
        <v/>
      </c>
      <c r="M52" s="420">
        <f>M14-L14</f>
        <v/>
      </c>
      <c r="N52" s="420">
        <f>N14-M14</f>
        <v/>
      </c>
      <c r="O52" s="420">
        <f>O14-N14</f>
        <v/>
      </c>
      <c r="P52" s="420">
        <f>P14-O14</f>
        <v/>
      </c>
      <c r="Q52" s="420">
        <f>Q14-P14</f>
        <v/>
      </c>
      <c r="R52" s="420">
        <f>R14-Q14</f>
        <v/>
      </c>
      <c r="S52" s="420">
        <f>S14-R14</f>
        <v/>
      </c>
      <c r="T52" s="420">
        <f>T14-S14</f>
        <v/>
      </c>
      <c r="U52" s="420">
        <f>U14-T14</f>
        <v/>
      </c>
      <c r="V52" s="420">
        <f>V14-U14</f>
        <v/>
      </c>
      <c r="W52" s="420">
        <f>W14-V14</f>
        <v/>
      </c>
      <c r="X52" s="420">
        <f>X14-W14</f>
        <v/>
      </c>
      <c r="Y52" s="420">
        <f>Y14-X14</f>
        <v/>
      </c>
      <c r="Z52" s="420">
        <f>Z14-Y14</f>
        <v/>
      </c>
      <c r="AA52" s="420">
        <f>AA14-Z14</f>
        <v/>
      </c>
      <c r="AB52" s="420">
        <f>AB14-AA14</f>
        <v/>
      </c>
      <c r="AC52" s="420">
        <f>AC14-AB14</f>
        <v/>
      </c>
      <c r="AD52" s="420">
        <f>AD14-AC14</f>
        <v/>
      </c>
      <c r="AE52" s="420">
        <f>AE14-AD14</f>
        <v/>
      </c>
      <c r="AF52" s="420">
        <f>AF14-AE14</f>
        <v/>
      </c>
      <c r="AG52" s="420">
        <f>AG14-AF14</f>
        <v/>
      </c>
      <c r="AH52" s="420">
        <f>AH14-AG14</f>
        <v/>
      </c>
      <c r="AI52" s="421">
        <f>SUM(H52:AH52)</f>
        <v/>
      </c>
    </row>
    <row r="53" ht="17.25" customFormat="1" customHeight="1" s="570">
      <c r="A53" s="561" t="n"/>
      <c r="B53" s="561" t="n"/>
      <c r="C53" s="565" t="inlineStr">
        <is>
          <t>DG</t>
        </is>
      </c>
      <c r="D53" s="501" t="n"/>
      <c r="E53" s="420">
        <f>E15-D15</f>
        <v/>
      </c>
      <c r="F53" s="420">
        <f>F15-E15</f>
        <v/>
      </c>
      <c r="G53" s="420">
        <f>G15-F15</f>
        <v/>
      </c>
      <c r="H53" s="420">
        <f>H15-G15</f>
        <v/>
      </c>
      <c r="I53" s="420">
        <f>I15-H15</f>
        <v/>
      </c>
      <c r="J53" s="420">
        <f>J15-I15</f>
        <v/>
      </c>
      <c r="K53" s="420">
        <f>K15-J15</f>
        <v/>
      </c>
      <c r="L53" s="420">
        <f>L15-K15</f>
        <v/>
      </c>
      <c r="M53" s="420">
        <f>M15-L15</f>
        <v/>
      </c>
      <c r="N53" s="420">
        <f>N15-M15</f>
        <v/>
      </c>
      <c r="O53" s="420">
        <f>O15-N15</f>
        <v/>
      </c>
      <c r="P53" s="420">
        <f>P15-O15</f>
        <v/>
      </c>
      <c r="Q53" s="420">
        <f>Q15-P15</f>
        <v/>
      </c>
      <c r="R53" s="420">
        <f>R15-Q15</f>
        <v/>
      </c>
      <c r="S53" s="420">
        <f>S15-R15</f>
        <v/>
      </c>
      <c r="T53" s="420">
        <f>T15-S15</f>
        <v/>
      </c>
      <c r="U53" s="420">
        <f>U15-T15</f>
        <v/>
      </c>
      <c r="V53" s="420">
        <f>V15-U15</f>
        <v/>
      </c>
      <c r="W53" s="420">
        <f>W15-V15</f>
        <v/>
      </c>
      <c r="X53" s="420">
        <f>X15-W15</f>
        <v/>
      </c>
      <c r="Y53" s="420">
        <f>Y15-X15</f>
        <v/>
      </c>
      <c r="Z53" s="420">
        <f>Z15-Y15</f>
        <v/>
      </c>
      <c r="AA53" s="420">
        <f>AA15-Z15</f>
        <v/>
      </c>
      <c r="AB53" s="420">
        <f>AB15-AA15</f>
        <v/>
      </c>
      <c r="AC53" s="420">
        <f>AC15-AB15</f>
        <v/>
      </c>
      <c r="AD53" s="420">
        <f>AD15-AC15</f>
        <v/>
      </c>
      <c r="AE53" s="420">
        <f>AE15-AD15</f>
        <v/>
      </c>
      <c r="AF53" s="420">
        <f>AF15-AE15</f>
        <v/>
      </c>
      <c r="AG53" s="420">
        <f>AG15-AF15</f>
        <v/>
      </c>
      <c r="AH53" s="420">
        <f>AH15-AG15</f>
        <v/>
      </c>
      <c r="AI53" s="421">
        <f>SUM(H53:AH53)</f>
        <v/>
      </c>
    </row>
    <row r="54" ht="17.25" customFormat="1" customHeight="1" s="570">
      <c r="A54" s="561" t="n">
        <v>6</v>
      </c>
      <c r="B54" s="561" t="inlineStr">
        <is>
          <t>3F</t>
        </is>
      </c>
      <c r="C54" s="561" t="inlineStr">
        <is>
          <t>SL No 540430038696 (EB Unit)</t>
        </is>
      </c>
      <c r="D54" s="501" t="n"/>
      <c r="E54" s="420">
        <f>E16-D16</f>
        <v/>
      </c>
      <c r="F54" s="420">
        <f>F16-E16</f>
        <v/>
      </c>
      <c r="G54" s="420">
        <f>G16-F16</f>
        <v/>
      </c>
      <c r="H54" s="420">
        <f>H16-G16</f>
        <v/>
      </c>
      <c r="I54" s="420">
        <f>I16-H16</f>
        <v/>
      </c>
      <c r="J54" s="420">
        <f>J16-I16</f>
        <v/>
      </c>
      <c r="K54" s="420">
        <f>K16-J16</f>
        <v/>
      </c>
      <c r="L54" s="420">
        <f>L16-K16</f>
        <v/>
      </c>
      <c r="M54" s="420">
        <f>M16-L16</f>
        <v/>
      </c>
      <c r="N54" s="420">
        <f>N16-M16</f>
        <v/>
      </c>
      <c r="O54" s="420">
        <f>O16-N16</f>
        <v/>
      </c>
      <c r="P54" s="420">
        <f>P16-O16</f>
        <v/>
      </c>
      <c r="Q54" s="420">
        <f>Q16-P16</f>
        <v/>
      </c>
      <c r="R54" s="420">
        <f>R16-Q16</f>
        <v/>
      </c>
      <c r="S54" s="420">
        <f>S16-R16</f>
        <v/>
      </c>
      <c r="T54" s="420">
        <f>T16-S16</f>
        <v/>
      </c>
      <c r="U54" s="420">
        <f>U16-T16</f>
        <v/>
      </c>
      <c r="V54" s="420">
        <f>V16-U16</f>
        <v/>
      </c>
      <c r="W54" s="420">
        <f>W16-V16</f>
        <v/>
      </c>
      <c r="X54" s="420">
        <f>X16-W16</f>
        <v/>
      </c>
      <c r="Y54" s="420">
        <f>Y16-X16</f>
        <v/>
      </c>
      <c r="Z54" s="420">
        <f>Z16-Y16</f>
        <v/>
      </c>
      <c r="AA54" s="420">
        <f>AA16-Z16</f>
        <v/>
      </c>
      <c r="AB54" s="420">
        <f>AB16-AA16</f>
        <v/>
      </c>
      <c r="AC54" s="420">
        <f>AC16-AB16</f>
        <v/>
      </c>
      <c r="AD54" s="420">
        <f>AD16-AC16</f>
        <v/>
      </c>
      <c r="AE54" s="420">
        <f>AE16-AD16</f>
        <v/>
      </c>
      <c r="AF54" s="420">
        <f>AF16-AE16</f>
        <v/>
      </c>
      <c r="AG54" s="420">
        <f>AG16-AF16</f>
        <v/>
      </c>
      <c r="AH54" s="420">
        <f>AH16-AG16</f>
        <v/>
      </c>
      <c r="AI54" s="421">
        <f>SUM(H54:AH54)</f>
        <v/>
      </c>
    </row>
    <row r="55" ht="17.25" customFormat="1" customHeight="1" s="570">
      <c r="A55" s="561" t="n"/>
      <c r="B55" s="561" t="n"/>
      <c r="C55" s="565" t="inlineStr">
        <is>
          <t>DG</t>
        </is>
      </c>
      <c r="D55" s="501" t="n"/>
      <c r="E55" s="420">
        <f>E17-D17</f>
        <v/>
      </c>
      <c r="F55" s="420">
        <f>F17-E17</f>
        <v/>
      </c>
      <c r="G55" s="420">
        <f>G17-F17</f>
        <v/>
      </c>
      <c r="H55" s="420">
        <f>H17-G17</f>
        <v/>
      </c>
      <c r="I55" s="420">
        <f>I17-H17</f>
        <v/>
      </c>
      <c r="J55" s="420">
        <f>J17-I17</f>
        <v/>
      </c>
      <c r="K55" s="420">
        <f>K17-J17</f>
        <v/>
      </c>
      <c r="L55" s="420">
        <f>L17-K17</f>
        <v/>
      </c>
      <c r="M55" s="420">
        <f>M17-L17</f>
        <v/>
      </c>
      <c r="N55" s="420">
        <f>N17-M17</f>
        <v/>
      </c>
      <c r="O55" s="420">
        <f>O17-N17</f>
        <v/>
      </c>
      <c r="P55" s="420">
        <f>P17-O17</f>
        <v/>
      </c>
      <c r="Q55" s="420">
        <f>Q17-P17</f>
        <v/>
      </c>
      <c r="R55" s="420">
        <f>R17-Q17</f>
        <v/>
      </c>
      <c r="S55" s="420">
        <f>S17-R17</f>
        <v/>
      </c>
      <c r="T55" s="420">
        <f>T17-S17</f>
        <v/>
      </c>
      <c r="U55" s="420">
        <f>U17-T17</f>
        <v/>
      </c>
      <c r="V55" s="420">
        <f>V17-U17</f>
        <v/>
      </c>
      <c r="W55" s="420">
        <f>W17-V17</f>
        <v/>
      </c>
      <c r="X55" s="420">
        <f>X17-W17</f>
        <v/>
      </c>
      <c r="Y55" s="420">
        <f>Y17-X17</f>
        <v/>
      </c>
      <c r="Z55" s="420">
        <f>Z17-Y17</f>
        <v/>
      </c>
      <c r="AA55" s="420">
        <f>AA17-Z17</f>
        <v/>
      </c>
      <c r="AB55" s="420">
        <f>AB17-AA17</f>
        <v/>
      </c>
      <c r="AC55" s="420">
        <f>AC17-AB17</f>
        <v/>
      </c>
      <c r="AD55" s="420">
        <f>AD17-AC17</f>
        <v/>
      </c>
      <c r="AE55" s="420">
        <f>AE17-AD17</f>
        <v/>
      </c>
      <c r="AF55" s="420">
        <f>AF17-AE17</f>
        <v/>
      </c>
      <c r="AG55" s="420">
        <f>AG17-AF17</f>
        <v/>
      </c>
      <c r="AH55" s="420">
        <f>AH17-AG17</f>
        <v/>
      </c>
      <c r="AI55" s="421">
        <f>SUM(H55:AH55)</f>
        <v/>
      </c>
    </row>
    <row r="56" ht="17.25" customFormat="1" customHeight="1" s="570">
      <c r="A56" s="561" t="n">
        <v>7</v>
      </c>
      <c r="B56" s="561" t="inlineStr">
        <is>
          <t>3F</t>
        </is>
      </c>
      <c r="C56" s="561" t="inlineStr">
        <is>
          <t>SL No 540430038843 (EB Unit)</t>
        </is>
      </c>
      <c r="D56" s="501" t="n"/>
      <c r="E56" s="420">
        <f>E18-D18</f>
        <v/>
      </c>
      <c r="F56" s="420">
        <f>F18-E18</f>
        <v/>
      </c>
      <c r="G56" s="420">
        <f>G18-F18</f>
        <v/>
      </c>
      <c r="H56" s="420">
        <f>H18-G18</f>
        <v/>
      </c>
      <c r="I56" s="420">
        <f>I18-H18</f>
        <v/>
      </c>
      <c r="J56" s="420">
        <f>J18-I18</f>
        <v/>
      </c>
      <c r="K56" s="420">
        <f>K18-J18</f>
        <v/>
      </c>
      <c r="L56" s="420">
        <f>L18-K18</f>
        <v/>
      </c>
      <c r="M56" s="420">
        <f>M18-L18</f>
        <v/>
      </c>
      <c r="N56" s="420">
        <f>N18-M18</f>
        <v/>
      </c>
      <c r="O56" s="420">
        <f>O18-N18</f>
        <v/>
      </c>
      <c r="P56" s="420">
        <f>P18-O18</f>
        <v/>
      </c>
      <c r="Q56" s="420">
        <f>Q18-P18</f>
        <v/>
      </c>
      <c r="R56" s="420">
        <f>R18-Q18</f>
        <v/>
      </c>
      <c r="S56" s="420">
        <f>S18-R18</f>
        <v/>
      </c>
      <c r="T56" s="420">
        <f>T18-S18</f>
        <v/>
      </c>
      <c r="U56" s="420">
        <f>U18-T18</f>
        <v/>
      </c>
      <c r="V56" s="420">
        <f>V18-U18</f>
        <v/>
      </c>
      <c r="W56" s="420">
        <f>W18-V18</f>
        <v/>
      </c>
      <c r="X56" s="420">
        <f>X18-W18</f>
        <v/>
      </c>
      <c r="Y56" s="420">
        <f>Y18-X18</f>
        <v/>
      </c>
      <c r="Z56" s="420">
        <f>Z18-Y18</f>
        <v/>
      </c>
      <c r="AA56" s="420">
        <f>AA18-Z18</f>
        <v/>
      </c>
      <c r="AB56" s="420">
        <f>AB18-AA18</f>
        <v/>
      </c>
      <c r="AC56" s="420">
        <f>AC18-AB18</f>
        <v/>
      </c>
      <c r="AD56" s="420">
        <f>AD18-AC18</f>
        <v/>
      </c>
      <c r="AE56" s="420">
        <f>AE18-AD18</f>
        <v/>
      </c>
      <c r="AF56" s="420">
        <f>AF18-AE18</f>
        <v/>
      </c>
      <c r="AG56" s="420">
        <f>AG18-AF18</f>
        <v/>
      </c>
      <c r="AH56" s="420">
        <f>AH18-AG18</f>
        <v/>
      </c>
      <c r="AI56" s="421">
        <f>SUM(H56:AH56)</f>
        <v/>
      </c>
    </row>
    <row r="57" ht="17.25" customFormat="1" customHeight="1" s="570">
      <c r="A57" s="561" t="n"/>
      <c r="B57" s="561" t="n"/>
      <c r="C57" s="565" t="inlineStr">
        <is>
          <t>DG</t>
        </is>
      </c>
      <c r="D57" s="501" t="n"/>
      <c r="E57" s="420">
        <f>E19-D19</f>
        <v/>
      </c>
      <c r="F57" s="420">
        <f>F19-E19</f>
        <v/>
      </c>
      <c r="G57" s="420">
        <f>G19-F19</f>
        <v/>
      </c>
      <c r="H57" s="420">
        <f>H19-G19</f>
        <v/>
      </c>
      <c r="I57" s="420">
        <f>I19-H19</f>
        <v/>
      </c>
      <c r="J57" s="420">
        <f>J19-I19</f>
        <v/>
      </c>
      <c r="K57" s="420">
        <f>K19-J19</f>
        <v/>
      </c>
      <c r="L57" s="420">
        <f>L19-K19</f>
        <v/>
      </c>
      <c r="M57" s="420">
        <f>M19-L19</f>
        <v/>
      </c>
      <c r="N57" s="420">
        <f>N19-M19</f>
        <v/>
      </c>
      <c r="O57" s="420">
        <f>O19-N19</f>
        <v/>
      </c>
      <c r="P57" s="420">
        <f>P19-O19</f>
        <v/>
      </c>
      <c r="Q57" s="420">
        <f>Q19-P19</f>
        <v/>
      </c>
      <c r="R57" s="420">
        <f>R19-Q19</f>
        <v/>
      </c>
      <c r="S57" s="420">
        <f>S19-R19</f>
        <v/>
      </c>
      <c r="T57" s="420">
        <f>T19-S19</f>
        <v/>
      </c>
      <c r="U57" s="420">
        <f>U19-T19</f>
        <v/>
      </c>
      <c r="V57" s="420">
        <f>V19-U19</f>
        <v/>
      </c>
      <c r="W57" s="420">
        <f>W19-V19</f>
        <v/>
      </c>
      <c r="X57" s="420">
        <f>X19-W19</f>
        <v/>
      </c>
      <c r="Y57" s="420">
        <f>Y19-X19</f>
        <v/>
      </c>
      <c r="Z57" s="420">
        <f>Z19-Y19</f>
        <v/>
      </c>
      <c r="AA57" s="420">
        <f>AA19-Z19</f>
        <v/>
      </c>
      <c r="AB57" s="420">
        <f>AB19-AA19</f>
        <v/>
      </c>
      <c r="AC57" s="420">
        <f>AC19-AB19</f>
        <v/>
      </c>
      <c r="AD57" s="420">
        <f>AD19-AC19</f>
        <v/>
      </c>
      <c r="AE57" s="420">
        <f>AE19-AD19</f>
        <v/>
      </c>
      <c r="AF57" s="420">
        <f>AF19-AE19</f>
        <v/>
      </c>
      <c r="AG57" s="420">
        <f>AG19-AF19</f>
        <v/>
      </c>
      <c r="AH57" s="420">
        <f>AH19-AG19</f>
        <v/>
      </c>
      <c r="AI57" s="421">
        <f>SUM(H57:AH57)</f>
        <v/>
      </c>
    </row>
    <row r="58" ht="17.25" customFormat="1" customHeight="1" s="570">
      <c r="A58" s="561" t="n">
        <v>8</v>
      </c>
      <c r="B58" s="561" t="inlineStr">
        <is>
          <t>3F</t>
        </is>
      </c>
      <c r="C58" s="561" t="inlineStr">
        <is>
          <t>SL No 540430038848 (EB Unit)</t>
        </is>
      </c>
      <c r="D58" s="501" t="n"/>
      <c r="E58" s="420">
        <f>E20-D20</f>
        <v/>
      </c>
      <c r="F58" s="420">
        <f>F20-E20</f>
        <v/>
      </c>
      <c r="G58" s="420">
        <f>G20-F20</f>
        <v/>
      </c>
      <c r="H58" s="420">
        <f>H20-G20</f>
        <v/>
      </c>
      <c r="I58" s="420">
        <f>I20-H20</f>
        <v/>
      </c>
      <c r="J58" s="420">
        <f>J20-I20</f>
        <v/>
      </c>
      <c r="K58" s="420">
        <f>K20-J20</f>
        <v/>
      </c>
      <c r="L58" s="420">
        <f>L20-K20</f>
        <v/>
      </c>
      <c r="M58" s="420">
        <f>M20-L20</f>
        <v/>
      </c>
      <c r="N58" s="420">
        <f>N20-M20</f>
        <v/>
      </c>
      <c r="O58" s="420">
        <f>O20-N20</f>
        <v/>
      </c>
      <c r="P58" s="420">
        <f>P20-O20</f>
        <v/>
      </c>
      <c r="Q58" s="420">
        <f>Q20-P20</f>
        <v/>
      </c>
      <c r="R58" s="420">
        <f>R20-Q20</f>
        <v/>
      </c>
      <c r="S58" s="420">
        <f>S20-R20</f>
        <v/>
      </c>
      <c r="T58" s="420">
        <f>T20-S20</f>
        <v/>
      </c>
      <c r="U58" s="420">
        <f>U20-T20</f>
        <v/>
      </c>
      <c r="V58" s="420">
        <f>V20-U20</f>
        <v/>
      </c>
      <c r="W58" s="420">
        <f>W20-V20</f>
        <v/>
      </c>
      <c r="X58" s="420">
        <f>X20-W20</f>
        <v/>
      </c>
      <c r="Y58" s="420">
        <f>Y20-X20</f>
        <v/>
      </c>
      <c r="Z58" s="420">
        <f>Z20-Y20</f>
        <v/>
      </c>
      <c r="AA58" s="420">
        <f>AA20-Z20</f>
        <v/>
      </c>
      <c r="AB58" s="420">
        <f>AB20-AA20</f>
        <v/>
      </c>
      <c r="AC58" s="420">
        <f>AC20-AB20</f>
        <v/>
      </c>
      <c r="AD58" s="420">
        <f>AD20-AC20</f>
        <v/>
      </c>
      <c r="AE58" s="420">
        <f>AE20-AD20</f>
        <v/>
      </c>
      <c r="AF58" s="420">
        <f>AF20-AE20</f>
        <v/>
      </c>
      <c r="AG58" s="420">
        <f>AG20-AF20</f>
        <v/>
      </c>
      <c r="AH58" s="420">
        <f>AH20-AG20</f>
        <v/>
      </c>
      <c r="AI58" s="421">
        <f>SUM(H58:AH58)</f>
        <v/>
      </c>
    </row>
    <row r="59" ht="17.25" customFormat="1" customHeight="1" s="570">
      <c r="A59" s="561" t="n"/>
      <c r="B59" s="561" t="n"/>
      <c r="C59" s="565" t="inlineStr">
        <is>
          <t>DG</t>
        </is>
      </c>
      <c r="D59" s="501" t="n"/>
      <c r="E59" s="420">
        <f>E21-D21</f>
        <v/>
      </c>
      <c r="F59" s="420">
        <f>F21-E21</f>
        <v/>
      </c>
      <c r="G59" s="420">
        <f>G21-F21</f>
        <v/>
      </c>
      <c r="H59" s="420">
        <f>H21-G21</f>
        <v/>
      </c>
      <c r="I59" s="420">
        <f>I21-H21</f>
        <v/>
      </c>
      <c r="J59" s="420">
        <f>J21-I21</f>
        <v/>
      </c>
      <c r="K59" s="420">
        <f>K21-J21</f>
        <v/>
      </c>
      <c r="L59" s="420">
        <f>L21-K21</f>
        <v/>
      </c>
      <c r="M59" s="420">
        <f>M21-L21</f>
        <v/>
      </c>
      <c r="N59" s="420">
        <f>N21-M21</f>
        <v/>
      </c>
      <c r="O59" s="420">
        <f>O21-N21</f>
        <v/>
      </c>
      <c r="P59" s="420">
        <f>P21-O21</f>
        <v/>
      </c>
      <c r="Q59" s="420">
        <f>Q21-P21</f>
        <v/>
      </c>
      <c r="R59" s="420">
        <f>R21-Q21</f>
        <v/>
      </c>
      <c r="S59" s="420">
        <f>S21-R21</f>
        <v/>
      </c>
      <c r="T59" s="420">
        <f>T21-S21</f>
        <v/>
      </c>
      <c r="U59" s="420">
        <f>U21-T21</f>
        <v/>
      </c>
      <c r="V59" s="420">
        <f>V21-U21</f>
        <v/>
      </c>
      <c r="W59" s="420">
        <f>W21-V21</f>
        <v/>
      </c>
      <c r="X59" s="420">
        <f>X21-W21</f>
        <v/>
      </c>
      <c r="Y59" s="420">
        <f>Y21-X21</f>
        <v/>
      </c>
      <c r="Z59" s="420">
        <f>Z21-Y21</f>
        <v/>
      </c>
      <c r="AA59" s="420">
        <f>AA21-Z21</f>
        <v/>
      </c>
      <c r="AB59" s="420">
        <f>AB21-AA21</f>
        <v/>
      </c>
      <c r="AC59" s="420">
        <f>AC21-AB21</f>
        <v/>
      </c>
      <c r="AD59" s="420">
        <f>AD21-AC21</f>
        <v/>
      </c>
      <c r="AE59" s="420">
        <f>AE21-AD21</f>
        <v/>
      </c>
      <c r="AF59" s="420">
        <f>AF21-AE21</f>
        <v/>
      </c>
      <c r="AG59" s="420">
        <f>AG21-AF21</f>
        <v/>
      </c>
      <c r="AH59" s="420">
        <f>AH21-AG21</f>
        <v/>
      </c>
      <c r="AI59" s="421">
        <f>SUM(H59:AH59)</f>
        <v/>
      </c>
    </row>
    <row r="60" ht="17.25" customFormat="1" customHeight="1" s="570">
      <c r="A60" s="22" t="n"/>
      <c r="B60" s="22" t="n"/>
      <c r="C60" s="568" t="inlineStr">
        <is>
          <t>Total Power - EB Unit</t>
        </is>
      </c>
      <c r="D60" s="501" t="n"/>
      <c r="E60" s="422">
        <f>SUM(E58,E56,E54,E52,E50,E48,E46,E44)</f>
        <v/>
      </c>
      <c r="F60" s="422">
        <f>SUM(F58,F56,F54,F52,F50,F48,F46,F44)</f>
        <v/>
      </c>
      <c r="G60" s="422">
        <f>SUM(G58,G56,G54,G52,G50,G48,G46,G44)</f>
        <v/>
      </c>
      <c r="H60" s="422">
        <f>SUM(H58,H56,H54,H52,H50,H48,H46,H44)</f>
        <v/>
      </c>
      <c r="I60" s="422">
        <f>SUM(I58,I56,I54,I52,I50,I48,I46,I44)</f>
        <v/>
      </c>
      <c r="J60" s="422">
        <f>SUM(J58,J56,J54,J52,J50,J48,J46,J44)</f>
        <v/>
      </c>
      <c r="K60" s="422">
        <f>SUM(K58,K56,K54,K52,K50,K48,K46,K44)</f>
        <v/>
      </c>
      <c r="L60" s="422">
        <f>SUM(L58,L56,L54,L52,L50,L48,L46,L44)</f>
        <v/>
      </c>
      <c r="M60" s="422">
        <f>SUM(M58,M56,M54,M52,M50,M48,M46,M44)</f>
        <v/>
      </c>
      <c r="N60" s="422">
        <f>SUM(N58,N56,N54,N52,N50,N48,N46,N44)</f>
        <v/>
      </c>
      <c r="O60" s="422">
        <f>SUM(O58,O56,O54,O52,O50,O48,O46,O44)</f>
        <v/>
      </c>
      <c r="P60" s="422">
        <f>SUM(P58,P56,P54,P52,P50,P48,P46,P44)</f>
        <v/>
      </c>
      <c r="Q60" s="422">
        <f>SUM(Q58,Q56,Q54,Q52,Q50,Q48,Q46,Q44)</f>
        <v/>
      </c>
      <c r="R60" s="422">
        <f>SUM(R58,R56,R54,R52,R50,R48,R46,R44)</f>
        <v/>
      </c>
      <c r="S60" s="422">
        <f>SUM(S58,S56,S54,S52,S50,S48,S46,S44)</f>
        <v/>
      </c>
      <c r="T60" s="422">
        <f>SUM(T58,T56,T54,T52,T50,T48,T46,T44)</f>
        <v/>
      </c>
      <c r="U60" s="422">
        <f>SUM(U58,U56,U54,U52,U50,U48,U46,U44)</f>
        <v/>
      </c>
      <c r="V60" s="422">
        <f>SUM(V58,V56,V54,V52,V50,V48,V46,V44)</f>
        <v/>
      </c>
      <c r="W60" s="422">
        <f>SUM(W58,W56,W54,W52,W50,W48,W46,W44)</f>
        <v/>
      </c>
      <c r="X60" s="422">
        <f>SUM(X58,X56,X54,X52,X50,X48,X46,X44)</f>
        <v/>
      </c>
      <c r="Y60" s="422">
        <f>SUM(Y58,Y56,Y54,Y52,Y50,Y48,Y46,Y44)</f>
        <v/>
      </c>
      <c r="Z60" s="422">
        <f>SUM(Z58,Z56,Z54,Z52,Z50,Z48,Z46,Z44)</f>
        <v/>
      </c>
      <c r="AA60" s="422">
        <f>SUM(AA58,AA56,AA54,AA52,AA50,AA48,AA46,AA44)</f>
        <v/>
      </c>
      <c r="AB60" s="422">
        <f>SUM(AB58,AB56,AB54,AB52,AB50,AB48,AB46,AB44)</f>
        <v/>
      </c>
      <c r="AC60" s="422">
        <f>SUM(AC58,AC56,AC54,AC52,AC50,AC48,AC46,AC44)</f>
        <v/>
      </c>
      <c r="AD60" s="422">
        <f>SUM(AD58,AD56,AD54,AD52,AD50,AD48,AD46,AD44)</f>
        <v/>
      </c>
      <c r="AE60" s="422">
        <f>SUM(AE58,AE56,AE54,AE52,AE50,AE48,AE46,AE44)</f>
        <v/>
      </c>
      <c r="AF60" s="422">
        <f>SUM(AF58,AF56,AF54,AF52,AF50,AF48,AF46,AF44)</f>
        <v/>
      </c>
      <c r="AG60" s="422">
        <f>SUM(AG58,AG56,AG54,AG52,AG50,AG48,AG46,AG44)</f>
        <v/>
      </c>
      <c r="AH60" s="422">
        <f>SUM(AH58,AH56,AH54,AH52,AH50,AH48,AH46,AH44)</f>
        <v/>
      </c>
      <c r="AI60" s="423">
        <f>SUM(H60:AH60)</f>
        <v/>
      </c>
    </row>
    <row r="61" ht="17.25" customFormat="1" customHeight="1" s="570">
      <c r="A61" s="22" t="n"/>
      <c r="B61" s="22" t="n"/>
      <c r="C61" s="424" t="inlineStr">
        <is>
          <t>Total Power- DG</t>
        </is>
      </c>
      <c r="D61" s="425" t="n"/>
      <c r="E61" s="422">
        <f>SUM(E45,E47,E49,E51,E53,E55,E57,E59)</f>
        <v/>
      </c>
      <c r="F61" s="422">
        <f>SUM(F45,F47,F49,F51,F53,F55,F57,F59)</f>
        <v/>
      </c>
      <c r="G61" s="422">
        <f>SUM(G45,G47,G49,G51,G53,G55,G57,G59)</f>
        <v/>
      </c>
      <c r="H61" s="422">
        <f>SUM(H45,H47,H49,H51,H53,H55,H57,H59)</f>
        <v/>
      </c>
      <c r="I61" s="422">
        <f>SUM(I45,I47,I49,I51,I53,I55,I57,I59)</f>
        <v/>
      </c>
      <c r="J61" s="422">
        <f>SUM(J45,J47,J49,J51,J53,J55,J57,J59)</f>
        <v/>
      </c>
      <c r="K61" s="422">
        <f>SUM(K45,K47,K49,K51,K53,K55,K57,K59)</f>
        <v/>
      </c>
      <c r="L61" s="422">
        <f>SUM(L45,L47,L49,L51,L53,L55,L57,L59)</f>
        <v/>
      </c>
      <c r="M61" s="422">
        <f>SUM(M45,M47,M49,M51,M53,M55,M57,M59)</f>
        <v/>
      </c>
      <c r="N61" s="422">
        <f>SUM(N45,N47,N49,N51,N53,N55,N57,N59)</f>
        <v/>
      </c>
      <c r="O61" s="422">
        <f>SUM(O45,O47,O49,O51,O53,O55,O57,O59)</f>
        <v/>
      </c>
      <c r="P61" s="422">
        <f>SUM(P45,P47,P49,P51,P53,P55,P57,P59)</f>
        <v/>
      </c>
      <c r="Q61" s="422">
        <f>SUM(Q45,Q47,Q49,Q51,Q53,Q55,Q57,Q59)</f>
        <v/>
      </c>
      <c r="R61" s="422">
        <f>SUM(R45,R47,R49,R51,R53,R55,R57,R59)</f>
        <v/>
      </c>
      <c r="S61" s="422">
        <f>SUM(S45,S47,S49,S51,S53,S55,S57,S59)</f>
        <v/>
      </c>
      <c r="T61" s="422">
        <f>SUM(T45,T47,T49,T51,T53,T55,T57,T59)</f>
        <v/>
      </c>
      <c r="U61" s="422">
        <f>SUM(U45,U47,U49,U51,U53,U55,U57,U59)</f>
        <v/>
      </c>
      <c r="V61" s="422">
        <f>SUM(V45,V47,V49,V51,V53,V55,V57,V59)</f>
        <v/>
      </c>
      <c r="W61" s="422">
        <f>SUM(W45,W47,W49,W51,W53,W55,W57,W59)</f>
        <v/>
      </c>
      <c r="X61" s="422">
        <f>SUM(X45,X47,X49,X51,X53,X55,X57,X59)</f>
        <v/>
      </c>
      <c r="Y61" s="422">
        <f>SUM(Y45,Y47,Y49,Y51,Y53,Y55,Y57,Y59)</f>
        <v/>
      </c>
      <c r="Z61" s="422">
        <f>SUM(Z45,Z47,Z49,Z51,Z53,Z55,Z57,Z59)</f>
        <v/>
      </c>
      <c r="AA61" s="422">
        <f>SUM(AA45,AA47,AA49,AA51,AA53,AA55,AA57,AA59)</f>
        <v/>
      </c>
      <c r="AB61" s="422">
        <f>SUM(AB45,AB47,AB49,AB51,AB53,AB55,AB57,AB59)</f>
        <v/>
      </c>
      <c r="AC61" s="422">
        <f>SUM(AC45,AC47,AC49,AC51,AC53,AC55,AC57,AC59)</f>
        <v/>
      </c>
      <c r="AD61" s="422">
        <f>SUM(AD45,AD47,AD49,AD51,AD53,AD55,AD57,AD59)</f>
        <v/>
      </c>
      <c r="AE61" s="422">
        <f>SUM(AE45,AE47,AE49,AE51,AE53,AE55,AE57,AE59)</f>
        <v/>
      </c>
      <c r="AF61" s="422">
        <f>SUM(AF45,AF47,AF49,AF51,AF53,AF55,AF57,AF59)</f>
        <v/>
      </c>
      <c r="AG61" s="422">
        <f>SUM(AG45,AG47,AG49,AG51,AG53,AG55,AG57,AG59)</f>
        <v/>
      </c>
      <c r="AH61" s="422">
        <f>SUM(AH45,AH47,AH49,AH51,AH53,AH55,AH57,AH59)</f>
        <v/>
      </c>
      <c r="AI61" s="423">
        <f>SUM(H61:AH61)</f>
        <v/>
      </c>
    </row>
    <row r="62" ht="17.25" customFormat="1" customHeight="1" s="570">
      <c r="A62" s="571" t="n"/>
      <c r="B62" s="571" t="n"/>
      <c r="C62" s="514" t="inlineStr">
        <is>
          <t>Total Power Cumulative</t>
        </is>
      </c>
      <c r="D62" s="501" t="n"/>
      <c r="E62" s="26">
        <f>E60</f>
        <v/>
      </c>
      <c r="F62" s="26">
        <f>F60</f>
        <v/>
      </c>
      <c r="G62" s="26">
        <f>G60</f>
        <v/>
      </c>
      <c r="H62" s="26">
        <f>H60</f>
        <v/>
      </c>
      <c r="I62" s="26">
        <f>I60</f>
        <v/>
      </c>
      <c r="J62" s="26">
        <f>J60</f>
        <v/>
      </c>
      <c r="K62" s="26">
        <f>K60</f>
        <v/>
      </c>
      <c r="L62" s="26">
        <f>L60</f>
        <v/>
      </c>
      <c r="M62" s="26">
        <f>M60</f>
        <v/>
      </c>
      <c r="N62" s="26">
        <f>N60</f>
        <v/>
      </c>
      <c r="O62" s="26">
        <f>O60</f>
        <v/>
      </c>
      <c r="P62" s="26">
        <f>P60</f>
        <v/>
      </c>
      <c r="Q62" s="26">
        <f>Q60</f>
        <v/>
      </c>
      <c r="R62" s="26">
        <f>R60</f>
        <v/>
      </c>
      <c r="S62" s="26">
        <f>S60</f>
        <v/>
      </c>
      <c r="T62" s="26">
        <f>T60</f>
        <v/>
      </c>
      <c r="U62" s="26">
        <f>U60</f>
        <v/>
      </c>
      <c r="V62" s="26">
        <f>V60</f>
        <v/>
      </c>
      <c r="W62" s="26">
        <f>W60</f>
        <v/>
      </c>
      <c r="X62" s="26">
        <f>X60</f>
        <v/>
      </c>
      <c r="Y62" s="26">
        <f>Y60</f>
        <v/>
      </c>
      <c r="Z62" s="26">
        <f>Z60</f>
        <v/>
      </c>
      <c r="AA62" s="26">
        <f>AA60</f>
        <v/>
      </c>
      <c r="AB62" s="26">
        <f>AB60</f>
        <v/>
      </c>
      <c r="AC62" s="26">
        <f>AC60</f>
        <v/>
      </c>
      <c r="AD62" s="26">
        <f>AD60</f>
        <v/>
      </c>
      <c r="AE62" s="26">
        <f>AE60</f>
        <v/>
      </c>
      <c r="AF62" s="26">
        <f>AF60</f>
        <v/>
      </c>
      <c r="AG62" s="26">
        <f>AG60</f>
        <v/>
      </c>
      <c r="AH62" s="26">
        <f>AH60</f>
        <v/>
      </c>
      <c r="AI62" s="26">
        <f>AI60</f>
        <v/>
      </c>
    </row>
    <row r="63" ht="17.25" customFormat="1" customHeight="1" s="570">
      <c r="A63" s="17" t="n"/>
      <c r="B63" s="519" t="n"/>
      <c r="C63" s="427" t="n"/>
      <c r="D63" s="428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</row>
    <row r="64" ht="17.25" customFormat="1" customHeight="1" s="570">
      <c r="A64" s="429" t="inlineStr">
        <is>
          <t>S No</t>
        </is>
      </c>
      <c r="B64" s="429" t="inlineStr">
        <is>
          <t>Location</t>
        </is>
      </c>
      <c r="C64" s="567" t="inlineStr">
        <is>
          <t>Meter</t>
        </is>
      </c>
      <c r="D64" s="501" t="n"/>
      <c r="E64" s="429" t="n"/>
      <c r="F64" s="429" t="n"/>
      <c r="G64" s="429" t="n"/>
      <c r="H64" s="429" t="n"/>
      <c r="I64" s="429" t="n"/>
      <c r="J64" s="429" t="n"/>
      <c r="K64" s="429" t="n"/>
      <c r="L64" s="429" t="n"/>
      <c r="M64" s="429" t="n"/>
      <c r="N64" s="429" t="n"/>
      <c r="O64" s="429" t="n"/>
      <c r="P64" s="429" t="n"/>
      <c r="Q64" s="429" t="n"/>
      <c r="R64" s="429" t="n"/>
      <c r="S64" s="429" t="n"/>
      <c r="T64" s="429" t="n"/>
      <c r="U64" s="429" t="n"/>
      <c r="V64" s="429" t="n"/>
      <c r="W64" s="429" t="n"/>
      <c r="X64" s="429" t="n"/>
      <c r="Y64" s="429" t="n"/>
      <c r="Z64" s="429" t="n"/>
      <c r="AA64" s="429" t="n"/>
      <c r="AB64" s="429" t="n"/>
      <c r="AC64" s="429" t="n"/>
      <c r="AD64" s="429" t="n"/>
      <c r="AE64" s="429" t="n"/>
      <c r="AF64" s="429" t="n"/>
      <c r="AG64" s="429" t="n"/>
      <c r="AH64" s="429" t="n"/>
      <c r="AI64" s="29" t="n"/>
    </row>
    <row r="65" ht="17.25" customFormat="1" customHeight="1" s="570">
      <c r="A65" s="561" t="n">
        <v>1</v>
      </c>
      <c r="B65" s="561" t="inlineStr">
        <is>
          <t>3F</t>
        </is>
      </c>
      <c r="C65" s="574" t="inlineStr">
        <is>
          <t>AHU1</t>
        </is>
      </c>
      <c r="D65" s="501" t="n"/>
      <c r="E65" s="26">
        <f>E23-D23</f>
        <v/>
      </c>
      <c r="F65" s="26">
        <f>F23-E23</f>
        <v/>
      </c>
      <c r="G65" s="26">
        <f>G23-F23</f>
        <v/>
      </c>
      <c r="H65" s="26">
        <f>H23-G23</f>
        <v/>
      </c>
      <c r="I65" s="26">
        <f>I23-H23</f>
        <v/>
      </c>
      <c r="J65" s="26">
        <f>J23-I23</f>
        <v/>
      </c>
      <c r="K65" s="26">
        <f>K23-J23</f>
        <v/>
      </c>
      <c r="L65" s="26">
        <f>L23-K23</f>
        <v/>
      </c>
      <c r="M65" s="26">
        <f>M23-L23</f>
        <v/>
      </c>
      <c r="N65" s="26">
        <f>N23-M23</f>
        <v/>
      </c>
      <c r="O65" s="26">
        <f>O23-N23</f>
        <v/>
      </c>
      <c r="P65" s="26">
        <f>P23-O23</f>
        <v/>
      </c>
      <c r="Q65" s="26">
        <f>Q23-P23</f>
        <v/>
      </c>
      <c r="R65" s="26">
        <f>R23-Q23</f>
        <v/>
      </c>
      <c r="S65" s="26">
        <f>S23-R23</f>
        <v/>
      </c>
      <c r="T65" s="26">
        <f>T23-S23</f>
        <v/>
      </c>
      <c r="U65" s="26">
        <f>U23-T23</f>
        <v/>
      </c>
      <c r="V65" s="26">
        <f>V23-U23</f>
        <v/>
      </c>
      <c r="W65" s="26">
        <f>W23-V23</f>
        <v/>
      </c>
      <c r="X65" s="26">
        <f>X23-W23</f>
        <v/>
      </c>
      <c r="Y65" s="26">
        <f>Y23-X23</f>
        <v/>
      </c>
      <c r="Z65" s="26">
        <f>Z23-Y23</f>
        <v/>
      </c>
      <c r="AA65" s="26">
        <f>AA23-Z23</f>
        <v/>
      </c>
      <c r="AB65" s="26">
        <f>AB23-AA23</f>
        <v/>
      </c>
      <c r="AC65" s="26">
        <f>AC23-AB23</f>
        <v/>
      </c>
      <c r="AD65" s="26">
        <f>AD23-AC23</f>
        <v/>
      </c>
      <c r="AE65" s="26">
        <f>AE23-AD23</f>
        <v/>
      </c>
      <c r="AF65" s="26">
        <f>AF23-AE23</f>
        <v/>
      </c>
      <c r="AG65" s="26">
        <f>AG23-AF23</f>
        <v/>
      </c>
      <c r="AH65" s="26">
        <f>AH23-AG23</f>
        <v/>
      </c>
      <c r="AI65" s="26">
        <f>SUM(E65:AH65)</f>
        <v/>
      </c>
    </row>
    <row r="66" ht="17.25" customFormat="1" customHeight="1" s="570">
      <c r="A66" s="561" t="n"/>
      <c r="B66" s="561" t="n"/>
      <c r="C66" s="564" t="inlineStr">
        <is>
          <t>DG</t>
        </is>
      </c>
      <c r="D66" s="501" t="n"/>
      <c r="E66" s="26">
        <f>E24-D24</f>
        <v/>
      </c>
      <c r="F66" s="26">
        <f>F24-E24</f>
        <v/>
      </c>
      <c r="G66" s="26">
        <f>G24-F24</f>
        <v/>
      </c>
      <c r="H66" s="26">
        <f>H24-G24</f>
        <v/>
      </c>
      <c r="I66" s="26">
        <f>I24-H24</f>
        <v/>
      </c>
      <c r="J66" s="26">
        <f>J24-I24</f>
        <v/>
      </c>
      <c r="K66" s="26">
        <f>K24-J24</f>
        <v/>
      </c>
      <c r="L66" s="26">
        <f>L24-K24</f>
        <v/>
      </c>
      <c r="M66" s="26">
        <f>M24-L24</f>
        <v/>
      </c>
      <c r="N66" s="26">
        <f>N24-M24</f>
        <v/>
      </c>
      <c r="O66" s="26">
        <f>O24-N24</f>
        <v/>
      </c>
      <c r="P66" s="26">
        <f>P24-O24</f>
        <v/>
      </c>
      <c r="Q66" s="26">
        <f>Q24-P24</f>
        <v/>
      </c>
      <c r="R66" s="26">
        <f>R24-Q24</f>
        <v/>
      </c>
      <c r="S66" s="26">
        <f>S24-R24</f>
        <v/>
      </c>
      <c r="T66" s="26">
        <f>T24-S24</f>
        <v/>
      </c>
      <c r="U66" s="26">
        <f>U24-T24</f>
        <v/>
      </c>
      <c r="V66" s="26">
        <f>V24-U24</f>
        <v/>
      </c>
      <c r="W66" s="26">
        <f>W24-V24</f>
        <v/>
      </c>
      <c r="X66" s="26">
        <f>X24-W24</f>
        <v/>
      </c>
      <c r="Y66" s="26">
        <f>Y24-X24</f>
        <v/>
      </c>
      <c r="Z66" s="26">
        <f>Z24-Y24</f>
        <v/>
      </c>
      <c r="AA66" s="26">
        <f>AA24-Z24</f>
        <v/>
      </c>
      <c r="AB66" s="26">
        <f>AB24-AA24</f>
        <v/>
      </c>
      <c r="AC66" s="26">
        <f>AC24-AB24</f>
        <v/>
      </c>
      <c r="AD66" s="26">
        <f>AD24-AC24</f>
        <v/>
      </c>
      <c r="AE66" s="26">
        <f>AE24-AD24</f>
        <v/>
      </c>
      <c r="AF66" s="26">
        <f>AF24-AE24</f>
        <v/>
      </c>
      <c r="AG66" s="26">
        <f>AG24-AF24</f>
        <v/>
      </c>
      <c r="AH66" s="26">
        <f>AH24-AG24</f>
        <v/>
      </c>
      <c r="AI66" s="26">
        <f>SUM(E66:AH66)</f>
        <v/>
      </c>
    </row>
    <row r="67" ht="17.25" customFormat="1" customHeight="1" s="570">
      <c r="A67" s="561" t="n">
        <v>2</v>
      </c>
      <c r="B67" s="561" t="inlineStr">
        <is>
          <t>3F</t>
        </is>
      </c>
      <c r="C67" s="574" t="inlineStr">
        <is>
          <t>AHU2</t>
        </is>
      </c>
      <c r="D67" s="501" t="n"/>
      <c r="E67" s="26">
        <f>E25-D25</f>
        <v/>
      </c>
      <c r="F67" s="26">
        <f>F25-E25</f>
        <v/>
      </c>
      <c r="G67" s="26">
        <f>G25-F25</f>
        <v/>
      </c>
      <c r="H67" s="26">
        <f>H25-G25</f>
        <v/>
      </c>
      <c r="I67" s="26">
        <f>I25-H25</f>
        <v/>
      </c>
      <c r="J67" s="26">
        <f>J25-I25</f>
        <v/>
      </c>
      <c r="K67" s="26">
        <f>K25-J25</f>
        <v/>
      </c>
      <c r="L67" s="26">
        <f>L25-K25</f>
        <v/>
      </c>
      <c r="M67" s="26">
        <f>M25-L25</f>
        <v/>
      </c>
      <c r="N67" s="26">
        <f>N25-M25</f>
        <v/>
      </c>
      <c r="O67" s="26">
        <f>O25-N25</f>
        <v/>
      </c>
      <c r="P67" s="26">
        <f>P25-O25</f>
        <v/>
      </c>
      <c r="Q67" s="26">
        <f>Q25-P25</f>
        <v/>
      </c>
      <c r="R67" s="26">
        <f>R25-Q25</f>
        <v/>
      </c>
      <c r="S67" s="26">
        <f>S25-R25</f>
        <v/>
      </c>
      <c r="T67" s="26">
        <f>T25-S25</f>
        <v/>
      </c>
      <c r="U67" s="26">
        <f>U25-T25</f>
        <v/>
      </c>
      <c r="V67" s="26">
        <f>V25-U25</f>
        <v/>
      </c>
      <c r="W67" s="26">
        <f>W25-V25</f>
        <v/>
      </c>
      <c r="X67" s="26">
        <f>X25-W25</f>
        <v/>
      </c>
      <c r="Y67" s="26">
        <f>Y25-X25</f>
        <v/>
      </c>
      <c r="Z67" s="26">
        <f>Z25-Y25</f>
        <v/>
      </c>
      <c r="AA67" s="26">
        <f>AA25-Z25</f>
        <v/>
      </c>
      <c r="AB67" s="26">
        <f>AB25-AA25</f>
        <v/>
      </c>
      <c r="AC67" s="26">
        <f>AC25-AB25</f>
        <v/>
      </c>
      <c r="AD67" s="26">
        <f>AD25-AC25</f>
        <v/>
      </c>
      <c r="AE67" s="26">
        <f>AE25-AD25</f>
        <v/>
      </c>
      <c r="AF67" s="26">
        <f>AF25-AE25</f>
        <v/>
      </c>
      <c r="AG67" s="26">
        <f>AG25-AF25</f>
        <v/>
      </c>
      <c r="AH67" s="26">
        <f>AH25-AG25</f>
        <v/>
      </c>
      <c r="AI67" s="26">
        <f>SUM(E67:AH67)</f>
        <v/>
      </c>
    </row>
    <row r="68" ht="17.25" customFormat="1" customHeight="1" s="570">
      <c r="A68" s="561" t="n"/>
      <c r="B68" s="561" t="n"/>
      <c r="C68" s="564" t="inlineStr">
        <is>
          <t>DG</t>
        </is>
      </c>
      <c r="D68" s="501" t="n"/>
      <c r="E68" s="26">
        <f>E26-D26</f>
        <v/>
      </c>
      <c r="F68" s="26">
        <f>F26-E26</f>
        <v/>
      </c>
      <c r="G68" s="26">
        <f>G26-F26</f>
        <v/>
      </c>
      <c r="H68" s="26">
        <f>H26-G26</f>
        <v/>
      </c>
      <c r="I68" s="26">
        <f>I26-H26</f>
        <v/>
      </c>
      <c r="J68" s="26">
        <f>J26-I26</f>
        <v/>
      </c>
      <c r="K68" s="26">
        <f>K26-J26</f>
        <v/>
      </c>
      <c r="L68" s="26">
        <f>L26-K26</f>
        <v/>
      </c>
      <c r="M68" s="26">
        <f>M26-L26</f>
        <v/>
      </c>
      <c r="N68" s="26">
        <f>N26-M26</f>
        <v/>
      </c>
      <c r="O68" s="26">
        <f>O26-N26</f>
        <v/>
      </c>
      <c r="P68" s="26">
        <f>P26-O26</f>
        <v/>
      </c>
      <c r="Q68" s="26">
        <f>Q26-P26</f>
        <v/>
      </c>
      <c r="R68" s="26">
        <f>R26-Q26</f>
        <v/>
      </c>
      <c r="S68" s="26">
        <f>S26-R26</f>
        <v/>
      </c>
      <c r="T68" s="26">
        <f>T26-S26</f>
        <v/>
      </c>
      <c r="U68" s="26">
        <f>U26-T26</f>
        <v/>
      </c>
      <c r="V68" s="26">
        <f>V26-U26</f>
        <v/>
      </c>
      <c r="W68" s="26">
        <f>W26-V26</f>
        <v/>
      </c>
      <c r="X68" s="26">
        <f>X26-W26</f>
        <v/>
      </c>
      <c r="Y68" s="26">
        <f>Y26-X26</f>
        <v/>
      </c>
      <c r="Z68" s="26">
        <f>Z26-Y26</f>
        <v/>
      </c>
      <c r="AA68" s="26">
        <f>AA26-Z26</f>
        <v/>
      </c>
      <c r="AB68" s="26">
        <f>AB26-AA26</f>
        <v/>
      </c>
      <c r="AC68" s="26">
        <f>AC26-AB26</f>
        <v/>
      </c>
      <c r="AD68" s="26">
        <f>AD26-AC26</f>
        <v/>
      </c>
      <c r="AE68" s="26">
        <f>AE26-AD26</f>
        <v/>
      </c>
      <c r="AF68" s="26">
        <f>AF26-AE26</f>
        <v/>
      </c>
      <c r="AG68" s="26">
        <f>AG26-AF26</f>
        <v/>
      </c>
      <c r="AH68" s="26">
        <f>AH26-AG26</f>
        <v/>
      </c>
      <c r="AI68" s="26">
        <f>SUM(E68:AH68)</f>
        <v/>
      </c>
      <c r="AJ68" s="115" t="inlineStr">
        <is>
          <t>EB</t>
        </is>
      </c>
      <c r="AK68" s="116">
        <f>AI60</f>
        <v/>
      </c>
    </row>
    <row r="69" ht="17.25" customFormat="1" customHeight="1" s="570">
      <c r="A69" s="561" t="n">
        <v>3</v>
      </c>
      <c r="B69" s="561" t="inlineStr">
        <is>
          <t>3F</t>
        </is>
      </c>
      <c r="C69" s="574" t="inlineStr">
        <is>
          <t>AHU3</t>
        </is>
      </c>
      <c r="D69" s="501" t="n"/>
      <c r="E69" s="26">
        <f>E27-D27</f>
        <v/>
      </c>
      <c r="F69" s="26">
        <f>F27-E27</f>
        <v/>
      </c>
      <c r="G69" s="26">
        <f>G27-F27</f>
        <v/>
      </c>
      <c r="H69" s="26">
        <f>H27-G27</f>
        <v/>
      </c>
      <c r="I69" s="26">
        <f>I27-H27</f>
        <v/>
      </c>
      <c r="J69" s="26">
        <f>J27-I27</f>
        <v/>
      </c>
      <c r="K69" s="26">
        <f>K27-J27</f>
        <v/>
      </c>
      <c r="L69" s="26">
        <f>L27-K27</f>
        <v/>
      </c>
      <c r="M69" s="26">
        <f>M27-L27</f>
        <v/>
      </c>
      <c r="N69" s="26">
        <f>N27-M27</f>
        <v/>
      </c>
      <c r="O69" s="26">
        <f>O27-N27</f>
        <v/>
      </c>
      <c r="P69" s="26">
        <f>P27-O27</f>
        <v/>
      </c>
      <c r="Q69" s="26">
        <f>Q27-P27</f>
        <v/>
      </c>
      <c r="R69" s="26">
        <f>R27-Q27</f>
        <v/>
      </c>
      <c r="S69" s="26">
        <f>S27-R27</f>
        <v/>
      </c>
      <c r="T69" s="26">
        <f>T27-S27</f>
        <v/>
      </c>
      <c r="U69" s="26">
        <f>U27-T27</f>
        <v/>
      </c>
      <c r="V69" s="26">
        <f>V27-U27</f>
        <v/>
      </c>
      <c r="W69" s="26">
        <f>W27-V27</f>
        <v/>
      </c>
      <c r="X69" s="26">
        <f>X27-W27</f>
        <v/>
      </c>
      <c r="Y69" s="26">
        <f>Y27-X27</f>
        <v/>
      </c>
      <c r="Z69" s="26">
        <f>Z27-Y27</f>
        <v/>
      </c>
      <c r="AA69" s="26">
        <f>AA27-Z27</f>
        <v/>
      </c>
      <c r="AB69" s="26">
        <f>AB27-AA27</f>
        <v/>
      </c>
      <c r="AC69" s="26">
        <f>AC27-AB27</f>
        <v/>
      </c>
      <c r="AD69" s="26">
        <f>AD27-AC27</f>
        <v/>
      </c>
      <c r="AE69" s="26">
        <f>AE27-AD27</f>
        <v/>
      </c>
      <c r="AF69" s="26">
        <f>AF27-AE27</f>
        <v/>
      </c>
      <c r="AG69" s="26">
        <f>AG27-AF27</f>
        <v/>
      </c>
      <c r="AH69" s="26">
        <f>AH27-AG27</f>
        <v/>
      </c>
      <c r="AI69" s="26">
        <f>SUM(E69:AH69)</f>
        <v/>
      </c>
      <c r="AJ69" s="115" t="inlineStr">
        <is>
          <t>AHU</t>
        </is>
      </c>
      <c r="AK69" s="116">
        <f>AI73</f>
        <v/>
      </c>
    </row>
    <row r="70" ht="17.25" customFormat="1" customHeight="1" s="570">
      <c r="A70" s="561" t="n"/>
      <c r="B70" s="561" t="n"/>
      <c r="C70" s="564" t="inlineStr">
        <is>
          <t>DG</t>
        </is>
      </c>
      <c r="D70" s="501" t="n"/>
      <c r="E70" s="26">
        <f>E28-D28</f>
        <v/>
      </c>
      <c r="F70" s="26">
        <f>F28-E28</f>
        <v/>
      </c>
      <c r="G70" s="26">
        <f>G28-F28</f>
        <v/>
      </c>
      <c r="H70" s="26">
        <f>H28-G28</f>
        <v/>
      </c>
      <c r="I70" s="26">
        <f>I28-H28</f>
        <v/>
      </c>
      <c r="J70" s="26">
        <f>J28-I28</f>
        <v/>
      </c>
      <c r="K70" s="26">
        <f>K28-J28</f>
        <v/>
      </c>
      <c r="L70" s="26">
        <f>L28-K28</f>
        <v/>
      </c>
      <c r="M70" s="26">
        <f>M28-L28</f>
        <v/>
      </c>
      <c r="N70" s="26">
        <f>N28-M28</f>
        <v/>
      </c>
      <c r="O70" s="26">
        <f>O28-N28</f>
        <v/>
      </c>
      <c r="P70" s="26">
        <f>P28-O28</f>
        <v/>
      </c>
      <c r="Q70" s="26">
        <f>Q28-P28</f>
        <v/>
      </c>
      <c r="R70" s="26">
        <f>R28-Q28</f>
        <v/>
      </c>
      <c r="S70" s="26">
        <f>S28-R28</f>
        <v/>
      </c>
      <c r="T70" s="26">
        <f>T28-S28</f>
        <v/>
      </c>
      <c r="U70" s="26">
        <f>U28-T28</f>
        <v/>
      </c>
      <c r="V70" s="26">
        <f>V28-U28</f>
        <v/>
      </c>
      <c r="W70" s="26">
        <f>W28-V28</f>
        <v/>
      </c>
      <c r="X70" s="26">
        <f>X28-W28</f>
        <v/>
      </c>
      <c r="Y70" s="26">
        <f>Y28-X28</f>
        <v/>
      </c>
      <c r="Z70" s="26">
        <f>Z28-Y28</f>
        <v/>
      </c>
      <c r="AA70" s="26">
        <f>AA28-Z28</f>
        <v/>
      </c>
      <c r="AB70" s="26">
        <f>AB28-AA28</f>
        <v/>
      </c>
      <c r="AC70" s="26">
        <f>AC28-AB28</f>
        <v/>
      </c>
      <c r="AD70" s="26">
        <f>AD28-AC28</f>
        <v/>
      </c>
      <c r="AE70" s="26">
        <f>AE28-AD28</f>
        <v/>
      </c>
      <c r="AF70" s="26">
        <f>AF28-AE28</f>
        <v/>
      </c>
      <c r="AG70" s="26">
        <f>AG28-AF28</f>
        <v/>
      </c>
      <c r="AH70" s="26">
        <f>AH28-AG28</f>
        <v/>
      </c>
      <c r="AI70" s="26">
        <f>SUM(E70:AH70)</f>
        <v/>
      </c>
      <c r="AJ70" s="115" t="inlineStr">
        <is>
          <t>BTU</t>
        </is>
      </c>
      <c r="AK70" s="116">
        <f>AI79*40%</f>
        <v/>
      </c>
    </row>
    <row r="71" ht="17.25" customFormat="1" customHeight="1" s="570">
      <c r="A71" s="561" t="n">
        <v>4</v>
      </c>
      <c r="B71" s="561" t="inlineStr">
        <is>
          <t>3F</t>
        </is>
      </c>
      <c r="C71" s="574" t="inlineStr">
        <is>
          <t>AHU4</t>
        </is>
      </c>
      <c r="D71" s="501" t="n"/>
      <c r="E71" s="26">
        <f>E29-D29</f>
        <v/>
      </c>
      <c r="F71" s="26">
        <f>F29-E29</f>
        <v/>
      </c>
      <c r="G71" s="26">
        <f>G29-F29</f>
        <v/>
      </c>
      <c r="H71" s="26">
        <f>H29-G29</f>
        <v/>
      </c>
      <c r="I71" s="26">
        <f>I29-H29</f>
        <v/>
      </c>
      <c r="J71" s="26">
        <f>J29-I29</f>
        <v/>
      </c>
      <c r="K71" s="26">
        <f>K29-J29</f>
        <v/>
      </c>
      <c r="L71" s="26">
        <f>L29-K29</f>
        <v/>
      </c>
      <c r="M71" s="26">
        <f>M29-L29</f>
        <v/>
      </c>
      <c r="N71" s="26">
        <f>N29-M29</f>
        <v/>
      </c>
      <c r="O71" s="26">
        <f>O29-N29</f>
        <v/>
      </c>
      <c r="P71" s="26">
        <f>P29-O29</f>
        <v/>
      </c>
      <c r="Q71" s="26">
        <f>Q29-P29</f>
        <v/>
      </c>
      <c r="R71" s="26">
        <f>R29-Q29</f>
        <v/>
      </c>
      <c r="S71" s="26">
        <f>S29-R29</f>
        <v/>
      </c>
      <c r="T71" s="26">
        <f>T29-S29</f>
        <v/>
      </c>
      <c r="U71" s="26">
        <f>U29-T29</f>
        <v/>
      </c>
      <c r="V71" s="26">
        <f>V29-U29</f>
        <v/>
      </c>
      <c r="W71" s="26">
        <f>W29-V29</f>
        <v/>
      </c>
      <c r="X71" s="26">
        <f>X29-W29</f>
        <v/>
      </c>
      <c r="Y71" s="26">
        <f>Y29-X29</f>
        <v/>
      </c>
      <c r="Z71" s="26">
        <f>Z29-Y29</f>
        <v/>
      </c>
      <c r="AA71" s="26">
        <f>AA29-Z29</f>
        <v/>
      </c>
      <c r="AB71" s="26">
        <f>AB29-AA29</f>
        <v/>
      </c>
      <c r="AC71" s="26">
        <f>AC29-AB29</f>
        <v/>
      </c>
      <c r="AD71" s="26">
        <f>AD29-AC29</f>
        <v/>
      </c>
      <c r="AE71" s="26">
        <f>AE29-AD29</f>
        <v/>
      </c>
      <c r="AF71" s="26">
        <f>AF29-AE29</f>
        <v/>
      </c>
      <c r="AG71" s="26">
        <f>AG29-AF29</f>
        <v/>
      </c>
      <c r="AH71" s="26">
        <f>AH29-AG29</f>
        <v/>
      </c>
      <c r="AI71" s="26">
        <f>SUM(E71:AH71)</f>
        <v/>
      </c>
      <c r="AJ71" s="117" t="inlineStr">
        <is>
          <t>DG</t>
        </is>
      </c>
      <c r="AK71" s="118">
        <f>AI74+AI61</f>
        <v/>
      </c>
    </row>
    <row r="72" ht="17.25" customFormat="1" customHeight="1" s="570">
      <c r="A72" s="561" t="n"/>
      <c r="B72" s="561" t="n"/>
      <c r="C72" s="564" t="inlineStr">
        <is>
          <t>DG</t>
        </is>
      </c>
      <c r="D72" s="501" t="n"/>
      <c r="E72" s="26">
        <f>E30-D30</f>
        <v/>
      </c>
      <c r="F72" s="26">
        <f>F30-E30</f>
        <v/>
      </c>
      <c r="G72" s="26">
        <f>G30-F30</f>
        <v/>
      </c>
      <c r="H72" s="26">
        <f>H30-G30</f>
        <v/>
      </c>
      <c r="I72" s="26">
        <f>I30-H30</f>
        <v/>
      </c>
      <c r="J72" s="26">
        <f>J30-I30</f>
        <v/>
      </c>
      <c r="K72" s="26">
        <f>K30-J30</f>
        <v/>
      </c>
      <c r="L72" s="26">
        <f>L30-K30</f>
        <v/>
      </c>
      <c r="M72" s="26">
        <f>M30-L30</f>
        <v/>
      </c>
      <c r="N72" s="26">
        <f>N30-M30</f>
        <v/>
      </c>
      <c r="O72" s="26">
        <f>O30-N30</f>
        <v/>
      </c>
      <c r="P72" s="26">
        <f>P30-O30</f>
        <v/>
      </c>
      <c r="Q72" s="26">
        <f>Q30-P30</f>
        <v/>
      </c>
      <c r="R72" s="26">
        <f>R30-Q30</f>
        <v/>
      </c>
      <c r="S72" s="26">
        <f>S30-R30</f>
        <v/>
      </c>
      <c r="T72" s="26">
        <f>T30-S30</f>
        <v/>
      </c>
      <c r="U72" s="26">
        <f>U30-T30</f>
        <v/>
      </c>
      <c r="V72" s="26">
        <f>V30-U30</f>
        <v/>
      </c>
      <c r="W72" s="26">
        <f>W30-V30</f>
        <v/>
      </c>
      <c r="X72" s="26">
        <f>X30-W30</f>
        <v/>
      </c>
      <c r="Y72" s="26">
        <f>Y30-X30</f>
        <v/>
      </c>
      <c r="Z72" s="26">
        <f>Z30-Y30</f>
        <v/>
      </c>
      <c r="AA72" s="26">
        <f>AA30-Z30</f>
        <v/>
      </c>
      <c r="AB72" s="26">
        <f>AB30-AA30</f>
        <v/>
      </c>
      <c r="AC72" s="26">
        <f>AC30-AB30</f>
        <v/>
      </c>
      <c r="AD72" s="26">
        <f>AD30-AC30</f>
        <v/>
      </c>
      <c r="AE72" s="26">
        <f>AE30-AD30</f>
        <v/>
      </c>
      <c r="AF72" s="26">
        <f>AF30-AE30</f>
        <v/>
      </c>
      <c r="AG72" s="26">
        <f>AG30-AF30</f>
        <v/>
      </c>
      <c r="AH72" s="26">
        <f>AH30-AG30</f>
        <v/>
      </c>
      <c r="AI72" s="26">
        <f>SUM(E72:AH72)</f>
        <v/>
      </c>
    </row>
    <row r="73" ht="17.25" customFormat="1" customHeight="1" s="570">
      <c r="A73" s="22" t="n"/>
      <c r="B73" s="22" t="n"/>
      <c r="C73" s="568" t="inlineStr">
        <is>
          <t>Total AHU Power Consumption</t>
        </is>
      </c>
      <c r="D73" s="501" t="n"/>
      <c r="E73" s="422">
        <f>SUM(E65,E67,E69,E71)</f>
        <v/>
      </c>
      <c r="F73" s="422">
        <f>SUM(F65,F67,F69,F71)</f>
        <v/>
      </c>
      <c r="G73" s="422">
        <f>SUM(G65,G67,G69,G71)</f>
        <v/>
      </c>
      <c r="H73" s="422">
        <f>SUM(H65,H67,H69,H71)</f>
        <v/>
      </c>
      <c r="I73" s="422">
        <f>SUM(I65,I67,I69,I71)</f>
        <v/>
      </c>
      <c r="J73" s="422">
        <f>SUM(J65,J67,J69,J71)</f>
        <v/>
      </c>
      <c r="K73" s="422">
        <f>SUM(K65,K67,K69,K71)</f>
        <v/>
      </c>
      <c r="L73" s="422">
        <f>SUM(L65,L67,L69,L71)</f>
        <v/>
      </c>
      <c r="M73" s="422">
        <f>SUM(M65,M67,M69,M71)</f>
        <v/>
      </c>
      <c r="N73" s="422">
        <f>SUM(N65,N67,N69,N71)</f>
        <v/>
      </c>
      <c r="O73" s="422">
        <f>SUM(O65,O67,O69,O71)</f>
        <v/>
      </c>
      <c r="P73" s="422">
        <f>SUM(P65,P67,P69,P71)</f>
        <v/>
      </c>
      <c r="Q73" s="422">
        <f>SUM(Q65,Q67,Q69,Q71)</f>
        <v/>
      </c>
      <c r="R73" s="422">
        <f>SUM(R65,R67,R69,R71)</f>
        <v/>
      </c>
      <c r="S73" s="422">
        <f>SUM(S65,S67,S69,S71)</f>
        <v/>
      </c>
      <c r="T73" s="422">
        <f>SUM(T65,T67,T69,T71)</f>
        <v/>
      </c>
      <c r="U73" s="422">
        <f>SUM(U65,U67,U69,U71)</f>
        <v/>
      </c>
      <c r="V73" s="422">
        <f>SUM(V65,V67,V69,V71)</f>
        <v/>
      </c>
      <c r="W73" s="422">
        <f>SUM(W65,W67,W69,W71)</f>
        <v/>
      </c>
      <c r="X73" s="422">
        <f>SUM(X65,X67,X69,X71)</f>
        <v/>
      </c>
      <c r="Y73" s="422">
        <f>SUM(Y65,Y67,Y69,Y71)</f>
        <v/>
      </c>
      <c r="Z73" s="422">
        <f>SUM(Z65,Z67,Z69,Z71)</f>
        <v/>
      </c>
      <c r="AA73" s="422">
        <f>SUM(AA65,AA67,AA69,AA71)</f>
        <v/>
      </c>
      <c r="AB73" s="422">
        <f>SUM(AB65,AB67,AB69,AB71)</f>
        <v/>
      </c>
      <c r="AC73" s="422">
        <f>SUM(AC65,AC67,AC69,AC71)</f>
        <v/>
      </c>
      <c r="AD73" s="422">
        <f>SUM(AD65,AD67,AD69,AD71)</f>
        <v/>
      </c>
      <c r="AE73" s="422">
        <f>SUM(AE65,AE67,AE69,AE71)</f>
        <v/>
      </c>
      <c r="AF73" s="422">
        <f>SUM(AF65,AF67,AF69,AF71)</f>
        <v/>
      </c>
      <c r="AG73" s="422">
        <f>SUM(AG65,AG67,AG69,AG71)</f>
        <v/>
      </c>
      <c r="AH73" s="422">
        <f>SUM(AH65,AH67,AH69,AH71)</f>
        <v/>
      </c>
      <c r="AI73" s="422">
        <f>SUM(E73:AH73)</f>
        <v/>
      </c>
    </row>
    <row r="74" ht="17.25" customFormat="1" customHeight="1" s="570">
      <c r="A74" s="22" t="n"/>
      <c r="B74" s="22" t="n"/>
      <c r="C74" s="566" t="inlineStr">
        <is>
          <t>Total AHU DG consumption</t>
        </is>
      </c>
      <c r="D74" s="501" t="n"/>
      <c r="E74" s="422">
        <f>SUM(E66,E68,E70,E72)</f>
        <v/>
      </c>
      <c r="F74" s="422">
        <f>SUM(F66,F68,F70,F72)</f>
        <v/>
      </c>
      <c r="G74" s="422">
        <f>SUM(G66,G68,G70,G72)</f>
        <v/>
      </c>
      <c r="H74" s="422">
        <f>SUM(H66,H68,H70,H72)</f>
        <v/>
      </c>
      <c r="I74" s="422">
        <f>SUM(I66,I68,I70,I72)</f>
        <v/>
      </c>
      <c r="J74" s="422">
        <f>SUM(J66,J68,J70,J72)</f>
        <v/>
      </c>
      <c r="K74" s="422">
        <f>SUM(K66,K68,K70,K72)</f>
        <v/>
      </c>
      <c r="L74" s="422">
        <f>SUM(L66,L68,L70,L72)</f>
        <v/>
      </c>
      <c r="M74" s="422">
        <f>SUM(M66,M68,M70,M72)</f>
        <v/>
      </c>
      <c r="N74" s="422">
        <f>SUM(N66,N68,N70,N72)</f>
        <v/>
      </c>
      <c r="O74" s="422">
        <f>SUM(O66,O68,O70,O72)</f>
        <v/>
      </c>
      <c r="P74" s="422">
        <f>SUM(P66,P68,P70,P72)</f>
        <v/>
      </c>
      <c r="Q74" s="422">
        <f>SUM(Q66,Q68,Q70,Q72)</f>
        <v/>
      </c>
      <c r="R74" s="422">
        <f>SUM(R66,R68,R70,R72)</f>
        <v/>
      </c>
      <c r="S74" s="422">
        <f>SUM(S66,S68,S70,S72)</f>
        <v/>
      </c>
      <c r="T74" s="422">
        <f>SUM(T66,T68,T70,T72)</f>
        <v/>
      </c>
      <c r="U74" s="422">
        <f>SUM(U66,U68,U70,U72)</f>
        <v/>
      </c>
      <c r="V74" s="422">
        <f>SUM(V66,V68,V70,V72)</f>
        <v/>
      </c>
      <c r="W74" s="422">
        <f>SUM(W66,W68,W70,W72)</f>
        <v/>
      </c>
      <c r="X74" s="422">
        <f>SUM(X66,X68,X70,X72)</f>
        <v/>
      </c>
      <c r="Y74" s="422">
        <f>SUM(Y66,Y68,Y70,Y72)</f>
        <v/>
      </c>
      <c r="Z74" s="422">
        <f>SUM(Z66,Z68,Z70,Z72)</f>
        <v/>
      </c>
      <c r="AA74" s="422">
        <f>SUM(AA66,AA68,AA70,AA72)</f>
        <v/>
      </c>
      <c r="AB74" s="422">
        <f>SUM(AB66,AB68,AB70,AB72)</f>
        <v/>
      </c>
      <c r="AC74" s="422">
        <f>SUM(AC66,AC68,AC70,AC72)</f>
        <v/>
      </c>
      <c r="AD74" s="422">
        <f>SUM(AD66,AD68,AD70,AD72)</f>
        <v/>
      </c>
      <c r="AE74" s="422">
        <f>SUM(AE66,AE68,AE70,AE72)</f>
        <v/>
      </c>
      <c r="AF74" s="422">
        <f>SUM(AF66,AF68,AF70,AF72)</f>
        <v/>
      </c>
      <c r="AG74" s="422">
        <f>SUM(AG66,AG68,AG70,AG72)</f>
        <v/>
      </c>
      <c r="AH74" s="422">
        <f>SUM(AH66,AH68,AH70,AH72)</f>
        <v/>
      </c>
      <c r="AI74" s="422">
        <f>SUM(E74:AH74)</f>
        <v/>
      </c>
    </row>
    <row r="75" ht="17.25" customFormat="1" customHeight="1" s="570">
      <c r="A75" s="561" t="n">
        <v>1</v>
      </c>
      <c r="B75" s="561" t="inlineStr">
        <is>
          <t>3F</t>
        </is>
      </c>
      <c r="C75" s="561" t="inlineStr">
        <is>
          <t>AHU1 - BTU</t>
        </is>
      </c>
      <c r="D75" s="501" t="n"/>
      <c r="E75" s="26">
        <f>E32-D32</f>
        <v/>
      </c>
      <c r="F75" s="26">
        <f>F32-E32</f>
        <v/>
      </c>
      <c r="G75" s="26">
        <f>G32-F32</f>
        <v/>
      </c>
      <c r="H75" s="26">
        <f>H32-G32</f>
        <v/>
      </c>
      <c r="I75" s="26">
        <f>I32-H32</f>
        <v/>
      </c>
      <c r="J75" s="26">
        <f>J32-I32</f>
        <v/>
      </c>
      <c r="K75" s="26">
        <f>K32-J32</f>
        <v/>
      </c>
      <c r="L75" s="26">
        <f>L32-K32</f>
        <v/>
      </c>
      <c r="M75" s="26">
        <f>M32-L32</f>
        <v/>
      </c>
      <c r="N75" s="26">
        <f>N32-M32</f>
        <v/>
      </c>
      <c r="O75" s="26">
        <f>O32-N32</f>
        <v/>
      </c>
      <c r="P75" s="26">
        <f>P32-O32</f>
        <v/>
      </c>
      <c r="Q75" s="26">
        <f>Q32-P32</f>
        <v/>
      </c>
      <c r="R75" s="26">
        <f>R32-Q32</f>
        <v/>
      </c>
      <c r="S75" s="26">
        <f>S32-R32</f>
        <v/>
      </c>
      <c r="T75" s="26">
        <f>T32-S32</f>
        <v/>
      </c>
      <c r="U75" s="26">
        <f>U32-T32</f>
        <v/>
      </c>
      <c r="V75" s="26">
        <f>V32-U32</f>
        <v/>
      </c>
      <c r="W75" s="26">
        <f>W32-V32</f>
        <v/>
      </c>
      <c r="X75" s="26">
        <f>X32-W32</f>
        <v/>
      </c>
      <c r="Y75" s="26">
        <f>Y32-X32</f>
        <v/>
      </c>
      <c r="Z75" s="26">
        <f>Z32-Y32</f>
        <v/>
      </c>
      <c r="AA75" s="26">
        <f>AA32-Z32</f>
        <v/>
      </c>
      <c r="AB75" s="26">
        <f>AB32-AA32</f>
        <v/>
      </c>
      <c r="AC75" s="26">
        <f>AC32-AB32</f>
        <v/>
      </c>
      <c r="AD75" s="26">
        <f>AD32-AC32</f>
        <v/>
      </c>
      <c r="AE75" s="26">
        <f>AE32-AD32</f>
        <v/>
      </c>
      <c r="AF75" s="26">
        <f>AF32-AE32</f>
        <v/>
      </c>
      <c r="AG75" s="26">
        <f>AG32-AF32</f>
        <v/>
      </c>
      <c r="AH75" s="26">
        <f>AH32-AG32</f>
        <v/>
      </c>
      <c r="AI75" s="26">
        <f>SUM(E75:AH75)</f>
        <v/>
      </c>
    </row>
    <row r="76" ht="17.25" customFormat="1" customHeight="1" s="570">
      <c r="A76" s="561" t="n">
        <v>2</v>
      </c>
      <c r="B76" s="561" t="inlineStr">
        <is>
          <t>3F</t>
        </is>
      </c>
      <c r="C76" s="561" t="inlineStr">
        <is>
          <t>AHU2 - BTU</t>
        </is>
      </c>
      <c r="D76" s="501" t="n"/>
      <c r="E76" s="26">
        <f>E33-D33</f>
        <v/>
      </c>
      <c r="F76" s="26">
        <f>F33-E33</f>
        <v/>
      </c>
      <c r="G76" s="26">
        <f>G33-F33</f>
        <v/>
      </c>
      <c r="H76" s="26">
        <f>H33-G33</f>
        <v/>
      </c>
      <c r="I76" s="26">
        <f>I33-H33</f>
        <v/>
      </c>
      <c r="J76" s="26">
        <f>J33-I33</f>
        <v/>
      </c>
      <c r="K76" s="26">
        <f>K33-J33</f>
        <v/>
      </c>
      <c r="L76" s="26">
        <f>L33-K33</f>
        <v/>
      </c>
      <c r="M76" s="26">
        <f>M33-L33</f>
        <v/>
      </c>
      <c r="N76" s="26">
        <f>N33-M33</f>
        <v/>
      </c>
      <c r="O76" s="26">
        <f>O33-N33</f>
        <v/>
      </c>
      <c r="P76" s="26">
        <f>P33-O33</f>
        <v/>
      </c>
      <c r="Q76" s="26">
        <f>Q33-P33</f>
        <v/>
      </c>
      <c r="R76" s="26">
        <f>R33-Q33</f>
        <v/>
      </c>
      <c r="S76" s="26">
        <f>S33-R33</f>
        <v/>
      </c>
      <c r="T76" s="26">
        <f>T33-S33</f>
        <v/>
      </c>
      <c r="U76" s="26">
        <f>U33-T33</f>
        <v/>
      </c>
      <c r="V76" s="26">
        <f>V33-U33</f>
        <v/>
      </c>
      <c r="W76" s="26">
        <f>W33-V33</f>
        <v/>
      </c>
      <c r="X76" s="26">
        <f>X33-W33</f>
        <v/>
      </c>
      <c r="Y76" s="26">
        <f>Y33-X33</f>
        <v/>
      </c>
      <c r="Z76" s="26">
        <f>Z33-Y33</f>
        <v/>
      </c>
      <c r="AA76" s="26">
        <f>AA33-Z33</f>
        <v/>
      </c>
      <c r="AB76" s="26">
        <f>AB33-AA33</f>
        <v/>
      </c>
      <c r="AC76" s="26">
        <f>AC33-AB33</f>
        <v/>
      </c>
      <c r="AD76" s="26">
        <f>AD33-AC33</f>
        <v/>
      </c>
      <c r="AE76" s="26">
        <f>AE33-AD33</f>
        <v/>
      </c>
      <c r="AF76" s="26">
        <f>AF33-AE33</f>
        <v/>
      </c>
      <c r="AG76" s="26">
        <f>AG33-AF33</f>
        <v/>
      </c>
      <c r="AH76" s="26">
        <f>AH33-AG33</f>
        <v/>
      </c>
      <c r="AI76" s="26">
        <f>SUM(E76:AH76)</f>
        <v/>
      </c>
    </row>
    <row r="77" ht="17.25" customFormat="1" customHeight="1" s="570">
      <c r="A77" s="561" t="n">
        <v>3</v>
      </c>
      <c r="B77" s="561" t="inlineStr">
        <is>
          <t>3F</t>
        </is>
      </c>
      <c r="C77" s="561" t="inlineStr">
        <is>
          <t>AHU3 - BTU</t>
        </is>
      </c>
      <c r="D77" s="501" t="n"/>
      <c r="E77" s="26">
        <f>E34-D34</f>
        <v/>
      </c>
      <c r="F77" s="26">
        <f>F34-E34</f>
        <v/>
      </c>
      <c r="G77" s="26">
        <f>G34-F34</f>
        <v/>
      </c>
      <c r="H77" s="26">
        <f>H34-G34</f>
        <v/>
      </c>
      <c r="I77" s="26">
        <f>I34-H34</f>
        <v/>
      </c>
      <c r="J77" s="26">
        <f>J34-I34</f>
        <v/>
      </c>
      <c r="K77" s="26">
        <f>K34-J34</f>
        <v/>
      </c>
      <c r="L77" s="26">
        <f>L34-K34</f>
        <v/>
      </c>
      <c r="M77" s="26">
        <f>M34-L34</f>
        <v/>
      </c>
      <c r="N77" s="26">
        <f>N34-M34</f>
        <v/>
      </c>
      <c r="O77" s="26">
        <f>O34-N34</f>
        <v/>
      </c>
      <c r="P77" s="26">
        <f>P34-O34</f>
        <v/>
      </c>
      <c r="Q77" s="26">
        <f>Q34-P34</f>
        <v/>
      </c>
      <c r="R77" s="26">
        <f>R34-Q34</f>
        <v/>
      </c>
      <c r="S77" s="26">
        <f>S34-R34</f>
        <v/>
      </c>
      <c r="T77" s="26">
        <f>T34-S34</f>
        <v/>
      </c>
      <c r="U77" s="26">
        <f>U34-T34</f>
        <v/>
      </c>
      <c r="V77" s="26">
        <f>V34-U34</f>
        <v/>
      </c>
      <c r="W77" s="26">
        <f>W34-V34</f>
        <v/>
      </c>
      <c r="X77" s="26">
        <f>X34-W34</f>
        <v/>
      </c>
      <c r="Y77" s="26">
        <f>Y34-X34</f>
        <v/>
      </c>
      <c r="Z77" s="26">
        <f>Z34-Y34</f>
        <v/>
      </c>
      <c r="AA77" s="26">
        <f>AA34-Z34</f>
        <v/>
      </c>
      <c r="AB77" s="26">
        <f>AB34-AA34</f>
        <v/>
      </c>
      <c r="AC77" s="26">
        <f>AC34-AB34</f>
        <v/>
      </c>
      <c r="AD77" s="26">
        <f>AD34-AC34</f>
        <v/>
      </c>
      <c r="AE77" s="26">
        <f>AE34-AD34</f>
        <v/>
      </c>
      <c r="AF77" s="26">
        <f>AF34-AE34</f>
        <v/>
      </c>
      <c r="AG77" s="26">
        <f>AG34-AF34</f>
        <v/>
      </c>
      <c r="AH77" s="26">
        <f>AH34-AG34</f>
        <v/>
      </c>
      <c r="AI77" s="26">
        <f>SUM(E77:AH77)</f>
        <v/>
      </c>
    </row>
    <row r="78" ht="17.25" customFormat="1" customHeight="1" s="570">
      <c r="A78" s="561" t="n">
        <v>4</v>
      </c>
      <c r="B78" s="561" t="inlineStr">
        <is>
          <t>3F</t>
        </is>
      </c>
      <c r="C78" s="561" t="inlineStr">
        <is>
          <t>AHU4 - BTU</t>
        </is>
      </c>
      <c r="D78" s="501" t="n"/>
      <c r="E78" s="26">
        <f>E35-D35</f>
        <v/>
      </c>
      <c r="F78" s="26">
        <f>F35-E35</f>
        <v/>
      </c>
      <c r="G78" s="26">
        <f>G35-F35</f>
        <v/>
      </c>
      <c r="H78" s="26">
        <f>H35-G35</f>
        <v/>
      </c>
      <c r="I78" s="26">
        <f>I35-H35</f>
        <v/>
      </c>
      <c r="J78" s="26">
        <f>J35-I35</f>
        <v/>
      </c>
      <c r="K78" s="26">
        <f>K35-J35</f>
        <v/>
      </c>
      <c r="L78" s="26">
        <f>L35-K35</f>
        <v/>
      </c>
      <c r="M78" s="26">
        <f>M35-L35</f>
        <v/>
      </c>
      <c r="N78" s="26">
        <f>N35-M35</f>
        <v/>
      </c>
      <c r="O78" s="26">
        <f>O35-N35</f>
        <v/>
      </c>
      <c r="P78" s="26">
        <f>P35-O35</f>
        <v/>
      </c>
      <c r="Q78" s="26">
        <f>Q35-P35</f>
        <v/>
      </c>
      <c r="R78" s="26">
        <f>R35-Q35</f>
        <v/>
      </c>
      <c r="S78" s="26">
        <f>S35-R35</f>
        <v/>
      </c>
      <c r="T78" s="26">
        <f>T35-S35</f>
        <v/>
      </c>
      <c r="U78" s="26">
        <f>U35-T35</f>
        <v/>
      </c>
      <c r="V78" s="26">
        <f>V35-U35</f>
        <v/>
      </c>
      <c r="W78" s="26">
        <f>W35-V35</f>
        <v/>
      </c>
      <c r="X78" s="26">
        <f>X35-W35</f>
        <v/>
      </c>
      <c r="Y78" s="26">
        <f>Y35-X35</f>
        <v/>
      </c>
      <c r="Z78" s="26">
        <f>Z35-Y35</f>
        <v/>
      </c>
      <c r="AA78" s="26">
        <f>AA35-Z35</f>
        <v/>
      </c>
      <c r="AB78" s="26">
        <f>AB35-AA35</f>
        <v/>
      </c>
      <c r="AC78" s="26">
        <f>AC35-AB35</f>
        <v/>
      </c>
      <c r="AD78" s="26">
        <f>AD35-AC35</f>
        <v/>
      </c>
      <c r="AE78" s="26">
        <f>AE35-AD35</f>
        <v/>
      </c>
      <c r="AF78" s="26">
        <f>AF35-AE35</f>
        <v/>
      </c>
      <c r="AG78" s="26">
        <f>AG35-AF35</f>
        <v/>
      </c>
      <c r="AH78" s="26">
        <f>AH35-AG35</f>
        <v/>
      </c>
      <c r="AI78" s="26">
        <f>SUM(E78:AH78)</f>
        <v/>
      </c>
    </row>
    <row r="79" ht="17.25" customFormat="1" customHeight="1" s="570">
      <c r="A79" s="22" t="n"/>
      <c r="B79" s="22" t="n"/>
      <c r="C79" s="568" t="inlineStr">
        <is>
          <t>Total BTU Consumption</t>
        </is>
      </c>
      <c r="D79" s="501" t="n"/>
      <c r="E79" s="422">
        <f>SUM(E75:E78)</f>
        <v/>
      </c>
      <c r="F79" s="422">
        <f>SUM(F75:F78)</f>
        <v/>
      </c>
      <c r="G79" s="422">
        <f>SUM(G75:G78)</f>
        <v/>
      </c>
      <c r="H79" s="422">
        <f>SUM(H75:H78)</f>
        <v/>
      </c>
      <c r="I79" s="422">
        <f>SUM(I75:I78)</f>
        <v/>
      </c>
      <c r="J79" s="422">
        <f>SUM(J75:J78)</f>
        <v/>
      </c>
      <c r="K79" s="422">
        <f>SUM(K75:K78)</f>
        <v/>
      </c>
      <c r="L79" s="422">
        <f>SUM(L75:L78)</f>
        <v/>
      </c>
      <c r="M79" s="422">
        <f>SUM(M75:M78)</f>
        <v/>
      </c>
      <c r="N79" s="422">
        <f>SUM(N75:N78)</f>
        <v/>
      </c>
      <c r="O79" s="422">
        <f>SUM(O75:O78)</f>
        <v/>
      </c>
      <c r="P79" s="422">
        <f>SUM(P75:P78)</f>
        <v/>
      </c>
      <c r="Q79" s="422">
        <f>SUM(Q75:Q78)</f>
        <v/>
      </c>
      <c r="R79" s="422">
        <f>SUM(R75:R78)</f>
        <v/>
      </c>
      <c r="S79" s="422">
        <f>SUM(S75:S78)</f>
        <v/>
      </c>
      <c r="T79" s="422">
        <f>SUM(T75:T78)</f>
        <v/>
      </c>
      <c r="U79" s="422">
        <f>SUM(U75:U78)</f>
        <v/>
      </c>
      <c r="V79" s="422">
        <f>SUM(V75:V78)</f>
        <v/>
      </c>
      <c r="W79" s="422">
        <f>SUM(W75:W78)</f>
        <v/>
      </c>
      <c r="X79" s="422">
        <f>SUM(X75:X78)</f>
        <v/>
      </c>
      <c r="Y79" s="422">
        <f>SUM(Y75:Y78)</f>
        <v/>
      </c>
      <c r="Z79" s="422">
        <f>SUM(Z75:Z78)</f>
        <v/>
      </c>
      <c r="AA79" s="422">
        <f>SUM(AA75:AA78)</f>
        <v/>
      </c>
      <c r="AB79" s="422">
        <f>SUM(AB75:AB78)</f>
        <v/>
      </c>
      <c r="AC79" s="422">
        <f>SUM(AC75:AC78)</f>
        <v/>
      </c>
      <c r="AD79" s="422">
        <f>SUM(AD75:AD78)</f>
        <v/>
      </c>
      <c r="AE79" s="422">
        <f>SUM(AE75:AE78)</f>
        <v/>
      </c>
      <c r="AF79" s="422">
        <f>SUM(AF75:AF78)</f>
        <v/>
      </c>
      <c r="AG79" s="422">
        <f>SUM(AG75:AG78)</f>
        <v/>
      </c>
      <c r="AH79" s="422">
        <f>SUM(AH75:AH78)</f>
        <v/>
      </c>
      <c r="AI79" s="422">
        <f>SUM(AI75:AI78)</f>
        <v/>
      </c>
    </row>
    <row r="80" ht="17.25" customFormat="1" customHeight="1" s="570"/>
    <row r="81" ht="17.25" customFormat="1" customHeight="1" s="570"/>
    <row r="82" ht="17.25" customFormat="1" customHeight="1" s="570"/>
    <row r="83" ht="17.25" customFormat="1" customHeight="1" s="570">
      <c r="A83" s="573" t="n"/>
      <c r="B83" s="505" t="n"/>
      <c r="C83" s="505" t="n"/>
      <c r="D83" s="506" t="n"/>
      <c r="E83" s="563" t="inlineStr">
        <is>
          <t>April - 2026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505" t="n"/>
      <c r="AG83" s="505" t="n"/>
      <c r="AH83" s="506" t="n"/>
    </row>
    <row r="84" ht="17.25" customFormat="1" customHeight="1" s="570">
      <c r="A84" s="508" t="inlineStr">
        <is>
          <t>Sr.No</t>
        </is>
      </c>
      <c r="B84" s="508" t="inlineStr">
        <is>
          <t>Location</t>
        </is>
      </c>
      <c r="C84" s="572" t="inlineStr">
        <is>
          <t>Meter</t>
        </is>
      </c>
      <c r="D84" s="562" t="inlineStr">
        <is>
          <t>Previous Reading</t>
        </is>
      </c>
      <c r="E84" s="51" t="n">
        <v>46113</v>
      </c>
      <c r="F84" s="51" t="n">
        <v>46114</v>
      </c>
      <c r="G84" s="51" t="n">
        <v>46115</v>
      </c>
      <c r="H84" s="51" t="n">
        <v>46116</v>
      </c>
      <c r="I84" s="51" t="n">
        <v>46117</v>
      </c>
      <c r="J84" s="51" t="n">
        <v>46118</v>
      </c>
      <c r="K84" s="51" t="n">
        <v>46119</v>
      </c>
      <c r="L84" s="51" t="n">
        <v>46120</v>
      </c>
      <c r="M84" s="51" t="n">
        <v>46121</v>
      </c>
      <c r="N84" s="51" t="n">
        <v>46122</v>
      </c>
      <c r="O84" s="51" t="n">
        <v>46123</v>
      </c>
      <c r="P84" s="51" t="n">
        <v>46124</v>
      </c>
      <c r="Q84" s="51" t="n">
        <v>46125</v>
      </c>
      <c r="R84" s="51" t="n">
        <v>46126</v>
      </c>
      <c r="S84" s="51" t="n">
        <v>46127</v>
      </c>
      <c r="T84" s="51" t="n">
        <v>46128</v>
      </c>
      <c r="U84" s="51" t="n">
        <v>46129</v>
      </c>
      <c r="V84" s="51" t="n">
        <v>46130</v>
      </c>
      <c r="W84" s="51" t="n">
        <v>46131</v>
      </c>
      <c r="X84" s="51" t="n">
        <v>46132</v>
      </c>
      <c r="Y84" s="51" t="n">
        <v>46133</v>
      </c>
      <c r="Z84" s="51" t="n">
        <v>46134</v>
      </c>
      <c r="AA84" s="51" t="n">
        <v>46135</v>
      </c>
      <c r="AB84" s="51" t="n">
        <v>46136</v>
      </c>
      <c r="AC84" s="51" t="n">
        <v>46137</v>
      </c>
      <c r="AD84" s="51" t="n">
        <v>46138</v>
      </c>
      <c r="AE84" s="51" t="n">
        <v>46139</v>
      </c>
      <c r="AF84" s="51" t="n">
        <v>46140</v>
      </c>
      <c r="AG84" s="51" t="n">
        <v>46141</v>
      </c>
      <c r="AH84" s="51" t="n">
        <v>46142</v>
      </c>
      <c r="AI84" s="515" t="inlineStr">
        <is>
          <t>Consumption</t>
        </is>
      </c>
    </row>
    <row r="85" ht="17.25" customFormat="1" customHeight="1" s="570">
      <c r="A85" s="509" t="n"/>
      <c r="B85" s="509" t="n"/>
      <c r="C85" s="509" t="n"/>
      <c r="D85" s="509" t="n"/>
      <c r="E85" s="1" t="inlineStr">
        <is>
          <t>Wed</t>
        </is>
      </c>
      <c r="F85" s="1" t="inlineStr">
        <is>
          <t>Thu</t>
        </is>
      </c>
      <c r="G85" s="1" t="inlineStr">
        <is>
          <t>Fri</t>
        </is>
      </c>
      <c r="H85" s="1" t="inlineStr">
        <is>
          <t>Sat</t>
        </is>
      </c>
      <c r="I85" s="1" t="inlineStr">
        <is>
          <t>Sun</t>
        </is>
      </c>
      <c r="J85" s="1" t="inlineStr">
        <is>
          <t>Mon</t>
        </is>
      </c>
      <c r="K85" s="1" t="inlineStr">
        <is>
          <t>Tue</t>
        </is>
      </c>
      <c r="L85" s="1" t="inlineStr">
        <is>
          <t>Wed</t>
        </is>
      </c>
      <c r="M85" s="1" t="inlineStr">
        <is>
          <t>Thu</t>
        </is>
      </c>
      <c r="N85" s="1" t="inlineStr">
        <is>
          <t>Fri</t>
        </is>
      </c>
      <c r="O85" s="1" t="inlineStr">
        <is>
          <t>Sat</t>
        </is>
      </c>
      <c r="P85" s="1" t="inlineStr">
        <is>
          <t>Sun</t>
        </is>
      </c>
      <c r="Q85" s="1" t="inlineStr">
        <is>
          <t>Mon</t>
        </is>
      </c>
      <c r="R85" s="1" t="inlineStr">
        <is>
          <t>Tue</t>
        </is>
      </c>
      <c r="S85" s="1" t="inlineStr">
        <is>
          <t>Wed</t>
        </is>
      </c>
      <c r="T85" s="1" t="inlineStr">
        <is>
          <t>Thu</t>
        </is>
      </c>
      <c r="U85" s="1" t="inlineStr">
        <is>
          <t>Fri</t>
        </is>
      </c>
      <c r="V85" s="1" t="inlineStr">
        <is>
          <t>Sat</t>
        </is>
      </c>
      <c r="W85" s="1" t="inlineStr">
        <is>
          <t>Sun</t>
        </is>
      </c>
      <c r="X85" s="1" t="inlineStr">
        <is>
          <t>Mon</t>
        </is>
      </c>
      <c r="Y85" s="1" t="inlineStr">
        <is>
          <t>Tue</t>
        </is>
      </c>
      <c r="Z85" s="1" t="inlineStr">
        <is>
          <t>Wed</t>
        </is>
      </c>
      <c r="AA85" s="1" t="inlineStr">
        <is>
          <t>Thu</t>
        </is>
      </c>
      <c r="AB85" s="1" t="inlineStr">
        <is>
          <t>Fri</t>
        </is>
      </c>
      <c r="AC85" s="1" t="inlineStr">
        <is>
          <t>Sat</t>
        </is>
      </c>
      <c r="AD85" s="1" t="inlineStr">
        <is>
          <t>Sun</t>
        </is>
      </c>
      <c r="AE85" s="1" t="inlineStr">
        <is>
          <t>Mon</t>
        </is>
      </c>
      <c r="AF85" s="1" t="inlineStr">
        <is>
          <t>Tue</t>
        </is>
      </c>
      <c r="AG85" s="1" t="inlineStr">
        <is>
          <t>Wed</t>
        </is>
      </c>
      <c r="AH85" s="1" t="inlineStr">
        <is>
          <t>Thu</t>
        </is>
      </c>
      <c r="AI85" s="516" t="n"/>
    </row>
    <row r="86" ht="17.25" customFormat="1" customHeight="1" s="570">
      <c r="A86" s="509" t="n"/>
      <c r="B86" s="509" t="n"/>
      <c r="C86" s="509" t="n"/>
      <c r="D86" s="509" t="n"/>
      <c r="E86" s="52" t="inlineStr">
        <is>
          <t>Time</t>
        </is>
      </c>
      <c r="F86" s="52" t="inlineStr">
        <is>
          <t>Time</t>
        </is>
      </c>
      <c r="G86" s="52" t="inlineStr">
        <is>
          <t>Time</t>
        </is>
      </c>
      <c r="H86" s="52" t="inlineStr">
        <is>
          <t>Time</t>
        </is>
      </c>
      <c r="I86" s="52" t="inlineStr">
        <is>
          <t>Time</t>
        </is>
      </c>
      <c r="J86" s="52" t="inlineStr">
        <is>
          <t>Time</t>
        </is>
      </c>
      <c r="K86" s="52" t="inlineStr">
        <is>
          <t>Time</t>
        </is>
      </c>
      <c r="L86" s="52" t="inlineStr">
        <is>
          <t>Time</t>
        </is>
      </c>
      <c r="M86" s="52" t="inlineStr">
        <is>
          <t>Time</t>
        </is>
      </c>
      <c r="N86" s="52" t="inlineStr">
        <is>
          <t>Time</t>
        </is>
      </c>
      <c r="O86" s="52" t="inlineStr">
        <is>
          <t>Time</t>
        </is>
      </c>
      <c r="P86" s="52" t="inlineStr">
        <is>
          <t>Time</t>
        </is>
      </c>
      <c r="Q86" s="52" t="inlineStr">
        <is>
          <t>Time</t>
        </is>
      </c>
      <c r="R86" s="52" t="inlineStr">
        <is>
          <t>Time</t>
        </is>
      </c>
      <c r="S86" s="52" t="inlineStr">
        <is>
          <t>Time</t>
        </is>
      </c>
      <c r="T86" s="52" t="inlineStr">
        <is>
          <t>Time</t>
        </is>
      </c>
      <c r="U86" s="52" t="inlineStr">
        <is>
          <t>Time</t>
        </is>
      </c>
      <c r="V86" s="52" t="inlineStr">
        <is>
          <t>Time</t>
        </is>
      </c>
      <c r="W86" s="52" t="inlineStr">
        <is>
          <t>Time</t>
        </is>
      </c>
      <c r="X86" s="52" t="inlineStr">
        <is>
          <t>Time</t>
        </is>
      </c>
      <c r="Y86" s="52" t="inlineStr">
        <is>
          <t>Time</t>
        </is>
      </c>
      <c r="Z86" s="52" t="inlineStr">
        <is>
          <t>Time</t>
        </is>
      </c>
      <c r="AA86" s="52" t="inlineStr">
        <is>
          <t>Time</t>
        </is>
      </c>
      <c r="AB86" s="52" t="inlineStr">
        <is>
          <t>Time</t>
        </is>
      </c>
      <c r="AC86" s="52" t="inlineStr">
        <is>
          <t>Time</t>
        </is>
      </c>
      <c r="AD86" s="52" t="inlineStr">
        <is>
          <t>Time</t>
        </is>
      </c>
      <c r="AE86" s="52" t="inlineStr">
        <is>
          <t>Time</t>
        </is>
      </c>
      <c r="AF86" s="52" t="inlineStr">
        <is>
          <t>Time</t>
        </is>
      </c>
      <c r="AG86" s="52" t="inlineStr">
        <is>
          <t>Time</t>
        </is>
      </c>
      <c r="AH86" s="52" t="inlineStr">
        <is>
          <t>Time</t>
        </is>
      </c>
      <c r="AI86" s="516" t="n"/>
    </row>
    <row r="87" ht="17.25" customFormat="1" customHeight="1" s="570">
      <c r="A87" s="510" t="n"/>
      <c r="B87" s="510" t="n"/>
      <c r="C87" s="510" t="n"/>
      <c r="D87" s="510" t="n"/>
      <c r="E87" s="199" t="n">
        <v>0.3333333333333333</v>
      </c>
      <c r="F87" s="199" t="n">
        <v>0.3333333333333333</v>
      </c>
      <c r="G87" s="199" t="n">
        <v>0.3333333333333333</v>
      </c>
      <c r="H87" s="199" t="n">
        <v>0.3333333333333333</v>
      </c>
      <c r="I87" s="199" t="n">
        <v>0.3333333333333333</v>
      </c>
      <c r="J87" s="199" t="n">
        <v>0.3333333333333333</v>
      </c>
      <c r="K87" s="199" t="n">
        <v>0.3333333333333333</v>
      </c>
      <c r="L87" s="199" t="n">
        <v>0.3333333333333333</v>
      </c>
      <c r="M87" s="199" t="n">
        <v>0.3333333333333333</v>
      </c>
      <c r="N87" s="199" t="n">
        <v>0.3333333333333333</v>
      </c>
      <c r="O87" s="199" t="n">
        <v>0.3333333333333333</v>
      </c>
      <c r="P87" s="199" t="n">
        <v>0.3333333333333333</v>
      </c>
      <c r="Q87" s="199" t="n">
        <v>0.3333333333333333</v>
      </c>
      <c r="R87" s="199" t="n">
        <v>0.3333333333333333</v>
      </c>
      <c r="S87" s="199" t="n">
        <v>0.3333333333333333</v>
      </c>
      <c r="T87" s="199" t="n">
        <v>0.3333333333333333</v>
      </c>
      <c r="U87" s="199" t="n">
        <v>0.3333333333333333</v>
      </c>
      <c r="V87" s="199" t="n">
        <v>0.3333333333333333</v>
      </c>
      <c r="W87" s="199" t="n">
        <v>0.3333333333333333</v>
      </c>
      <c r="X87" s="199" t="n">
        <v>0.3333333333333333</v>
      </c>
      <c r="Y87" s="199" t="n">
        <v>0.3333333333333333</v>
      </c>
      <c r="Z87" s="199" t="n">
        <v>0.3333333333333333</v>
      </c>
      <c r="AA87" s="199" t="n">
        <v>0.3333333333333333</v>
      </c>
      <c r="AB87" s="199" t="n">
        <v>0.3333333333333333</v>
      </c>
      <c r="AC87" s="199" t="n">
        <v>0.3333333333333333</v>
      </c>
      <c r="AD87" s="199" t="n">
        <v>0.3333333333333333</v>
      </c>
      <c r="AE87" s="199" t="n">
        <v>0.3333333333333333</v>
      </c>
      <c r="AF87" s="199" t="n">
        <v>0.3333333333333333</v>
      </c>
      <c r="AG87" s="199" t="n">
        <v>0.3333333333333333</v>
      </c>
      <c r="AH87" s="199" t="n">
        <v>0.3333333333333333</v>
      </c>
      <c r="AI87" s="517" t="n"/>
    </row>
    <row r="88" ht="17.25" customFormat="1" customHeight="1" s="570">
      <c r="A88" s="407" t="n">
        <v>1</v>
      </c>
      <c r="B88" s="430" t="inlineStr">
        <is>
          <t>Basement:-2</t>
        </is>
      </c>
      <c r="C88" s="430" t="inlineStr">
        <is>
          <t>Liberty-170</t>
        </is>
      </c>
      <c r="D88" s="191" t="n">
        <v>2536</v>
      </c>
      <c r="E88" s="430" t="n">
        <v>2560</v>
      </c>
      <c r="F88" s="430" t="n">
        <v>2578</v>
      </c>
      <c r="G88" s="430" t="n">
        <v>2578</v>
      </c>
      <c r="H88" s="430" t="n">
        <v>2578</v>
      </c>
      <c r="I88" s="430" t="n">
        <v>2578</v>
      </c>
      <c r="J88" s="430" t="n">
        <v>2578</v>
      </c>
      <c r="K88" s="430" t="n">
        <v>2585</v>
      </c>
      <c r="L88" s="430" t="n">
        <v>2608</v>
      </c>
      <c r="M88" s="430" t="n">
        <v>2621</v>
      </c>
      <c r="N88" s="430" t="n">
        <v>2644</v>
      </c>
      <c r="O88" s="430" t="n">
        <v>2644</v>
      </c>
      <c r="P88" s="430" t="n">
        <v>2644</v>
      </c>
      <c r="Q88" s="430" t="n">
        <v>2644</v>
      </c>
      <c r="R88" s="430" t="n">
        <v>2669</v>
      </c>
      <c r="S88" s="430" t="n">
        <v>2678</v>
      </c>
      <c r="T88" s="430" t="n">
        <v>2690</v>
      </c>
      <c r="U88" s="430" t="n">
        <v>2705</v>
      </c>
      <c r="V88" s="430" t="n">
        <v>2705</v>
      </c>
      <c r="W88" s="430" t="n">
        <v>2705</v>
      </c>
      <c r="X88" s="430" t="n">
        <v>2717</v>
      </c>
      <c r="Y88" s="430" t="n">
        <v>2741</v>
      </c>
      <c r="Z88" s="430" t="n">
        <v>2775</v>
      </c>
      <c r="AA88" s="430" t="n">
        <v>2791</v>
      </c>
      <c r="AB88" s="430" t="n">
        <v>2806</v>
      </c>
      <c r="AC88" s="430" t="n">
        <v>2806</v>
      </c>
      <c r="AD88" s="430" t="n">
        <v>2806</v>
      </c>
      <c r="AE88" s="430" t="n">
        <v>2818</v>
      </c>
      <c r="AF88" s="430" t="n">
        <v>2843</v>
      </c>
      <c r="AG88" s="430" t="n">
        <v>2859</v>
      </c>
      <c r="AH88" s="430" t="n">
        <v>2870</v>
      </c>
      <c r="AI88" s="420" t="n"/>
    </row>
    <row r="89" ht="17.25" customFormat="1" customHeight="1" s="570"/>
    <row r="90" ht="17.25" customFormat="1" customHeight="1" s="570">
      <c r="A90" s="515" t="inlineStr">
        <is>
          <t>Sr.No</t>
        </is>
      </c>
      <c r="B90" s="515" t="inlineStr">
        <is>
          <t>Location</t>
        </is>
      </c>
      <c r="C90" s="515" t="inlineStr">
        <is>
          <t>Meter</t>
        </is>
      </c>
      <c r="D90" s="522" t="n"/>
      <c r="E90" s="42">
        <f>E84</f>
        <v/>
      </c>
      <c r="F90" s="42">
        <f>F84</f>
        <v/>
      </c>
      <c r="G90" s="42">
        <f>G84</f>
        <v/>
      </c>
      <c r="H90" s="42">
        <f>H84</f>
        <v/>
      </c>
      <c r="I90" s="42">
        <f>I84</f>
        <v/>
      </c>
      <c r="J90" s="42">
        <f>J84</f>
        <v/>
      </c>
      <c r="K90" s="42">
        <f>K84</f>
        <v/>
      </c>
      <c r="L90" s="42">
        <f>L84</f>
        <v/>
      </c>
      <c r="M90" s="42">
        <f>M84</f>
        <v/>
      </c>
      <c r="N90" s="42">
        <f>N84</f>
        <v/>
      </c>
      <c r="O90" s="42">
        <f>O84</f>
        <v/>
      </c>
      <c r="P90" s="42">
        <f>P84</f>
        <v/>
      </c>
      <c r="Q90" s="42">
        <f>Q84</f>
        <v/>
      </c>
      <c r="R90" s="42">
        <f>R84</f>
        <v/>
      </c>
      <c r="S90" s="42">
        <f>S84</f>
        <v/>
      </c>
      <c r="T90" s="42">
        <f>T84</f>
        <v/>
      </c>
      <c r="U90" s="42">
        <f>U84</f>
        <v/>
      </c>
      <c r="V90" s="42">
        <f>V84</f>
        <v/>
      </c>
      <c r="W90" s="42">
        <f>W84</f>
        <v/>
      </c>
      <c r="X90" s="42">
        <f>X84</f>
        <v/>
      </c>
      <c r="Y90" s="42">
        <f>Y84</f>
        <v/>
      </c>
      <c r="Z90" s="42">
        <f>Z84</f>
        <v/>
      </c>
      <c r="AA90" s="42">
        <f>AA84</f>
        <v/>
      </c>
      <c r="AB90" s="42">
        <f>AB84</f>
        <v/>
      </c>
      <c r="AC90" s="42">
        <f>AC84</f>
        <v/>
      </c>
      <c r="AD90" s="42">
        <f>AD84</f>
        <v/>
      </c>
      <c r="AE90" s="42">
        <f>AE84</f>
        <v/>
      </c>
      <c r="AF90" s="42">
        <f>AF84</f>
        <v/>
      </c>
      <c r="AG90" s="42">
        <f>AG84</f>
        <v/>
      </c>
      <c r="AH90" s="42">
        <f>AH84</f>
        <v/>
      </c>
      <c r="AI90" s="515" t="inlineStr">
        <is>
          <t>Consumption</t>
        </is>
      </c>
    </row>
    <row r="91" ht="17.25" customFormat="1" customHeight="1" s="570">
      <c r="A91" s="516" t="n"/>
      <c r="B91" s="516" t="n"/>
      <c r="C91" s="523" t="n"/>
      <c r="D91" s="524" t="n"/>
      <c r="E91" s="1" t="inlineStr">
        <is>
          <t>Sun</t>
        </is>
      </c>
      <c r="F91" s="1" t="inlineStr">
        <is>
          <t>Mon</t>
        </is>
      </c>
      <c r="G91" s="1" t="inlineStr">
        <is>
          <t>Tue</t>
        </is>
      </c>
      <c r="H91" s="1" t="inlineStr">
        <is>
          <t>Wed</t>
        </is>
      </c>
      <c r="I91" s="1" t="inlineStr">
        <is>
          <t>Thu</t>
        </is>
      </c>
      <c r="J91" s="1" t="inlineStr">
        <is>
          <t>Fri</t>
        </is>
      </c>
      <c r="K91" s="1" t="inlineStr">
        <is>
          <t>Sat</t>
        </is>
      </c>
      <c r="L91" s="1" t="inlineStr">
        <is>
          <t>Sun</t>
        </is>
      </c>
      <c r="M91" s="1" t="inlineStr">
        <is>
          <t>Mon</t>
        </is>
      </c>
      <c r="N91" s="1" t="inlineStr">
        <is>
          <t>Tue</t>
        </is>
      </c>
      <c r="O91" s="1" t="inlineStr">
        <is>
          <t>Wed</t>
        </is>
      </c>
      <c r="P91" s="1" t="inlineStr">
        <is>
          <t>Thu</t>
        </is>
      </c>
      <c r="Q91" s="1" t="inlineStr">
        <is>
          <t>Fri</t>
        </is>
      </c>
      <c r="R91" s="1" t="inlineStr">
        <is>
          <t>Sat</t>
        </is>
      </c>
      <c r="S91" s="1" t="inlineStr">
        <is>
          <t>Sun</t>
        </is>
      </c>
      <c r="T91" s="1" t="inlineStr">
        <is>
          <t>Mon</t>
        </is>
      </c>
      <c r="U91" s="1" t="inlineStr">
        <is>
          <t>Tue</t>
        </is>
      </c>
      <c r="V91" s="1" t="inlineStr">
        <is>
          <t>Wed</t>
        </is>
      </c>
      <c r="W91" s="1" t="inlineStr">
        <is>
          <t>Thu</t>
        </is>
      </c>
      <c r="X91" s="1" t="inlineStr">
        <is>
          <t>Fri</t>
        </is>
      </c>
      <c r="Y91" s="1" t="inlineStr">
        <is>
          <t>Sat</t>
        </is>
      </c>
      <c r="Z91" s="1" t="inlineStr">
        <is>
          <t>Sun</t>
        </is>
      </c>
      <c r="AA91" s="1" t="inlineStr">
        <is>
          <t>Mon</t>
        </is>
      </c>
      <c r="AB91" s="1" t="inlineStr">
        <is>
          <t>Tue</t>
        </is>
      </c>
      <c r="AC91" s="1" t="inlineStr">
        <is>
          <t>Wed</t>
        </is>
      </c>
      <c r="AD91" s="1" t="inlineStr">
        <is>
          <t>Thu</t>
        </is>
      </c>
      <c r="AE91" s="1" t="inlineStr">
        <is>
          <t>Fri</t>
        </is>
      </c>
      <c r="AF91" s="1" t="inlineStr">
        <is>
          <t>Sat</t>
        </is>
      </c>
      <c r="AG91" s="1" t="inlineStr">
        <is>
          <t>Sun</t>
        </is>
      </c>
      <c r="AH91" s="1" t="inlineStr">
        <is>
          <t>Mon</t>
        </is>
      </c>
      <c r="AI91" s="516" t="n"/>
    </row>
    <row r="92" ht="17.25" customFormat="1" customHeight="1" s="570">
      <c r="A92" s="516" t="n"/>
      <c r="B92" s="516" t="n"/>
      <c r="C92" s="523" t="n"/>
      <c r="D92" s="524" t="n"/>
      <c r="E92" s="18" t="inlineStr">
        <is>
          <t>Time</t>
        </is>
      </c>
      <c r="F92" s="18" t="inlineStr">
        <is>
          <t>Time</t>
        </is>
      </c>
      <c r="G92" s="18" t="inlineStr">
        <is>
          <t>Time</t>
        </is>
      </c>
      <c r="H92" s="18" t="inlineStr">
        <is>
          <t>Time</t>
        </is>
      </c>
      <c r="I92" s="18" t="inlineStr">
        <is>
          <t>Time</t>
        </is>
      </c>
      <c r="J92" s="18" t="inlineStr">
        <is>
          <t>Time</t>
        </is>
      </c>
      <c r="K92" s="18" t="inlineStr">
        <is>
          <t>Time</t>
        </is>
      </c>
      <c r="L92" s="18" t="inlineStr">
        <is>
          <t>Time</t>
        </is>
      </c>
      <c r="M92" s="18" t="inlineStr">
        <is>
          <t>Time</t>
        </is>
      </c>
      <c r="N92" s="18" t="inlineStr">
        <is>
          <t>Time</t>
        </is>
      </c>
      <c r="O92" s="18" t="inlineStr">
        <is>
          <t>Time</t>
        </is>
      </c>
      <c r="P92" s="18" t="inlineStr">
        <is>
          <t>Time</t>
        </is>
      </c>
      <c r="Q92" s="18" t="inlineStr">
        <is>
          <t>Time</t>
        </is>
      </c>
      <c r="R92" s="18" t="inlineStr">
        <is>
          <t>Time</t>
        </is>
      </c>
      <c r="S92" s="18" t="inlineStr">
        <is>
          <t>Time</t>
        </is>
      </c>
      <c r="T92" s="18" t="inlineStr">
        <is>
          <t>Time</t>
        </is>
      </c>
      <c r="U92" s="18" t="inlineStr">
        <is>
          <t>Time</t>
        </is>
      </c>
      <c r="V92" s="18" t="inlineStr">
        <is>
          <t>Time</t>
        </is>
      </c>
      <c r="W92" s="18" t="inlineStr">
        <is>
          <t>Time</t>
        </is>
      </c>
      <c r="X92" s="18" t="inlineStr">
        <is>
          <t>Time</t>
        </is>
      </c>
      <c r="Y92" s="18" t="inlineStr">
        <is>
          <t>Time</t>
        </is>
      </c>
      <c r="Z92" s="18" t="inlineStr">
        <is>
          <t>Time</t>
        </is>
      </c>
      <c r="AA92" s="18" t="inlineStr">
        <is>
          <t>Time</t>
        </is>
      </c>
      <c r="AB92" s="18" t="inlineStr">
        <is>
          <t>Time</t>
        </is>
      </c>
      <c r="AC92" s="18" t="inlineStr">
        <is>
          <t>Time</t>
        </is>
      </c>
      <c r="AD92" s="18" t="inlineStr">
        <is>
          <t>Time</t>
        </is>
      </c>
      <c r="AE92" s="18" t="inlineStr">
        <is>
          <t>Time</t>
        </is>
      </c>
      <c r="AF92" s="18" t="inlineStr">
        <is>
          <t>Time</t>
        </is>
      </c>
      <c r="AG92" s="18" t="inlineStr">
        <is>
          <t>Time</t>
        </is>
      </c>
      <c r="AH92" s="18" t="inlineStr">
        <is>
          <t>Time</t>
        </is>
      </c>
      <c r="AI92" s="516" t="n"/>
    </row>
    <row r="93" ht="17.25" customFormat="1" customHeight="1" s="570">
      <c r="A93" s="517" t="n"/>
      <c r="B93" s="517" t="n"/>
      <c r="C93" s="525" t="n"/>
      <c r="D93" s="526" t="n"/>
      <c r="E93" s="19" t="n">
        <v>0.3333333333333333</v>
      </c>
      <c r="F93" s="19" t="n">
        <v>0.3333333333333333</v>
      </c>
      <c r="G93" s="19" t="n">
        <v>0.3333333333333333</v>
      </c>
      <c r="H93" s="19" t="n">
        <v>0.3333333333333333</v>
      </c>
      <c r="I93" s="19" t="n">
        <v>0.3333333333333333</v>
      </c>
      <c r="J93" s="19" t="n">
        <v>0.3333333333333333</v>
      </c>
      <c r="K93" s="19" t="n">
        <v>0.3333333333333333</v>
      </c>
      <c r="L93" s="19" t="n">
        <v>0.3333333333333333</v>
      </c>
      <c r="M93" s="19" t="n">
        <v>0.3333333333333333</v>
      </c>
      <c r="N93" s="19" t="n">
        <v>0.3333333333333333</v>
      </c>
      <c r="O93" s="19" t="n">
        <v>0.3333333333333333</v>
      </c>
      <c r="P93" s="19" t="n">
        <v>0.3333333333333333</v>
      </c>
      <c r="Q93" s="19" t="n">
        <v>0.3333333333333333</v>
      </c>
      <c r="R93" s="19" t="n">
        <v>0.3333333333333333</v>
      </c>
      <c r="S93" s="19" t="n">
        <v>0.3333333333333333</v>
      </c>
      <c r="T93" s="19" t="n">
        <v>0.3333333333333333</v>
      </c>
      <c r="U93" s="19" t="n">
        <v>0.3333333333333333</v>
      </c>
      <c r="V93" s="19" t="n">
        <v>0.3333333333333333</v>
      </c>
      <c r="W93" s="19" t="n">
        <v>0.3333333333333333</v>
      </c>
      <c r="X93" s="19" t="n">
        <v>0.3333333333333333</v>
      </c>
      <c r="Y93" s="19" t="n">
        <v>0.3333333333333333</v>
      </c>
      <c r="Z93" s="19" t="n">
        <v>0.3333333333333333</v>
      </c>
      <c r="AA93" s="19" t="n">
        <v>0.3333333333333333</v>
      </c>
      <c r="AB93" s="19" t="n">
        <v>0.3333333333333333</v>
      </c>
      <c r="AC93" s="19" t="n">
        <v>0.3333333333333333</v>
      </c>
      <c r="AD93" s="19" t="n">
        <v>0.3333333333333333</v>
      </c>
      <c r="AE93" s="19" t="n">
        <v>0.3333333333333333</v>
      </c>
      <c r="AF93" s="19" t="n">
        <v>0.3333333333333333</v>
      </c>
      <c r="AG93" s="19" t="n">
        <v>0.3333333333333333</v>
      </c>
      <c r="AH93" s="19" t="n">
        <v>0.3333333333333333</v>
      </c>
      <c r="AI93" s="517" t="n"/>
    </row>
    <row r="94" ht="17.25" customFormat="1" customHeight="1" s="570">
      <c r="A94" s="574" t="n">
        <v>1</v>
      </c>
      <c r="B94" s="432" t="inlineStr">
        <is>
          <t>Basement:-2</t>
        </is>
      </c>
      <c r="C94" s="574" t="inlineStr">
        <is>
          <t>Liberty-170</t>
        </is>
      </c>
      <c r="D94" s="501" t="n"/>
      <c r="E94" s="420">
        <f>E88-D88</f>
        <v/>
      </c>
      <c r="F94" s="420">
        <f>F88-E88</f>
        <v/>
      </c>
      <c r="G94" s="420">
        <f>G88-F88</f>
        <v/>
      </c>
      <c r="H94" s="420">
        <f>H88-G88</f>
        <v/>
      </c>
      <c r="I94" s="420">
        <f>I88-H88</f>
        <v/>
      </c>
      <c r="J94" s="420">
        <f>J88-I88</f>
        <v/>
      </c>
      <c r="K94" s="420">
        <f>K88-J88</f>
        <v/>
      </c>
      <c r="L94" s="420">
        <f>L88-K88</f>
        <v/>
      </c>
      <c r="M94" s="420">
        <f>M88-L88</f>
        <v/>
      </c>
      <c r="N94" s="420">
        <f>N88-M88</f>
        <v/>
      </c>
      <c r="O94" s="420">
        <f>O88-N88</f>
        <v/>
      </c>
      <c r="P94" s="420">
        <f>P88-O88</f>
        <v/>
      </c>
      <c r="Q94" s="420">
        <f>Q88-P88</f>
        <v/>
      </c>
      <c r="R94" s="420">
        <f>R88-Q88</f>
        <v/>
      </c>
      <c r="S94" s="420">
        <f>S88-R88</f>
        <v/>
      </c>
      <c r="T94" s="420">
        <f>T88-S88</f>
        <v/>
      </c>
      <c r="U94" s="420">
        <f>U88-T88</f>
        <v/>
      </c>
      <c r="V94" s="420">
        <f>V88-U88</f>
        <v/>
      </c>
      <c r="W94" s="420">
        <f>W88-V88</f>
        <v/>
      </c>
      <c r="X94" s="420">
        <f>X88-W88</f>
        <v/>
      </c>
      <c r="Y94" s="420">
        <f>Y88-X88</f>
        <v/>
      </c>
      <c r="Z94" s="420">
        <f>Z88-Y88</f>
        <v/>
      </c>
      <c r="AA94" s="420">
        <f>AA88-Z88</f>
        <v/>
      </c>
      <c r="AB94" s="420">
        <f>AB88-AA88</f>
        <v/>
      </c>
      <c r="AC94" s="420">
        <f>AC88-AB88</f>
        <v/>
      </c>
      <c r="AD94" s="420">
        <f>AD88-AC88</f>
        <v/>
      </c>
      <c r="AE94" s="420">
        <f>AE88-AD88</f>
        <v/>
      </c>
      <c r="AF94" s="420">
        <f>AF88-AE88</f>
        <v/>
      </c>
      <c r="AG94" s="420">
        <f>AG88-AF88</f>
        <v/>
      </c>
      <c r="AH94" s="420">
        <f>AH88-AG88</f>
        <v/>
      </c>
      <c r="AI94" s="420">
        <f>SUM(E94:AH94)</f>
        <v/>
      </c>
    </row>
  </sheetData>
  <mergeCells count="61">
    <mergeCell ref="C77:D77"/>
    <mergeCell ref="D84:D87"/>
    <mergeCell ref="E83:AH83"/>
    <mergeCell ref="C62:D62"/>
    <mergeCell ref="C68:D68"/>
    <mergeCell ref="AI84:AI87"/>
    <mergeCell ref="C40:D43"/>
    <mergeCell ref="C58:D58"/>
    <mergeCell ref="C45:D45"/>
    <mergeCell ref="C74:D74"/>
    <mergeCell ref="AI90:AI93"/>
    <mergeCell ref="B2:B5"/>
    <mergeCell ref="A22:AH22"/>
    <mergeCell ref="C64:D64"/>
    <mergeCell ref="C79:D79"/>
    <mergeCell ref="B38:D38"/>
    <mergeCell ref="D2:D5"/>
    <mergeCell ref="A84:A87"/>
    <mergeCell ref="C73:D73"/>
    <mergeCell ref="AI40:AI43"/>
    <mergeCell ref="C84:C87"/>
    <mergeCell ref="A90:A93"/>
    <mergeCell ref="C90:D93"/>
    <mergeCell ref="C47:D47"/>
    <mergeCell ref="C54:D54"/>
    <mergeCell ref="A83:D83"/>
    <mergeCell ref="C94:D94"/>
    <mergeCell ref="A36:AH37"/>
    <mergeCell ref="C65:D65"/>
    <mergeCell ref="A1:AI1"/>
    <mergeCell ref="C55:D55"/>
    <mergeCell ref="C50:D50"/>
    <mergeCell ref="C44:D44"/>
    <mergeCell ref="C75:D75"/>
    <mergeCell ref="A31:AH31"/>
    <mergeCell ref="C56:D56"/>
    <mergeCell ref="C59:D59"/>
    <mergeCell ref="C49:D49"/>
    <mergeCell ref="B84:B87"/>
    <mergeCell ref="C46:D46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I2:AI5"/>
    <mergeCell ref="C72:D72"/>
    <mergeCell ref="C67:D67"/>
    <mergeCell ref="C57:D57"/>
    <mergeCell ref="C66:D66"/>
    <mergeCell ref="C53:D53"/>
    <mergeCell ref="B39:D39"/>
    <mergeCell ref="C78:D78"/>
    <mergeCell ref="C69:D69"/>
    <mergeCell ref="A40:A43"/>
    <mergeCell ref="B90:B93"/>
  </mergeCells>
  <pageMargins left="0.7" right="0.7" top="0.75" bottom="0.75" header="0.3" footer="0.3"/>
  <pageSetup orientation="portrait" paperSize="9" verticalDpi="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94"/>
  <sheetViews>
    <sheetView topLeftCell="AF1" zoomScale="115" zoomScaleNormal="115" workbookViewId="0">
      <pane ySplit="3" topLeftCell="A60" activePane="bottomLeft" state="frozen"/>
      <selection activeCell="F1" sqref="F1"/>
      <selection pane="bottomLeft" activeCell="AK68" sqref="AK68:AL71"/>
    </sheetView>
  </sheetViews>
  <sheetFormatPr baseColWidth="8" defaultRowHeight="14.5"/>
  <cols>
    <col width="15" customWidth="1" style="488" min="1" max="1"/>
    <col width="27" customWidth="1" style="488" min="2" max="2"/>
    <col width="32" customWidth="1" style="488" min="3" max="3"/>
    <col width="20" customWidth="1" style="488" min="4" max="4"/>
    <col width="34" customWidth="1" style="488" min="5" max="5"/>
    <col width="23" customWidth="1" style="488" min="6" max="35"/>
    <col width="18" customWidth="1" style="488" min="36" max="36"/>
    <col width="14" customWidth="1" style="488" min="37" max="37"/>
    <col width="18" customWidth="1" style="488" min="38" max="38"/>
  </cols>
  <sheetData>
    <row r="1" ht="21" customHeight="1" s="488">
      <c r="A1" s="556" t="inlineStr">
        <is>
          <t>Mar -  2026</t>
        </is>
      </c>
    </row>
    <row r="2" ht="15" customHeight="1" s="488">
      <c r="A2" s="550" t="inlineStr">
        <is>
          <t>Sr.No</t>
        </is>
      </c>
      <c r="B2" s="550" t="inlineStr">
        <is>
          <t>Location</t>
        </is>
      </c>
      <c r="C2" s="554" t="inlineStr">
        <is>
          <t>Meter</t>
        </is>
      </c>
      <c r="D2" s="543" t="inlineStr">
        <is>
          <t>Previous Reading</t>
        </is>
      </c>
      <c r="E2" s="301" t="n">
        <v>46082</v>
      </c>
      <c r="F2" s="301" t="n">
        <v>46083</v>
      </c>
      <c r="G2" s="301" t="n">
        <v>46084</v>
      </c>
      <c r="H2" s="301" t="n">
        <v>46085</v>
      </c>
      <c r="I2" s="301" t="n">
        <v>46086</v>
      </c>
      <c r="J2" s="301" t="n">
        <v>46087</v>
      </c>
      <c r="K2" s="301" t="n">
        <v>46088</v>
      </c>
      <c r="L2" s="301" t="n">
        <v>46089</v>
      </c>
      <c r="M2" s="301" t="n">
        <v>46090</v>
      </c>
      <c r="N2" s="301" t="n">
        <v>46091</v>
      </c>
      <c r="O2" s="301" t="n">
        <v>46092</v>
      </c>
      <c r="P2" s="301" t="n">
        <v>46093</v>
      </c>
      <c r="Q2" s="301" t="n">
        <v>46094</v>
      </c>
      <c r="R2" s="301" t="n">
        <v>46095</v>
      </c>
      <c r="S2" s="301" t="n">
        <v>46096</v>
      </c>
      <c r="T2" s="301" t="n">
        <v>46097</v>
      </c>
      <c r="U2" s="301" t="n">
        <v>46098</v>
      </c>
      <c r="V2" s="301" t="n">
        <v>46099</v>
      </c>
      <c r="W2" s="301" t="n">
        <v>46100</v>
      </c>
      <c r="X2" s="301" t="n">
        <v>46101</v>
      </c>
      <c r="Y2" s="301" t="n">
        <v>46102</v>
      </c>
      <c r="Z2" s="301" t="n">
        <v>46103</v>
      </c>
      <c r="AA2" s="301" t="n">
        <v>46104</v>
      </c>
      <c r="AB2" s="301" t="n">
        <v>46105</v>
      </c>
      <c r="AC2" s="301" t="n">
        <v>46106</v>
      </c>
      <c r="AD2" s="301" t="n">
        <v>46107</v>
      </c>
      <c r="AE2" s="301" t="n">
        <v>46108</v>
      </c>
      <c r="AF2" s="301" t="n">
        <v>46109</v>
      </c>
      <c r="AG2" s="301" t="n">
        <v>46110</v>
      </c>
      <c r="AH2" s="301" t="n">
        <v>46111</v>
      </c>
      <c r="AI2" s="301" t="n">
        <v>46112</v>
      </c>
      <c r="AJ2" s="548" t="inlineStr">
        <is>
          <t>Consumption</t>
        </is>
      </c>
    </row>
    <row r="3">
      <c r="A3" s="509" t="n"/>
      <c r="B3" s="509" t="n"/>
      <c r="C3" s="509" t="n"/>
      <c r="D3" s="509" t="n"/>
      <c r="E3" s="302" t="inlineStr">
        <is>
          <t>Sun</t>
        </is>
      </c>
      <c r="F3" s="302" t="inlineStr">
        <is>
          <t>Mon</t>
        </is>
      </c>
      <c r="G3" s="302" t="inlineStr">
        <is>
          <t>Tue</t>
        </is>
      </c>
      <c r="H3" s="302" t="inlineStr">
        <is>
          <t>Wed</t>
        </is>
      </c>
      <c r="I3" s="302" t="inlineStr">
        <is>
          <t>Thu</t>
        </is>
      </c>
      <c r="J3" s="302" t="inlineStr">
        <is>
          <t>Fri</t>
        </is>
      </c>
      <c r="K3" s="302" t="inlineStr">
        <is>
          <t>Sat</t>
        </is>
      </c>
      <c r="L3" s="302" t="inlineStr">
        <is>
          <t>Sun</t>
        </is>
      </c>
      <c r="M3" s="302" t="inlineStr">
        <is>
          <t>Mon</t>
        </is>
      </c>
      <c r="N3" s="302" t="inlineStr">
        <is>
          <t>Tue</t>
        </is>
      </c>
      <c r="O3" s="302" t="inlineStr">
        <is>
          <t>Wed</t>
        </is>
      </c>
      <c r="P3" s="302" t="inlineStr">
        <is>
          <t>Thu</t>
        </is>
      </c>
      <c r="Q3" s="302" t="inlineStr">
        <is>
          <t>Fri</t>
        </is>
      </c>
      <c r="R3" s="302" t="inlineStr">
        <is>
          <t>Sat</t>
        </is>
      </c>
      <c r="S3" s="302" t="inlineStr">
        <is>
          <t>Sun</t>
        </is>
      </c>
      <c r="T3" s="302" t="inlineStr">
        <is>
          <t>Mon</t>
        </is>
      </c>
      <c r="U3" s="302" t="inlineStr">
        <is>
          <t>Tue</t>
        </is>
      </c>
      <c r="V3" s="302" t="inlineStr">
        <is>
          <t>Wed</t>
        </is>
      </c>
      <c r="W3" s="302" t="inlineStr">
        <is>
          <t>Thu</t>
        </is>
      </c>
      <c r="X3" s="302" t="inlineStr">
        <is>
          <t>Fri</t>
        </is>
      </c>
      <c r="Y3" s="302" t="inlineStr">
        <is>
          <t>Sat</t>
        </is>
      </c>
      <c r="Z3" s="302" t="inlineStr">
        <is>
          <t>Sun</t>
        </is>
      </c>
      <c r="AA3" s="302" t="inlineStr">
        <is>
          <t>Mon</t>
        </is>
      </c>
      <c r="AB3" s="302" t="inlineStr">
        <is>
          <t>Tue</t>
        </is>
      </c>
      <c r="AC3" s="302" t="inlineStr">
        <is>
          <t>Wed</t>
        </is>
      </c>
      <c r="AD3" s="302" t="inlineStr">
        <is>
          <t>Thu</t>
        </is>
      </c>
      <c r="AE3" s="302" t="inlineStr">
        <is>
          <t>Fri</t>
        </is>
      </c>
      <c r="AF3" s="302" t="inlineStr">
        <is>
          <t>Sat</t>
        </is>
      </c>
      <c r="AG3" s="302" t="inlineStr">
        <is>
          <t>Sun</t>
        </is>
      </c>
      <c r="AH3" s="302" t="inlineStr">
        <is>
          <t>Mon</t>
        </is>
      </c>
      <c r="AI3" s="302" t="inlineStr">
        <is>
          <t>Tue</t>
        </is>
      </c>
      <c r="AJ3" s="509" t="n"/>
    </row>
    <row r="4">
      <c r="A4" s="509" t="n"/>
      <c r="B4" s="509" t="n"/>
      <c r="C4" s="509" t="n"/>
      <c r="D4" s="509" t="n"/>
      <c r="E4" s="303" t="inlineStr">
        <is>
          <t>Time</t>
        </is>
      </c>
      <c r="F4" s="303" t="inlineStr">
        <is>
          <t>Time</t>
        </is>
      </c>
      <c r="G4" s="303" t="inlineStr">
        <is>
          <t>Time</t>
        </is>
      </c>
      <c r="H4" s="303" t="inlineStr">
        <is>
          <t>Time</t>
        </is>
      </c>
      <c r="I4" s="303" t="inlineStr">
        <is>
          <t>Time</t>
        </is>
      </c>
      <c r="J4" s="303" t="inlineStr">
        <is>
          <t>Time</t>
        </is>
      </c>
      <c r="K4" s="303" t="inlineStr">
        <is>
          <t>Time</t>
        </is>
      </c>
      <c r="L4" s="303" t="inlineStr">
        <is>
          <t>Time</t>
        </is>
      </c>
      <c r="M4" s="303" t="inlineStr">
        <is>
          <t>Time</t>
        </is>
      </c>
      <c r="N4" s="303" t="inlineStr">
        <is>
          <t>Time</t>
        </is>
      </c>
      <c r="O4" s="303" t="inlineStr">
        <is>
          <t>Time</t>
        </is>
      </c>
      <c r="P4" s="303" t="inlineStr">
        <is>
          <t>Time</t>
        </is>
      </c>
      <c r="Q4" s="303" t="inlineStr">
        <is>
          <t>Time</t>
        </is>
      </c>
      <c r="R4" s="303" t="inlineStr">
        <is>
          <t>Time</t>
        </is>
      </c>
      <c r="S4" s="303" t="inlineStr">
        <is>
          <t>Time</t>
        </is>
      </c>
      <c r="T4" s="303" t="inlineStr">
        <is>
          <t>Time</t>
        </is>
      </c>
      <c r="U4" s="303" t="inlineStr">
        <is>
          <t>Time</t>
        </is>
      </c>
      <c r="V4" s="303" t="inlineStr">
        <is>
          <t>Time</t>
        </is>
      </c>
      <c r="W4" s="303" t="inlineStr">
        <is>
          <t>Time</t>
        </is>
      </c>
      <c r="X4" s="303" t="inlineStr">
        <is>
          <t>Time</t>
        </is>
      </c>
      <c r="Y4" s="303" t="inlineStr">
        <is>
          <t>Time</t>
        </is>
      </c>
      <c r="Z4" s="303" t="inlineStr">
        <is>
          <t>Time</t>
        </is>
      </c>
      <c r="AA4" s="303" t="inlineStr">
        <is>
          <t>Time</t>
        </is>
      </c>
      <c r="AB4" s="303" t="inlineStr">
        <is>
          <t>Time</t>
        </is>
      </c>
      <c r="AC4" s="303" t="inlineStr">
        <is>
          <t>Time</t>
        </is>
      </c>
      <c r="AD4" s="303" t="inlineStr">
        <is>
          <t>Time</t>
        </is>
      </c>
      <c r="AE4" s="303" t="inlineStr">
        <is>
          <t>Time</t>
        </is>
      </c>
      <c r="AF4" s="303" t="inlineStr">
        <is>
          <t>Time</t>
        </is>
      </c>
      <c r="AG4" s="303" t="inlineStr">
        <is>
          <t>Time</t>
        </is>
      </c>
      <c r="AH4" s="303" t="inlineStr">
        <is>
          <t>Time</t>
        </is>
      </c>
      <c r="AI4" s="303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304" t="n">
        <v>0.3333333333333333</v>
      </c>
      <c r="F5" s="304" t="n">
        <v>0.3333333333333333</v>
      </c>
      <c r="G5" s="304" t="n">
        <v>0.3333333333333333</v>
      </c>
      <c r="H5" s="304" t="n">
        <v>0.3333333333333333</v>
      </c>
      <c r="I5" s="304" t="n">
        <v>0.3333333333333333</v>
      </c>
      <c r="J5" s="304" t="n">
        <v>0.3333333333333333</v>
      </c>
      <c r="K5" s="304" t="n">
        <v>0.3333333333333333</v>
      </c>
      <c r="L5" s="304" t="n">
        <v>0.3333333333333333</v>
      </c>
      <c r="M5" s="304" t="n">
        <v>0.3333333333333333</v>
      </c>
      <c r="N5" s="304" t="n">
        <v>0.3333333333333333</v>
      </c>
      <c r="O5" s="304" t="n">
        <v>0.3333333333333333</v>
      </c>
      <c r="P5" s="304" t="n">
        <v>0.3333333333333333</v>
      </c>
      <c r="Q5" s="304" t="n">
        <v>0.3333333333333333</v>
      </c>
      <c r="R5" s="304" t="n">
        <v>0.3333333333333333</v>
      </c>
      <c r="S5" s="304" t="n">
        <v>0.3333333333333333</v>
      </c>
      <c r="T5" s="304" t="n">
        <v>0.3333333333333333</v>
      </c>
      <c r="U5" s="304" t="n">
        <v>0.3333333333333333</v>
      </c>
      <c r="V5" s="304" t="n">
        <v>0.3333333333333333</v>
      </c>
      <c r="W5" s="304" t="n">
        <v>0.3333333333333333</v>
      </c>
      <c r="X5" s="304" t="n">
        <v>0.3333333333333333</v>
      </c>
      <c r="Y5" s="304" t="n">
        <v>0.3333333333333333</v>
      </c>
      <c r="Z5" s="304" t="n">
        <v>0.3333333333333333</v>
      </c>
      <c r="AA5" s="304" t="n">
        <v>0.3333333333333333</v>
      </c>
      <c r="AB5" s="304" t="n">
        <v>0.3333333333333333</v>
      </c>
      <c r="AC5" s="304" t="n">
        <v>0.3333333333333333</v>
      </c>
      <c r="AD5" s="304" t="n">
        <v>0.3333333333333333</v>
      </c>
      <c r="AE5" s="304" t="n">
        <v>0.3333333333333333</v>
      </c>
      <c r="AF5" s="304" t="n">
        <v>0.3333333333333333</v>
      </c>
      <c r="AG5" s="304" t="n">
        <v>0.3333333333333333</v>
      </c>
      <c r="AH5" s="304" t="n">
        <v>0.3333333333333333</v>
      </c>
      <c r="AI5" s="304" t="n">
        <v>0.3333333333333333</v>
      </c>
      <c r="AJ5" s="510" t="n"/>
    </row>
    <row r="6">
      <c r="A6" s="305" t="n">
        <v>1</v>
      </c>
      <c r="B6" s="541" t="inlineStr">
        <is>
          <t>3F</t>
        </is>
      </c>
      <c r="C6" s="377" t="inlineStr">
        <is>
          <t>SL No 540430038840 (EB Unit)</t>
        </is>
      </c>
      <c r="D6" s="244" t="n">
        <v>181312</v>
      </c>
      <c r="E6" s="378" t="n">
        <v>181638</v>
      </c>
      <c r="F6" s="305" t="n">
        <v>181888</v>
      </c>
      <c r="G6" s="305" t="n">
        <v>182152</v>
      </c>
      <c r="H6" s="305" t="n">
        <v>182357</v>
      </c>
      <c r="I6" s="305" t="n">
        <v>182594</v>
      </c>
      <c r="J6" s="305" t="n">
        <v>182840</v>
      </c>
      <c r="K6" s="305" t="n">
        <v>183048</v>
      </c>
      <c r="L6" s="305" t="n">
        <v>183252</v>
      </c>
      <c r="M6" s="305" t="n">
        <v>183507</v>
      </c>
      <c r="N6" s="305" t="n">
        <v>183763</v>
      </c>
      <c r="O6" s="309" t="n">
        <v>184009</v>
      </c>
      <c r="P6" s="310" t="n">
        <v>184265</v>
      </c>
      <c r="Q6" s="305" t="n">
        <v>184516</v>
      </c>
      <c r="R6" s="311" t="n">
        <v>184738</v>
      </c>
      <c r="S6" s="541" t="n">
        <v>184910</v>
      </c>
      <c r="T6" s="541" t="n">
        <v>185169</v>
      </c>
      <c r="U6" s="541" t="n">
        <v>185431</v>
      </c>
      <c r="V6" s="312" t="n">
        <v>185691</v>
      </c>
      <c r="W6" s="541" t="n">
        <v>185944</v>
      </c>
      <c r="X6" s="541" t="n">
        <v>186184</v>
      </c>
      <c r="Y6" s="541" t="n">
        <v>186387</v>
      </c>
      <c r="Z6" s="541" t="n">
        <v>186589</v>
      </c>
      <c r="AA6" s="309" t="n">
        <v>186848</v>
      </c>
      <c r="AB6" s="541" t="n">
        <v>187117</v>
      </c>
      <c r="AC6" s="541" t="n">
        <v>187372</v>
      </c>
      <c r="AD6" s="305" t="n">
        <v>187628</v>
      </c>
      <c r="AE6" s="313" t="n">
        <v>187880</v>
      </c>
      <c r="AF6" s="313" t="n">
        <v>188102</v>
      </c>
      <c r="AG6" s="391" t="n">
        <v>188291</v>
      </c>
      <c r="AH6" s="310" t="n">
        <v>188563</v>
      </c>
      <c r="AI6" s="310" t="n">
        <v>188707</v>
      </c>
      <c r="AJ6" s="314">
        <f>AI6-D6</f>
        <v/>
      </c>
    </row>
    <row r="7">
      <c r="A7" s="315" t="n"/>
      <c r="B7" s="315" t="n"/>
      <c r="C7" s="325" t="inlineStr">
        <is>
          <t>DG</t>
        </is>
      </c>
      <c r="D7" s="244" t="n">
        <v>4283</v>
      </c>
      <c r="E7" s="305" t="n">
        <v>4283</v>
      </c>
      <c r="F7" s="305" t="n">
        <v>4283</v>
      </c>
      <c r="G7" s="305" t="n">
        <v>4283</v>
      </c>
      <c r="H7" s="305" t="n">
        <v>4283</v>
      </c>
      <c r="I7" s="305" t="n">
        <v>4283</v>
      </c>
      <c r="J7" s="376" t="n">
        <v>4283</v>
      </c>
      <c r="K7" s="318" t="n">
        <v>4283</v>
      </c>
      <c r="L7" s="318" t="n">
        <v>4283</v>
      </c>
      <c r="M7" s="318" t="n">
        <v>4283</v>
      </c>
      <c r="N7" s="318" t="n">
        <v>4283</v>
      </c>
      <c r="O7" s="318" t="n">
        <v>4283</v>
      </c>
      <c r="P7" s="315" t="n">
        <v>4283</v>
      </c>
      <c r="Q7" s="315" t="n">
        <v>4283</v>
      </c>
      <c r="R7" s="315" t="n">
        <v>4283</v>
      </c>
      <c r="S7" s="315" t="n">
        <v>4329</v>
      </c>
      <c r="T7" s="315" t="n">
        <v>4329</v>
      </c>
      <c r="U7" s="315" t="n">
        <v>4329</v>
      </c>
      <c r="V7" s="315" t="n">
        <v>4329</v>
      </c>
      <c r="W7" s="315" t="n">
        <v>4329</v>
      </c>
      <c r="X7" s="315" t="n">
        <v>4329</v>
      </c>
      <c r="Y7" s="315" t="n">
        <v>4329</v>
      </c>
      <c r="Z7" s="315" t="n">
        <v>4329</v>
      </c>
      <c r="AA7" s="315" t="n">
        <v>4329</v>
      </c>
      <c r="AB7" s="315" t="n">
        <v>4329</v>
      </c>
      <c r="AC7" s="315" t="n">
        <v>4329</v>
      </c>
      <c r="AD7" s="315" t="n">
        <v>4329</v>
      </c>
      <c r="AE7" s="315" t="n">
        <v>4329</v>
      </c>
      <c r="AF7" s="315" t="n">
        <v>4329</v>
      </c>
      <c r="AG7" s="315" t="n">
        <v>4329</v>
      </c>
      <c r="AH7" s="315" t="n">
        <v>4329</v>
      </c>
      <c r="AI7" s="315" t="n">
        <v>4329</v>
      </c>
      <c r="AJ7" s="314">
        <f>AI7-D7</f>
        <v/>
      </c>
    </row>
    <row r="8">
      <c r="A8" s="541" t="n">
        <v>2</v>
      </c>
      <c r="B8" s="541" t="inlineStr">
        <is>
          <t>3F</t>
        </is>
      </c>
      <c r="C8" s="322" t="inlineStr">
        <is>
          <t>SL No 540430038845 (EB Unit)</t>
        </is>
      </c>
      <c r="D8" s="244" t="n">
        <v>1956</v>
      </c>
      <c r="E8" s="305" t="n">
        <v>1956</v>
      </c>
      <c r="F8" s="305" t="n">
        <v>1956</v>
      </c>
      <c r="G8" s="305" t="n">
        <v>1956</v>
      </c>
      <c r="H8" s="305" t="n">
        <v>1956</v>
      </c>
      <c r="I8" s="305" t="n">
        <v>1956</v>
      </c>
      <c r="J8" s="309" t="n">
        <v>1956</v>
      </c>
      <c r="K8" s="541" t="n">
        <v>1956</v>
      </c>
      <c r="L8" s="541" t="n">
        <v>1956</v>
      </c>
      <c r="M8" s="541" t="n">
        <v>1956</v>
      </c>
      <c r="N8" s="541" t="n">
        <v>1956</v>
      </c>
      <c r="O8" s="541" t="n">
        <v>1956</v>
      </c>
      <c r="P8" s="541" t="n">
        <v>1956</v>
      </c>
      <c r="Q8" s="541" t="n">
        <v>1956</v>
      </c>
      <c r="R8" s="541" t="n">
        <v>1956</v>
      </c>
      <c r="S8" s="541" t="n">
        <v>1956</v>
      </c>
      <c r="T8" s="541" t="n">
        <v>1956</v>
      </c>
      <c r="U8" s="541" t="n">
        <v>1956</v>
      </c>
      <c r="V8" s="541" t="n">
        <v>1956</v>
      </c>
      <c r="W8" s="541" t="n">
        <v>1956</v>
      </c>
      <c r="X8" s="541" t="n">
        <v>1956</v>
      </c>
      <c r="Y8" s="541" t="n">
        <v>1956</v>
      </c>
      <c r="Z8" s="541" t="n">
        <v>1956</v>
      </c>
      <c r="AA8" s="541" t="n">
        <v>1956</v>
      </c>
      <c r="AB8" s="541" t="n">
        <v>1956</v>
      </c>
      <c r="AC8" s="541" t="n">
        <v>1956</v>
      </c>
      <c r="AD8" s="541" t="n">
        <v>1956</v>
      </c>
      <c r="AE8" s="541" t="n">
        <v>1956</v>
      </c>
      <c r="AF8" s="541" t="n">
        <v>1956</v>
      </c>
      <c r="AG8" s="541" t="n">
        <v>1956</v>
      </c>
      <c r="AH8" s="541" t="n">
        <v>1956</v>
      </c>
      <c r="AI8" s="541" t="n">
        <v>1956</v>
      </c>
      <c r="AJ8" s="314">
        <f>AI8-D8</f>
        <v/>
      </c>
    </row>
    <row r="9">
      <c r="A9" s="541" t="n"/>
      <c r="B9" s="541" t="n"/>
      <c r="C9" s="325" t="inlineStr">
        <is>
          <t>DG</t>
        </is>
      </c>
      <c r="D9" s="244" t="n">
        <v>28.6</v>
      </c>
      <c r="E9" s="305" t="n">
        <v>28.6</v>
      </c>
      <c r="F9" s="305" t="n">
        <v>28.6</v>
      </c>
      <c r="G9" s="305" t="n">
        <v>28.6</v>
      </c>
      <c r="H9" s="305" t="n">
        <v>28.6</v>
      </c>
      <c r="I9" s="305" t="n">
        <v>28.6</v>
      </c>
      <c r="J9" s="309" t="n">
        <v>28.6</v>
      </c>
      <c r="K9" s="309" t="n">
        <v>28.6</v>
      </c>
      <c r="L9" s="309" t="n">
        <v>28.6</v>
      </c>
      <c r="M9" s="309" t="n">
        <v>28.6</v>
      </c>
      <c r="N9" s="309" t="n">
        <v>28.6</v>
      </c>
      <c r="O9" s="309" t="n">
        <v>28.6</v>
      </c>
      <c r="P9" s="541" t="n">
        <v>28.6</v>
      </c>
      <c r="Q9" s="541" t="n">
        <v>28.6</v>
      </c>
      <c r="R9" s="541" t="n">
        <v>28.6</v>
      </c>
      <c r="S9" s="541" t="n">
        <v>28.6</v>
      </c>
      <c r="T9" s="541" t="n">
        <v>28.6</v>
      </c>
      <c r="U9" s="541" t="n">
        <v>28.6</v>
      </c>
      <c r="V9" s="541" t="n">
        <v>28.6</v>
      </c>
      <c r="W9" s="541" t="n">
        <v>28.6</v>
      </c>
      <c r="X9" s="541" t="n">
        <v>28.6</v>
      </c>
      <c r="Y9" s="541" t="n">
        <v>28.6</v>
      </c>
      <c r="Z9" s="541" t="n">
        <v>28.6</v>
      </c>
      <c r="AA9" s="541" t="n">
        <v>28.6</v>
      </c>
      <c r="AB9" s="541" t="n">
        <v>28.6</v>
      </c>
      <c r="AC9" s="541" t="n">
        <v>28.6</v>
      </c>
      <c r="AD9" s="541" t="n">
        <v>28.6</v>
      </c>
      <c r="AE9" s="541" t="n">
        <v>28.6</v>
      </c>
      <c r="AF9" s="541" t="n">
        <v>28.6</v>
      </c>
      <c r="AG9" s="541" t="n">
        <v>28.6</v>
      </c>
      <c r="AH9" s="541" t="n">
        <v>28.6</v>
      </c>
      <c r="AI9" s="541" t="n">
        <v>28.6</v>
      </c>
      <c r="AJ9" s="314">
        <f>AI9-D9</f>
        <v/>
      </c>
    </row>
    <row r="10">
      <c r="A10" s="541" t="n">
        <v>3</v>
      </c>
      <c r="B10" s="541" t="inlineStr">
        <is>
          <t>3F</t>
        </is>
      </c>
      <c r="C10" s="322" t="inlineStr">
        <is>
          <t>SL No 540430038844 (EB Unit)</t>
        </is>
      </c>
      <c r="D10" s="244" t="n">
        <v>263065</v>
      </c>
      <c r="E10" s="330" t="n">
        <v>263489</v>
      </c>
      <c r="F10" s="331" t="n">
        <v>263854</v>
      </c>
      <c r="G10" s="331" t="n">
        <v>264231</v>
      </c>
      <c r="H10" s="331" t="n">
        <v>264505</v>
      </c>
      <c r="I10" s="331" t="n">
        <v>264843</v>
      </c>
      <c r="J10" s="541" t="n">
        <v>265196</v>
      </c>
      <c r="K10" s="541" t="n">
        <v>265474</v>
      </c>
      <c r="L10" s="541" t="n">
        <v>265743</v>
      </c>
      <c r="M10" s="541" t="n">
        <v>266113</v>
      </c>
      <c r="N10" s="541" t="n">
        <v>266484</v>
      </c>
      <c r="O10" s="541" t="n">
        <v>266841</v>
      </c>
      <c r="P10" s="541" t="n">
        <v>267212</v>
      </c>
      <c r="Q10" s="541" t="n">
        <v>267575</v>
      </c>
      <c r="R10" s="541" t="n">
        <v>267841</v>
      </c>
      <c r="S10" s="541" t="n">
        <v>268075</v>
      </c>
      <c r="T10" s="541" t="n">
        <v>268454</v>
      </c>
      <c r="U10" s="541" t="n">
        <v>268843</v>
      </c>
      <c r="V10" s="541" t="n">
        <v>269218</v>
      </c>
      <c r="W10" s="541" t="n">
        <v>269584</v>
      </c>
      <c r="X10" s="541" t="n">
        <v>269931</v>
      </c>
      <c r="Y10" s="541" t="n">
        <v>270202</v>
      </c>
      <c r="Z10" s="541" t="n">
        <v>270464</v>
      </c>
      <c r="AA10" s="309" t="n">
        <v>270841</v>
      </c>
      <c r="AB10" s="315" t="n">
        <v>271233</v>
      </c>
      <c r="AC10" s="315" t="n">
        <v>271606</v>
      </c>
      <c r="AD10" s="315" t="n">
        <v>271974</v>
      </c>
      <c r="AE10" s="318" t="n">
        <v>272342</v>
      </c>
      <c r="AF10" s="318" t="n">
        <v>272637</v>
      </c>
      <c r="AG10" s="390" t="n">
        <v>272884</v>
      </c>
      <c r="AH10" s="310" t="n">
        <v>273280</v>
      </c>
      <c r="AI10" s="310" t="n">
        <v>273490</v>
      </c>
      <c r="AJ10" s="314">
        <f>AI10-D10</f>
        <v/>
      </c>
    </row>
    <row r="11">
      <c r="A11" s="541" t="n"/>
      <c r="B11" s="541" t="n"/>
      <c r="C11" s="325" t="inlineStr">
        <is>
          <t>DG</t>
        </is>
      </c>
      <c r="D11" s="244" t="n">
        <v>6410</v>
      </c>
      <c r="E11" s="305" t="n">
        <v>6410</v>
      </c>
      <c r="F11" s="305" t="n">
        <v>6410</v>
      </c>
      <c r="G11" s="305" t="n">
        <v>6410</v>
      </c>
      <c r="H11" s="305" t="n">
        <v>6410</v>
      </c>
      <c r="I11" s="305" t="n">
        <v>6410</v>
      </c>
      <c r="J11" s="324" t="n">
        <v>6410</v>
      </c>
      <c r="K11" s="309" t="n">
        <v>6410</v>
      </c>
      <c r="L11" s="309" t="n">
        <v>6410</v>
      </c>
      <c r="M11" s="309" t="n">
        <v>6410</v>
      </c>
      <c r="N11" s="309" t="n">
        <v>6410</v>
      </c>
      <c r="O11" s="309" t="n">
        <v>6410</v>
      </c>
      <c r="P11" s="541" t="n">
        <v>6410</v>
      </c>
      <c r="Q11" s="541" t="n">
        <v>6410</v>
      </c>
      <c r="R11" s="541" t="n">
        <v>6410</v>
      </c>
      <c r="S11" s="541" t="n">
        <v>6472</v>
      </c>
      <c r="T11" s="541" t="n">
        <v>6472</v>
      </c>
      <c r="U11" s="541" t="n">
        <v>6472</v>
      </c>
      <c r="V11" s="541" t="n">
        <v>6472</v>
      </c>
      <c r="W11" s="541" t="n">
        <v>6472</v>
      </c>
      <c r="X11" s="541" t="n">
        <v>6472</v>
      </c>
      <c r="Y11" s="541" t="n">
        <v>6472</v>
      </c>
      <c r="Z11" s="541" t="n">
        <v>6472</v>
      </c>
      <c r="AA11" s="541" t="n">
        <v>6472</v>
      </c>
      <c r="AB11" s="541" t="n">
        <v>6472</v>
      </c>
      <c r="AC11" s="541" t="n">
        <v>6472</v>
      </c>
      <c r="AD11" s="541" t="n">
        <v>6472</v>
      </c>
      <c r="AE11" s="541" t="n">
        <v>6472</v>
      </c>
      <c r="AF11" s="541" t="n">
        <v>6472</v>
      </c>
      <c r="AG11" s="541" t="n">
        <v>6472</v>
      </c>
      <c r="AH11" s="541" t="n">
        <v>6472</v>
      </c>
      <c r="AI11" s="541" t="n">
        <v>6472</v>
      </c>
      <c r="AJ11" s="314">
        <f>AI11-D11</f>
        <v/>
      </c>
    </row>
    <row r="12">
      <c r="A12" s="541" t="n">
        <v>4</v>
      </c>
      <c r="B12" s="541" t="inlineStr">
        <is>
          <t>3F</t>
        </is>
      </c>
      <c r="C12" s="322" t="inlineStr">
        <is>
          <t>SL No 540430038821 (EB Unit)</t>
        </is>
      </c>
      <c r="D12" s="244" t="n">
        <v>0</v>
      </c>
      <c r="E12" s="305" t="n">
        <v>0</v>
      </c>
      <c r="F12" s="305" t="n">
        <v>0</v>
      </c>
      <c r="G12" s="305" t="n">
        <v>0</v>
      </c>
      <c r="H12" s="305" t="n">
        <v>0</v>
      </c>
      <c r="I12" s="305" t="n">
        <v>0</v>
      </c>
      <c r="J12" s="324" t="n">
        <v>0</v>
      </c>
      <c r="K12" s="541" t="n">
        <v>0</v>
      </c>
      <c r="L12" s="541" t="n">
        <v>0</v>
      </c>
      <c r="M12" s="541" t="n">
        <v>0</v>
      </c>
      <c r="N12" s="541" t="n">
        <v>0</v>
      </c>
      <c r="O12" s="541" t="n">
        <v>0</v>
      </c>
      <c r="P12" s="541" t="n">
        <v>0</v>
      </c>
      <c r="Q12" s="541" t="n">
        <v>0</v>
      </c>
      <c r="R12" s="541" t="n">
        <v>0</v>
      </c>
      <c r="S12" s="541" t="n">
        <v>0</v>
      </c>
      <c r="T12" s="541" t="n">
        <v>0</v>
      </c>
      <c r="U12" s="541" t="n">
        <v>0</v>
      </c>
      <c r="V12" s="541" t="n">
        <v>0</v>
      </c>
      <c r="W12" s="541" t="n">
        <v>0</v>
      </c>
      <c r="X12" s="541" t="n">
        <v>0</v>
      </c>
      <c r="Y12" s="541" t="n">
        <v>0</v>
      </c>
      <c r="Z12" s="541" t="n">
        <v>0</v>
      </c>
      <c r="AA12" s="541" t="n">
        <v>0</v>
      </c>
      <c r="AB12" s="541" t="n">
        <v>0</v>
      </c>
      <c r="AC12" s="541" t="n">
        <v>0</v>
      </c>
      <c r="AD12" s="541" t="n">
        <v>0</v>
      </c>
      <c r="AE12" s="541" t="n">
        <v>0</v>
      </c>
      <c r="AF12" s="541" t="n">
        <v>0</v>
      </c>
      <c r="AG12" s="541" t="n">
        <v>0</v>
      </c>
      <c r="AH12" s="541" t="n">
        <v>0</v>
      </c>
      <c r="AI12" s="541" t="n">
        <v>0</v>
      </c>
      <c r="AJ12" s="314">
        <f>AI12-D12</f>
        <v/>
      </c>
    </row>
    <row r="13">
      <c r="A13" s="541" t="n"/>
      <c r="B13" s="541" t="n"/>
      <c r="C13" s="325" t="inlineStr">
        <is>
          <t>DG</t>
        </is>
      </c>
      <c r="D13" s="244" t="n">
        <v>0</v>
      </c>
      <c r="E13" s="305" t="n">
        <v>0</v>
      </c>
      <c r="F13" s="305" t="n">
        <v>0</v>
      </c>
      <c r="G13" s="305" t="n">
        <v>0</v>
      </c>
      <c r="H13" s="305" t="n">
        <v>0</v>
      </c>
      <c r="I13" s="305" t="n">
        <v>0</v>
      </c>
      <c r="J13" s="326" t="n">
        <v>0</v>
      </c>
      <c r="K13" s="541" t="n">
        <v>0</v>
      </c>
      <c r="L13" s="541" t="n">
        <v>0</v>
      </c>
      <c r="M13" s="541" t="n">
        <v>0</v>
      </c>
      <c r="N13" s="541" t="n">
        <v>0</v>
      </c>
      <c r="O13" s="541" t="n">
        <v>0</v>
      </c>
      <c r="P13" s="541" t="n">
        <v>0</v>
      </c>
      <c r="Q13" s="541" t="n">
        <v>0</v>
      </c>
      <c r="R13" s="541" t="n">
        <v>0</v>
      </c>
      <c r="S13" s="541" t="n">
        <v>0</v>
      </c>
      <c r="T13" s="541" t="n">
        <v>0</v>
      </c>
      <c r="U13" s="541" t="n">
        <v>0</v>
      </c>
      <c r="V13" s="541" t="n">
        <v>0</v>
      </c>
      <c r="W13" s="541" t="n">
        <v>0</v>
      </c>
      <c r="X13" s="541" t="n">
        <v>0</v>
      </c>
      <c r="Y13" s="541" t="n">
        <v>0</v>
      </c>
      <c r="Z13" s="541" t="n">
        <v>0</v>
      </c>
      <c r="AA13" s="541" t="n">
        <v>0</v>
      </c>
      <c r="AB13" s="541" t="n">
        <v>0</v>
      </c>
      <c r="AC13" s="541" t="n">
        <v>0</v>
      </c>
      <c r="AD13" s="541" t="n">
        <v>0</v>
      </c>
      <c r="AE13" s="541" t="n">
        <v>0</v>
      </c>
      <c r="AF13" s="541" t="n">
        <v>0</v>
      </c>
      <c r="AG13" s="541" t="n">
        <v>0</v>
      </c>
      <c r="AH13" s="541" t="n">
        <v>0</v>
      </c>
      <c r="AI13" s="541" t="n">
        <v>0</v>
      </c>
      <c r="AJ13" s="314">
        <f>AI13-D13</f>
        <v/>
      </c>
    </row>
    <row r="14">
      <c r="A14" s="541" t="n">
        <v>5</v>
      </c>
      <c r="B14" s="541" t="inlineStr">
        <is>
          <t>3F</t>
        </is>
      </c>
      <c r="C14" s="322" t="inlineStr">
        <is>
          <t>SL No 540430038849 (EB Unit)</t>
        </is>
      </c>
      <c r="D14" s="244" t="n">
        <v>137256</v>
      </c>
      <c r="E14" s="335" t="n">
        <v>137480</v>
      </c>
      <c r="F14" s="315" t="n">
        <v>137712</v>
      </c>
      <c r="G14" s="315" t="n">
        <v>137954</v>
      </c>
      <c r="H14" s="315" t="n">
        <v>138089</v>
      </c>
      <c r="I14" s="315" t="n">
        <v>138304</v>
      </c>
      <c r="J14" s="541" t="n">
        <v>138541</v>
      </c>
      <c r="K14" s="541" t="n">
        <v>138700</v>
      </c>
      <c r="L14" s="541" t="n">
        <v>138851</v>
      </c>
      <c r="M14" s="541" t="n">
        <v>139091</v>
      </c>
      <c r="N14" s="541" t="n">
        <v>139332</v>
      </c>
      <c r="O14" s="541" t="n">
        <v>139575</v>
      </c>
      <c r="P14" s="541" t="n">
        <v>139837</v>
      </c>
      <c r="Q14" s="541" t="n">
        <v>140077</v>
      </c>
      <c r="R14" s="541" t="n">
        <v>140236</v>
      </c>
      <c r="S14" s="541" t="n">
        <v>140361</v>
      </c>
      <c r="T14" s="541" t="n">
        <v>140614</v>
      </c>
      <c r="U14" s="328" t="n">
        <v>140870</v>
      </c>
      <c r="V14" s="541" t="n">
        <v>141125</v>
      </c>
      <c r="W14" s="541" t="n">
        <v>141367</v>
      </c>
      <c r="X14" s="541" t="n">
        <v>141598</v>
      </c>
      <c r="Y14" s="541" t="n">
        <v>141748</v>
      </c>
      <c r="Z14" s="541" t="n">
        <v>141874</v>
      </c>
      <c r="AA14" s="309" t="n">
        <v>142093</v>
      </c>
      <c r="AB14" s="328" t="n">
        <v>142356</v>
      </c>
      <c r="AC14" s="328" t="n">
        <v>142581</v>
      </c>
      <c r="AD14" s="328" t="n">
        <v>142803</v>
      </c>
      <c r="AE14" s="551" t="n">
        <v>143027</v>
      </c>
      <c r="AF14" s="551" t="n">
        <v>143205</v>
      </c>
      <c r="AG14" s="390" t="n">
        <v>143332</v>
      </c>
      <c r="AH14" s="310" t="n">
        <v>143591</v>
      </c>
      <c r="AI14" s="310" t="n">
        <v>143732</v>
      </c>
      <c r="AJ14" s="314">
        <f>AI14-D14</f>
        <v/>
      </c>
    </row>
    <row r="15">
      <c r="A15" s="541" t="n"/>
      <c r="B15" s="541" t="n"/>
      <c r="C15" s="325" t="inlineStr">
        <is>
          <t>DG</t>
        </is>
      </c>
      <c r="D15" s="244" t="n">
        <v>3280</v>
      </c>
      <c r="E15" s="330" t="n">
        <v>3280</v>
      </c>
      <c r="F15" s="330" t="n">
        <v>3280</v>
      </c>
      <c r="G15" s="330" t="n">
        <v>3280</v>
      </c>
      <c r="H15" s="330" t="n">
        <v>3280</v>
      </c>
      <c r="I15" s="330" t="n">
        <v>3280</v>
      </c>
      <c r="J15" s="330" t="n">
        <v>3280</v>
      </c>
      <c r="K15" s="330" t="n">
        <v>3280</v>
      </c>
      <c r="L15" s="330" t="n">
        <v>3280</v>
      </c>
      <c r="M15" s="330" t="n">
        <v>3280</v>
      </c>
      <c r="N15" s="330" t="n">
        <v>3280</v>
      </c>
      <c r="O15" s="330" t="n">
        <v>3280</v>
      </c>
      <c r="P15" s="331" t="n">
        <v>3280</v>
      </c>
      <c r="Q15" s="331" t="n">
        <v>3280</v>
      </c>
      <c r="R15" s="331" t="n">
        <v>3280</v>
      </c>
      <c r="S15" s="331" t="n">
        <v>3316</v>
      </c>
      <c r="T15" s="331" t="n">
        <v>3316</v>
      </c>
      <c r="U15" s="331" t="n">
        <v>3316</v>
      </c>
      <c r="V15" s="331" t="n">
        <v>3316</v>
      </c>
      <c r="W15" s="331" t="n">
        <v>3316</v>
      </c>
      <c r="X15" s="331" t="n">
        <v>3316</v>
      </c>
      <c r="Y15" s="331" t="n">
        <v>3316</v>
      </c>
      <c r="Z15" s="331" t="n">
        <v>3316</v>
      </c>
      <c r="AA15" s="331" t="n">
        <v>3316</v>
      </c>
      <c r="AB15" s="331" t="n">
        <v>3316</v>
      </c>
      <c r="AC15" s="331" t="n">
        <v>3316</v>
      </c>
      <c r="AD15" s="331" t="n">
        <v>3316</v>
      </c>
      <c r="AE15" s="331" t="n">
        <v>3316</v>
      </c>
      <c r="AF15" s="331" t="n">
        <v>3316</v>
      </c>
      <c r="AG15" s="331" t="n">
        <v>3316</v>
      </c>
      <c r="AH15" s="331" t="n">
        <v>3316</v>
      </c>
      <c r="AI15" s="331" t="n">
        <v>3316</v>
      </c>
      <c r="AJ15" s="314">
        <f>AI15-D15</f>
        <v/>
      </c>
    </row>
    <row r="16">
      <c r="A16" s="541" t="n">
        <v>6</v>
      </c>
      <c r="B16" s="541" t="inlineStr">
        <is>
          <t>3F</t>
        </is>
      </c>
      <c r="C16" s="322" t="inlineStr">
        <is>
          <t>SL No 540430038646 (EB Unit)</t>
        </is>
      </c>
      <c r="D16" s="244" t="n">
        <v>153569</v>
      </c>
      <c r="E16" s="332" t="n">
        <v>153747</v>
      </c>
      <c r="F16" s="309" t="n">
        <v>154000</v>
      </c>
      <c r="G16" s="305" t="n">
        <v>154277</v>
      </c>
      <c r="H16" s="311" t="n">
        <v>154362</v>
      </c>
      <c r="I16" s="541" t="n">
        <v>154614</v>
      </c>
      <c r="J16" s="541" t="n">
        <v>154853</v>
      </c>
      <c r="K16" s="309" t="n">
        <v>154969</v>
      </c>
      <c r="L16" s="333" t="n">
        <v>155053</v>
      </c>
      <c r="M16" s="310" t="n">
        <v>155336</v>
      </c>
      <c r="N16" s="310" t="n">
        <v>155611</v>
      </c>
      <c r="O16" s="310" t="n">
        <v>155891</v>
      </c>
      <c r="P16" s="310" t="n">
        <v>156151</v>
      </c>
      <c r="Q16" s="334" t="n">
        <v>156430</v>
      </c>
      <c r="R16" s="310" t="n">
        <v>156509</v>
      </c>
      <c r="S16" s="311" t="n">
        <v>156577</v>
      </c>
      <c r="T16" s="541" t="n">
        <v>156858</v>
      </c>
      <c r="U16" s="541" t="n">
        <v>157116</v>
      </c>
      <c r="V16" s="541" t="n">
        <v>157389</v>
      </c>
      <c r="W16" s="541" t="n">
        <v>157634</v>
      </c>
      <c r="X16" s="541" t="n">
        <v>157859</v>
      </c>
      <c r="Y16" s="541" t="n">
        <v>158015</v>
      </c>
      <c r="Z16" s="541" t="n">
        <v>158114</v>
      </c>
      <c r="AA16" s="309" t="n">
        <v>158400</v>
      </c>
      <c r="AB16" s="305" t="n">
        <v>158704</v>
      </c>
      <c r="AC16" s="305" t="n">
        <v>158981</v>
      </c>
      <c r="AD16" s="305" t="n">
        <v>159258</v>
      </c>
      <c r="AE16" s="313" t="n">
        <v>159507</v>
      </c>
      <c r="AF16" s="313" t="n">
        <v>159719</v>
      </c>
      <c r="AG16" s="390" t="n">
        <v>159799</v>
      </c>
      <c r="AH16" s="310" t="n">
        <v>160082</v>
      </c>
      <c r="AI16" s="310" t="n">
        <v>160213</v>
      </c>
      <c r="AJ16" s="314">
        <f>AI16-D16</f>
        <v/>
      </c>
    </row>
    <row r="17">
      <c r="A17" s="541" t="n"/>
      <c r="B17" s="541" t="n"/>
      <c r="C17" s="325" t="inlineStr">
        <is>
          <t>DG</t>
        </is>
      </c>
      <c r="D17" s="244" t="n">
        <v>4265</v>
      </c>
      <c r="E17" s="335" t="n">
        <v>4265</v>
      </c>
      <c r="F17" s="335" t="n">
        <v>4265</v>
      </c>
      <c r="G17" s="335" t="n">
        <v>4265</v>
      </c>
      <c r="H17" s="335" t="n">
        <v>4265</v>
      </c>
      <c r="I17" s="335" t="n">
        <v>4265</v>
      </c>
      <c r="J17" s="335" t="n">
        <v>4265</v>
      </c>
      <c r="K17" s="335" t="n">
        <v>4265</v>
      </c>
      <c r="L17" s="335" t="n">
        <v>4265</v>
      </c>
      <c r="M17" s="335" t="n">
        <v>4265</v>
      </c>
      <c r="N17" s="335" t="n">
        <v>4265</v>
      </c>
      <c r="O17" s="335" t="n">
        <v>4265</v>
      </c>
      <c r="P17" s="335" t="n">
        <v>4265</v>
      </c>
      <c r="Q17" s="335" t="n">
        <v>4265</v>
      </c>
      <c r="R17" s="335" t="n">
        <v>4265</v>
      </c>
      <c r="S17" s="335" t="n">
        <v>4297</v>
      </c>
      <c r="T17" s="335" t="n">
        <v>4297</v>
      </c>
      <c r="U17" s="335" t="n">
        <v>4297</v>
      </c>
      <c r="V17" s="335" t="n">
        <v>4297</v>
      </c>
      <c r="W17" s="335" t="n">
        <v>4297</v>
      </c>
      <c r="X17" s="335" t="n">
        <v>4297</v>
      </c>
      <c r="Y17" s="335" t="n">
        <v>4297</v>
      </c>
      <c r="Z17" s="335" t="n">
        <v>4297</v>
      </c>
      <c r="AA17" s="335" t="n">
        <v>4297</v>
      </c>
      <c r="AB17" s="335" t="n">
        <v>4297</v>
      </c>
      <c r="AC17" s="335" t="n">
        <v>4297</v>
      </c>
      <c r="AD17" s="335" t="n">
        <v>4297</v>
      </c>
      <c r="AE17" s="335" t="n">
        <v>4297</v>
      </c>
      <c r="AF17" s="335" t="n">
        <v>4297</v>
      </c>
      <c r="AG17" s="335" t="n">
        <v>4297</v>
      </c>
      <c r="AH17" s="335" t="n">
        <v>4297</v>
      </c>
      <c r="AI17" s="335" t="n">
        <v>4297</v>
      </c>
      <c r="AJ17" s="314">
        <f>AI17-D17</f>
        <v/>
      </c>
    </row>
    <row r="18">
      <c r="A18" s="541" t="n">
        <v>7</v>
      </c>
      <c r="B18" s="541" t="inlineStr">
        <is>
          <t>3F</t>
        </is>
      </c>
      <c r="C18" s="322" t="inlineStr">
        <is>
          <t>SL No 540430038843 (EB Unit)</t>
        </is>
      </c>
      <c r="D18" s="244" t="n">
        <v>506717</v>
      </c>
      <c r="E18" s="311" t="n">
        <v>507458</v>
      </c>
      <c r="F18" s="541" t="n">
        <v>508242</v>
      </c>
      <c r="G18" s="541" t="n">
        <v>509082</v>
      </c>
      <c r="H18" s="541" t="n">
        <v>509409</v>
      </c>
      <c r="I18" s="541" t="n">
        <v>510133</v>
      </c>
      <c r="J18" s="541" t="n">
        <v>510895</v>
      </c>
      <c r="K18" s="541" t="n">
        <v>511414</v>
      </c>
      <c r="L18" s="541" t="n">
        <v>511903</v>
      </c>
      <c r="M18" s="541" t="n">
        <v>512676</v>
      </c>
      <c r="N18" s="336" t="n">
        <v>513427</v>
      </c>
      <c r="O18" s="541" t="n">
        <v>514269</v>
      </c>
      <c r="P18" s="541" t="n">
        <v>515084</v>
      </c>
      <c r="Q18" s="541" t="n">
        <v>515884</v>
      </c>
      <c r="R18" s="315" t="n">
        <v>516418</v>
      </c>
      <c r="S18" s="336" t="n">
        <v>516789</v>
      </c>
      <c r="T18" s="541" t="n">
        <v>517601</v>
      </c>
      <c r="U18" s="541" t="n">
        <v>518383</v>
      </c>
      <c r="V18" s="541" t="n">
        <v>519214</v>
      </c>
      <c r="W18" s="541" t="n">
        <v>520019</v>
      </c>
      <c r="X18" s="328" t="n">
        <v>520787</v>
      </c>
      <c r="Y18" s="541" t="n">
        <v>521456</v>
      </c>
      <c r="Z18" s="541" t="n">
        <v>521929</v>
      </c>
      <c r="AA18" s="309" t="n">
        <v>522725</v>
      </c>
      <c r="AB18" s="305" t="n">
        <v>523573</v>
      </c>
      <c r="AC18" s="337" t="n">
        <v>524369</v>
      </c>
      <c r="AD18" s="315" t="n">
        <v>525166</v>
      </c>
      <c r="AE18" s="318" t="n">
        <v>525974</v>
      </c>
      <c r="AF18" s="318" t="n">
        <v>526680</v>
      </c>
      <c r="AG18" s="390" t="n">
        <v>527141</v>
      </c>
      <c r="AH18" s="310" t="n">
        <v>527964</v>
      </c>
      <c r="AI18" s="310" t="n">
        <v>528403</v>
      </c>
      <c r="AJ18" s="314">
        <f>AI18-D18</f>
        <v/>
      </c>
    </row>
    <row r="19">
      <c r="A19" s="541" t="n"/>
      <c r="B19" s="541" t="n"/>
      <c r="C19" s="325" t="inlineStr">
        <is>
          <t>DG</t>
        </is>
      </c>
      <c r="D19" s="244" t="n">
        <v>11614</v>
      </c>
      <c r="E19" s="311" t="n">
        <v>11614</v>
      </c>
      <c r="F19" s="311" t="n">
        <v>11614</v>
      </c>
      <c r="G19" s="311" t="n">
        <v>11614</v>
      </c>
      <c r="H19" s="311" t="n">
        <v>11614</v>
      </c>
      <c r="I19" s="311" t="n">
        <v>11614</v>
      </c>
      <c r="J19" s="541" t="n">
        <v>11614</v>
      </c>
      <c r="K19" s="541" t="n">
        <v>11614</v>
      </c>
      <c r="L19" s="541" t="n">
        <v>11614</v>
      </c>
      <c r="M19" s="541" t="n">
        <v>11614</v>
      </c>
      <c r="N19" s="541" t="n">
        <v>11614</v>
      </c>
      <c r="O19" s="541" t="n">
        <v>11614</v>
      </c>
      <c r="P19" s="541" t="n">
        <v>11614</v>
      </c>
      <c r="Q19" s="541" t="n">
        <v>11614</v>
      </c>
      <c r="R19" s="541" t="n">
        <v>11614</v>
      </c>
      <c r="S19" s="541" t="n">
        <v>11747</v>
      </c>
      <c r="T19" s="541" t="n">
        <v>11747</v>
      </c>
      <c r="U19" s="541" t="n">
        <v>11747</v>
      </c>
      <c r="V19" s="541" t="n">
        <v>11747</v>
      </c>
      <c r="W19" s="541" t="n">
        <v>11747</v>
      </c>
      <c r="X19" s="541" t="n">
        <v>11747</v>
      </c>
      <c r="Y19" s="541" t="n">
        <v>11747</v>
      </c>
      <c r="Z19" s="541" t="n">
        <v>11747</v>
      </c>
      <c r="AA19" s="541" t="n">
        <v>11747</v>
      </c>
      <c r="AB19" s="541" t="n">
        <v>11747</v>
      </c>
      <c r="AC19" s="541" t="n">
        <v>11747</v>
      </c>
      <c r="AD19" s="541" t="n">
        <v>11747</v>
      </c>
      <c r="AE19" s="541" t="n">
        <v>11747</v>
      </c>
      <c r="AF19" s="541" t="n">
        <v>11747</v>
      </c>
      <c r="AG19" s="541" t="n">
        <v>11747</v>
      </c>
      <c r="AH19" s="541" t="n">
        <v>11747</v>
      </c>
      <c r="AI19" s="541" t="n">
        <v>11747</v>
      </c>
      <c r="AJ19" s="314">
        <f>AI19-D19</f>
        <v/>
      </c>
    </row>
    <row r="20">
      <c r="A20" s="541" t="n">
        <v>8</v>
      </c>
      <c r="B20" s="541" t="inlineStr">
        <is>
          <t>3F</t>
        </is>
      </c>
      <c r="C20" s="322" t="inlineStr">
        <is>
          <t>SL No 540430038848 (EB Unit)</t>
        </is>
      </c>
      <c r="D20" s="244" t="n">
        <v>97629</v>
      </c>
      <c r="E20" s="311" t="n">
        <v>97781</v>
      </c>
      <c r="F20" s="541" t="n">
        <v>97909</v>
      </c>
      <c r="G20" s="541" t="n">
        <v>98037</v>
      </c>
      <c r="H20" s="541" t="n">
        <v>98141</v>
      </c>
      <c r="I20" s="541" t="n">
        <v>98265</v>
      </c>
      <c r="J20" s="541" t="n">
        <v>98403</v>
      </c>
      <c r="K20" s="541" t="n">
        <v>98507</v>
      </c>
      <c r="L20" s="541" t="n">
        <v>98622</v>
      </c>
      <c r="M20" s="541" t="n">
        <v>98749</v>
      </c>
      <c r="N20" s="541" t="n">
        <v>98878</v>
      </c>
      <c r="O20" s="541" t="n">
        <v>98993</v>
      </c>
      <c r="P20" s="541" t="n">
        <v>99126</v>
      </c>
      <c r="Q20" s="541" t="n">
        <v>99243</v>
      </c>
      <c r="R20" s="541" t="n">
        <v>99363</v>
      </c>
      <c r="S20" s="541" t="n">
        <v>99452</v>
      </c>
      <c r="T20" s="541" t="n">
        <v>99569</v>
      </c>
      <c r="U20" s="541" t="n">
        <v>99690</v>
      </c>
      <c r="V20" s="541" t="n">
        <v>99806</v>
      </c>
      <c r="W20" s="541" t="n">
        <v>99924</v>
      </c>
      <c r="X20" s="541" t="n">
        <v>100022</v>
      </c>
      <c r="Y20" s="541" t="n">
        <v>100105</v>
      </c>
      <c r="Z20" s="541" t="n">
        <v>100208</v>
      </c>
      <c r="AA20" s="315" t="n">
        <v>100330</v>
      </c>
      <c r="AB20" s="315" t="n">
        <v>100450</v>
      </c>
      <c r="AC20" s="315" t="n">
        <v>100571</v>
      </c>
      <c r="AD20" s="315" t="n">
        <v>100683</v>
      </c>
      <c r="AE20" s="318" t="n">
        <v>100812</v>
      </c>
      <c r="AF20" s="318" t="n">
        <v>100939</v>
      </c>
      <c r="AG20" s="390" t="n">
        <v>101054</v>
      </c>
      <c r="AH20" s="310" t="n">
        <v>101200</v>
      </c>
      <c r="AI20" s="310" t="n">
        <v>101290</v>
      </c>
      <c r="AJ20" s="314">
        <f>AI20-D20</f>
        <v/>
      </c>
    </row>
    <row r="21">
      <c r="A21" s="541" t="n"/>
      <c r="B21" s="541" t="n"/>
      <c r="C21" s="325" t="inlineStr">
        <is>
          <t>DG</t>
        </is>
      </c>
      <c r="D21" s="244" t="n">
        <v>2214</v>
      </c>
      <c r="E21" s="311" t="n">
        <v>2214</v>
      </c>
      <c r="F21" s="311" t="n">
        <v>2214</v>
      </c>
      <c r="G21" s="311" t="n">
        <v>2214</v>
      </c>
      <c r="H21" s="311" t="n">
        <v>2214</v>
      </c>
      <c r="I21" s="311" t="n">
        <v>2214</v>
      </c>
      <c r="J21" s="541" t="n">
        <v>2214</v>
      </c>
      <c r="K21" s="541" t="n">
        <v>2214</v>
      </c>
      <c r="L21" s="541" t="n">
        <v>2214</v>
      </c>
      <c r="M21" s="541" t="n">
        <v>2214</v>
      </c>
      <c r="N21" s="541" t="n">
        <v>2214</v>
      </c>
      <c r="O21" s="541" t="n">
        <v>2214</v>
      </c>
      <c r="P21" s="541" t="n">
        <v>2214</v>
      </c>
      <c r="Q21" s="541" t="n">
        <v>2214</v>
      </c>
      <c r="R21" s="541" t="n">
        <v>2214</v>
      </c>
      <c r="S21" s="541" t="n">
        <v>2232</v>
      </c>
      <c r="T21" s="541" t="n">
        <v>2232</v>
      </c>
      <c r="U21" s="541" t="n">
        <v>2232</v>
      </c>
      <c r="V21" s="541" t="n">
        <v>2232</v>
      </c>
      <c r="W21" s="541" t="n">
        <v>2232</v>
      </c>
      <c r="X21" s="541" t="n">
        <v>2232</v>
      </c>
      <c r="Y21" s="541" t="n">
        <v>2232</v>
      </c>
      <c r="Z21" s="541" t="n">
        <v>2232</v>
      </c>
      <c r="AA21" s="541" t="n">
        <v>2232</v>
      </c>
      <c r="AB21" s="541" t="n">
        <v>2232</v>
      </c>
      <c r="AC21" s="541" t="n">
        <v>2232</v>
      </c>
      <c r="AD21" s="541" t="n">
        <v>2232</v>
      </c>
      <c r="AE21" s="541" t="n">
        <v>2232</v>
      </c>
      <c r="AF21" s="541" t="n">
        <v>2232</v>
      </c>
      <c r="AG21" s="541" t="n">
        <v>2232</v>
      </c>
      <c r="AH21" s="541" t="n">
        <v>2232</v>
      </c>
      <c r="AI21" s="541" t="n">
        <v>2232</v>
      </c>
      <c r="AJ21" s="314">
        <f>AI21-D21</f>
        <v/>
      </c>
    </row>
    <row r="22">
      <c r="A22" s="576" t="n"/>
      <c r="AI22" s="577" t="n"/>
    </row>
    <row r="23">
      <c r="A23" s="541" t="n">
        <v>1</v>
      </c>
      <c r="B23" s="541" t="inlineStr">
        <is>
          <t>3F</t>
        </is>
      </c>
      <c r="C23" s="322" t="inlineStr">
        <is>
          <t>AHU1</t>
        </is>
      </c>
      <c r="D23" s="244" t="n">
        <v>52703</v>
      </c>
      <c r="E23" s="311" t="n">
        <v>52761</v>
      </c>
      <c r="F23" s="541" t="n">
        <v>52890</v>
      </c>
      <c r="G23" s="541" t="n">
        <v>53045</v>
      </c>
      <c r="H23" s="541" t="n">
        <v>53045</v>
      </c>
      <c r="I23" s="541" t="n">
        <v>53214</v>
      </c>
      <c r="J23" s="541" t="n">
        <v>53359</v>
      </c>
      <c r="K23" s="541" t="n">
        <v>53462</v>
      </c>
      <c r="L23" s="541" t="n">
        <v>53463</v>
      </c>
      <c r="M23" s="541" t="n">
        <v>53592</v>
      </c>
      <c r="N23" s="541" t="n">
        <v>53754</v>
      </c>
      <c r="O23" s="541" t="n">
        <v>53922</v>
      </c>
      <c r="P23" s="541" t="n">
        <v>54058</v>
      </c>
      <c r="Q23" s="541" t="n">
        <v>54212</v>
      </c>
      <c r="R23" s="541" t="n">
        <v>54253</v>
      </c>
      <c r="S23" s="541" t="n">
        <v>54253</v>
      </c>
      <c r="T23" s="541" t="n">
        <v>54392</v>
      </c>
      <c r="U23" s="541" t="n">
        <v>54549</v>
      </c>
      <c r="V23" s="541" t="n">
        <v>54698</v>
      </c>
      <c r="W23" s="541" t="n">
        <v>54808</v>
      </c>
      <c r="X23" s="541" t="n">
        <v>54945</v>
      </c>
      <c r="Y23" s="541" t="n">
        <v>55050</v>
      </c>
      <c r="Z23" s="541" t="n">
        <v>55050</v>
      </c>
      <c r="AA23" s="541" t="n">
        <v>55198</v>
      </c>
      <c r="AB23" s="541" t="n">
        <v>55364</v>
      </c>
      <c r="AC23" s="541" t="n">
        <v>55501</v>
      </c>
      <c r="AD23" s="309" t="n">
        <v>55692</v>
      </c>
      <c r="AE23" s="305" t="n">
        <v>55784</v>
      </c>
      <c r="AF23" s="305" t="n">
        <v>55911</v>
      </c>
      <c r="AG23" s="305" t="n">
        <v>55911</v>
      </c>
      <c r="AH23" s="310" t="n">
        <v>56048</v>
      </c>
      <c r="AI23" s="310" t="n">
        <v>56137</v>
      </c>
      <c r="AJ23" s="384">
        <f>AI23-D23</f>
        <v/>
      </c>
    </row>
    <row r="24">
      <c r="A24" s="541" t="n"/>
      <c r="B24" s="541" t="n"/>
      <c r="C24" s="338" t="inlineStr">
        <is>
          <t>DG</t>
        </is>
      </c>
      <c r="D24" s="239" t="n">
        <v>1923</v>
      </c>
      <c r="E24" s="541" t="n">
        <v>1923</v>
      </c>
      <c r="F24" s="541" t="n">
        <v>1923</v>
      </c>
      <c r="G24" s="541" t="n">
        <v>1923</v>
      </c>
      <c r="H24" s="541" t="n">
        <v>1923</v>
      </c>
      <c r="I24" s="541" t="n">
        <v>1923</v>
      </c>
      <c r="J24" s="541" t="n">
        <v>1923</v>
      </c>
      <c r="K24" s="541" t="n">
        <v>1923</v>
      </c>
      <c r="L24" s="541" t="n">
        <v>1923</v>
      </c>
      <c r="M24" s="541" t="n">
        <v>1923</v>
      </c>
      <c r="N24" s="541" t="n">
        <v>1923</v>
      </c>
      <c r="O24" s="541" t="n">
        <v>1923</v>
      </c>
      <c r="P24" s="541" t="n">
        <v>1923</v>
      </c>
      <c r="Q24" s="541" t="n">
        <v>1923</v>
      </c>
      <c r="R24" s="541" t="n">
        <v>1923</v>
      </c>
      <c r="S24" s="541" t="n">
        <v>1923</v>
      </c>
      <c r="T24" s="541" t="n">
        <v>1923</v>
      </c>
      <c r="U24" s="541" t="n">
        <v>1923</v>
      </c>
      <c r="V24" s="541" t="n">
        <v>1923</v>
      </c>
      <c r="W24" s="541" t="n">
        <v>1923</v>
      </c>
      <c r="X24" s="328" t="n">
        <v>1923</v>
      </c>
      <c r="Y24" s="328" t="n">
        <v>1923</v>
      </c>
      <c r="Z24" s="328" t="n">
        <v>1923</v>
      </c>
      <c r="AA24" s="328" t="n">
        <v>1923</v>
      </c>
      <c r="AB24" s="328" t="n">
        <v>1923</v>
      </c>
      <c r="AC24" s="328" t="n">
        <v>1923</v>
      </c>
      <c r="AD24" s="551" t="n">
        <v>1923</v>
      </c>
      <c r="AE24" s="305" t="n">
        <v>1923</v>
      </c>
      <c r="AF24" s="305" t="n">
        <v>1923</v>
      </c>
      <c r="AG24" s="305" t="n">
        <v>1923</v>
      </c>
      <c r="AH24" s="305" t="n">
        <v>1923</v>
      </c>
      <c r="AI24" s="305" t="n">
        <v>1923</v>
      </c>
      <c r="AJ24" s="384">
        <f>AI24-D24</f>
        <v/>
      </c>
    </row>
    <row r="25">
      <c r="A25" s="541" t="n">
        <v>2</v>
      </c>
      <c r="B25" s="541" t="inlineStr">
        <is>
          <t>3F</t>
        </is>
      </c>
      <c r="C25" s="319" t="inlineStr">
        <is>
          <t>AHU2</t>
        </is>
      </c>
      <c r="D25" s="239" t="n">
        <v>55794</v>
      </c>
      <c r="E25" s="541" t="n">
        <v>55846</v>
      </c>
      <c r="F25" s="541" t="n">
        <v>55939</v>
      </c>
      <c r="G25" s="541" t="n">
        <v>56027</v>
      </c>
      <c r="H25" s="541" t="n">
        <v>56027</v>
      </c>
      <c r="I25" s="541" t="n">
        <v>56139</v>
      </c>
      <c r="J25" s="541" t="n">
        <v>56226</v>
      </c>
      <c r="K25" s="541" t="n">
        <v>56253</v>
      </c>
      <c r="L25" s="541" t="n">
        <v>56254</v>
      </c>
      <c r="M25" s="541" t="n">
        <v>56359</v>
      </c>
      <c r="N25" s="541" t="n">
        <v>56518</v>
      </c>
      <c r="O25" s="541" t="n">
        <v>56661</v>
      </c>
      <c r="P25" s="541" t="n">
        <v>56777</v>
      </c>
      <c r="Q25" s="541" t="n">
        <v>56930</v>
      </c>
      <c r="R25" s="541" t="n">
        <v>57013</v>
      </c>
      <c r="S25" s="541" t="n">
        <v>57013</v>
      </c>
      <c r="T25" s="541" t="n">
        <v>57164</v>
      </c>
      <c r="U25" s="541" t="n">
        <v>57297</v>
      </c>
      <c r="V25" s="541" t="n">
        <v>57451</v>
      </c>
      <c r="W25" s="541" t="n">
        <v>57584</v>
      </c>
      <c r="X25" s="541" t="n">
        <v>57695</v>
      </c>
      <c r="Y25" s="541" t="n">
        <v>57755</v>
      </c>
      <c r="Z25" s="541" t="n">
        <v>57755</v>
      </c>
      <c r="AA25" s="541" t="n">
        <v>57873</v>
      </c>
      <c r="AB25" s="541" t="n">
        <v>57988</v>
      </c>
      <c r="AC25" s="541" t="n">
        <v>58082</v>
      </c>
      <c r="AD25" s="309" t="n">
        <v>58186</v>
      </c>
      <c r="AE25" s="305" t="n">
        <v>58282</v>
      </c>
      <c r="AF25" s="305" t="n">
        <v>58356</v>
      </c>
      <c r="AG25" s="390" t="n">
        <v>58356</v>
      </c>
      <c r="AH25" s="310" t="n">
        <v>58453</v>
      </c>
      <c r="AI25" s="310" t="n">
        <v>58488</v>
      </c>
      <c r="AJ25" s="384">
        <f>AI25-D25</f>
        <v/>
      </c>
    </row>
    <row r="26">
      <c r="A26" s="541" t="n"/>
      <c r="B26" s="541" t="n"/>
      <c r="C26" s="338" t="inlineStr">
        <is>
          <t>DG</t>
        </is>
      </c>
      <c r="D26" s="241" t="n">
        <v>1911</v>
      </c>
      <c r="E26" s="541" t="n">
        <v>1911</v>
      </c>
      <c r="F26" s="541" t="n">
        <v>1911</v>
      </c>
      <c r="G26" s="541" t="n">
        <v>1911</v>
      </c>
      <c r="H26" s="541" t="n">
        <v>1911</v>
      </c>
      <c r="I26" s="541" t="n">
        <v>1911</v>
      </c>
      <c r="J26" s="541" t="n">
        <v>1911</v>
      </c>
      <c r="K26" s="541" t="n">
        <v>1911</v>
      </c>
      <c r="L26" s="541" t="n">
        <v>1911</v>
      </c>
      <c r="M26" s="541" t="n">
        <v>1911</v>
      </c>
      <c r="N26" s="541" t="n">
        <v>1911</v>
      </c>
      <c r="O26" s="541" t="n">
        <v>1911</v>
      </c>
      <c r="P26" s="541" t="n">
        <v>1911</v>
      </c>
      <c r="Q26" s="541" t="n">
        <v>1911</v>
      </c>
      <c r="R26" s="541" t="n">
        <v>1911</v>
      </c>
      <c r="S26" s="541" t="n">
        <v>1911</v>
      </c>
      <c r="T26" s="541" t="n">
        <v>1911</v>
      </c>
      <c r="U26" s="541" t="n">
        <v>1911</v>
      </c>
      <c r="V26" s="541" t="n">
        <v>1911</v>
      </c>
      <c r="W26" s="541" t="n">
        <v>1911</v>
      </c>
      <c r="X26" s="541" t="n">
        <v>1911</v>
      </c>
      <c r="Y26" s="541" t="n">
        <v>1911</v>
      </c>
      <c r="Z26" s="541" t="n">
        <v>1911</v>
      </c>
      <c r="AA26" s="541" t="n">
        <v>1911</v>
      </c>
      <c r="AB26" s="541" t="n">
        <v>1911</v>
      </c>
      <c r="AC26" s="541" t="n">
        <v>1911</v>
      </c>
      <c r="AD26" s="309" t="n">
        <v>1911</v>
      </c>
      <c r="AE26" s="309" t="n">
        <v>1911</v>
      </c>
      <c r="AF26" s="309" t="n">
        <v>1911</v>
      </c>
      <c r="AG26" s="309" t="n">
        <v>1911</v>
      </c>
      <c r="AH26" s="309" t="n">
        <v>1911</v>
      </c>
      <c r="AI26" s="309" t="n">
        <v>1911</v>
      </c>
      <c r="AJ26" s="384">
        <f>AI26-D26</f>
        <v/>
      </c>
    </row>
    <row r="27">
      <c r="A27" s="541" t="n">
        <v>3</v>
      </c>
      <c r="B27" s="541" t="inlineStr">
        <is>
          <t>3F</t>
        </is>
      </c>
      <c r="C27" s="319" t="inlineStr">
        <is>
          <t>AHU3</t>
        </is>
      </c>
      <c r="D27" s="241" t="n">
        <v>68469</v>
      </c>
      <c r="E27" s="541" t="n">
        <v>68545</v>
      </c>
      <c r="F27" s="541" t="n">
        <v>68643</v>
      </c>
      <c r="G27" s="541" t="n">
        <v>68740</v>
      </c>
      <c r="H27" s="541" t="n">
        <v>68740</v>
      </c>
      <c r="I27" s="541" t="n">
        <v>68835</v>
      </c>
      <c r="J27" s="541" t="n">
        <v>68924</v>
      </c>
      <c r="K27" s="541" t="n">
        <v>68972</v>
      </c>
      <c r="L27" s="541" t="n">
        <v>68972</v>
      </c>
      <c r="M27" s="541" t="n">
        <v>69059</v>
      </c>
      <c r="N27" s="541" t="n">
        <v>69173</v>
      </c>
      <c r="O27" s="541" t="n">
        <v>69290</v>
      </c>
      <c r="P27" s="541" t="n">
        <v>69366</v>
      </c>
      <c r="Q27" s="541" t="n">
        <v>69489</v>
      </c>
      <c r="R27" s="541" t="n">
        <v>69500</v>
      </c>
      <c r="S27" s="541" t="n">
        <v>69500</v>
      </c>
      <c r="T27" s="541" t="n">
        <v>69628</v>
      </c>
      <c r="U27" s="541" t="n">
        <v>69738</v>
      </c>
      <c r="V27" s="541" t="n">
        <v>69847</v>
      </c>
      <c r="W27" s="541" t="n">
        <v>69972</v>
      </c>
      <c r="X27" s="541" t="n">
        <v>70083</v>
      </c>
      <c r="Y27" s="541" t="n">
        <v>70196</v>
      </c>
      <c r="Z27" s="541" t="n">
        <v>70196</v>
      </c>
      <c r="AA27" s="541" t="n">
        <v>70321</v>
      </c>
      <c r="AB27" s="541" t="n">
        <v>70421</v>
      </c>
      <c r="AC27" s="541" t="n">
        <v>70525</v>
      </c>
      <c r="AD27" s="309" t="n">
        <v>70617</v>
      </c>
      <c r="AE27" s="305" t="n">
        <v>70725</v>
      </c>
      <c r="AF27" s="324" t="n">
        <v>70725</v>
      </c>
      <c r="AG27" s="390" t="n">
        <v>70858</v>
      </c>
      <c r="AH27" s="310" t="n">
        <v>70992</v>
      </c>
      <c r="AI27" s="310" t="n">
        <v>71032</v>
      </c>
      <c r="AJ27" s="384">
        <f>AI27-D27</f>
        <v/>
      </c>
    </row>
    <row r="28">
      <c r="A28" s="541" t="n"/>
      <c r="B28" s="541" t="n"/>
      <c r="C28" s="338" t="inlineStr">
        <is>
          <t>DG</t>
        </is>
      </c>
      <c r="D28" s="241" t="n">
        <v>2068</v>
      </c>
      <c r="E28" s="541" t="n">
        <v>2068</v>
      </c>
      <c r="F28" s="541" t="n">
        <v>2068</v>
      </c>
      <c r="G28" s="541" t="n">
        <v>2068</v>
      </c>
      <c r="H28" s="541" t="n">
        <v>2068</v>
      </c>
      <c r="I28" s="541" t="n">
        <v>2068</v>
      </c>
      <c r="J28" s="541" t="n">
        <v>2068</v>
      </c>
      <c r="K28" s="541" t="n">
        <v>2068</v>
      </c>
      <c r="L28" s="541" t="n">
        <v>2068</v>
      </c>
      <c r="M28" s="541" t="n">
        <v>2068</v>
      </c>
      <c r="N28" s="541" t="n">
        <v>2068</v>
      </c>
      <c r="O28" s="541" t="n">
        <v>2068</v>
      </c>
      <c r="P28" s="541" t="n">
        <v>2068</v>
      </c>
      <c r="Q28" s="541" t="n">
        <v>2068</v>
      </c>
      <c r="R28" s="541" t="n">
        <v>2068</v>
      </c>
      <c r="S28" s="541" t="n">
        <v>2068</v>
      </c>
      <c r="T28" s="541" t="n">
        <v>2068</v>
      </c>
      <c r="U28" s="541" t="n">
        <v>2068</v>
      </c>
      <c r="V28" s="541" t="n">
        <v>2068</v>
      </c>
      <c r="W28" s="541" t="n">
        <v>2068</v>
      </c>
      <c r="X28" s="541" t="n">
        <v>2068</v>
      </c>
      <c r="Y28" s="541" t="n">
        <v>2068</v>
      </c>
      <c r="Z28" s="541" t="n">
        <v>2068</v>
      </c>
      <c r="AA28" s="541" t="n">
        <v>2068</v>
      </c>
      <c r="AB28" s="541" t="n">
        <v>2068</v>
      </c>
      <c r="AC28" s="541" t="n">
        <v>2068</v>
      </c>
      <c r="AD28" s="541" t="n">
        <v>2068</v>
      </c>
      <c r="AE28" s="541" t="n">
        <v>2068</v>
      </c>
      <c r="AF28" s="541" t="n">
        <v>2068</v>
      </c>
      <c r="AG28" s="541" t="n">
        <v>2068</v>
      </c>
      <c r="AH28" s="541" t="n">
        <v>2068</v>
      </c>
      <c r="AI28" s="541" t="n">
        <v>2068</v>
      </c>
      <c r="AJ28" s="384">
        <f>AI28-D28</f>
        <v/>
      </c>
    </row>
    <row r="29">
      <c r="A29" s="541" t="n">
        <v>4</v>
      </c>
      <c r="B29" s="541" t="inlineStr">
        <is>
          <t>3F</t>
        </is>
      </c>
      <c r="C29" s="319" t="inlineStr">
        <is>
          <t>AHU4</t>
        </is>
      </c>
      <c r="D29" s="239" t="n">
        <v>45373</v>
      </c>
      <c r="E29" s="541" t="n">
        <v>45407</v>
      </c>
      <c r="F29" s="541" t="n">
        <v>45525</v>
      </c>
      <c r="G29" s="541" t="n">
        <v>45646</v>
      </c>
      <c r="H29" s="541" t="n">
        <v>45646</v>
      </c>
      <c r="I29" s="541" t="n">
        <v>45764</v>
      </c>
      <c r="J29" s="541" t="n">
        <v>45888</v>
      </c>
      <c r="K29" s="541" t="n">
        <v>45892</v>
      </c>
      <c r="L29" s="541" t="n">
        <v>45892</v>
      </c>
      <c r="M29" s="541" t="n">
        <v>46014</v>
      </c>
      <c r="N29" s="541" t="n">
        <v>46133</v>
      </c>
      <c r="O29" s="541" t="n">
        <v>46271</v>
      </c>
      <c r="P29" s="541" t="n">
        <v>46335</v>
      </c>
      <c r="Q29" s="541" t="n">
        <v>46413</v>
      </c>
      <c r="R29" s="541" t="n">
        <v>46421</v>
      </c>
      <c r="S29" s="541" t="n">
        <v>46421</v>
      </c>
      <c r="T29" s="541" t="n">
        <v>46631</v>
      </c>
      <c r="U29" s="541" t="n">
        <v>46791</v>
      </c>
      <c r="V29" s="541" t="n">
        <v>46919</v>
      </c>
      <c r="W29" s="541" t="n">
        <v>47007</v>
      </c>
      <c r="X29" s="541" t="n">
        <v>47082</v>
      </c>
      <c r="Y29" s="541" t="n">
        <v>47131</v>
      </c>
      <c r="Z29" s="541" t="n">
        <v>47131</v>
      </c>
      <c r="AA29" s="541" t="n">
        <v>47186</v>
      </c>
      <c r="AB29" s="541" t="n">
        <v>47256</v>
      </c>
      <c r="AC29" s="541" t="n">
        <v>47325</v>
      </c>
      <c r="AD29" s="541" t="n">
        <v>47387</v>
      </c>
      <c r="AE29" s="318" t="n">
        <v>47511</v>
      </c>
      <c r="AF29" s="318" t="n">
        <v>47588</v>
      </c>
      <c r="AG29" s="318" t="n">
        <v>47588</v>
      </c>
      <c r="AH29" s="310" t="n">
        <v>47720</v>
      </c>
      <c r="AI29" s="310" t="n">
        <v>47765</v>
      </c>
      <c r="AJ29" s="384">
        <f>AI29-D29</f>
        <v/>
      </c>
    </row>
    <row r="30">
      <c r="A30" s="541" t="n"/>
      <c r="B30" s="541" t="n"/>
      <c r="C30" s="338" t="inlineStr">
        <is>
          <t>DG</t>
        </is>
      </c>
      <c r="D30" s="241" t="n">
        <v>1788</v>
      </c>
      <c r="E30" s="541" t="n">
        <v>1788</v>
      </c>
      <c r="F30" s="541" t="n">
        <v>1788</v>
      </c>
      <c r="G30" s="541" t="n">
        <v>1788</v>
      </c>
      <c r="H30" s="541" t="n">
        <v>1788</v>
      </c>
      <c r="I30" s="541" t="n">
        <v>1788</v>
      </c>
      <c r="J30" s="541" t="n">
        <v>1788</v>
      </c>
      <c r="K30" s="541" t="n">
        <v>1788</v>
      </c>
      <c r="L30" s="541" t="n">
        <v>1788</v>
      </c>
      <c r="M30" s="541" t="n">
        <v>1788</v>
      </c>
      <c r="N30" s="541" t="n">
        <v>1788</v>
      </c>
      <c r="O30" s="541" t="n">
        <v>1788</v>
      </c>
      <c r="P30" s="541" t="n">
        <v>1788</v>
      </c>
      <c r="Q30" s="541" t="n">
        <v>1788</v>
      </c>
      <c r="R30" s="541" t="n">
        <v>1788</v>
      </c>
      <c r="S30" s="541" t="n">
        <v>1788</v>
      </c>
      <c r="T30" s="541" t="n">
        <v>1788</v>
      </c>
      <c r="U30" s="541" t="n">
        <v>1788</v>
      </c>
      <c r="V30" s="541" t="n">
        <v>1788</v>
      </c>
      <c r="W30" s="541" t="n">
        <v>1788</v>
      </c>
      <c r="X30" s="541" t="n">
        <v>1788</v>
      </c>
      <c r="Y30" s="541" t="n">
        <v>1788</v>
      </c>
      <c r="Z30" s="541" t="n">
        <v>1788</v>
      </c>
      <c r="AA30" s="541" t="n">
        <v>1788</v>
      </c>
      <c r="AB30" s="541" t="n">
        <v>1788</v>
      </c>
      <c r="AC30" s="541" t="n">
        <v>1788</v>
      </c>
      <c r="AD30" s="541" t="n">
        <v>1788</v>
      </c>
      <c r="AE30" s="541" t="n">
        <v>1788</v>
      </c>
      <c r="AF30" s="541" t="n">
        <v>1788</v>
      </c>
      <c r="AG30" s="541" t="n">
        <v>1788</v>
      </c>
      <c r="AH30" s="541" t="n">
        <v>1788</v>
      </c>
      <c r="AI30" s="541" t="n">
        <v>1788</v>
      </c>
      <c r="AJ30" s="384">
        <f>AI30-D30</f>
        <v/>
      </c>
    </row>
    <row r="31">
      <c r="A31" s="576" t="n"/>
      <c r="AI31" s="577" t="n"/>
    </row>
    <row r="32">
      <c r="A32" s="541" t="n">
        <v>1</v>
      </c>
      <c r="B32" s="541" t="inlineStr">
        <is>
          <t>3F</t>
        </is>
      </c>
      <c r="C32" s="319" t="inlineStr">
        <is>
          <t>AHU1 - BTU</t>
        </is>
      </c>
      <c r="D32" s="256" t="n">
        <v>403490</v>
      </c>
      <c r="E32" s="382" t="n">
        <v>403619</v>
      </c>
      <c r="F32" s="383" t="n">
        <v>404104</v>
      </c>
      <c r="G32" s="383" t="n">
        <v>404520</v>
      </c>
      <c r="H32" s="383" t="n">
        <v>404590</v>
      </c>
      <c r="I32" s="382" t="n">
        <v>405024</v>
      </c>
      <c r="J32" s="383" t="n">
        <v>405570</v>
      </c>
      <c r="K32" s="383" t="n">
        <v>405845</v>
      </c>
      <c r="L32" s="383" t="n">
        <v>405845</v>
      </c>
      <c r="M32" s="382" t="n">
        <v>406401</v>
      </c>
      <c r="N32" s="383" t="n">
        <v>407025</v>
      </c>
      <c r="O32" s="383" t="n">
        <v>407461</v>
      </c>
      <c r="P32" s="383" t="n">
        <v>407962</v>
      </c>
      <c r="Q32" s="382" t="n">
        <v>408360</v>
      </c>
      <c r="R32" s="383" t="n">
        <v>408447</v>
      </c>
      <c r="S32" s="383" t="n">
        <v>408450</v>
      </c>
      <c r="T32" s="383" t="n">
        <v>408955</v>
      </c>
      <c r="U32" s="382" t="n">
        <v>409501</v>
      </c>
      <c r="V32" s="383" t="n">
        <v>410003</v>
      </c>
      <c r="W32" s="383" t="n">
        <v>410383</v>
      </c>
      <c r="X32" s="383" t="n">
        <v>410671</v>
      </c>
      <c r="Y32" s="382" t="n">
        <v>410849</v>
      </c>
      <c r="Z32" s="383" t="n">
        <v>410872</v>
      </c>
      <c r="AA32" s="383" t="n">
        <v>411414</v>
      </c>
      <c r="AB32" s="383" t="n">
        <v>411981</v>
      </c>
      <c r="AC32" s="383" t="n">
        <v>412482</v>
      </c>
      <c r="AD32" s="382" t="n">
        <v>412893</v>
      </c>
      <c r="AE32" s="383" t="n">
        <v>413316</v>
      </c>
      <c r="AF32" s="383" t="n">
        <v>413743</v>
      </c>
      <c r="AG32" s="383" t="n">
        <v>413743</v>
      </c>
      <c r="AH32" s="310" t="n">
        <v>414220</v>
      </c>
      <c r="AI32" s="310" t="n">
        <v>414628</v>
      </c>
      <c r="AJ32" s="314">
        <f>AI32-D32</f>
        <v/>
      </c>
    </row>
    <row r="33">
      <c r="A33" s="541" t="n">
        <v>2</v>
      </c>
      <c r="B33" s="541" t="inlineStr">
        <is>
          <t>3F</t>
        </is>
      </c>
      <c r="C33" s="319" t="inlineStr">
        <is>
          <t>AHU2 - BTU</t>
        </is>
      </c>
      <c r="D33" s="256" t="n">
        <v>378984</v>
      </c>
      <c r="E33" s="383" t="n">
        <v>379118</v>
      </c>
      <c r="F33" s="383" t="n">
        <v>379560</v>
      </c>
      <c r="G33" s="383" t="n">
        <v>380025</v>
      </c>
      <c r="H33" s="383" t="n">
        <v>380038</v>
      </c>
      <c r="I33" s="383" t="n">
        <v>380494</v>
      </c>
      <c r="J33" s="383" t="n">
        <v>381098</v>
      </c>
      <c r="K33" s="383" t="n">
        <v>381285</v>
      </c>
      <c r="L33" s="383" t="n">
        <v>381285</v>
      </c>
      <c r="M33" s="383" t="n">
        <v>381828</v>
      </c>
      <c r="N33" s="383" t="n">
        <v>382421</v>
      </c>
      <c r="O33" s="383" t="n">
        <v>382954</v>
      </c>
      <c r="P33" s="383" t="n">
        <v>383361</v>
      </c>
      <c r="Q33" s="383" t="n">
        <v>383832</v>
      </c>
      <c r="R33" s="383" t="n">
        <v>384060</v>
      </c>
      <c r="S33" s="383" t="n">
        <v>384063</v>
      </c>
      <c r="T33" s="383" t="n">
        <v>384586</v>
      </c>
      <c r="U33" s="383" t="n">
        <v>385108</v>
      </c>
      <c r="V33" s="383" t="n">
        <v>385593</v>
      </c>
      <c r="W33" s="383" t="n">
        <v>386018</v>
      </c>
      <c r="X33" s="383" t="n">
        <v>386410</v>
      </c>
      <c r="Y33" s="383" t="n">
        <v>386559</v>
      </c>
      <c r="Z33" s="383" t="n">
        <v>386586</v>
      </c>
      <c r="AA33" s="383" t="n">
        <v>387120</v>
      </c>
      <c r="AB33" s="383" t="n">
        <v>387565</v>
      </c>
      <c r="AC33" s="383" t="n">
        <v>388032</v>
      </c>
      <c r="AD33" s="383" t="n">
        <v>388499</v>
      </c>
      <c r="AE33" s="383" t="n">
        <v>388838</v>
      </c>
      <c r="AF33" s="383" t="n">
        <v>389277</v>
      </c>
      <c r="AG33" s="383" t="n">
        <v>389277</v>
      </c>
      <c r="AH33" s="310" t="n">
        <v>389838</v>
      </c>
      <c r="AI33" s="310" t="n">
        <v>390121</v>
      </c>
      <c r="AJ33" s="314">
        <f>AI33-D33</f>
        <v/>
      </c>
    </row>
    <row r="34">
      <c r="A34" s="541" t="n">
        <v>3</v>
      </c>
      <c r="B34" s="541" t="inlineStr">
        <is>
          <t>3F</t>
        </is>
      </c>
      <c r="C34" s="319" t="inlineStr">
        <is>
          <t>AHU3 - BTU</t>
        </is>
      </c>
      <c r="D34" s="256" t="n">
        <v>406367</v>
      </c>
      <c r="E34" s="383" t="n">
        <v>406550</v>
      </c>
      <c r="F34" s="383" t="n">
        <v>406995</v>
      </c>
      <c r="G34" s="383" t="n">
        <v>407436</v>
      </c>
      <c r="H34" s="383" t="n">
        <v>407436</v>
      </c>
      <c r="I34" s="383" t="n">
        <v>407791</v>
      </c>
      <c r="J34" s="383" t="n">
        <v>408167</v>
      </c>
      <c r="K34" s="383" t="n">
        <v>408388</v>
      </c>
      <c r="L34" s="383" t="n">
        <v>408388</v>
      </c>
      <c r="M34" s="383" t="n">
        <v>408920</v>
      </c>
      <c r="N34" s="383" t="n">
        <v>409426</v>
      </c>
      <c r="O34" s="383" t="n">
        <v>409967</v>
      </c>
      <c r="P34" s="383" t="n">
        <v>410456</v>
      </c>
      <c r="Q34" s="383" t="n">
        <v>410758</v>
      </c>
      <c r="R34" s="383" t="n">
        <v>410826</v>
      </c>
      <c r="S34" s="383" t="n">
        <v>410826</v>
      </c>
      <c r="T34" s="383" t="n">
        <v>411482</v>
      </c>
      <c r="U34" s="383" t="n">
        <v>412020</v>
      </c>
      <c r="V34" s="383" t="n">
        <v>412519</v>
      </c>
      <c r="W34" s="383" t="n">
        <v>412856</v>
      </c>
      <c r="X34" s="383" t="n">
        <v>413163</v>
      </c>
      <c r="Y34" s="383" t="n">
        <v>413479</v>
      </c>
      <c r="Z34" s="383" t="n">
        <v>413512</v>
      </c>
      <c r="AA34" s="383" t="n">
        <v>414009</v>
      </c>
      <c r="AB34" s="383" t="n">
        <v>414581</v>
      </c>
      <c r="AC34" s="383" t="n">
        <v>415186</v>
      </c>
      <c r="AD34" s="383" t="n">
        <v>415650</v>
      </c>
      <c r="AE34" s="383" t="n">
        <v>416100</v>
      </c>
      <c r="AF34" s="383" t="n">
        <v>416549</v>
      </c>
      <c r="AG34" s="383" t="n">
        <v>416549</v>
      </c>
      <c r="AH34" s="310" t="n">
        <v>417186</v>
      </c>
      <c r="AI34" s="310" t="n">
        <v>417583</v>
      </c>
      <c r="AJ34" s="314">
        <f>AI34-D34</f>
        <v/>
      </c>
    </row>
    <row r="35">
      <c r="A35" s="541" t="n">
        <v>4</v>
      </c>
      <c r="B35" s="541" t="inlineStr">
        <is>
          <t>3F</t>
        </is>
      </c>
      <c r="C35" s="319" t="inlineStr">
        <is>
          <t>AHU4 - BTU</t>
        </is>
      </c>
      <c r="D35" s="256" t="n">
        <v>440357</v>
      </c>
      <c r="E35" s="379" t="n">
        <v>440473</v>
      </c>
      <c r="F35" s="379" t="n">
        <v>440859</v>
      </c>
      <c r="G35" s="379" t="n">
        <v>441312</v>
      </c>
      <c r="H35" s="379" t="n">
        <v>441351</v>
      </c>
      <c r="I35" s="379" t="n">
        <v>441904</v>
      </c>
      <c r="J35" s="379" t="n">
        <v>442255</v>
      </c>
      <c r="K35" s="379" t="n">
        <v>442283</v>
      </c>
      <c r="L35" s="379" t="n">
        <v>442283</v>
      </c>
      <c r="M35" s="379" t="n">
        <v>443094</v>
      </c>
      <c r="N35" s="379" t="n">
        <v>444074</v>
      </c>
      <c r="O35" s="379" t="n">
        <v>444925</v>
      </c>
      <c r="P35" s="380" t="n">
        <v>445602</v>
      </c>
      <c r="Q35" s="379" t="n">
        <v>446161</v>
      </c>
      <c r="R35" s="379" t="n">
        <v>446322</v>
      </c>
      <c r="S35" s="379" t="n">
        <v>446358</v>
      </c>
      <c r="T35" s="379" t="n">
        <v>447161</v>
      </c>
      <c r="U35" s="379" t="n">
        <v>448035</v>
      </c>
      <c r="V35" s="379" t="n">
        <v>448774</v>
      </c>
      <c r="W35" s="379" t="n">
        <v>449455</v>
      </c>
      <c r="X35" s="379" t="n">
        <v>449977</v>
      </c>
      <c r="Y35" s="379" t="n">
        <v>450348</v>
      </c>
      <c r="Z35" s="379" t="n">
        <v>450404</v>
      </c>
      <c r="AA35" s="379" t="n">
        <v>451069</v>
      </c>
      <c r="AB35" s="379" t="n">
        <v>451781</v>
      </c>
      <c r="AC35" s="379" t="n">
        <v>452512</v>
      </c>
      <c r="AD35" s="379" t="n">
        <v>453248</v>
      </c>
      <c r="AE35" s="381" t="n">
        <v>453960</v>
      </c>
      <c r="AF35" s="381" t="n">
        <v>454602</v>
      </c>
      <c r="AG35" s="381" t="n">
        <v>454602</v>
      </c>
      <c r="AH35" s="392" t="n">
        <v>455540</v>
      </c>
      <c r="AI35" s="392" t="n">
        <v>456076</v>
      </c>
      <c r="AJ35" s="314">
        <f>AI35-D35</f>
        <v/>
      </c>
    </row>
    <row r="36">
      <c r="A36" s="559" t="n"/>
    </row>
    <row r="37"/>
    <row r="38">
      <c r="A38" s="350" t="n"/>
      <c r="B38" s="555" t="inlineStr">
        <is>
          <t xml:space="preserve"> Daily Energy Report</t>
        </is>
      </c>
      <c r="C38" s="520" t="n"/>
      <c r="D38" s="501" t="n"/>
      <c r="E38" s="350" t="n"/>
      <c r="F38" s="350" t="n"/>
      <c r="G38" s="350" t="n"/>
      <c r="H38" s="350" t="n"/>
      <c r="I38" s="350" t="n"/>
      <c r="J38" s="350" t="n"/>
      <c r="K38" s="350" t="n"/>
      <c r="L38" s="350" t="n"/>
      <c r="M38" s="350" t="n"/>
      <c r="N38" s="350" t="n"/>
      <c r="O38" s="350" t="n"/>
      <c r="P38" s="350" t="n"/>
      <c r="Q38" s="350" t="n"/>
      <c r="R38" s="350" t="n"/>
      <c r="S38" s="350" t="n"/>
      <c r="T38" s="350" t="n"/>
      <c r="U38" s="350" t="n"/>
      <c r="V38" s="350" t="n"/>
      <c r="W38" s="350" t="n"/>
      <c r="X38" s="350" t="n"/>
      <c r="Y38" s="350" t="n"/>
      <c r="Z38" s="350" t="n"/>
      <c r="AA38" s="350" t="n"/>
      <c r="AB38" s="350" t="n"/>
      <c r="AC38" s="350" t="n"/>
      <c r="AD38" s="350" t="n"/>
      <c r="AE38" s="350" t="n"/>
      <c r="AF38" s="350" t="n"/>
      <c r="AG38" s="350" t="n"/>
      <c r="AH38" s="350" t="n"/>
      <c r="AI38" s="350" t="n"/>
    </row>
    <row r="39">
      <c r="A39" s="351" t="n"/>
      <c r="B39" s="560" t="inlineStr">
        <is>
          <t>Electricity Consumption</t>
        </is>
      </c>
      <c r="C39" s="520" t="n"/>
      <c r="D39" s="501" t="n"/>
      <c r="E39" s="351" t="n"/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  <c r="AI39" s="351" t="n"/>
    </row>
    <row r="40" ht="15" customHeight="1" s="488">
      <c r="A40" s="542" t="inlineStr">
        <is>
          <t>Sr.No</t>
        </is>
      </c>
      <c r="B40" s="542" t="inlineStr">
        <is>
          <t>Location</t>
        </is>
      </c>
      <c r="C40" s="542" t="inlineStr">
        <is>
          <t>Meter</t>
        </is>
      </c>
      <c r="D40" s="522" t="n"/>
      <c r="E40" s="301" t="n">
        <v>46082</v>
      </c>
      <c r="F40" s="301" t="n">
        <v>46083</v>
      </c>
      <c r="G40" s="301" t="n">
        <v>46084</v>
      </c>
      <c r="H40" s="301" t="n">
        <v>46085</v>
      </c>
      <c r="I40" s="301" t="n">
        <v>46086</v>
      </c>
      <c r="J40" s="301" t="n">
        <v>46087</v>
      </c>
      <c r="K40" s="301" t="n">
        <v>46088</v>
      </c>
      <c r="L40" s="301" t="n">
        <v>46089</v>
      </c>
      <c r="M40" s="301" t="n">
        <v>46090</v>
      </c>
      <c r="N40" s="301" t="n">
        <v>46091</v>
      </c>
      <c r="O40" s="301" t="n">
        <v>46092</v>
      </c>
      <c r="P40" s="301" t="n">
        <v>46093</v>
      </c>
      <c r="Q40" s="301" t="n">
        <v>46094</v>
      </c>
      <c r="R40" s="301" t="n">
        <v>46095</v>
      </c>
      <c r="S40" s="301" t="n">
        <v>46096</v>
      </c>
      <c r="T40" s="301" t="n">
        <v>46097</v>
      </c>
      <c r="U40" s="301" t="n">
        <v>46098</v>
      </c>
      <c r="V40" s="301" t="n">
        <v>46099</v>
      </c>
      <c r="W40" s="301" t="n">
        <v>46100</v>
      </c>
      <c r="X40" s="301" t="n">
        <v>46101</v>
      </c>
      <c r="Y40" s="301" t="n">
        <v>46102</v>
      </c>
      <c r="Z40" s="301" t="n">
        <v>46103</v>
      </c>
      <c r="AA40" s="301" t="n">
        <v>46104</v>
      </c>
      <c r="AB40" s="301" t="n">
        <v>46105</v>
      </c>
      <c r="AC40" s="301" t="n">
        <v>46106</v>
      </c>
      <c r="AD40" s="301" t="n">
        <v>46107</v>
      </c>
      <c r="AE40" s="301" t="n">
        <v>46108</v>
      </c>
      <c r="AF40" s="301" t="n">
        <v>46109</v>
      </c>
      <c r="AG40" s="301" t="n">
        <v>46110</v>
      </c>
      <c r="AH40" s="301" t="n">
        <v>46111</v>
      </c>
      <c r="AI40" s="301" t="n">
        <v>46112</v>
      </c>
      <c r="AJ40" s="542" t="inlineStr">
        <is>
          <t>Consumption</t>
        </is>
      </c>
    </row>
    <row r="41">
      <c r="A41" s="516" t="n"/>
      <c r="B41" s="516" t="n"/>
      <c r="C41" s="523" t="n"/>
      <c r="D41" s="524" t="n"/>
      <c r="E41" s="302" t="inlineStr">
        <is>
          <t>Sun</t>
        </is>
      </c>
      <c r="F41" s="302" t="inlineStr">
        <is>
          <t>Mon</t>
        </is>
      </c>
      <c r="G41" s="302" t="inlineStr">
        <is>
          <t>Tue</t>
        </is>
      </c>
      <c r="H41" s="302" t="inlineStr">
        <is>
          <t>Wed</t>
        </is>
      </c>
      <c r="I41" s="302" t="inlineStr">
        <is>
          <t>Thu</t>
        </is>
      </c>
      <c r="J41" s="302" t="inlineStr">
        <is>
          <t>Fri</t>
        </is>
      </c>
      <c r="K41" s="302" t="inlineStr">
        <is>
          <t>Sat</t>
        </is>
      </c>
      <c r="L41" s="302" t="inlineStr">
        <is>
          <t>Sun</t>
        </is>
      </c>
      <c r="M41" s="302" t="inlineStr">
        <is>
          <t>Mon</t>
        </is>
      </c>
      <c r="N41" s="302" t="inlineStr">
        <is>
          <t>Tue</t>
        </is>
      </c>
      <c r="O41" s="302" t="inlineStr">
        <is>
          <t>Wed</t>
        </is>
      </c>
      <c r="P41" s="302" t="inlineStr">
        <is>
          <t>Thu</t>
        </is>
      </c>
      <c r="Q41" s="302" t="inlineStr">
        <is>
          <t>Fri</t>
        </is>
      </c>
      <c r="R41" s="302" t="inlineStr">
        <is>
          <t>Sat</t>
        </is>
      </c>
      <c r="S41" s="302" t="inlineStr">
        <is>
          <t>Sun</t>
        </is>
      </c>
      <c r="T41" s="302" t="inlineStr">
        <is>
          <t>Mon</t>
        </is>
      </c>
      <c r="U41" s="302" t="inlineStr">
        <is>
          <t>Tue</t>
        </is>
      </c>
      <c r="V41" s="302" t="inlineStr">
        <is>
          <t>Wed</t>
        </is>
      </c>
      <c r="W41" s="302" t="inlineStr">
        <is>
          <t>Thu</t>
        </is>
      </c>
      <c r="X41" s="302" t="inlineStr">
        <is>
          <t>Fri</t>
        </is>
      </c>
      <c r="Y41" s="302" t="inlineStr">
        <is>
          <t>Sat</t>
        </is>
      </c>
      <c r="Z41" s="302" t="inlineStr">
        <is>
          <t>Sun</t>
        </is>
      </c>
      <c r="AA41" s="302" t="inlineStr">
        <is>
          <t>Mon</t>
        </is>
      </c>
      <c r="AB41" s="302" t="inlineStr">
        <is>
          <t>Tue</t>
        </is>
      </c>
      <c r="AC41" s="302" t="inlineStr">
        <is>
          <t>Wed</t>
        </is>
      </c>
      <c r="AD41" s="302" t="inlineStr">
        <is>
          <t>Thu</t>
        </is>
      </c>
      <c r="AE41" s="302" t="inlineStr">
        <is>
          <t>Fri</t>
        </is>
      </c>
      <c r="AF41" s="302" t="inlineStr">
        <is>
          <t>Sat</t>
        </is>
      </c>
      <c r="AG41" s="302" t="inlineStr">
        <is>
          <t>Sun</t>
        </is>
      </c>
      <c r="AH41" s="302" t="inlineStr">
        <is>
          <t>Mon</t>
        </is>
      </c>
      <c r="AI41" s="302" t="inlineStr">
        <is>
          <t>Tue</t>
        </is>
      </c>
      <c r="AJ41" s="516" t="n"/>
    </row>
    <row r="42">
      <c r="A42" s="516" t="n"/>
      <c r="B42" s="516" t="n"/>
      <c r="C42" s="523" t="n"/>
      <c r="D42" s="524" t="n"/>
      <c r="E42" s="353" t="inlineStr">
        <is>
          <t>Time</t>
        </is>
      </c>
      <c r="F42" s="353" t="inlineStr">
        <is>
          <t>Time</t>
        </is>
      </c>
      <c r="G42" s="353" t="inlineStr">
        <is>
          <t>Time</t>
        </is>
      </c>
      <c r="H42" s="353" t="inlineStr">
        <is>
          <t>Time</t>
        </is>
      </c>
      <c r="I42" s="353" t="inlineStr">
        <is>
          <t>Time</t>
        </is>
      </c>
      <c r="J42" s="353" t="inlineStr">
        <is>
          <t>Time</t>
        </is>
      </c>
      <c r="K42" s="353" t="inlineStr">
        <is>
          <t>Time</t>
        </is>
      </c>
      <c r="L42" s="353" t="inlineStr">
        <is>
          <t>Time</t>
        </is>
      </c>
      <c r="M42" s="353" t="inlineStr">
        <is>
          <t>Time</t>
        </is>
      </c>
      <c r="N42" s="353" t="inlineStr">
        <is>
          <t>Time</t>
        </is>
      </c>
      <c r="O42" s="353" t="inlineStr">
        <is>
          <t>Time</t>
        </is>
      </c>
      <c r="P42" s="353" t="inlineStr">
        <is>
          <t>Time</t>
        </is>
      </c>
      <c r="Q42" s="353" t="inlineStr">
        <is>
          <t>Time</t>
        </is>
      </c>
      <c r="R42" s="353" t="inlineStr">
        <is>
          <t>Time</t>
        </is>
      </c>
      <c r="S42" s="353" t="inlineStr">
        <is>
          <t>Time</t>
        </is>
      </c>
      <c r="T42" s="353" t="inlineStr">
        <is>
          <t>Time</t>
        </is>
      </c>
      <c r="U42" s="353" t="inlineStr">
        <is>
          <t>Time</t>
        </is>
      </c>
      <c r="V42" s="353" t="inlineStr">
        <is>
          <t>Time</t>
        </is>
      </c>
      <c r="W42" s="353" t="inlineStr">
        <is>
          <t>Time</t>
        </is>
      </c>
      <c r="X42" s="353" t="inlineStr">
        <is>
          <t>Time</t>
        </is>
      </c>
      <c r="Y42" s="353" t="inlineStr">
        <is>
          <t>Time</t>
        </is>
      </c>
      <c r="Z42" s="353" t="inlineStr">
        <is>
          <t>Time</t>
        </is>
      </c>
      <c r="AA42" s="353" t="inlineStr">
        <is>
          <t>Time</t>
        </is>
      </c>
      <c r="AB42" s="353" t="inlineStr">
        <is>
          <t>Time</t>
        </is>
      </c>
      <c r="AC42" s="353" t="inlineStr">
        <is>
          <t>Time</t>
        </is>
      </c>
      <c r="AD42" s="353" t="inlineStr">
        <is>
          <t>Time</t>
        </is>
      </c>
      <c r="AE42" s="352">
        <f>AE4</f>
        <v/>
      </c>
      <c r="AF42" s="303" t="inlineStr">
        <is>
          <t>Time</t>
        </is>
      </c>
      <c r="AG42" s="353" t="inlineStr">
        <is>
          <t>Time</t>
        </is>
      </c>
      <c r="AH42" s="353" t="inlineStr">
        <is>
          <t>Time</t>
        </is>
      </c>
      <c r="AI42" s="352">
        <f>AI4</f>
        <v/>
      </c>
      <c r="AJ42" s="516" t="n"/>
    </row>
    <row r="43">
      <c r="A43" s="517" t="n"/>
      <c r="B43" s="517" t="n"/>
      <c r="C43" s="525" t="n"/>
      <c r="D43" s="526" t="n"/>
      <c r="E43" s="354" t="n">
        <v>0.3333333333333333</v>
      </c>
      <c r="F43" s="354" t="n">
        <v>0.3333333333333333</v>
      </c>
      <c r="G43" s="354" t="n">
        <v>0.3333333333333333</v>
      </c>
      <c r="H43" s="354" t="n">
        <v>0.3333333333333333</v>
      </c>
      <c r="I43" s="354" t="n">
        <v>0.3333333333333333</v>
      </c>
      <c r="J43" s="354" t="n">
        <v>0.3333333333333333</v>
      </c>
      <c r="K43" s="354" t="n">
        <v>0.3333333333333333</v>
      </c>
      <c r="L43" s="354" t="n">
        <v>0.3333333333333333</v>
      </c>
      <c r="M43" s="354" t="n">
        <v>0.3333333333333333</v>
      </c>
      <c r="N43" s="354" t="n">
        <v>0.3333333333333333</v>
      </c>
      <c r="O43" s="354" t="n">
        <v>0.3333333333333333</v>
      </c>
      <c r="P43" s="354" t="n">
        <v>0.3333333333333333</v>
      </c>
      <c r="Q43" s="354" t="n">
        <v>0.3333333333333333</v>
      </c>
      <c r="R43" s="354" t="n">
        <v>0.3333333333333333</v>
      </c>
      <c r="S43" s="354" t="n">
        <v>0.3333333333333333</v>
      </c>
      <c r="T43" s="354" t="n">
        <v>0.3333333333333333</v>
      </c>
      <c r="U43" s="354" t="n">
        <v>0.3333333333333333</v>
      </c>
      <c r="V43" s="354" t="n">
        <v>0.3333333333333333</v>
      </c>
      <c r="W43" s="354" t="n">
        <v>0.3333333333333333</v>
      </c>
      <c r="X43" s="354" t="n">
        <v>0.3333333333333333</v>
      </c>
      <c r="Y43" s="354" t="n">
        <v>0.3333333333333333</v>
      </c>
      <c r="Z43" s="354" t="n">
        <v>0.3333333333333333</v>
      </c>
      <c r="AA43" s="354" t="n">
        <v>0.3333333333333333</v>
      </c>
      <c r="AB43" s="354" t="n">
        <v>0.3333333333333333</v>
      </c>
      <c r="AC43" s="354" t="n">
        <v>0.3333333333333333</v>
      </c>
      <c r="AD43" s="354" t="n">
        <v>0.3333333333333333</v>
      </c>
      <c r="AE43" s="354" t="n">
        <v>0.3333333333333333</v>
      </c>
      <c r="AF43" s="304" t="n">
        <v>0.3333333333333333</v>
      </c>
      <c r="AG43" s="354" t="n">
        <v>0.3333333333333333</v>
      </c>
      <c r="AH43" s="354" t="n">
        <v>0.3333333333333333</v>
      </c>
      <c r="AI43" s="354" t="n">
        <v>0.3333333333333333</v>
      </c>
      <c r="AJ43" s="517" t="n"/>
    </row>
    <row r="44">
      <c r="A44" s="541" t="n">
        <v>1</v>
      </c>
      <c r="B44" s="541" t="inlineStr">
        <is>
          <t>3F</t>
        </is>
      </c>
      <c r="C44" s="541" t="inlineStr">
        <is>
          <t>SL No 540430038840 (EB Unit)</t>
        </is>
      </c>
      <c r="D44" s="501" t="n"/>
      <c r="E44" s="355">
        <f>E6-D6</f>
        <v/>
      </c>
      <c r="F44" s="355">
        <f>F6-E6</f>
        <v/>
      </c>
      <c r="G44" s="355">
        <f>G6-F6</f>
        <v/>
      </c>
      <c r="H44" s="355">
        <f>H6-G6</f>
        <v/>
      </c>
      <c r="I44" s="355">
        <f>I6-H6</f>
        <v/>
      </c>
      <c r="J44" s="355">
        <f>J6-I6</f>
        <v/>
      </c>
      <c r="K44" s="355">
        <f>K6-J6</f>
        <v/>
      </c>
      <c r="L44" s="355">
        <f>L6-K6</f>
        <v/>
      </c>
      <c r="M44" s="355">
        <f>M6-L6</f>
        <v/>
      </c>
      <c r="N44" s="355">
        <f>N6-M6</f>
        <v/>
      </c>
      <c r="O44" s="355">
        <f>O6-N6</f>
        <v/>
      </c>
      <c r="P44" s="355">
        <f>P6-O6</f>
        <v/>
      </c>
      <c r="Q44" s="355">
        <f>Q6-P6</f>
        <v/>
      </c>
      <c r="R44" s="355">
        <f>R6-Q6</f>
        <v/>
      </c>
      <c r="S44" s="355">
        <f>S6-R6</f>
        <v/>
      </c>
      <c r="T44" s="355">
        <f>T6-S6</f>
        <v/>
      </c>
      <c r="U44" s="355">
        <f>U6-T6</f>
        <v/>
      </c>
      <c r="V44" s="355">
        <f>V6-U6</f>
        <v/>
      </c>
      <c r="W44" s="355">
        <f>W6-V6</f>
        <v/>
      </c>
      <c r="X44" s="355">
        <f>X6-W6</f>
        <v/>
      </c>
      <c r="Y44" s="355">
        <f>Y6-X6</f>
        <v/>
      </c>
      <c r="Z44" s="355">
        <f>Z6-Y6</f>
        <v/>
      </c>
      <c r="AA44" s="355">
        <f>AA6-Z6</f>
        <v/>
      </c>
      <c r="AB44" s="355">
        <f>AB6-AA6</f>
        <v/>
      </c>
      <c r="AC44" s="355">
        <f>AC6-AB6</f>
        <v/>
      </c>
      <c r="AD44" s="355">
        <f>AD6-AC6</f>
        <v/>
      </c>
      <c r="AE44" s="355">
        <f>AE6-AD6</f>
        <v/>
      </c>
      <c r="AF44" s="355">
        <f>AF6-AE6</f>
        <v/>
      </c>
      <c r="AG44" s="355">
        <f>AG6-AF6</f>
        <v/>
      </c>
      <c r="AH44" s="355">
        <f>AH6-AG6</f>
        <v/>
      </c>
      <c r="AI44" s="355">
        <f>AI6-AH6</f>
        <v/>
      </c>
      <c r="AJ44" s="356">
        <f>SUM(H44:AH44)</f>
        <v/>
      </c>
    </row>
    <row r="45">
      <c r="A45" s="541" t="n"/>
      <c r="B45" s="541" t="n"/>
      <c r="C45" s="547" t="inlineStr">
        <is>
          <t>DG</t>
        </is>
      </c>
      <c r="D45" s="501" t="n"/>
      <c r="E45" s="355">
        <f>E7-D7</f>
        <v/>
      </c>
      <c r="F45" s="355">
        <f>F7-E7</f>
        <v/>
      </c>
      <c r="G45" s="355">
        <f>G7-F7</f>
        <v/>
      </c>
      <c r="H45" s="355">
        <f>H7-G7</f>
        <v/>
      </c>
      <c r="I45" s="355">
        <f>I7-H7</f>
        <v/>
      </c>
      <c r="J45" s="355">
        <f>J7-I7</f>
        <v/>
      </c>
      <c r="K45" s="355">
        <f>K7-J7</f>
        <v/>
      </c>
      <c r="L45" s="355">
        <f>L7-K7</f>
        <v/>
      </c>
      <c r="M45" s="355">
        <f>M7-L7</f>
        <v/>
      </c>
      <c r="N45" s="355">
        <f>N7-M7</f>
        <v/>
      </c>
      <c r="O45" s="355">
        <f>O7-N7</f>
        <v/>
      </c>
      <c r="P45" s="355">
        <f>P7-O7</f>
        <v/>
      </c>
      <c r="Q45" s="355">
        <f>Q7-P7</f>
        <v/>
      </c>
      <c r="R45" s="355">
        <f>R7-Q7</f>
        <v/>
      </c>
      <c r="S45" s="355">
        <f>S7-R7</f>
        <v/>
      </c>
      <c r="T45" s="355">
        <f>T7-S7</f>
        <v/>
      </c>
      <c r="U45" s="355">
        <f>U7-T7</f>
        <v/>
      </c>
      <c r="V45" s="355">
        <f>V7-U7</f>
        <v/>
      </c>
      <c r="W45" s="355">
        <f>W7-V7</f>
        <v/>
      </c>
      <c r="X45" s="355">
        <f>X7-W7</f>
        <v/>
      </c>
      <c r="Y45" s="355">
        <f>Y7-X7</f>
        <v/>
      </c>
      <c r="Z45" s="355">
        <f>Z7-Y7</f>
        <v/>
      </c>
      <c r="AA45" s="355">
        <f>AA7-Z7</f>
        <v/>
      </c>
      <c r="AB45" s="355">
        <f>AB7-AA7</f>
        <v/>
      </c>
      <c r="AC45" s="355">
        <f>AC7-AB7</f>
        <v/>
      </c>
      <c r="AD45" s="355">
        <f>AD7-AC7</f>
        <v/>
      </c>
      <c r="AE45" s="355">
        <f>AE7-AD7</f>
        <v/>
      </c>
      <c r="AF45" s="355">
        <f>AF7-AE7</f>
        <v/>
      </c>
      <c r="AG45" s="355">
        <f>AG7-AF7</f>
        <v/>
      </c>
      <c r="AH45" s="355">
        <f>AH7-AG7</f>
        <v/>
      </c>
      <c r="AI45" s="355">
        <f>AI7-AH7</f>
        <v/>
      </c>
      <c r="AJ45" s="356">
        <f>SUM(H45:AH45)</f>
        <v/>
      </c>
    </row>
    <row r="46">
      <c r="A46" s="541" t="n">
        <v>2</v>
      </c>
      <c r="B46" s="541" t="inlineStr">
        <is>
          <t>3F</t>
        </is>
      </c>
      <c r="C46" s="541" t="inlineStr">
        <is>
          <t>SL No 540430038845 (EB Unit)</t>
        </is>
      </c>
      <c r="D46" s="501" t="n"/>
      <c r="E46" s="355">
        <f>E8-D8</f>
        <v/>
      </c>
      <c r="F46" s="355">
        <f>F8-E8</f>
        <v/>
      </c>
      <c r="G46" s="355">
        <f>G8-F8</f>
        <v/>
      </c>
      <c r="H46" s="355">
        <f>H8-G8</f>
        <v/>
      </c>
      <c r="I46" s="355">
        <f>I8-H8</f>
        <v/>
      </c>
      <c r="J46" s="355">
        <f>J8-I8</f>
        <v/>
      </c>
      <c r="K46" s="355">
        <f>K8-J8</f>
        <v/>
      </c>
      <c r="L46" s="355">
        <f>L8-K8</f>
        <v/>
      </c>
      <c r="M46" s="355">
        <f>M8-L8</f>
        <v/>
      </c>
      <c r="N46" s="355">
        <f>N8-M8</f>
        <v/>
      </c>
      <c r="O46" s="355">
        <f>O8-N8</f>
        <v/>
      </c>
      <c r="P46" s="355">
        <f>P8-O8</f>
        <v/>
      </c>
      <c r="Q46" s="355">
        <f>Q8-P8</f>
        <v/>
      </c>
      <c r="R46" s="355">
        <f>R8-Q8</f>
        <v/>
      </c>
      <c r="S46" s="355">
        <f>S8-R8</f>
        <v/>
      </c>
      <c r="T46" s="355">
        <f>T8-S8</f>
        <v/>
      </c>
      <c r="U46" s="355">
        <f>U8-T8</f>
        <v/>
      </c>
      <c r="V46" s="355">
        <f>V8-U8</f>
        <v/>
      </c>
      <c r="W46" s="355">
        <f>W8-V8</f>
        <v/>
      </c>
      <c r="X46" s="355">
        <f>X8-W8</f>
        <v/>
      </c>
      <c r="Y46" s="355">
        <f>Y8-X8</f>
        <v/>
      </c>
      <c r="Z46" s="355">
        <f>Z8-Y8</f>
        <v/>
      </c>
      <c r="AA46" s="355">
        <f>AA8-Z8</f>
        <v/>
      </c>
      <c r="AB46" s="355">
        <f>AB8-AA8</f>
        <v/>
      </c>
      <c r="AC46" s="355">
        <f>AC8-AB8</f>
        <v/>
      </c>
      <c r="AD46" s="355">
        <f>AD8-AC8</f>
        <v/>
      </c>
      <c r="AE46" s="355">
        <f>AE8-AD8</f>
        <v/>
      </c>
      <c r="AF46" s="355">
        <f>AF8-AE8</f>
        <v/>
      </c>
      <c r="AG46" s="355">
        <f>AG8-AF8</f>
        <v/>
      </c>
      <c r="AH46" s="355">
        <f>AH8-AG8</f>
        <v/>
      </c>
      <c r="AI46" s="355">
        <f>AI8-AH8</f>
        <v/>
      </c>
      <c r="AJ46" s="356">
        <f>SUM(H46:AH46)</f>
        <v/>
      </c>
    </row>
    <row r="47">
      <c r="A47" s="541" t="n"/>
      <c r="B47" s="541" t="n"/>
      <c r="C47" s="547" t="inlineStr">
        <is>
          <t>DG</t>
        </is>
      </c>
      <c r="D47" s="501" t="n"/>
      <c r="E47" s="355">
        <f>E9-D9</f>
        <v/>
      </c>
      <c r="F47" s="355">
        <f>F9-E9</f>
        <v/>
      </c>
      <c r="G47" s="355">
        <f>G9-F9</f>
        <v/>
      </c>
      <c r="H47" s="355">
        <f>H9-G9</f>
        <v/>
      </c>
      <c r="I47" s="355">
        <f>I9-H9</f>
        <v/>
      </c>
      <c r="J47" s="355">
        <f>J9-I9</f>
        <v/>
      </c>
      <c r="K47" s="355">
        <f>K9-J9</f>
        <v/>
      </c>
      <c r="L47" s="355">
        <f>L9-K9</f>
        <v/>
      </c>
      <c r="M47" s="355">
        <f>M9-L9</f>
        <v/>
      </c>
      <c r="N47" s="355">
        <f>N9-M9</f>
        <v/>
      </c>
      <c r="O47" s="355">
        <f>O9-N9</f>
        <v/>
      </c>
      <c r="P47" s="355">
        <f>P9-O9</f>
        <v/>
      </c>
      <c r="Q47" s="355">
        <f>Q9-P9</f>
        <v/>
      </c>
      <c r="R47" s="355">
        <f>R9-Q9</f>
        <v/>
      </c>
      <c r="S47" s="355">
        <f>S9-R9</f>
        <v/>
      </c>
      <c r="T47" s="355">
        <f>T9-S9</f>
        <v/>
      </c>
      <c r="U47" s="355">
        <f>U9-T9</f>
        <v/>
      </c>
      <c r="V47" s="355">
        <f>V9-U9</f>
        <v/>
      </c>
      <c r="W47" s="355">
        <f>W9-V9</f>
        <v/>
      </c>
      <c r="X47" s="355">
        <f>X9-W9</f>
        <v/>
      </c>
      <c r="Y47" s="355">
        <f>Y9-X9</f>
        <v/>
      </c>
      <c r="Z47" s="355">
        <f>Z9-Y9</f>
        <v/>
      </c>
      <c r="AA47" s="355">
        <f>AA9-Z9</f>
        <v/>
      </c>
      <c r="AB47" s="355">
        <f>AB9-AA9</f>
        <v/>
      </c>
      <c r="AC47" s="355">
        <f>AC9-AB9</f>
        <v/>
      </c>
      <c r="AD47" s="355">
        <f>AD9-AC9</f>
        <v/>
      </c>
      <c r="AE47" s="355">
        <f>AE9-AD9</f>
        <v/>
      </c>
      <c r="AF47" s="355">
        <f>AF9-AE9</f>
        <v/>
      </c>
      <c r="AG47" s="355">
        <f>AG9-AF9</f>
        <v/>
      </c>
      <c r="AH47" s="355">
        <f>AH9-AG9</f>
        <v/>
      </c>
      <c r="AI47" s="355">
        <f>AI9-AH9</f>
        <v/>
      </c>
      <c r="AJ47" s="356">
        <f>SUM(H47:AH47)</f>
        <v/>
      </c>
    </row>
    <row r="48">
      <c r="A48" s="541" t="n">
        <v>3</v>
      </c>
      <c r="B48" s="541" t="inlineStr">
        <is>
          <t>3F</t>
        </is>
      </c>
      <c r="C48" s="541" t="inlineStr">
        <is>
          <t>SL No 540430038844 (EB Unit)</t>
        </is>
      </c>
      <c r="D48" s="501" t="n"/>
      <c r="E48" s="355">
        <f>E10-D10</f>
        <v/>
      </c>
      <c r="F48" s="355">
        <f>F10-E10</f>
        <v/>
      </c>
      <c r="G48" s="355">
        <f>G10-F10</f>
        <v/>
      </c>
      <c r="H48" s="355">
        <f>H10-G10</f>
        <v/>
      </c>
      <c r="I48" s="355">
        <f>I10-H10</f>
        <v/>
      </c>
      <c r="J48" s="355">
        <f>J10-I10</f>
        <v/>
      </c>
      <c r="K48" s="355">
        <f>K10-J10</f>
        <v/>
      </c>
      <c r="L48" s="355">
        <f>L10-K10</f>
        <v/>
      </c>
      <c r="M48" s="355">
        <f>M10-L10</f>
        <v/>
      </c>
      <c r="N48" s="355">
        <f>N10-M10</f>
        <v/>
      </c>
      <c r="O48" s="355">
        <f>O10-N10</f>
        <v/>
      </c>
      <c r="P48" s="355">
        <f>P10-O10</f>
        <v/>
      </c>
      <c r="Q48" s="355">
        <f>Q10-P10</f>
        <v/>
      </c>
      <c r="R48" s="355">
        <f>R10-Q10</f>
        <v/>
      </c>
      <c r="S48" s="355">
        <f>S10-R10</f>
        <v/>
      </c>
      <c r="T48" s="355">
        <f>T10-S10</f>
        <v/>
      </c>
      <c r="U48" s="355">
        <f>U10-T10</f>
        <v/>
      </c>
      <c r="V48" s="355">
        <f>V10-U10</f>
        <v/>
      </c>
      <c r="W48" s="355">
        <f>W10-V10</f>
        <v/>
      </c>
      <c r="X48" s="355">
        <f>X10-W10</f>
        <v/>
      </c>
      <c r="Y48" s="355">
        <f>Y10-X10</f>
        <v/>
      </c>
      <c r="Z48" s="355">
        <f>Z10-Y10</f>
        <v/>
      </c>
      <c r="AA48" s="355">
        <f>AA10-Z10</f>
        <v/>
      </c>
      <c r="AB48" s="355">
        <f>AB10-AA10</f>
        <v/>
      </c>
      <c r="AC48" s="355">
        <f>AC10-AB10</f>
        <v/>
      </c>
      <c r="AD48" s="355">
        <f>AD10-AC10</f>
        <v/>
      </c>
      <c r="AE48" s="355">
        <f>AE10-AD10</f>
        <v/>
      </c>
      <c r="AF48" s="355">
        <f>AF10-AE10</f>
        <v/>
      </c>
      <c r="AG48" s="355">
        <f>AG10-AF10</f>
        <v/>
      </c>
      <c r="AH48" s="355">
        <f>AH10-AG10</f>
        <v/>
      </c>
      <c r="AI48" s="355">
        <f>AI10-AH10</f>
        <v/>
      </c>
      <c r="AJ48" s="356">
        <f>SUM(H48:AH48)</f>
        <v/>
      </c>
    </row>
    <row r="49">
      <c r="A49" s="541" t="n"/>
      <c r="B49" s="541" t="n"/>
      <c r="C49" s="547" t="inlineStr">
        <is>
          <t>DG</t>
        </is>
      </c>
      <c r="D49" s="501" t="n"/>
      <c r="E49" s="355">
        <f>E11-D11</f>
        <v/>
      </c>
      <c r="F49" s="355">
        <f>F11-E11</f>
        <v/>
      </c>
      <c r="G49" s="355">
        <f>G11-F11</f>
        <v/>
      </c>
      <c r="H49" s="355">
        <f>H11-G11</f>
        <v/>
      </c>
      <c r="I49" s="355">
        <f>I11-H11</f>
        <v/>
      </c>
      <c r="J49" s="355">
        <f>J11-I11</f>
        <v/>
      </c>
      <c r="K49" s="355">
        <f>K11-J11</f>
        <v/>
      </c>
      <c r="L49" s="355">
        <f>L11-K11</f>
        <v/>
      </c>
      <c r="M49" s="355">
        <f>M11-L11</f>
        <v/>
      </c>
      <c r="N49" s="355">
        <f>N11-M11</f>
        <v/>
      </c>
      <c r="O49" s="355">
        <f>O11-N11</f>
        <v/>
      </c>
      <c r="P49" s="355">
        <f>P11-O11</f>
        <v/>
      </c>
      <c r="Q49" s="355">
        <f>Q11-P11</f>
        <v/>
      </c>
      <c r="R49" s="355">
        <f>R11-Q11</f>
        <v/>
      </c>
      <c r="S49" s="355">
        <f>S11-R11</f>
        <v/>
      </c>
      <c r="T49" s="355">
        <f>T11-S11</f>
        <v/>
      </c>
      <c r="U49" s="355">
        <f>U11-T11</f>
        <v/>
      </c>
      <c r="V49" s="355">
        <f>V11-U11</f>
        <v/>
      </c>
      <c r="W49" s="355">
        <f>W11-V11</f>
        <v/>
      </c>
      <c r="X49" s="355">
        <f>X11-W11</f>
        <v/>
      </c>
      <c r="Y49" s="355">
        <f>Y11-X11</f>
        <v/>
      </c>
      <c r="Z49" s="355">
        <f>Z11-Y11</f>
        <v/>
      </c>
      <c r="AA49" s="355">
        <f>AA11-Z11</f>
        <v/>
      </c>
      <c r="AB49" s="355">
        <f>AB11-AA11</f>
        <v/>
      </c>
      <c r="AC49" s="355">
        <f>AC11-AB11</f>
        <v/>
      </c>
      <c r="AD49" s="355">
        <f>AD11-AC11</f>
        <v/>
      </c>
      <c r="AE49" s="355">
        <f>AE11-AD11</f>
        <v/>
      </c>
      <c r="AF49" s="355">
        <f>AF11-AE11</f>
        <v/>
      </c>
      <c r="AG49" s="355">
        <f>AG11-AF11</f>
        <v/>
      </c>
      <c r="AH49" s="355">
        <f>AH11-AG11</f>
        <v/>
      </c>
      <c r="AI49" s="355">
        <f>AI11-AH11</f>
        <v/>
      </c>
      <c r="AJ49" s="356">
        <f>SUM(H49:AH49)</f>
        <v/>
      </c>
    </row>
    <row r="50">
      <c r="A50" s="541" t="n">
        <v>4</v>
      </c>
      <c r="B50" s="541" t="inlineStr">
        <is>
          <t>3F</t>
        </is>
      </c>
      <c r="C50" s="541" t="inlineStr">
        <is>
          <t>SL No 540430038821 (EB Unit)</t>
        </is>
      </c>
      <c r="D50" s="501" t="n"/>
      <c r="E50" s="355">
        <f>E12-D12</f>
        <v/>
      </c>
      <c r="F50" s="355">
        <f>F12-E12</f>
        <v/>
      </c>
      <c r="G50" s="355">
        <f>G12-F12</f>
        <v/>
      </c>
      <c r="H50" s="355">
        <f>H12-G12</f>
        <v/>
      </c>
      <c r="I50" s="355">
        <f>I12-H12</f>
        <v/>
      </c>
      <c r="J50" s="355">
        <f>J12-I12</f>
        <v/>
      </c>
      <c r="K50" s="355">
        <f>K12-J12</f>
        <v/>
      </c>
      <c r="L50" s="355">
        <f>L12-K12</f>
        <v/>
      </c>
      <c r="M50" s="355">
        <f>M12-L12</f>
        <v/>
      </c>
      <c r="N50" s="355">
        <f>N12-M12</f>
        <v/>
      </c>
      <c r="O50" s="355">
        <f>O12-N12</f>
        <v/>
      </c>
      <c r="P50" s="355">
        <f>P12-O12</f>
        <v/>
      </c>
      <c r="Q50" s="355">
        <f>Q12-P12</f>
        <v/>
      </c>
      <c r="R50" s="355">
        <f>R12-Q12</f>
        <v/>
      </c>
      <c r="S50" s="355">
        <f>S12-R12</f>
        <v/>
      </c>
      <c r="T50" s="355">
        <f>T12-S12</f>
        <v/>
      </c>
      <c r="U50" s="355">
        <f>U12-T12</f>
        <v/>
      </c>
      <c r="V50" s="355">
        <f>V12-U12</f>
        <v/>
      </c>
      <c r="W50" s="355">
        <f>W12-V12</f>
        <v/>
      </c>
      <c r="X50" s="355">
        <f>X12-W12</f>
        <v/>
      </c>
      <c r="Y50" s="355">
        <f>Y12-X12</f>
        <v/>
      </c>
      <c r="Z50" s="355">
        <f>Z12-Y12</f>
        <v/>
      </c>
      <c r="AA50" s="355">
        <f>AA12-Z12</f>
        <v/>
      </c>
      <c r="AB50" s="355">
        <f>AB12-AA12</f>
        <v/>
      </c>
      <c r="AC50" s="355">
        <f>AC12-AB12</f>
        <v/>
      </c>
      <c r="AD50" s="355">
        <f>AD12-AC12</f>
        <v/>
      </c>
      <c r="AE50" s="355">
        <f>AE12-AD12</f>
        <v/>
      </c>
      <c r="AF50" s="355">
        <f>AF12-AE12</f>
        <v/>
      </c>
      <c r="AG50" s="355">
        <f>AG12-AF12</f>
        <v/>
      </c>
      <c r="AH50" s="355">
        <f>AH12-AG12</f>
        <v/>
      </c>
      <c r="AI50" s="355">
        <f>AI12-AH12</f>
        <v/>
      </c>
      <c r="AJ50" s="356">
        <f>SUM(H50:AH50)</f>
        <v/>
      </c>
    </row>
    <row r="51">
      <c r="A51" s="541" t="n"/>
      <c r="B51" s="541" t="n"/>
      <c r="C51" s="547" t="inlineStr">
        <is>
          <t>DG</t>
        </is>
      </c>
      <c r="D51" s="501" t="n"/>
      <c r="E51" s="355">
        <f>E13-D13</f>
        <v/>
      </c>
      <c r="F51" s="355">
        <f>F13-E13</f>
        <v/>
      </c>
      <c r="G51" s="355">
        <f>G13-F13</f>
        <v/>
      </c>
      <c r="H51" s="355">
        <f>H13-G13</f>
        <v/>
      </c>
      <c r="I51" s="355">
        <f>I13-H13</f>
        <v/>
      </c>
      <c r="J51" s="355">
        <f>J13-I13</f>
        <v/>
      </c>
      <c r="K51" s="355">
        <f>K13-J13</f>
        <v/>
      </c>
      <c r="L51" s="355">
        <f>L13-K13</f>
        <v/>
      </c>
      <c r="M51" s="355">
        <f>M13-L13</f>
        <v/>
      </c>
      <c r="N51" s="355">
        <f>N13-M13</f>
        <v/>
      </c>
      <c r="O51" s="355">
        <f>O13-N13</f>
        <v/>
      </c>
      <c r="P51" s="355">
        <f>P13-O13</f>
        <v/>
      </c>
      <c r="Q51" s="355">
        <f>Q13-P13</f>
        <v/>
      </c>
      <c r="R51" s="355">
        <f>R13-Q13</f>
        <v/>
      </c>
      <c r="S51" s="355">
        <f>S13-R13</f>
        <v/>
      </c>
      <c r="T51" s="355">
        <f>T13-S13</f>
        <v/>
      </c>
      <c r="U51" s="355">
        <f>U13-T13</f>
        <v/>
      </c>
      <c r="V51" s="355">
        <f>V13-U13</f>
        <v/>
      </c>
      <c r="W51" s="355">
        <f>W13-V13</f>
        <v/>
      </c>
      <c r="X51" s="355">
        <f>X13-W13</f>
        <v/>
      </c>
      <c r="Y51" s="355">
        <f>Y13-X13</f>
        <v/>
      </c>
      <c r="Z51" s="355">
        <f>Z13-Y13</f>
        <v/>
      </c>
      <c r="AA51" s="355">
        <f>AA13-Z13</f>
        <v/>
      </c>
      <c r="AB51" s="355">
        <f>AB13-AA13</f>
        <v/>
      </c>
      <c r="AC51" s="355">
        <f>AC13-AB13</f>
        <v/>
      </c>
      <c r="AD51" s="355">
        <f>AD13-AC13</f>
        <v/>
      </c>
      <c r="AE51" s="355">
        <f>AE13-AD13</f>
        <v/>
      </c>
      <c r="AF51" s="355">
        <f>AF13-AE13</f>
        <v/>
      </c>
      <c r="AG51" s="355">
        <f>AG13-AF13</f>
        <v/>
      </c>
      <c r="AH51" s="355">
        <f>AH13-AG13</f>
        <v/>
      </c>
      <c r="AI51" s="355">
        <f>AI13-AH13</f>
        <v/>
      </c>
      <c r="AJ51" s="356">
        <f>SUM(H51:AH51)</f>
        <v/>
      </c>
    </row>
    <row r="52">
      <c r="A52" s="541" t="n">
        <v>5</v>
      </c>
      <c r="B52" s="541" t="inlineStr">
        <is>
          <t>3F</t>
        </is>
      </c>
      <c r="C52" s="541" t="inlineStr">
        <is>
          <t>SL No 540430038849 (EB Unit)</t>
        </is>
      </c>
      <c r="D52" s="501" t="n"/>
      <c r="E52" s="355">
        <f>E14-D14</f>
        <v/>
      </c>
      <c r="F52" s="355">
        <f>F14-E14</f>
        <v/>
      </c>
      <c r="G52" s="355">
        <f>G14-F14</f>
        <v/>
      </c>
      <c r="H52" s="355">
        <f>H14-G14</f>
        <v/>
      </c>
      <c r="I52" s="355">
        <f>I14-H14</f>
        <v/>
      </c>
      <c r="J52" s="355">
        <f>J14-I14</f>
        <v/>
      </c>
      <c r="K52" s="355">
        <f>K14-J14</f>
        <v/>
      </c>
      <c r="L52" s="355">
        <f>L14-K14</f>
        <v/>
      </c>
      <c r="M52" s="355">
        <f>M14-L14</f>
        <v/>
      </c>
      <c r="N52" s="355">
        <f>N14-M14</f>
        <v/>
      </c>
      <c r="O52" s="355">
        <f>O14-N14</f>
        <v/>
      </c>
      <c r="P52" s="355">
        <f>P14-O14</f>
        <v/>
      </c>
      <c r="Q52" s="355">
        <f>Q14-P14</f>
        <v/>
      </c>
      <c r="R52" s="355">
        <f>R14-Q14</f>
        <v/>
      </c>
      <c r="S52" s="355">
        <f>S14-R14</f>
        <v/>
      </c>
      <c r="T52" s="355">
        <f>T14-S14</f>
        <v/>
      </c>
      <c r="U52" s="355">
        <f>U14-T14</f>
        <v/>
      </c>
      <c r="V52" s="355">
        <f>V14-U14</f>
        <v/>
      </c>
      <c r="W52" s="355">
        <f>W14-V14</f>
        <v/>
      </c>
      <c r="X52" s="355">
        <f>X14-W14</f>
        <v/>
      </c>
      <c r="Y52" s="355">
        <f>Y14-X14</f>
        <v/>
      </c>
      <c r="Z52" s="355">
        <f>Z14-Y14</f>
        <v/>
      </c>
      <c r="AA52" s="355">
        <f>AA14-Z14</f>
        <v/>
      </c>
      <c r="AB52" s="355">
        <f>AB14-AA14</f>
        <v/>
      </c>
      <c r="AC52" s="355">
        <f>AC14-AB14</f>
        <v/>
      </c>
      <c r="AD52" s="355">
        <f>AD14-AC14</f>
        <v/>
      </c>
      <c r="AE52" s="355">
        <f>AE14-AD14</f>
        <v/>
      </c>
      <c r="AF52" s="355">
        <f>AF14-AE14</f>
        <v/>
      </c>
      <c r="AG52" s="355">
        <f>AG14-AF14</f>
        <v/>
      </c>
      <c r="AH52" s="355">
        <f>AH14-AG14</f>
        <v/>
      </c>
      <c r="AI52" s="355">
        <f>AI14-AH14</f>
        <v/>
      </c>
      <c r="AJ52" s="356">
        <f>SUM(H52:AH52)</f>
        <v/>
      </c>
    </row>
    <row r="53">
      <c r="A53" s="541" t="n"/>
      <c r="B53" s="541" t="n"/>
      <c r="C53" s="547" t="inlineStr">
        <is>
          <t>DG</t>
        </is>
      </c>
      <c r="D53" s="501" t="n"/>
      <c r="E53" s="355">
        <f>E15-D15</f>
        <v/>
      </c>
      <c r="F53" s="355">
        <f>F15-E15</f>
        <v/>
      </c>
      <c r="G53" s="355">
        <f>G15-F15</f>
        <v/>
      </c>
      <c r="H53" s="355">
        <f>H15-G15</f>
        <v/>
      </c>
      <c r="I53" s="355">
        <f>I15-H15</f>
        <v/>
      </c>
      <c r="J53" s="355">
        <f>J15-I15</f>
        <v/>
      </c>
      <c r="K53" s="355">
        <f>K15-J15</f>
        <v/>
      </c>
      <c r="L53" s="355">
        <f>L15-K15</f>
        <v/>
      </c>
      <c r="M53" s="355">
        <f>M15-L15</f>
        <v/>
      </c>
      <c r="N53" s="355">
        <f>N15-M15</f>
        <v/>
      </c>
      <c r="O53" s="355">
        <f>O15-N15</f>
        <v/>
      </c>
      <c r="P53" s="355">
        <f>P15-O15</f>
        <v/>
      </c>
      <c r="Q53" s="355">
        <f>Q15-P15</f>
        <v/>
      </c>
      <c r="R53" s="355">
        <f>R15-Q15</f>
        <v/>
      </c>
      <c r="S53" s="355">
        <f>S15-R15</f>
        <v/>
      </c>
      <c r="T53" s="355">
        <f>T15-S15</f>
        <v/>
      </c>
      <c r="U53" s="355">
        <f>U15-T15</f>
        <v/>
      </c>
      <c r="V53" s="355">
        <f>V15-U15</f>
        <v/>
      </c>
      <c r="W53" s="355">
        <f>W15-V15</f>
        <v/>
      </c>
      <c r="X53" s="355">
        <f>X15-W15</f>
        <v/>
      </c>
      <c r="Y53" s="355">
        <f>Y15-X15</f>
        <v/>
      </c>
      <c r="Z53" s="355">
        <f>Z15-Y15</f>
        <v/>
      </c>
      <c r="AA53" s="355">
        <f>AA15-Z15</f>
        <v/>
      </c>
      <c r="AB53" s="355">
        <f>AB15-AA15</f>
        <v/>
      </c>
      <c r="AC53" s="355">
        <f>AC15-AB15</f>
        <v/>
      </c>
      <c r="AD53" s="355">
        <f>AD15-AC15</f>
        <v/>
      </c>
      <c r="AE53" s="355">
        <f>AE15-AD15</f>
        <v/>
      </c>
      <c r="AF53" s="355">
        <f>AF15-AE15</f>
        <v/>
      </c>
      <c r="AG53" s="355">
        <f>AG15-AF15</f>
        <v/>
      </c>
      <c r="AH53" s="355">
        <f>AH15-AG15</f>
        <v/>
      </c>
      <c r="AI53" s="355">
        <f>AI15-AH15</f>
        <v/>
      </c>
      <c r="AJ53" s="356">
        <f>SUM(H53:AH53)</f>
        <v/>
      </c>
    </row>
    <row r="54">
      <c r="A54" s="541" t="n">
        <v>6</v>
      </c>
      <c r="B54" s="541" t="inlineStr">
        <is>
          <t>3F</t>
        </is>
      </c>
      <c r="C54" s="541" t="inlineStr">
        <is>
          <t>SL No 540430038696 (EB Unit)</t>
        </is>
      </c>
      <c r="D54" s="501" t="n"/>
      <c r="E54" s="355">
        <f>E16-D16</f>
        <v/>
      </c>
      <c r="F54" s="355">
        <f>F16-E16</f>
        <v/>
      </c>
      <c r="G54" s="355">
        <f>G16-F16</f>
        <v/>
      </c>
      <c r="H54" s="355">
        <f>H16-G16</f>
        <v/>
      </c>
      <c r="I54" s="355">
        <f>I16-H16</f>
        <v/>
      </c>
      <c r="J54" s="355">
        <f>J16-I16</f>
        <v/>
      </c>
      <c r="K54" s="355">
        <f>K16-J16</f>
        <v/>
      </c>
      <c r="L54" s="355">
        <f>L16-K16</f>
        <v/>
      </c>
      <c r="M54" s="355">
        <f>M16-L16</f>
        <v/>
      </c>
      <c r="N54" s="355">
        <f>N16-M16</f>
        <v/>
      </c>
      <c r="O54" s="355">
        <f>O16-N16</f>
        <v/>
      </c>
      <c r="P54" s="355">
        <f>P16-O16</f>
        <v/>
      </c>
      <c r="Q54" s="355">
        <f>Q16-P16</f>
        <v/>
      </c>
      <c r="R54" s="355">
        <f>R16-Q16</f>
        <v/>
      </c>
      <c r="S54" s="355">
        <f>S16-R16</f>
        <v/>
      </c>
      <c r="T54" s="355">
        <f>T16-S16</f>
        <v/>
      </c>
      <c r="U54" s="355">
        <f>U16-T16</f>
        <v/>
      </c>
      <c r="V54" s="355">
        <f>V16-U16</f>
        <v/>
      </c>
      <c r="W54" s="355">
        <f>W16-V16</f>
        <v/>
      </c>
      <c r="X54" s="355">
        <f>X16-W16</f>
        <v/>
      </c>
      <c r="Y54" s="355">
        <f>Y16-X16</f>
        <v/>
      </c>
      <c r="Z54" s="355">
        <f>Z16-Y16</f>
        <v/>
      </c>
      <c r="AA54" s="355">
        <f>AA16-Z16</f>
        <v/>
      </c>
      <c r="AB54" s="355">
        <f>AB16-AA16</f>
        <v/>
      </c>
      <c r="AC54" s="355">
        <f>AC16-AB16</f>
        <v/>
      </c>
      <c r="AD54" s="355">
        <f>AD16-AC16</f>
        <v/>
      </c>
      <c r="AE54" s="355">
        <f>AE16-AD16</f>
        <v/>
      </c>
      <c r="AF54" s="355">
        <f>AF16-AE16</f>
        <v/>
      </c>
      <c r="AG54" s="355">
        <f>AG16-AF16</f>
        <v/>
      </c>
      <c r="AH54" s="355">
        <f>AH16-AG16</f>
        <v/>
      </c>
      <c r="AI54" s="355">
        <f>AI16-AH16</f>
        <v/>
      </c>
      <c r="AJ54" s="356">
        <f>SUM(H54:AH54)</f>
        <v/>
      </c>
    </row>
    <row r="55">
      <c r="A55" s="541" t="n"/>
      <c r="B55" s="541" t="n"/>
      <c r="C55" s="547" t="inlineStr">
        <is>
          <t>DG</t>
        </is>
      </c>
      <c r="D55" s="501" t="n"/>
      <c r="E55" s="355">
        <f>E17-D17</f>
        <v/>
      </c>
      <c r="F55" s="355">
        <f>F17-E17</f>
        <v/>
      </c>
      <c r="G55" s="355">
        <f>G17-F17</f>
        <v/>
      </c>
      <c r="H55" s="355">
        <f>H17-G17</f>
        <v/>
      </c>
      <c r="I55" s="355">
        <f>I17-H17</f>
        <v/>
      </c>
      <c r="J55" s="355">
        <f>J17-I17</f>
        <v/>
      </c>
      <c r="K55" s="355">
        <f>K17-J17</f>
        <v/>
      </c>
      <c r="L55" s="355">
        <f>L17-K17</f>
        <v/>
      </c>
      <c r="M55" s="355">
        <f>M17-L17</f>
        <v/>
      </c>
      <c r="N55" s="355">
        <f>N17-M17</f>
        <v/>
      </c>
      <c r="O55" s="355">
        <f>O17-N17</f>
        <v/>
      </c>
      <c r="P55" s="355">
        <f>P17-O17</f>
        <v/>
      </c>
      <c r="Q55" s="355">
        <f>Q17-P17</f>
        <v/>
      </c>
      <c r="R55" s="355">
        <f>R17-Q17</f>
        <v/>
      </c>
      <c r="S55" s="355">
        <f>S17-R17</f>
        <v/>
      </c>
      <c r="T55" s="355">
        <f>T17-S17</f>
        <v/>
      </c>
      <c r="U55" s="355">
        <f>U17-T17</f>
        <v/>
      </c>
      <c r="V55" s="355">
        <f>V17-U17</f>
        <v/>
      </c>
      <c r="W55" s="355">
        <f>W17-V17</f>
        <v/>
      </c>
      <c r="X55" s="355">
        <f>X17-W17</f>
        <v/>
      </c>
      <c r="Y55" s="355">
        <f>Y17-X17</f>
        <v/>
      </c>
      <c r="Z55" s="355">
        <f>Z17-Y17</f>
        <v/>
      </c>
      <c r="AA55" s="355">
        <f>AA17-Z17</f>
        <v/>
      </c>
      <c r="AB55" s="355">
        <f>AB17-AA17</f>
        <v/>
      </c>
      <c r="AC55" s="355">
        <f>AC17-AB17</f>
        <v/>
      </c>
      <c r="AD55" s="355">
        <f>AD17-AC17</f>
        <v/>
      </c>
      <c r="AE55" s="355">
        <f>AE17-AD17</f>
        <v/>
      </c>
      <c r="AF55" s="355">
        <f>AF17-AE17</f>
        <v/>
      </c>
      <c r="AG55" s="355">
        <f>AG17-AF17</f>
        <v/>
      </c>
      <c r="AH55" s="355">
        <f>AH17-AG17</f>
        <v/>
      </c>
      <c r="AI55" s="355">
        <f>AI17-AH17</f>
        <v/>
      </c>
      <c r="AJ55" s="356">
        <f>SUM(H55:AH55)</f>
        <v/>
      </c>
    </row>
    <row r="56">
      <c r="A56" s="541" t="n">
        <v>7</v>
      </c>
      <c r="B56" s="541" t="inlineStr">
        <is>
          <t>3F</t>
        </is>
      </c>
      <c r="C56" s="541" t="inlineStr">
        <is>
          <t>SL No 540430038843 (EB Unit)</t>
        </is>
      </c>
      <c r="D56" s="501" t="n"/>
      <c r="E56" s="355">
        <f>E18-D18</f>
        <v/>
      </c>
      <c r="F56" s="355">
        <f>F18-E18</f>
        <v/>
      </c>
      <c r="G56" s="355">
        <f>G18-F18</f>
        <v/>
      </c>
      <c r="H56" s="355">
        <f>H18-G18</f>
        <v/>
      </c>
      <c r="I56" s="355">
        <f>I18-H18</f>
        <v/>
      </c>
      <c r="J56" s="355">
        <f>J18-I18</f>
        <v/>
      </c>
      <c r="K56" s="355">
        <f>K18-J18</f>
        <v/>
      </c>
      <c r="L56" s="355">
        <f>L18-K18</f>
        <v/>
      </c>
      <c r="M56" s="355">
        <f>M18-L18</f>
        <v/>
      </c>
      <c r="N56" s="355">
        <f>N18-M18</f>
        <v/>
      </c>
      <c r="O56" s="355">
        <f>O18-N18</f>
        <v/>
      </c>
      <c r="P56" s="355">
        <f>P18-O18</f>
        <v/>
      </c>
      <c r="Q56" s="355">
        <f>Q18-P18</f>
        <v/>
      </c>
      <c r="R56" s="355">
        <f>R18-Q18</f>
        <v/>
      </c>
      <c r="S56" s="355">
        <f>S18-R18</f>
        <v/>
      </c>
      <c r="T56" s="355">
        <f>T18-S18</f>
        <v/>
      </c>
      <c r="U56" s="355">
        <f>U18-T18</f>
        <v/>
      </c>
      <c r="V56" s="355">
        <f>V18-U18</f>
        <v/>
      </c>
      <c r="W56" s="355">
        <f>W18-V18</f>
        <v/>
      </c>
      <c r="X56" s="355">
        <f>X18-W18</f>
        <v/>
      </c>
      <c r="Y56" s="355">
        <f>Y18-X18</f>
        <v/>
      </c>
      <c r="Z56" s="355">
        <f>Z18-Y18</f>
        <v/>
      </c>
      <c r="AA56" s="355">
        <f>AA18-Z18</f>
        <v/>
      </c>
      <c r="AB56" s="355">
        <f>AB18-AA18</f>
        <v/>
      </c>
      <c r="AC56" s="355">
        <f>AC18-AB18</f>
        <v/>
      </c>
      <c r="AD56" s="355">
        <f>AD18-AC18</f>
        <v/>
      </c>
      <c r="AE56" s="355">
        <f>AE18-AD18</f>
        <v/>
      </c>
      <c r="AF56" s="355">
        <f>AF18-AE18</f>
        <v/>
      </c>
      <c r="AG56" s="355">
        <f>AG18-AF18</f>
        <v/>
      </c>
      <c r="AH56" s="355">
        <f>AH18-AG18</f>
        <v/>
      </c>
      <c r="AI56" s="355">
        <f>AI18-AH18</f>
        <v/>
      </c>
      <c r="AJ56" s="356">
        <f>SUM(H56:AH56)</f>
        <v/>
      </c>
    </row>
    <row r="57">
      <c r="A57" s="541" t="n"/>
      <c r="B57" s="541" t="n"/>
      <c r="C57" s="547" t="inlineStr">
        <is>
          <t>DG</t>
        </is>
      </c>
      <c r="D57" s="501" t="n"/>
      <c r="E57" s="355">
        <f>E19-D19</f>
        <v/>
      </c>
      <c r="F57" s="355">
        <f>F19-E19</f>
        <v/>
      </c>
      <c r="G57" s="355">
        <f>G19-F19</f>
        <v/>
      </c>
      <c r="H57" s="355">
        <f>H19-G19</f>
        <v/>
      </c>
      <c r="I57" s="355">
        <f>I19-H19</f>
        <v/>
      </c>
      <c r="J57" s="355">
        <f>J19-I19</f>
        <v/>
      </c>
      <c r="K57" s="355">
        <f>K19-J19</f>
        <v/>
      </c>
      <c r="L57" s="355">
        <f>L19-K19</f>
        <v/>
      </c>
      <c r="M57" s="355">
        <f>M19-L19</f>
        <v/>
      </c>
      <c r="N57" s="355">
        <f>N19-M19</f>
        <v/>
      </c>
      <c r="O57" s="355">
        <f>O19-N19</f>
        <v/>
      </c>
      <c r="P57" s="355">
        <f>P19-O19</f>
        <v/>
      </c>
      <c r="Q57" s="355">
        <f>Q19-P19</f>
        <v/>
      </c>
      <c r="R57" s="355">
        <f>R19-Q19</f>
        <v/>
      </c>
      <c r="S57" s="355">
        <f>S19-R19</f>
        <v/>
      </c>
      <c r="T57" s="355">
        <f>T19-S19</f>
        <v/>
      </c>
      <c r="U57" s="355">
        <f>U19-T19</f>
        <v/>
      </c>
      <c r="V57" s="355">
        <f>V19-U19</f>
        <v/>
      </c>
      <c r="W57" s="355">
        <f>W19-V19</f>
        <v/>
      </c>
      <c r="X57" s="355">
        <f>X19-W19</f>
        <v/>
      </c>
      <c r="Y57" s="355">
        <f>Y19-X19</f>
        <v/>
      </c>
      <c r="Z57" s="355">
        <f>Z19-Y19</f>
        <v/>
      </c>
      <c r="AA57" s="355">
        <f>AA19-Z19</f>
        <v/>
      </c>
      <c r="AB57" s="355">
        <f>AB19-AA19</f>
        <v/>
      </c>
      <c r="AC57" s="355">
        <f>AC19-AB19</f>
        <v/>
      </c>
      <c r="AD57" s="355">
        <f>AD19-AC19</f>
        <v/>
      </c>
      <c r="AE57" s="355">
        <f>AE19-AD19</f>
        <v/>
      </c>
      <c r="AF57" s="355">
        <f>AF19-AE19</f>
        <v/>
      </c>
      <c r="AG57" s="355">
        <f>AG19-AF19</f>
        <v/>
      </c>
      <c r="AH57" s="355">
        <f>AH19-AG19</f>
        <v/>
      </c>
      <c r="AI57" s="355">
        <f>AI19-AH19</f>
        <v/>
      </c>
      <c r="AJ57" s="356">
        <f>SUM(H57:AH57)</f>
        <v/>
      </c>
    </row>
    <row r="58">
      <c r="A58" s="541" t="n">
        <v>8</v>
      </c>
      <c r="B58" s="541" t="inlineStr">
        <is>
          <t>3F</t>
        </is>
      </c>
      <c r="C58" s="541" t="inlineStr">
        <is>
          <t>SL No 540430038848 (EB Unit)</t>
        </is>
      </c>
      <c r="D58" s="501" t="n"/>
      <c r="E58" s="355">
        <f>E20-D20</f>
        <v/>
      </c>
      <c r="F58" s="355">
        <f>F20-E20</f>
        <v/>
      </c>
      <c r="G58" s="355">
        <f>G20-F20</f>
        <v/>
      </c>
      <c r="H58" s="355">
        <f>H20-G20</f>
        <v/>
      </c>
      <c r="I58" s="355">
        <f>I20-H20</f>
        <v/>
      </c>
      <c r="J58" s="355">
        <f>J20-I20</f>
        <v/>
      </c>
      <c r="K58" s="355">
        <f>K20-J20</f>
        <v/>
      </c>
      <c r="L58" s="355">
        <f>L20-K20</f>
        <v/>
      </c>
      <c r="M58" s="355">
        <f>M20-L20</f>
        <v/>
      </c>
      <c r="N58" s="355">
        <f>N20-M20</f>
        <v/>
      </c>
      <c r="O58" s="355">
        <f>O20-N20</f>
        <v/>
      </c>
      <c r="P58" s="355">
        <f>P20-O20</f>
        <v/>
      </c>
      <c r="Q58" s="355">
        <f>Q20-P20</f>
        <v/>
      </c>
      <c r="R58" s="355">
        <f>R20-Q20</f>
        <v/>
      </c>
      <c r="S58" s="355">
        <f>S20-R20</f>
        <v/>
      </c>
      <c r="T58" s="355">
        <f>T20-S20</f>
        <v/>
      </c>
      <c r="U58" s="355">
        <f>U20-T20</f>
        <v/>
      </c>
      <c r="V58" s="355">
        <f>V20-U20</f>
        <v/>
      </c>
      <c r="W58" s="355">
        <f>W20-V20</f>
        <v/>
      </c>
      <c r="X58" s="355">
        <f>X20-W20</f>
        <v/>
      </c>
      <c r="Y58" s="355">
        <f>Y20-X20</f>
        <v/>
      </c>
      <c r="Z58" s="355">
        <f>Z20-Y20</f>
        <v/>
      </c>
      <c r="AA58" s="355">
        <f>AA20-Z20</f>
        <v/>
      </c>
      <c r="AB58" s="355">
        <f>AB20-AA20</f>
        <v/>
      </c>
      <c r="AC58" s="355">
        <f>AC20-AB20</f>
        <v/>
      </c>
      <c r="AD58" s="355">
        <f>AD20-AC20</f>
        <v/>
      </c>
      <c r="AE58" s="355">
        <f>AE20-AD20</f>
        <v/>
      </c>
      <c r="AF58" s="355">
        <f>AF20-AE20</f>
        <v/>
      </c>
      <c r="AG58" s="355">
        <f>AG20-AF20</f>
        <v/>
      </c>
      <c r="AH58" s="355">
        <f>AH20-AG20</f>
        <v/>
      </c>
      <c r="AI58" s="355">
        <f>AI20-AH20</f>
        <v/>
      </c>
      <c r="AJ58" s="356">
        <f>SUM(H58:AH58)</f>
        <v/>
      </c>
    </row>
    <row r="59">
      <c r="A59" s="541" t="n"/>
      <c r="B59" s="541" t="n"/>
      <c r="C59" s="547" t="inlineStr">
        <is>
          <t>DG</t>
        </is>
      </c>
      <c r="D59" s="501" t="n"/>
      <c r="E59" s="355">
        <f>E21-D21</f>
        <v/>
      </c>
      <c r="F59" s="355">
        <f>F21-E21</f>
        <v/>
      </c>
      <c r="G59" s="355">
        <f>G21-F21</f>
        <v/>
      </c>
      <c r="H59" s="355">
        <f>H21-G21</f>
        <v/>
      </c>
      <c r="I59" s="355">
        <f>I21-H21</f>
        <v/>
      </c>
      <c r="J59" s="355">
        <f>J21-I21</f>
        <v/>
      </c>
      <c r="K59" s="355">
        <f>K21-J21</f>
        <v/>
      </c>
      <c r="L59" s="355">
        <f>L21-K21</f>
        <v/>
      </c>
      <c r="M59" s="355">
        <f>M21-L21</f>
        <v/>
      </c>
      <c r="N59" s="355">
        <f>N21-M21</f>
        <v/>
      </c>
      <c r="O59" s="355">
        <f>O21-N21</f>
        <v/>
      </c>
      <c r="P59" s="355">
        <f>P21-O21</f>
        <v/>
      </c>
      <c r="Q59" s="355">
        <f>Q21-P21</f>
        <v/>
      </c>
      <c r="R59" s="355">
        <f>R21-Q21</f>
        <v/>
      </c>
      <c r="S59" s="355">
        <f>S21-R21</f>
        <v/>
      </c>
      <c r="T59" s="355">
        <f>T21-S21</f>
        <v/>
      </c>
      <c r="U59" s="355">
        <f>U21-T21</f>
        <v/>
      </c>
      <c r="V59" s="355">
        <f>V21-U21</f>
        <v/>
      </c>
      <c r="W59" s="355">
        <f>W21-V21</f>
        <v/>
      </c>
      <c r="X59" s="355">
        <f>X21-W21</f>
        <v/>
      </c>
      <c r="Y59" s="355">
        <f>Y21-X21</f>
        <v/>
      </c>
      <c r="Z59" s="355">
        <f>Z21-Y21</f>
        <v/>
      </c>
      <c r="AA59" s="355">
        <f>AA21-Z21</f>
        <v/>
      </c>
      <c r="AB59" s="355">
        <f>AB21-AA21</f>
        <v/>
      </c>
      <c r="AC59" s="355">
        <f>AC21-AB21</f>
        <v/>
      </c>
      <c r="AD59" s="355">
        <f>AD21-AC21</f>
        <v/>
      </c>
      <c r="AE59" s="355">
        <f>AE21-AD21</f>
        <v/>
      </c>
      <c r="AF59" s="355">
        <f>AF21-AE21</f>
        <v/>
      </c>
      <c r="AG59" s="355">
        <f>AG21-AF21</f>
        <v/>
      </c>
      <c r="AH59" s="355">
        <f>AH21-AG21</f>
        <v/>
      </c>
      <c r="AI59" s="355">
        <f>AI21-AH21</f>
        <v/>
      </c>
      <c r="AJ59" s="356">
        <f>SUM(H59:AH59)</f>
        <v/>
      </c>
    </row>
    <row r="60">
      <c r="A60" s="357" t="n"/>
      <c r="B60" s="357" t="n"/>
      <c r="C60" s="553" t="inlineStr">
        <is>
          <t>Total Power - EB Unit</t>
        </is>
      </c>
      <c r="D60" s="501" t="n"/>
      <c r="E60" s="358">
        <f>SUM(E58,E56,E54,E52,E50,E48,E46,E44)</f>
        <v/>
      </c>
      <c r="F60" s="358">
        <f>SUM(F58,F56,F54,F52,F50,F48,F46,F44)</f>
        <v/>
      </c>
      <c r="G60" s="358">
        <f>SUM(G58,G56,G54,G52,G50,G48,G46,G44)</f>
        <v/>
      </c>
      <c r="H60" s="358">
        <f>SUM(H58,H56,H54,H52,H50,H48,H46,H44)</f>
        <v/>
      </c>
      <c r="I60" s="358">
        <f>SUM(I58,I56,I54,I52,I50,I48,I46,I44)</f>
        <v/>
      </c>
      <c r="J60" s="358">
        <f>SUM(J58,J56,J54,J52,J50,J48,J46,J44)</f>
        <v/>
      </c>
      <c r="K60" s="358">
        <f>SUM(K58,K56,K54,K52,K50,K48,K46,K44)</f>
        <v/>
      </c>
      <c r="L60" s="358">
        <f>SUM(L58,L56,L54,L52,L50,L48,L46,L44)</f>
        <v/>
      </c>
      <c r="M60" s="358">
        <f>SUM(M58,M56,M54,M52,M50,M48,M46,M44)</f>
        <v/>
      </c>
      <c r="N60" s="358">
        <f>SUM(N58,N56,N54,N52,N50,N48,N46,N44)</f>
        <v/>
      </c>
      <c r="O60" s="358">
        <f>SUM(O58,O56,O54,O52,O50,O48,O46,O44)</f>
        <v/>
      </c>
      <c r="P60" s="358">
        <f>SUM(P58,P56,P54,P52,P50,P48,P46,P44)</f>
        <v/>
      </c>
      <c r="Q60" s="358">
        <f>SUM(Q58,Q56,Q54,Q52,Q50,Q48,Q46,Q44)</f>
        <v/>
      </c>
      <c r="R60" s="358">
        <f>SUM(R58,R56,R54,R52,R50,R48,R46,R44)</f>
        <v/>
      </c>
      <c r="S60" s="358">
        <f>SUM(S58,S56,S54,S52,S50,S48,S46,S44)</f>
        <v/>
      </c>
      <c r="T60" s="358">
        <f>SUM(T58,T56,T54,T52,T50,T48,T46,T44)</f>
        <v/>
      </c>
      <c r="U60" s="358">
        <f>SUM(U58,U56,U54,U52,U50,U48,U46,U44)</f>
        <v/>
      </c>
      <c r="V60" s="358">
        <f>SUM(V58,V56,V54,V52,V50,V48,V46,V44)</f>
        <v/>
      </c>
      <c r="W60" s="358">
        <f>SUM(W58,W56,W54,W52,W50,W48,W46,W44)</f>
        <v/>
      </c>
      <c r="X60" s="358">
        <f>SUM(X58,X56,X54,X52,X50,X48,X46,X44)</f>
        <v/>
      </c>
      <c r="Y60" s="358">
        <f>SUM(Y58,Y56,Y54,Y52,Y50,Y48,Y46,Y44)</f>
        <v/>
      </c>
      <c r="Z60" s="358">
        <f>SUM(Z58,Z56,Z54,Z52,Z50,Z48,Z46,Z44)</f>
        <v/>
      </c>
      <c r="AA60" s="358">
        <f>SUM(AA58,AA56,AA54,AA52,AA50,AA48,AA46,AA44)</f>
        <v/>
      </c>
      <c r="AB60" s="358">
        <f>SUM(AB58,AB56,AB54,AB52,AB50,AB48,AB46,AB44)</f>
        <v/>
      </c>
      <c r="AC60" s="358">
        <f>SUM(AC58,AC56,AC54,AC52,AC50,AC48,AC46,AC44)</f>
        <v/>
      </c>
      <c r="AD60" s="358">
        <f>SUM(AD58,AD56,AD54,AD52,AD50,AD48,AD46,AD44)</f>
        <v/>
      </c>
      <c r="AE60" s="358">
        <f>SUM(AE58,AE56,AE54,AE52,AE50,AE48,AE46,AE44)</f>
        <v/>
      </c>
      <c r="AF60" s="358">
        <f>SUM(AF58,AF56,AF54,AF52,AF50,AF48,AF46,AF44)</f>
        <v/>
      </c>
      <c r="AG60" s="358">
        <f>SUM(AG58,AG56,AG54,AG52,AG50,AG48,AG46,AG44)</f>
        <v/>
      </c>
      <c r="AH60" s="358">
        <f>SUM(AH58,AH56,AH54,AH52,AH50,AH48,AH46,AH44)</f>
        <v/>
      </c>
      <c r="AI60" s="358">
        <f>SUM(AI58,AI56,AI54,AI52,AI50,AI48,AI46,AI44)</f>
        <v/>
      </c>
      <c r="AJ60" s="359">
        <f>SUM(H60:AH60)</f>
        <v/>
      </c>
    </row>
    <row r="61">
      <c r="A61" s="357" t="n"/>
      <c r="B61" s="357" t="n"/>
      <c r="C61" s="360" t="inlineStr">
        <is>
          <t>Total Power- DG</t>
        </is>
      </c>
      <c r="D61" s="361" t="n"/>
      <c r="E61" s="358">
        <f>SUM(E45,E47,E49,E51,E53,E55,E57,E59)</f>
        <v/>
      </c>
      <c r="F61" s="358">
        <f>SUM(F45,F47,F49,F51,F53,F55,F57,F59)</f>
        <v/>
      </c>
      <c r="G61" s="358">
        <f>SUM(G45,G47,G49,G51,G53,G55,G57,G59)</f>
        <v/>
      </c>
      <c r="H61" s="358">
        <f>SUM(H45,H47,H49,H51,H53,H55,H57,H59)</f>
        <v/>
      </c>
      <c r="I61" s="358">
        <f>SUM(I45,I47,I49,I51,I53,I55,I57,I59)</f>
        <v/>
      </c>
      <c r="J61" s="358">
        <f>SUM(J45,J47,J49,J51,J53,J55,J57,J59)</f>
        <v/>
      </c>
      <c r="K61" s="358">
        <f>SUM(K45,K47,K49,K51,K53,K55,K57,K59)</f>
        <v/>
      </c>
      <c r="L61" s="358">
        <f>SUM(L45,L47,L49,L51,L53,L55,L57,L59)</f>
        <v/>
      </c>
      <c r="M61" s="358">
        <f>SUM(M45,M47,M49,M51,M53,M55,M57,M59)</f>
        <v/>
      </c>
      <c r="N61" s="358">
        <f>SUM(N45,N47,N49,N51,N53,N55,N57,N59)</f>
        <v/>
      </c>
      <c r="O61" s="358">
        <f>SUM(O45,O47,O49,O51,O53,O55,O57,O59)</f>
        <v/>
      </c>
      <c r="P61" s="358">
        <f>SUM(P45,P47,P49,P51,P53,P55,P57,P59)</f>
        <v/>
      </c>
      <c r="Q61" s="358">
        <f>SUM(Q45,Q47,Q49,Q51,Q53,Q55,Q57,Q59)</f>
        <v/>
      </c>
      <c r="R61" s="358">
        <f>SUM(R45,R47,R49,R51,R53,R55,R57,R59)</f>
        <v/>
      </c>
      <c r="S61" s="358">
        <f>SUM(S45,S47,S49,S51,S53,S55,S57,S59)</f>
        <v/>
      </c>
      <c r="T61" s="358">
        <f>SUM(T45,T47,T49,T51,T53,T55,T57,T59)</f>
        <v/>
      </c>
      <c r="U61" s="358">
        <f>SUM(U45,U47,U49,U51,U53,U55,U57,U59)</f>
        <v/>
      </c>
      <c r="V61" s="358">
        <f>SUM(V45,V47,V49,V51,V53,V55,V57,V59)</f>
        <v/>
      </c>
      <c r="W61" s="358">
        <f>SUM(W45,W47,W49,W51,W53,W55,W57,W59)</f>
        <v/>
      </c>
      <c r="X61" s="358">
        <f>SUM(X45,X47,X49,X51,X53,X55,X57,X59)</f>
        <v/>
      </c>
      <c r="Y61" s="358">
        <f>SUM(Y45,Y47,Y49,Y51,Y53,Y55,Y57,Y59)</f>
        <v/>
      </c>
      <c r="Z61" s="358">
        <f>SUM(Z45,Z47,Z49,Z51,Z53,Z55,Z57,Z59)</f>
        <v/>
      </c>
      <c r="AA61" s="358">
        <f>SUM(AA45,AA47,AA49,AA51,AA53,AA55,AA57,AA59)</f>
        <v/>
      </c>
      <c r="AB61" s="358">
        <f>SUM(AB45,AB47,AB49,AB51,AB53,AB55,AB57,AB59)</f>
        <v/>
      </c>
      <c r="AC61" s="358">
        <f>SUM(AC45,AC47,AC49,AC51,AC53,AC55,AC57,AC59)</f>
        <v/>
      </c>
      <c r="AD61" s="358">
        <f>SUM(AD45,AD47,AD49,AD51,AD53,AD55,AD57,AD59)</f>
        <v/>
      </c>
      <c r="AE61" s="358">
        <f>SUM(AE45,AE47,AE49,AE51,AE53,AE55,AE57,AE59)</f>
        <v/>
      </c>
      <c r="AF61" s="358">
        <f>SUM(AF45,AF47,AF49,AF51,AF53,AF55,AF57,AF59)</f>
        <v/>
      </c>
      <c r="AG61" s="358">
        <f>SUM(AG45,AG47,AG49,AG51,AG53,AG55,AG57,AG59)</f>
        <v/>
      </c>
      <c r="AH61" s="358">
        <f>SUM(AH45,AH47,AH49,AH51,AH53,AH55,AH57,AH59)</f>
        <v/>
      </c>
      <c r="AI61" s="358">
        <f>SUM(AI45,AI47,AI49,AI51,AI53,AI55,AI57,AI59)</f>
        <v/>
      </c>
      <c r="AJ61" s="359">
        <f>SUM(H61:AH61)</f>
        <v/>
      </c>
    </row>
    <row r="62">
      <c r="A62" s="555" t="n"/>
      <c r="B62" s="555" t="n"/>
      <c r="C62" s="545" t="inlineStr">
        <is>
          <t>Total Power Cumulative</t>
        </is>
      </c>
      <c r="D62" s="501" t="n"/>
      <c r="E62" s="363">
        <f>E60</f>
        <v/>
      </c>
      <c r="F62" s="363">
        <f>F60</f>
        <v/>
      </c>
      <c r="G62" s="363">
        <f>G60</f>
        <v/>
      </c>
      <c r="H62" s="363">
        <f>H60</f>
        <v/>
      </c>
      <c r="I62" s="363">
        <f>I60</f>
        <v/>
      </c>
      <c r="J62" s="363">
        <f>J60</f>
        <v/>
      </c>
      <c r="K62" s="363">
        <f>K60</f>
        <v/>
      </c>
      <c r="L62" s="363">
        <f>L60</f>
        <v/>
      </c>
      <c r="M62" s="363">
        <f>M60</f>
        <v/>
      </c>
      <c r="N62" s="363">
        <f>N60</f>
        <v/>
      </c>
      <c r="O62" s="363">
        <f>O60</f>
        <v/>
      </c>
      <c r="P62" s="363">
        <f>P60</f>
        <v/>
      </c>
      <c r="Q62" s="363">
        <f>Q60</f>
        <v/>
      </c>
      <c r="R62" s="363">
        <f>R60</f>
        <v/>
      </c>
      <c r="S62" s="363">
        <f>S60</f>
        <v/>
      </c>
      <c r="T62" s="363">
        <f>T60</f>
        <v/>
      </c>
      <c r="U62" s="363">
        <f>U60</f>
        <v/>
      </c>
      <c r="V62" s="363">
        <f>V60</f>
        <v/>
      </c>
      <c r="W62" s="363">
        <f>W60</f>
        <v/>
      </c>
      <c r="X62" s="363">
        <f>X60</f>
        <v/>
      </c>
      <c r="Y62" s="363">
        <f>Y60</f>
        <v/>
      </c>
      <c r="Z62" s="363">
        <f>Z60</f>
        <v/>
      </c>
      <c r="AA62" s="363">
        <f>AA60</f>
        <v/>
      </c>
      <c r="AB62" s="363">
        <f>AB60</f>
        <v/>
      </c>
      <c r="AC62" s="363">
        <f>AC60</f>
        <v/>
      </c>
      <c r="AD62" s="363">
        <f>AD60</f>
        <v/>
      </c>
      <c r="AE62" s="363">
        <f>AE60</f>
        <v/>
      </c>
      <c r="AF62" s="363">
        <f>AF60</f>
        <v/>
      </c>
      <c r="AG62" s="363">
        <f>AG60</f>
        <v/>
      </c>
      <c r="AH62" s="363">
        <f>AH60</f>
        <v/>
      </c>
      <c r="AI62" s="363">
        <f>AI60</f>
        <v/>
      </c>
      <c r="AJ62" s="363">
        <f>AJ60</f>
        <v/>
      </c>
    </row>
    <row r="63">
      <c r="A63" s="351" t="n"/>
      <c r="B63" s="560" t="n"/>
      <c r="C63" s="365" t="n"/>
      <c r="D63" s="366" t="n"/>
      <c r="E63" s="351" t="n"/>
      <c r="F63" s="351" t="n"/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  <c r="AJ63" s="351" t="n"/>
    </row>
    <row r="64">
      <c r="A64" s="367" t="inlineStr">
        <is>
          <t>S No</t>
        </is>
      </c>
      <c r="B64" s="367" t="inlineStr">
        <is>
          <t>Location</t>
        </is>
      </c>
      <c r="C64" s="552" t="inlineStr">
        <is>
          <t>Meter</t>
        </is>
      </c>
      <c r="D64" s="501" t="n"/>
      <c r="E64" s="367" t="n"/>
      <c r="F64" s="367" t="n"/>
      <c r="G64" s="367" t="n"/>
      <c r="H64" s="367" t="n"/>
      <c r="I64" s="367" t="n"/>
      <c r="J64" s="367" t="n"/>
      <c r="K64" s="367" t="n"/>
      <c r="L64" s="367" t="n"/>
      <c r="M64" s="367" t="n"/>
      <c r="N64" s="367" t="n"/>
      <c r="O64" s="367" t="n"/>
      <c r="P64" s="367" t="n"/>
      <c r="Q64" s="367" t="n"/>
      <c r="R64" s="367" t="n"/>
      <c r="S64" s="367" t="n"/>
      <c r="T64" s="367" t="n"/>
      <c r="U64" s="367" t="n"/>
      <c r="V64" s="367" t="n"/>
      <c r="W64" s="367" t="n"/>
      <c r="X64" s="367" t="n"/>
      <c r="Y64" s="367" t="n"/>
      <c r="Z64" s="367" t="n"/>
      <c r="AA64" s="367" t="n"/>
      <c r="AB64" s="367" t="n"/>
      <c r="AC64" s="367" t="n"/>
      <c r="AD64" s="367" t="n"/>
      <c r="AE64" s="367" t="n"/>
      <c r="AF64" s="367" t="n"/>
      <c r="AG64" s="367" t="n"/>
      <c r="AH64" s="367" t="n"/>
      <c r="AI64" s="367" t="n"/>
      <c r="AJ64" s="368" t="n"/>
    </row>
    <row r="65">
      <c r="A65" s="541" t="n">
        <v>1</v>
      </c>
      <c r="B65" s="541" t="inlineStr">
        <is>
          <t>3F</t>
        </is>
      </c>
      <c r="C65" s="558" t="inlineStr">
        <is>
          <t>AHU1</t>
        </is>
      </c>
      <c r="D65" s="501" t="n"/>
      <c r="E65" s="363">
        <f>E23-D23</f>
        <v/>
      </c>
      <c r="F65" s="363">
        <f>F23-E23</f>
        <v/>
      </c>
      <c r="G65" s="363">
        <f>G23-F23</f>
        <v/>
      </c>
      <c r="H65" s="363">
        <f>H23-G23</f>
        <v/>
      </c>
      <c r="I65" s="363">
        <f>I23-H23</f>
        <v/>
      </c>
      <c r="J65" s="363">
        <f>J23-I23</f>
        <v/>
      </c>
      <c r="K65" s="363">
        <f>K23-J23</f>
        <v/>
      </c>
      <c r="L65" s="363">
        <f>L23-K23</f>
        <v/>
      </c>
      <c r="M65" s="363">
        <f>M23-L23</f>
        <v/>
      </c>
      <c r="N65" s="363">
        <f>N23-M23</f>
        <v/>
      </c>
      <c r="O65" s="363">
        <f>O23-N23</f>
        <v/>
      </c>
      <c r="P65" s="363">
        <f>P23-O23</f>
        <v/>
      </c>
      <c r="Q65" s="363">
        <f>Q23-P23</f>
        <v/>
      </c>
      <c r="R65" s="363">
        <f>R23-Q23</f>
        <v/>
      </c>
      <c r="S65" s="363">
        <f>S23-R23</f>
        <v/>
      </c>
      <c r="T65" s="363">
        <f>T23-S23</f>
        <v/>
      </c>
      <c r="U65" s="363">
        <f>U23-T23</f>
        <v/>
      </c>
      <c r="V65" s="363">
        <f>V23-U23</f>
        <v/>
      </c>
      <c r="W65" s="363">
        <f>W23-V23</f>
        <v/>
      </c>
      <c r="X65" s="363">
        <f>X23-W23</f>
        <v/>
      </c>
      <c r="Y65" s="363">
        <f>Y23-X23</f>
        <v/>
      </c>
      <c r="Z65" s="363">
        <f>Z23-Y23</f>
        <v/>
      </c>
      <c r="AA65" s="363">
        <f>AA23-Z23</f>
        <v/>
      </c>
      <c r="AB65" s="363">
        <f>AB23-AA23</f>
        <v/>
      </c>
      <c r="AC65" s="363">
        <f>AC23-AB23</f>
        <v/>
      </c>
      <c r="AD65" s="363">
        <f>AD23-AC23</f>
        <v/>
      </c>
      <c r="AE65" s="363">
        <f>AE23-AD23</f>
        <v/>
      </c>
      <c r="AF65" s="363">
        <f>AF23-AE23</f>
        <v/>
      </c>
      <c r="AG65" s="363">
        <f>AG23-AF23</f>
        <v/>
      </c>
      <c r="AH65" s="363">
        <f>AH23-AG23</f>
        <v/>
      </c>
      <c r="AI65" s="363">
        <f>AI23-AH23</f>
        <v/>
      </c>
      <c r="AJ65" s="363">
        <f>SUM(E65:AI65)</f>
        <v/>
      </c>
    </row>
    <row r="66">
      <c r="A66" s="541" t="n"/>
      <c r="B66" s="541" t="n"/>
      <c r="C66" s="546" t="inlineStr">
        <is>
          <t>DG</t>
        </is>
      </c>
      <c r="D66" s="501" t="n"/>
      <c r="E66" s="363">
        <f>E24-D24</f>
        <v/>
      </c>
      <c r="F66" s="363">
        <f>F24-E24</f>
        <v/>
      </c>
      <c r="G66" s="363">
        <f>G24-F24</f>
        <v/>
      </c>
      <c r="H66" s="363">
        <f>H24-G24</f>
        <v/>
      </c>
      <c r="I66" s="363">
        <f>I24-H24</f>
        <v/>
      </c>
      <c r="J66" s="363">
        <f>J24-I24</f>
        <v/>
      </c>
      <c r="K66" s="363">
        <f>K24-J24</f>
        <v/>
      </c>
      <c r="L66" s="363">
        <f>L24-K24</f>
        <v/>
      </c>
      <c r="M66" s="363">
        <f>M24-L24</f>
        <v/>
      </c>
      <c r="N66" s="363">
        <f>N24-M24</f>
        <v/>
      </c>
      <c r="O66" s="363">
        <f>O24-N24</f>
        <v/>
      </c>
      <c r="P66" s="363">
        <f>P24-O24</f>
        <v/>
      </c>
      <c r="Q66" s="363">
        <f>Q24-P24</f>
        <v/>
      </c>
      <c r="R66" s="363">
        <f>R24-Q24</f>
        <v/>
      </c>
      <c r="S66" s="363">
        <f>S24-R24</f>
        <v/>
      </c>
      <c r="T66" s="363">
        <f>T24-S24</f>
        <v/>
      </c>
      <c r="U66" s="363">
        <f>U24-T24</f>
        <v/>
      </c>
      <c r="V66" s="363">
        <f>V24-U24</f>
        <v/>
      </c>
      <c r="W66" s="363">
        <f>W24-V24</f>
        <v/>
      </c>
      <c r="X66" s="363">
        <f>X24-W24</f>
        <v/>
      </c>
      <c r="Y66" s="363">
        <f>Y24-X24</f>
        <v/>
      </c>
      <c r="Z66" s="363">
        <f>Z24-Y24</f>
        <v/>
      </c>
      <c r="AA66" s="363">
        <f>AA24-Z24</f>
        <v/>
      </c>
      <c r="AB66" s="363">
        <f>AB24-AA24</f>
        <v/>
      </c>
      <c r="AC66" s="363">
        <f>AC24-AB24</f>
        <v/>
      </c>
      <c r="AD66" s="363">
        <f>AD24-AC24</f>
        <v/>
      </c>
      <c r="AE66" s="363">
        <f>AE24-AD24</f>
        <v/>
      </c>
      <c r="AF66" s="363">
        <f>AF24-AE24</f>
        <v/>
      </c>
      <c r="AG66" s="363">
        <f>AG24-AF24</f>
        <v/>
      </c>
      <c r="AH66" s="363">
        <f>AH24-AG24</f>
        <v/>
      </c>
      <c r="AI66" s="363">
        <f>AI24-AH24</f>
        <v/>
      </c>
      <c r="AJ66" s="363">
        <f>SUM(E66:AI66)</f>
        <v/>
      </c>
    </row>
    <row r="67">
      <c r="A67" s="541" t="n">
        <v>2</v>
      </c>
      <c r="B67" s="541" t="inlineStr">
        <is>
          <t>3F</t>
        </is>
      </c>
      <c r="C67" s="558" t="inlineStr">
        <is>
          <t>AHU2</t>
        </is>
      </c>
      <c r="D67" s="501" t="n"/>
      <c r="E67" s="363">
        <f>E25-D25</f>
        <v/>
      </c>
      <c r="F67" s="363">
        <f>F25-E25</f>
        <v/>
      </c>
      <c r="G67" s="363">
        <f>G25-F25</f>
        <v/>
      </c>
      <c r="H67" s="363">
        <f>H25-G25</f>
        <v/>
      </c>
      <c r="I67" s="363">
        <f>I25-H25</f>
        <v/>
      </c>
      <c r="J67" s="363">
        <f>J25-I25</f>
        <v/>
      </c>
      <c r="K67" s="363">
        <f>K25-J25</f>
        <v/>
      </c>
      <c r="L67" s="363">
        <f>L25-K25</f>
        <v/>
      </c>
      <c r="M67" s="363">
        <f>M25-L25</f>
        <v/>
      </c>
      <c r="N67" s="363">
        <f>N25-M25</f>
        <v/>
      </c>
      <c r="O67" s="363">
        <f>O25-N25</f>
        <v/>
      </c>
      <c r="P67" s="363">
        <f>P25-O25</f>
        <v/>
      </c>
      <c r="Q67" s="363">
        <f>Q25-P25</f>
        <v/>
      </c>
      <c r="R67" s="363">
        <f>R25-Q25</f>
        <v/>
      </c>
      <c r="S67" s="363">
        <f>S25-R25</f>
        <v/>
      </c>
      <c r="T67" s="363">
        <f>T25-S25</f>
        <v/>
      </c>
      <c r="U67" s="363">
        <f>U25-T25</f>
        <v/>
      </c>
      <c r="V67" s="363">
        <f>V25-U25</f>
        <v/>
      </c>
      <c r="W67" s="363">
        <f>W25-V25</f>
        <v/>
      </c>
      <c r="X67" s="363">
        <f>X25-W25</f>
        <v/>
      </c>
      <c r="Y67" s="363">
        <f>Y25-X25</f>
        <v/>
      </c>
      <c r="Z67" s="363">
        <f>Z25-Y25</f>
        <v/>
      </c>
      <c r="AA67" s="363">
        <f>AA25-Z25</f>
        <v/>
      </c>
      <c r="AB67" s="363">
        <f>AB25-AA25</f>
        <v/>
      </c>
      <c r="AC67" s="363">
        <f>AC25-AB25</f>
        <v/>
      </c>
      <c r="AD67" s="363">
        <f>AD25-AC25</f>
        <v/>
      </c>
      <c r="AE67" s="363">
        <f>AE25-AD25</f>
        <v/>
      </c>
      <c r="AF67" s="363">
        <f>AF25-AE25</f>
        <v/>
      </c>
      <c r="AG67" s="363">
        <f>AG25-AF25</f>
        <v/>
      </c>
      <c r="AH67" s="363">
        <f>AH25-AG25</f>
        <v/>
      </c>
      <c r="AI67" s="363">
        <f>AI25-AH25</f>
        <v/>
      </c>
      <c r="AJ67" s="363">
        <f>SUM(E67:AI67)</f>
        <v/>
      </c>
    </row>
    <row r="68">
      <c r="A68" s="541" t="n"/>
      <c r="B68" s="541" t="n"/>
      <c r="C68" s="546" t="inlineStr">
        <is>
          <t>DG</t>
        </is>
      </c>
      <c r="D68" s="501" t="n"/>
      <c r="E68" s="363">
        <f>E26-D26</f>
        <v/>
      </c>
      <c r="F68" s="363">
        <f>F26-E26</f>
        <v/>
      </c>
      <c r="G68" s="363">
        <f>G26-F26</f>
        <v/>
      </c>
      <c r="H68" s="363">
        <f>H26-G26</f>
        <v/>
      </c>
      <c r="I68" s="363">
        <f>I26-H26</f>
        <v/>
      </c>
      <c r="J68" s="363">
        <f>J26-I26</f>
        <v/>
      </c>
      <c r="K68" s="363">
        <f>K26-J26</f>
        <v/>
      </c>
      <c r="L68" s="363">
        <f>L26-K26</f>
        <v/>
      </c>
      <c r="M68" s="363">
        <f>M26-L26</f>
        <v/>
      </c>
      <c r="N68" s="363">
        <f>N26-M26</f>
        <v/>
      </c>
      <c r="O68" s="363">
        <f>O26-N26</f>
        <v/>
      </c>
      <c r="P68" s="363">
        <f>P26-O26</f>
        <v/>
      </c>
      <c r="Q68" s="363">
        <f>Q26-P26</f>
        <v/>
      </c>
      <c r="R68" s="363">
        <f>R26-Q26</f>
        <v/>
      </c>
      <c r="S68" s="363">
        <f>S26-R26</f>
        <v/>
      </c>
      <c r="T68" s="363">
        <f>T26-S26</f>
        <v/>
      </c>
      <c r="U68" s="363">
        <f>U26-T26</f>
        <v/>
      </c>
      <c r="V68" s="363">
        <f>V26-U26</f>
        <v/>
      </c>
      <c r="W68" s="363">
        <f>W26-V26</f>
        <v/>
      </c>
      <c r="X68" s="363">
        <f>X26-W26</f>
        <v/>
      </c>
      <c r="Y68" s="363">
        <f>Y26-X26</f>
        <v/>
      </c>
      <c r="Z68" s="363">
        <f>Z26-Y26</f>
        <v/>
      </c>
      <c r="AA68" s="363">
        <f>AA26-Z26</f>
        <v/>
      </c>
      <c r="AB68" s="363">
        <f>AB26-AA26</f>
        <v/>
      </c>
      <c r="AC68" s="363">
        <f>AC26-AB26</f>
        <v/>
      </c>
      <c r="AD68" s="363">
        <f>AD26-AC26</f>
        <v/>
      </c>
      <c r="AE68" s="363">
        <f>AE26-AD26</f>
        <v/>
      </c>
      <c r="AF68" s="363">
        <f>AF26-AE26</f>
        <v/>
      </c>
      <c r="AG68" s="363">
        <f>AG26-AF26</f>
        <v/>
      </c>
      <c r="AH68" s="363">
        <f>AH26-AG26</f>
        <v/>
      </c>
      <c r="AI68" s="363">
        <f>AI26-AH26</f>
        <v/>
      </c>
      <c r="AJ68" s="363">
        <f>SUM(E68:AI68)</f>
        <v/>
      </c>
      <c r="AK68" s="115" t="inlineStr">
        <is>
          <t>EB</t>
        </is>
      </c>
      <c r="AL68" s="116">
        <f>AJ60</f>
        <v/>
      </c>
    </row>
    <row r="69">
      <c r="A69" s="541" t="n">
        <v>3</v>
      </c>
      <c r="B69" s="541" t="inlineStr">
        <is>
          <t>3F</t>
        </is>
      </c>
      <c r="C69" s="558" t="inlineStr">
        <is>
          <t>AHU3</t>
        </is>
      </c>
      <c r="D69" s="501" t="n"/>
      <c r="E69" s="363">
        <f>E27-D27</f>
        <v/>
      </c>
      <c r="F69" s="363">
        <f>F27-E27</f>
        <v/>
      </c>
      <c r="G69" s="363">
        <f>G27-F27</f>
        <v/>
      </c>
      <c r="H69" s="363">
        <f>H27-G27</f>
        <v/>
      </c>
      <c r="I69" s="363">
        <f>I27-H27</f>
        <v/>
      </c>
      <c r="J69" s="363">
        <f>J27-I27</f>
        <v/>
      </c>
      <c r="K69" s="363">
        <f>K27-J27</f>
        <v/>
      </c>
      <c r="L69" s="363">
        <f>L27-K27</f>
        <v/>
      </c>
      <c r="M69" s="363">
        <f>M27-L27</f>
        <v/>
      </c>
      <c r="N69" s="363">
        <f>N27-M27</f>
        <v/>
      </c>
      <c r="O69" s="363">
        <f>O27-N27</f>
        <v/>
      </c>
      <c r="P69" s="363">
        <f>P27-O27</f>
        <v/>
      </c>
      <c r="Q69" s="363">
        <f>Q27-P27</f>
        <v/>
      </c>
      <c r="R69" s="363">
        <f>R27-Q27</f>
        <v/>
      </c>
      <c r="S69" s="363">
        <f>S27-R27</f>
        <v/>
      </c>
      <c r="T69" s="363">
        <f>T27-S27</f>
        <v/>
      </c>
      <c r="U69" s="363">
        <f>U27-T27</f>
        <v/>
      </c>
      <c r="V69" s="363">
        <f>V27-U27</f>
        <v/>
      </c>
      <c r="W69" s="363">
        <f>W27-V27</f>
        <v/>
      </c>
      <c r="X69" s="363">
        <f>X27-W27</f>
        <v/>
      </c>
      <c r="Y69" s="363">
        <f>Y27-X27</f>
        <v/>
      </c>
      <c r="Z69" s="363">
        <f>Z27-Y27</f>
        <v/>
      </c>
      <c r="AA69" s="363">
        <f>AA27-Z27</f>
        <v/>
      </c>
      <c r="AB69" s="363">
        <f>AB27-AA27</f>
        <v/>
      </c>
      <c r="AC69" s="363">
        <f>AC27-AB27</f>
        <v/>
      </c>
      <c r="AD69" s="363">
        <f>AD27-AC27</f>
        <v/>
      </c>
      <c r="AE69" s="363">
        <f>AE27-AD27</f>
        <v/>
      </c>
      <c r="AF69" s="363">
        <f>AF27-AE27</f>
        <v/>
      </c>
      <c r="AG69" s="363">
        <f>AG27-AF27</f>
        <v/>
      </c>
      <c r="AH69" s="363">
        <f>AH27-AG27</f>
        <v/>
      </c>
      <c r="AI69" s="363">
        <f>AI27-AH27</f>
        <v/>
      </c>
      <c r="AJ69" s="363">
        <f>SUM(E69:AI69)</f>
        <v/>
      </c>
      <c r="AK69" s="115" t="inlineStr">
        <is>
          <t>AHU</t>
        </is>
      </c>
      <c r="AL69" s="116">
        <f>AJ73</f>
        <v/>
      </c>
    </row>
    <row r="70">
      <c r="A70" s="541" t="n"/>
      <c r="B70" s="541" t="n"/>
      <c r="C70" s="546" t="inlineStr">
        <is>
          <t>DG</t>
        </is>
      </c>
      <c r="D70" s="501" t="n"/>
      <c r="E70" s="363">
        <f>E28-D28</f>
        <v/>
      </c>
      <c r="F70" s="363">
        <f>F28-E28</f>
        <v/>
      </c>
      <c r="G70" s="363">
        <f>G28-F28</f>
        <v/>
      </c>
      <c r="H70" s="363">
        <f>H28-G28</f>
        <v/>
      </c>
      <c r="I70" s="363">
        <f>I28-H28</f>
        <v/>
      </c>
      <c r="J70" s="363">
        <f>J28-I28</f>
        <v/>
      </c>
      <c r="K70" s="363">
        <f>K28-J28</f>
        <v/>
      </c>
      <c r="L70" s="363">
        <f>L28-K28</f>
        <v/>
      </c>
      <c r="M70" s="363">
        <f>M28-L28</f>
        <v/>
      </c>
      <c r="N70" s="363">
        <f>N28-M28</f>
        <v/>
      </c>
      <c r="O70" s="363">
        <f>O28-N28</f>
        <v/>
      </c>
      <c r="P70" s="363">
        <f>P28-O28</f>
        <v/>
      </c>
      <c r="Q70" s="363">
        <f>Q28-P28</f>
        <v/>
      </c>
      <c r="R70" s="363">
        <f>R28-Q28</f>
        <v/>
      </c>
      <c r="S70" s="363">
        <f>S28-R28</f>
        <v/>
      </c>
      <c r="T70" s="363">
        <f>T28-S28</f>
        <v/>
      </c>
      <c r="U70" s="363">
        <f>U28-T28</f>
        <v/>
      </c>
      <c r="V70" s="363">
        <f>V28-U28</f>
        <v/>
      </c>
      <c r="W70" s="363">
        <f>W28-V28</f>
        <v/>
      </c>
      <c r="X70" s="363">
        <f>X28-W28</f>
        <v/>
      </c>
      <c r="Y70" s="363">
        <f>Y28-X28</f>
        <v/>
      </c>
      <c r="Z70" s="363">
        <f>Z28-Y28</f>
        <v/>
      </c>
      <c r="AA70" s="363">
        <f>AA28-Z28</f>
        <v/>
      </c>
      <c r="AB70" s="363">
        <f>AB28-AA28</f>
        <v/>
      </c>
      <c r="AC70" s="363">
        <f>AC28-AB28</f>
        <v/>
      </c>
      <c r="AD70" s="363">
        <f>AD28-AC28</f>
        <v/>
      </c>
      <c r="AE70" s="363">
        <f>AE28-AD28</f>
        <v/>
      </c>
      <c r="AF70" s="363">
        <f>AF28-AE28</f>
        <v/>
      </c>
      <c r="AG70" s="363">
        <f>AG28-AF28</f>
        <v/>
      </c>
      <c r="AH70" s="363">
        <f>AH28-AG28</f>
        <v/>
      </c>
      <c r="AI70" s="363">
        <f>AI28-AH28</f>
        <v/>
      </c>
      <c r="AJ70" s="363">
        <f>SUM(E70:AI70)</f>
        <v/>
      </c>
      <c r="AK70" s="115" t="inlineStr">
        <is>
          <t>BTU</t>
        </is>
      </c>
      <c r="AL70" s="116">
        <f>AJ79*40%</f>
        <v/>
      </c>
    </row>
    <row r="71">
      <c r="A71" s="541" t="n">
        <v>4</v>
      </c>
      <c r="B71" s="541" t="inlineStr">
        <is>
          <t>3F</t>
        </is>
      </c>
      <c r="C71" s="558" t="inlineStr">
        <is>
          <t>AHU4</t>
        </is>
      </c>
      <c r="D71" s="501" t="n"/>
      <c r="E71" s="363">
        <f>E29-D29</f>
        <v/>
      </c>
      <c r="F71" s="363">
        <f>F29-E29</f>
        <v/>
      </c>
      <c r="G71" s="363">
        <f>G29-F29</f>
        <v/>
      </c>
      <c r="H71" s="363">
        <f>H29-G29</f>
        <v/>
      </c>
      <c r="I71" s="363">
        <f>I29-H29</f>
        <v/>
      </c>
      <c r="J71" s="363">
        <f>J29-I29</f>
        <v/>
      </c>
      <c r="K71" s="363">
        <f>K29-J29</f>
        <v/>
      </c>
      <c r="L71" s="363">
        <f>L29-K29</f>
        <v/>
      </c>
      <c r="M71" s="363">
        <f>M29-L29</f>
        <v/>
      </c>
      <c r="N71" s="363">
        <f>N29-M29</f>
        <v/>
      </c>
      <c r="O71" s="363">
        <f>O29-N29</f>
        <v/>
      </c>
      <c r="P71" s="363">
        <f>P29-O29</f>
        <v/>
      </c>
      <c r="Q71" s="363">
        <f>Q29-P29</f>
        <v/>
      </c>
      <c r="R71" s="363">
        <f>R29-Q29</f>
        <v/>
      </c>
      <c r="S71" s="363">
        <f>S29-R29</f>
        <v/>
      </c>
      <c r="T71" s="363">
        <f>T29-S29</f>
        <v/>
      </c>
      <c r="U71" s="363">
        <f>U29-T29</f>
        <v/>
      </c>
      <c r="V71" s="363">
        <f>V29-U29</f>
        <v/>
      </c>
      <c r="W71" s="363">
        <f>W29-V29</f>
        <v/>
      </c>
      <c r="X71" s="363">
        <f>X29-W29</f>
        <v/>
      </c>
      <c r="Y71" s="363">
        <f>Y29-X29</f>
        <v/>
      </c>
      <c r="Z71" s="363">
        <f>Z29-Y29</f>
        <v/>
      </c>
      <c r="AA71" s="363">
        <f>AA29-Z29</f>
        <v/>
      </c>
      <c r="AB71" s="363">
        <f>AB29-AA29</f>
        <v/>
      </c>
      <c r="AC71" s="363">
        <f>AC29-AB29</f>
        <v/>
      </c>
      <c r="AD71" s="363">
        <f>AD29-AC29</f>
        <v/>
      </c>
      <c r="AE71" s="363">
        <f>AE29-AD29</f>
        <v/>
      </c>
      <c r="AF71" s="363">
        <f>AF29-AE29</f>
        <v/>
      </c>
      <c r="AG71" s="363">
        <f>AG29-AF29</f>
        <v/>
      </c>
      <c r="AH71" s="363">
        <f>AH29-AG29</f>
        <v/>
      </c>
      <c r="AI71" s="363">
        <f>AI29-AH29</f>
        <v/>
      </c>
      <c r="AJ71" s="363">
        <f>SUM(E71:AI71)</f>
        <v/>
      </c>
      <c r="AK71" s="117" t="inlineStr">
        <is>
          <t>DG</t>
        </is>
      </c>
      <c r="AL71" s="118">
        <f>AJ74+AJ61</f>
        <v/>
      </c>
    </row>
    <row r="72">
      <c r="A72" s="541" t="n"/>
      <c r="B72" s="541" t="n"/>
      <c r="C72" s="546" t="inlineStr">
        <is>
          <t>DG</t>
        </is>
      </c>
      <c r="D72" s="501" t="n"/>
      <c r="E72" s="363">
        <f>E30-D30</f>
        <v/>
      </c>
      <c r="F72" s="363">
        <f>F30-E30</f>
        <v/>
      </c>
      <c r="G72" s="363">
        <f>G30-F30</f>
        <v/>
      </c>
      <c r="H72" s="363">
        <f>H30-G30</f>
        <v/>
      </c>
      <c r="I72" s="363">
        <f>I30-H30</f>
        <v/>
      </c>
      <c r="J72" s="363">
        <f>J30-I30</f>
        <v/>
      </c>
      <c r="K72" s="363">
        <f>K30-J30</f>
        <v/>
      </c>
      <c r="L72" s="363">
        <f>L30-K30</f>
        <v/>
      </c>
      <c r="M72" s="363">
        <f>M30-L30</f>
        <v/>
      </c>
      <c r="N72" s="363">
        <f>N30-M30</f>
        <v/>
      </c>
      <c r="O72" s="363">
        <f>O30-N30</f>
        <v/>
      </c>
      <c r="P72" s="363">
        <f>P30-O30</f>
        <v/>
      </c>
      <c r="Q72" s="363">
        <f>Q30-P30</f>
        <v/>
      </c>
      <c r="R72" s="363">
        <f>R30-Q30</f>
        <v/>
      </c>
      <c r="S72" s="363">
        <f>S30-R30</f>
        <v/>
      </c>
      <c r="T72" s="363">
        <f>T30-S30</f>
        <v/>
      </c>
      <c r="U72" s="363">
        <f>U30-T30</f>
        <v/>
      </c>
      <c r="V72" s="363">
        <f>V30-U30</f>
        <v/>
      </c>
      <c r="W72" s="363">
        <f>W30-V30</f>
        <v/>
      </c>
      <c r="X72" s="363">
        <f>X30-W30</f>
        <v/>
      </c>
      <c r="Y72" s="363">
        <f>Y30-X30</f>
        <v/>
      </c>
      <c r="Z72" s="363">
        <f>Z30-Y30</f>
        <v/>
      </c>
      <c r="AA72" s="363">
        <f>AA30-Z30</f>
        <v/>
      </c>
      <c r="AB72" s="363">
        <f>AB30-AA30</f>
        <v/>
      </c>
      <c r="AC72" s="363">
        <f>AC30-AB30</f>
        <v/>
      </c>
      <c r="AD72" s="363">
        <f>AD30-AC30</f>
        <v/>
      </c>
      <c r="AE72" s="363">
        <f>AE30-AD30</f>
        <v/>
      </c>
      <c r="AF72" s="363">
        <f>AF30-AE30</f>
        <v/>
      </c>
      <c r="AG72" s="363">
        <f>AG30-AF30</f>
        <v/>
      </c>
      <c r="AH72" s="363">
        <f>AH30-AG30</f>
        <v/>
      </c>
      <c r="AI72" s="363">
        <f>AI30-AH30</f>
        <v/>
      </c>
      <c r="AJ72" s="363">
        <f>SUM(E72:AI72)</f>
        <v/>
      </c>
    </row>
    <row r="73">
      <c r="A73" s="357" t="n"/>
      <c r="B73" s="357" t="n"/>
      <c r="C73" s="553" t="inlineStr">
        <is>
          <t>Total AHU Power Consumption</t>
        </is>
      </c>
      <c r="D73" s="501" t="n"/>
      <c r="E73" s="358">
        <f>SUM(E65,E67,E69,E71)</f>
        <v/>
      </c>
      <c r="F73" s="358">
        <f>SUM(F65,F67,F69,F71)</f>
        <v/>
      </c>
      <c r="G73" s="358">
        <f>SUM(G65,G67,G69,G71)</f>
        <v/>
      </c>
      <c r="H73" s="358">
        <f>SUM(H65,H67,H69,H71)</f>
        <v/>
      </c>
      <c r="I73" s="358">
        <f>SUM(I65,I67,I69,I71)</f>
        <v/>
      </c>
      <c r="J73" s="358">
        <f>SUM(J65,J67,J69,J71)</f>
        <v/>
      </c>
      <c r="K73" s="358">
        <f>SUM(K65,K67,K69,K71)</f>
        <v/>
      </c>
      <c r="L73" s="358">
        <f>SUM(L65,L67,L69,L71)</f>
        <v/>
      </c>
      <c r="M73" s="358">
        <f>SUM(M65,M67,M69,M71)</f>
        <v/>
      </c>
      <c r="N73" s="358">
        <f>SUM(N65,N67,N69,N71)</f>
        <v/>
      </c>
      <c r="O73" s="358">
        <f>SUM(O65,O67,O69,O71)</f>
        <v/>
      </c>
      <c r="P73" s="358">
        <f>SUM(P65,P67,P69,P71)</f>
        <v/>
      </c>
      <c r="Q73" s="358">
        <f>SUM(Q65,Q67,Q69,Q71)</f>
        <v/>
      </c>
      <c r="R73" s="358">
        <f>SUM(R65,R67,R69,R71)</f>
        <v/>
      </c>
      <c r="S73" s="358">
        <f>SUM(S65,S67,S69,S71)</f>
        <v/>
      </c>
      <c r="T73" s="358">
        <f>SUM(T65,T67,T69,T71)</f>
        <v/>
      </c>
      <c r="U73" s="358">
        <f>SUM(U65,U67,U69,U71)</f>
        <v/>
      </c>
      <c r="V73" s="358">
        <f>SUM(V65,V67,V69,V71)</f>
        <v/>
      </c>
      <c r="W73" s="358">
        <f>SUM(W65,W67,W69,W71)</f>
        <v/>
      </c>
      <c r="X73" s="358">
        <f>SUM(X65,X67,X69,X71)</f>
        <v/>
      </c>
      <c r="Y73" s="358">
        <f>SUM(Y65,Y67,Y69,Y71)</f>
        <v/>
      </c>
      <c r="Z73" s="358">
        <f>SUM(Z65,Z67,Z69,Z71)</f>
        <v/>
      </c>
      <c r="AA73" s="358">
        <f>SUM(AA65,AA67,AA69,AA71)</f>
        <v/>
      </c>
      <c r="AB73" s="358">
        <f>SUM(AB65,AB67,AB69,AB71)</f>
        <v/>
      </c>
      <c r="AC73" s="358">
        <f>SUM(AC65,AC67,AC69,AC71)</f>
        <v/>
      </c>
      <c r="AD73" s="358">
        <f>SUM(AD65,AD67,AD69,AD71)</f>
        <v/>
      </c>
      <c r="AE73" s="358">
        <f>SUM(AE65,AE67,AE69,AE71)</f>
        <v/>
      </c>
      <c r="AF73" s="358">
        <f>SUM(AF65,AF67,AF69,AF71)</f>
        <v/>
      </c>
      <c r="AG73" s="358">
        <f>SUM(AG65,AG67,AG69,AG71)</f>
        <v/>
      </c>
      <c r="AH73" s="358">
        <f>SUM(AH65,AH67,AH69,AH71)</f>
        <v/>
      </c>
      <c r="AI73" s="358">
        <f>SUM(AI65,AI67,AI69,AI71)</f>
        <v/>
      </c>
      <c r="AJ73" s="358">
        <f>SUM(E73:AI73)</f>
        <v/>
      </c>
    </row>
    <row r="74">
      <c r="A74" s="357" t="n"/>
      <c r="B74" s="357" t="n"/>
      <c r="C74" s="549" t="inlineStr">
        <is>
          <t>Total AHU DG consumption</t>
        </is>
      </c>
      <c r="D74" s="501" t="n"/>
      <c r="E74" s="358">
        <f>SUM(E66,E68,E70,E72)</f>
        <v/>
      </c>
      <c r="F74" s="358">
        <f>SUM(F66,F68,F70,F72)</f>
        <v/>
      </c>
      <c r="G74" s="358">
        <f>SUM(G66,G68,G70,G72)</f>
        <v/>
      </c>
      <c r="H74" s="358">
        <f>SUM(H66,H68,H70,H72)</f>
        <v/>
      </c>
      <c r="I74" s="358">
        <f>SUM(I66,I68,I70,I72)</f>
        <v/>
      </c>
      <c r="J74" s="358">
        <f>SUM(J66,J68,J70,J72)</f>
        <v/>
      </c>
      <c r="K74" s="358">
        <f>SUM(K66,K68,K70,K72)</f>
        <v/>
      </c>
      <c r="L74" s="358">
        <f>SUM(L66,L68,L70,L72)</f>
        <v/>
      </c>
      <c r="M74" s="358">
        <f>SUM(M66,M68,M70,M72)</f>
        <v/>
      </c>
      <c r="N74" s="358">
        <f>SUM(N66,N68,N70,N72)</f>
        <v/>
      </c>
      <c r="O74" s="358">
        <f>SUM(O66,O68,O70,O72)</f>
        <v/>
      </c>
      <c r="P74" s="358">
        <f>SUM(P66,P68,P70,P72)</f>
        <v/>
      </c>
      <c r="Q74" s="358">
        <f>SUM(Q66,Q68,Q70,Q72)</f>
        <v/>
      </c>
      <c r="R74" s="358">
        <f>SUM(R66,R68,R70,R72)</f>
        <v/>
      </c>
      <c r="S74" s="358">
        <f>SUM(S66,S68,S70,S72)</f>
        <v/>
      </c>
      <c r="T74" s="358">
        <f>SUM(T66,T68,T70,T72)</f>
        <v/>
      </c>
      <c r="U74" s="358">
        <f>SUM(U66,U68,U70,U72)</f>
        <v/>
      </c>
      <c r="V74" s="358">
        <f>SUM(V66,V68,V70,V72)</f>
        <v/>
      </c>
      <c r="W74" s="358">
        <f>SUM(W66,W68,W70,W72)</f>
        <v/>
      </c>
      <c r="X74" s="358">
        <f>SUM(X66,X68,X70,X72)</f>
        <v/>
      </c>
      <c r="Y74" s="358">
        <f>SUM(Y66,Y68,Y70,Y72)</f>
        <v/>
      </c>
      <c r="Z74" s="358">
        <f>SUM(Z66,Z68,Z70,Z72)</f>
        <v/>
      </c>
      <c r="AA74" s="358">
        <f>SUM(AA66,AA68,AA70,AA72)</f>
        <v/>
      </c>
      <c r="AB74" s="358">
        <f>SUM(AB66,AB68,AB70,AB72)</f>
        <v/>
      </c>
      <c r="AC74" s="358">
        <f>SUM(AC66,AC68,AC70,AC72)</f>
        <v/>
      </c>
      <c r="AD74" s="358">
        <f>SUM(AD66,AD68,AD70,AD72)</f>
        <v/>
      </c>
      <c r="AE74" s="358">
        <f>SUM(AE66,AE68,AE70,AE72)</f>
        <v/>
      </c>
      <c r="AF74" s="358">
        <f>SUM(AF66,AF68,AF70,AF72)</f>
        <v/>
      </c>
      <c r="AG74" s="358">
        <f>SUM(AG66,AG68,AG70,AG72)</f>
        <v/>
      </c>
      <c r="AH74" s="358">
        <f>SUM(AH66,AH68,AH70,AH72)</f>
        <v/>
      </c>
      <c r="AI74" s="358">
        <f>SUM(AI66,AI68,AI70,AI72)</f>
        <v/>
      </c>
      <c r="AJ74" s="358">
        <f>SUM(E74:AI74)</f>
        <v/>
      </c>
    </row>
    <row r="75">
      <c r="A75" s="541" t="n">
        <v>1</v>
      </c>
      <c r="B75" s="541" t="inlineStr">
        <is>
          <t>3F</t>
        </is>
      </c>
      <c r="C75" s="541" t="inlineStr">
        <is>
          <t>AHU1 - BTU</t>
        </is>
      </c>
      <c r="D75" s="501" t="n"/>
      <c r="E75" s="363">
        <f>E32-D32</f>
        <v/>
      </c>
      <c r="F75" s="363">
        <f>F32-E32</f>
        <v/>
      </c>
      <c r="G75" s="363">
        <f>G32-F32</f>
        <v/>
      </c>
      <c r="H75" s="363">
        <f>H32-G32</f>
        <v/>
      </c>
      <c r="I75" s="363">
        <f>I32-H32</f>
        <v/>
      </c>
      <c r="J75" s="363">
        <f>J32-I32</f>
        <v/>
      </c>
      <c r="K75" s="363">
        <f>K32-J32</f>
        <v/>
      </c>
      <c r="L75" s="363">
        <f>L32-K32</f>
        <v/>
      </c>
      <c r="M75" s="363">
        <f>M32-L32</f>
        <v/>
      </c>
      <c r="N75" s="363">
        <f>N32-M32</f>
        <v/>
      </c>
      <c r="O75" s="363">
        <f>O32-N32</f>
        <v/>
      </c>
      <c r="P75" s="363">
        <f>P32-O32</f>
        <v/>
      </c>
      <c r="Q75" s="363">
        <f>Q32-P32</f>
        <v/>
      </c>
      <c r="R75" s="363">
        <f>R32-Q32</f>
        <v/>
      </c>
      <c r="S75" s="363">
        <f>S32-R32</f>
        <v/>
      </c>
      <c r="T75" s="363">
        <f>T32-S32</f>
        <v/>
      </c>
      <c r="U75" s="363">
        <f>U32-T32</f>
        <v/>
      </c>
      <c r="V75" s="363">
        <f>V32-U32</f>
        <v/>
      </c>
      <c r="W75" s="363">
        <f>W32-V32</f>
        <v/>
      </c>
      <c r="X75" s="363">
        <f>X32-W32</f>
        <v/>
      </c>
      <c r="Y75" s="363">
        <f>Y32-X32</f>
        <v/>
      </c>
      <c r="Z75" s="363">
        <f>Z32-Y32</f>
        <v/>
      </c>
      <c r="AA75" s="363">
        <f>AA32-Z32</f>
        <v/>
      </c>
      <c r="AB75" s="363">
        <f>AB32-AA32</f>
        <v/>
      </c>
      <c r="AC75" s="363">
        <f>AC32-AB32</f>
        <v/>
      </c>
      <c r="AD75" s="363">
        <f>AD32-AC32</f>
        <v/>
      </c>
      <c r="AE75" s="363">
        <f>AE32-AD32</f>
        <v/>
      </c>
      <c r="AF75" s="363">
        <f>AF32-AE32</f>
        <v/>
      </c>
      <c r="AG75" s="363">
        <f>AG32-AF32</f>
        <v/>
      </c>
      <c r="AH75" s="363">
        <f>AH32-AG32</f>
        <v/>
      </c>
      <c r="AI75" s="363">
        <f>AI32-AH32</f>
        <v/>
      </c>
      <c r="AJ75" s="363">
        <f>SUM(E75:AI75)</f>
        <v/>
      </c>
    </row>
    <row r="76">
      <c r="A76" s="541" t="n">
        <v>2</v>
      </c>
      <c r="B76" s="541" t="inlineStr">
        <is>
          <t>3F</t>
        </is>
      </c>
      <c r="C76" s="541" t="inlineStr">
        <is>
          <t>AHU2 - BTU</t>
        </is>
      </c>
      <c r="D76" s="501" t="n"/>
      <c r="E76" s="363">
        <f>E33-D33</f>
        <v/>
      </c>
      <c r="F76" s="363">
        <f>F33-E33</f>
        <v/>
      </c>
      <c r="G76" s="363">
        <f>G33-F33</f>
        <v/>
      </c>
      <c r="H76" s="363">
        <f>H33-G33</f>
        <v/>
      </c>
      <c r="I76" s="363">
        <f>I33-H33</f>
        <v/>
      </c>
      <c r="J76" s="363">
        <f>J33-I33</f>
        <v/>
      </c>
      <c r="K76" s="363">
        <f>K33-J33</f>
        <v/>
      </c>
      <c r="L76" s="363">
        <f>L33-K33</f>
        <v/>
      </c>
      <c r="M76" s="363">
        <f>M33-L33</f>
        <v/>
      </c>
      <c r="N76" s="363">
        <f>N33-M33</f>
        <v/>
      </c>
      <c r="O76" s="363">
        <f>O33-N33</f>
        <v/>
      </c>
      <c r="P76" s="363">
        <f>P33-O33</f>
        <v/>
      </c>
      <c r="Q76" s="363">
        <f>Q33-P33</f>
        <v/>
      </c>
      <c r="R76" s="363">
        <f>R33-Q33</f>
        <v/>
      </c>
      <c r="S76" s="363">
        <f>S33-R33</f>
        <v/>
      </c>
      <c r="T76" s="363">
        <f>T33-S33</f>
        <v/>
      </c>
      <c r="U76" s="363">
        <f>U33-T33</f>
        <v/>
      </c>
      <c r="V76" s="363">
        <f>V33-U33</f>
        <v/>
      </c>
      <c r="W76" s="363">
        <f>W33-V33</f>
        <v/>
      </c>
      <c r="X76" s="363">
        <f>X33-W33</f>
        <v/>
      </c>
      <c r="Y76" s="363">
        <f>Y33-X33</f>
        <v/>
      </c>
      <c r="Z76" s="363">
        <f>Z33-Y33</f>
        <v/>
      </c>
      <c r="AA76" s="363">
        <f>AA33-Z33</f>
        <v/>
      </c>
      <c r="AB76" s="363">
        <f>AB33-AA33</f>
        <v/>
      </c>
      <c r="AC76" s="363">
        <f>AC33-AB33</f>
        <v/>
      </c>
      <c r="AD76" s="363">
        <f>AD33-AC33</f>
        <v/>
      </c>
      <c r="AE76" s="363">
        <f>AE33-AD33</f>
        <v/>
      </c>
      <c r="AF76" s="363">
        <f>AF33-AE33</f>
        <v/>
      </c>
      <c r="AG76" s="363">
        <f>AG33-AF33</f>
        <v/>
      </c>
      <c r="AH76" s="363">
        <f>AH33-AG33</f>
        <v/>
      </c>
      <c r="AI76" s="363">
        <f>AI33-AH33</f>
        <v/>
      </c>
      <c r="AJ76" s="363">
        <f>SUM(E76:AI76)</f>
        <v/>
      </c>
    </row>
    <row r="77">
      <c r="A77" s="541" t="n">
        <v>3</v>
      </c>
      <c r="B77" s="541" t="inlineStr">
        <is>
          <t>3F</t>
        </is>
      </c>
      <c r="C77" s="541" t="inlineStr">
        <is>
          <t>AHU3 - BTU</t>
        </is>
      </c>
      <c r="D77" s="501" t="n"/>
      <c r="E77" s="363">
        <f>E34-D34</f>
        <v/>
      </c>
      <c r="F77" s="363">
        <f>F34-E34</f>
        <v/>
      </c>
      <c r="G77" s="363">
        <f>G34-F34</f>
        <v/>
      </c>
      <c r="H77" s="363">
        <f>H34-G34</f>
        <v/>
      </c>
      <c r="I77" s="363">
        <f>I34-H34</f>
        <v/>
      </c>
      <c r="J77" s="363">
        <f>J34-I34</f>
        <v/>
      </c>
      <c r="K77" s="363">
        <f>K34-J34</f>
        <v/>
      </c>
      <c r="L77" s="363">
        <f>L34-K34</f>
        <v/>
      </c>
      <c r="M77" s="363">
        <f>M34-L34</f>
        <v/>
      </c>
      <c r="N77" s="363">
        <f>N34-M34</f>
        <v/>
      </c>
      <c r="O77" s="363">
        <f>O34-N34</f>
        <v/>
      </c>
      <c r="P77" s="363">
        <f>P34-O34</f>
        <v/>
      </c>
      <c r="Q77" s="363">
        <f>Q34-P34</f>
        <v/>
      </c>
      <c r="R77" s="363">
        <f>R34-Q34</f>
        <v/>
      </c>
      <c r="S77" s="363">
        <f>S34-R34</f>
        <v/>
      </c>
      <c r="T77" s="363">
        <f>T34-S34</f>
        <v/>
      </c>
      <c r="U77" s="363">
        <f>U34-T34</f>
        <v/>
      </c>
      <c r="V77" s="363">
        <f>V34-U34</f>
        <v/>
      </c>
      <c r="W77" s="363">
        <f>W34-V34</f>
        <v/>
      </c>
      <c r="X77" s="363">
        <f>X34-W34</f>
        <v/>
      </c>
      <c r="Y77" s="363">
        <f>Y34-X34</f>
        <v/>
      </c>
      <c r="Z77" s="363">
        <f>Z34-Y34</f>
        <v/>
      </c>
      <c r="AA77" s="363">
        <f>AA34-Z34</f>
        <v/>
      </c>
      <c r="AB77" s="363">
        <f>AB34-AA34</f>
        <v/>
      </c>
      <c r="AC77" s="363">
        <f>AC34-AB34</f>
        <v/>
      </c>
      <c r="AD77" s="363">
        <f>AD34-AC34</f>
        <v/>
      </c>
      <c r="AE77" s="363">
        <f>AE34-AD34</f>
        <v/>
      </c>
      <c r="AF77" s="363">
        <f>AF34-AE34</f>
        <v/>
      </c>
      <c r="AG77" s="363">
        <f>AG34-AF34</f>
        <v/>
      </c>
      <c r="AH77" s="363">
        <f>AH34-AG34</f>
        <v/>
      </c>
      <c r="AI77" s="363">
        <f>AI34-AH34</f>
        <v/>
      </c>
      <c r="AJ77" s="363">
        <f>SUM(E77:AI77)</f>
        <v/>
      </c>
    </row>
    <row r="78">
      <c r="A78" s="541" t="n">
        <v>4</v>
      </c>
      <c r="B78" s="541" t="inlineStr">
        <is>
          <t>3F</t>
        </is>
      </c>
      <c r="C78" s="541" t="inlineStr">
        <is>
          <t>AHU4 - BTU</t>
        </is>
      </c>
      <c r="D78" s="501" t="n"/>
      <c r="E78" s="363">
        <f>E35-D35</f>
        <v/>
      </c>
      <c r="F78" s="363">
        <f>F35-E35</f>
        <v/>
      </c>
      <c r="G78" s="363">
        <f>G35-F35</f>
        <v/>
      </c>
      <c r="H78" s="363">
        <f>H35-G35</f>
        <v/>
      </c>
      <c r="I78" s="363">
        <f>I35-H35</f>
        <v/>
      </c>
      <c r="J78" s="363">
        <f>J35-I35</f>
        <v/>
      </c>
      <c r="K78" s="363">
        <f>K35-J35</f>
        <v/>
      </c>
      <c r="L78" s="363">
        <f>L35-K35</f>
        <v/>
      </c>
      <c r="M78" s="363">
        <f>M35-L35</f>
        <v/>
      </c>
      <c r="N78" s="363">
        <f>N35-M35</f>
        <v/>
      </c>
      <c r="O78" s="363">
        <f>O35-N35</f>
        <v/>
      </c>
      <c r="P78" s="363">
        <f>P35-O35</f>
        <v/>
      </c>
      <c r="Q78" s="363">
        <f>Q35-P35</f>
        <v/>
      </c>
      <c r="R78" s="363">
        <f>R35-Q35</f>
        <v/>
      </c>
      <c r="S78" s="363">
        <f>S35-R35</f>
        <v/>
      </c>
      <c r="T78" s="363">
        <f>T35-S35</f>
        <v/>
      </c>
      <c r="U78" s="363">
        <f>U35-T35</f>
        <v/>
      </c>
      <c r="V78" s="363">
        <f>V35-U35</f>
        <v/>
      </c>
      <c r="W78" s="363">
        <f>W35-V35</f>
        <v/>
      </c>
      <c r="X78" s="363">
        <f>X35-W35</f>
        <v/>
      </c>
      <c r="Y78" s="363">
        <f>Y35-X35</f>
        <v/>
      </c>
      <c r="Z78" s="363">
        <f>Z35-Y35</f>
        <v/>
      </c>
      <c r="AA78" s="363">
        <f>AA35-Z35</f>
        <v/>
      </c>
      <c r="AB78" s="363">
        <f>AB35-AA35</f>
        <v/>
      </c>
      <c r="AC78" s="363">
        <f>AC35-AB35</f>
        <v/>
      </c>
      <c r="AD78" s="363">
        <f>AD35-AC35</f>
        <v/>
      </c>
      <c r="AE78" s="363">
        <f>AE35-AD35</f>
        <v/>
      </c>
      <c r="AF78" s="363">
        <f>AF35-AE35</f>
        <v/>
      </c>
      <c r="AG78" s="363">
        <f>AG35-AF35</f>
        <v/>
      </c>
      <c r="AH78" s="363">
        <f>AH35-AG35</f>
        <v/>
      </c>
      <c r="AI78" s="363">
        <f>AI35-AH35</f>
        <v/>
      </c>
      <c r="AJ78" s="363">
        <f>SUM(E78:AI78)</f>
        <v/>
      </c>
    </row>
    <row r="79">
      <c r="A79" s="357" t="n"/>
      <c r="B79" s="357" t="n"/>
      <c r="C79" s="553" t="inlineStr">
        <is>
          <t>Total BTU Consumption</t>
        </is>
      </c>
      <c r="D79" s="501" t="n"/>
      <c r="E79" s="358">
        <f>SUM(E75:E78)</f>
        <v/>
      </c>
      <c r="F79" s="358">
        <f>SUM(F75:F78)</f>
        <v/>
      </c>
      <c r="G79" s="358">
        <f>SUM(G75:G78)</f>
        <v/>
      </c>
      <c r="H79" s="358">
        <f>SUM(H75:H78)</f>
        <v/>
      </c>
      <c r="I79" s="358">
        <f>SUM(I75:I78)</f>
        <v/>
      </c>
      <c r="J79" s="358">
        <f>SUM(J75:J78)</f>
        <v/>
      </c>
      <c r="K79" s="358">
        <f>SUM(K75:K78)</f>
        <v/>
      </c>
      <c r="L79" s="358">
        <f>SUM(L75:L78)</f>
        <v/>
      </c>
      <c r="M79" s="358">
        <f>SUM(M75:M78)</f>
        <v/>
      </c>
      <c r="N79" s="358">
        <f>SUM(N75:N78)</f>
        <v/>
      </c>
      <c r="O79" s="358">
        <f>SUM(O75:O78)</f>
        <v/>
      </c>
      <c r="P79" s="358">
        <f>SUM(P75:P78)</f>
        <v/>
      </c>
      <c r="Q79" s="358">
        <f>SUM(Q75:Q78)</f>
        <v/>
      </c>
      <c r="R79" s="358">
        <f>SUM(R75:R78)</f>
        <v/>
      </c>
      <c r="S79" s="358">
        <f>SUM(S75:S78)</f>
        <v/>
      </c>
      <c r="T79" s="358">
        <f>SUM(T75:T78)</f>
        <v/>
      </c>
      <c r="U79" s="358">
        <f>SUM(U75:U78)</f>
        <v/>
      </c>
      <c r="V79" s="358">
        <f>SUM(V75:V78)</f>
        <v/>
      </c>
      <c r="W79" s="358">
        <f>SUM(W75:W78)</f>
        <v/>
      </c>
      <c r="X79" s="358">
        <f>SUM(X75:X78)</f>
        <v/>
      </c>
      <c r="Y79" s="358">
        <f>SUM(Y75:Y78)</f>
        <v/>
      </c>
      <c r="Z79" s="358">
        <f>SUM(Z75:Z78)</f>
        <v/>
      </c>
      <c r="AA79" s="358">
        <f>SUM(AA75:AA78)</f>
        <v/>
      </c>
      <c r="AB79" s="358">
        <f>SUM(AB75:AB78)</f>
        <v/>
      </c>
      <c r="AC79" s="358">
        <f>SUM(AC75:AC78)</f>
        <v/>
      </c>
      <c r="AD79" s="358">
        <f>SUM(AD75:AD78)</f>
        <v/>
      </c>
      <c r="AE79" s="358">
        <f>SUM(AE75:AE78)</f>
        <v/>
      </c>
      <c r="AF79" s="358">
        <f>SUM(AF75:AF78)</f>
        <v/>
      </c>
      <c r="AG79" s="358">
        <f>SUM(AG75:AG78)</f>
        <v/>
      </c>
      <c r="AH79" s="358">
        <f>SUM(AH75:AH78)</f>
        <v/>
      </c>
      <c r="AI79" s="358">
        <f>SUM(AI75:AI78)</f>
        <v/>
      </c>
      <c r="AJ79" s="358">
        <f>SUM(E79:AI79)</f>
        <v/>
      </c>
    </row>
    <row r="80">
      <c r="A80" s="300" t="n"/>
      <c r="B80" s="300" t="n"/>
      <c r="C80" s="300" t="n"/>
      <c r="D80" s="300" t="n"/>
      <c r="E80" s="300" t="n"/>
      <c r="F80" s="300" t="n"/>
      <c r="G80" s="300" t="n"/>
      <c r="H80" s="300" t="n"/>
      <c r="I80" s="300" t="n"/>
      <c r="J80" s="300" t="n"/>
      <c r="K80" s="300" t="n"/>
      <c r="L80" s="300" t="n"/>
      <c r="M80" s="300" t="n"/>
      <c r="N80" s="300" t="n"/>
      <c r="O80" s="300" t="n"/>
      <c r="P80" s="300" t="n"/>
      <c r="Q80" s="300" t="n"/>
      <c r="R80" s="300" t="n"/>
      <c r="S80" s="300" t="n"/>
      <c r="T80" s="300" t="n"/>
      <c r="U80" s="300" t="n"/>
      <c r="V80" s="300" t="n"/>
      <c r="W80" s="300" t="n"/>
      <c r="X80" s="300" t="n"/>
      <c r="Y80" s="300" t="n"/>
      <c r="Z80" s="300" t="n"/>
      <c r="AA80" s="300" t="n"/>
      <c r="AB80" s="300" t="n"/>
      <c r="AC80" s="300" t="n"/>
      <c r="AD80" s="300" t="n"/>
      <c r="AE80" s="300" t="n"/>
      <c r="AF80" s="300" t="n"/>
      <c r="AG80" s="300" t="n"/>
    </row>
    <row r="81">
      <c r="A81" s="300" t="n"/>
      <c r="B81" s="300" t="n"/>
      <c r="C81" s="300" t="n"/>
      <c r="D81" s="300" t="n"/>
      <c r="E81" s="300" t="n"/>
      <c r="F81" s="300" t="n"/>
      <c r="G81" s="300" t="n"/>
      <c r="H81" s="300" t="n"/>
      <c r="I81" s="300" t="n"/>
      <c r="J81" s="300" t="n"/>
      <c r="K81" s="300" t="n"/>
      <c r="L81" s="300" t="n"/>
      <c r="M81" s="300" t="n"/>
      <c r="N81" s="300" t="n"/>
      <c r="O81" s="300" t="n"/>
      <c r="P81" s="300" t="n"/>
      <c r="Q81" s="300" t="n"/>
      <c r="R81" s="300" t="n"/>
      <c r="S81" s="300" t="n"/>
      <c r="T81" s="300" t="n"/>
      <c r="U81" s="300" t="n"/>
      <c r="V81" s="300" t="n"/>
      <c r="W81" s="300" t="n"/>
      <c r="X81" s="300" t="n"/>
      <c r="Y81" s="300" t="n"/>
      <c r="Z81" s="300" t="n"/>
      <c r="AA81" s="300" t="n"/>
      <c r="AB81" s="300" t="n"/>
      <c r="AC81" s="300" t="n"/>
      <c r="AD81" s="300" t="n"/>
      <c r="AE81" s="300" t="n"/>
      <c r="AF81" s="300" t="n"/>
      <c r="AG81" s="300" t="n"/>
    </row>
    <row r="82">
      <c r="A82" s="300" t="n"/>
      <c r="B82" s="300" t="n"/>
      <c r="C82" s="300" t="n"/>
      <c r="D82" s="300" t="n"/>
      <c r="E82" s="300" t="n"/>
      <c r="F82" s="300" t="n"/>
      <c r="G82" s="300" t="n"/>
      <c r="H82" s="300" t="n"/>
      <c r="I82" s="300" t="n"/>
      <c r="J82" s="300" t="n"/>
      <c r="K82" s="300" t="n"/>
      <c r="L82" s="300" t="n"/>
      <c r="M82" s="300" t="n"/>
      <c r="N82" s="300" t="n"/>
      <c r="O82" s="300" t="n"/>
      <c r="P82" s="300" t="n"/>
      <c r="Q82" s="300" t="n"/>
      <c r="R82" s="300" t="n"/>
      <c r="S82" s="300" t="n"/>
      <c r="T82" s="300" t="n"/>
      <c r="U82" s="300" t="n"/>
      <c r="V82" s="300" t="n"/>
      <c r="W82" s="300" t="n"/>
      <c r="X82" s="300" t="n"/>
      <c r="Y82" s="300" t="n"/>
      <c r="Z82" s="300" t="n"/>
      <c r="AA82" s="300" t="n"/>
      <c r="AB82" s="300" t="n"/>
      <c r="AC82" s="300" t="n"/>
      <c r="AD82" s="300" t="n"/>
      <c r="AE82" s="300" t="n"/>
      <c r="AF82" s="300" t="n"/>
      <c r="AG82" s="300" t="n"/>
    </row>
    <row r="83" ht="15" customHeight="1" s="488">
      <c r="A83" s="557" t="n"/>
      <c r="B83" s="505" t="n"/>
      <c r="C83" s="505" t="n"/>
      <c r="D83" s="506" t="n"/>
      <c r="E83" s="544" t="inlineStr">
        <is>
          <t>Mar - 2026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505" t="n"/>
      <c r="AG83" s="505" t="n"/>
      <c r="AH83" s="505" t="n"/>
      <c r="AI83" s="506" t="n"/>
    </row>
    <row r="84">
      <c r="A84" s="550" t="inlineStr">
        <is>
          <t>Sr.No</t>
        </is>
      </c>
      <c r="B84" s="550" t="inlineStr">
        <is>
          <t>Location</t>
        </is>
      </c>
      <c r="C84" s="554" t="inlineStr">
        <is>
          <t>Meter</t>
        </is>
      </c>
      <c r="D84" s="543" t="inlineStr">
        <is>
          <t>Previous Reading</t>
        </is>
      </c>
      <c r="E84" s="301" t="n">
        <v>46082</v>
      </c>
      <c r="F84" s="301" t="n">
        <v>46083</v>
      </c>
      <c r="G84" s="301" t="n">
        <v>46084</v>
      </c>
      <c r="H84" s="301" t="n">
        <v>46085</v>
      </c>
      <c r="I84" s="301" t="n">
        <v>46086</v>
      </c>
      <c r="J84" s="301" t="n">
        <v>46087</v>
      </c>
      <c r="K84" s="301" t="n">
        <v>46088</v>
      </c>
      <c r="L84" s="301" t="n">
        <v>46089</v>
      </c>
      <c r="M84" s="301" t="n">
        <v>46090</v>
      </c>
      <c r="N84" s="301" t="n">
        <v>46091</v>
      </c>
      <c r="O84" s="301" t="n">
        <v>46092</v>
      </c>
      <c r="P84" s="301" t="n">
        <v>46093</v>
      </c>
      <c r="Q84" s="301" t="n">
        <v>46094</v>
      </c>
      <c r="R84" s="301" t="n">
        <v>46095</v>
      </c>
      <c r="S84" s="301" t="n">
        <v>46096</v>
      </c>
      <c r="T84" s="301" t="n">
        <v>46097</v>
      </c>
      <c r="U84" s="301" t="n">
        <v>46098</v>
      </c>
      <c r="V84" s="301" t="n">
        <v>46099</v>
      </c>
      <c r="W84" s="301" t="n">
        <v>46100</v>
      </c>
      <c r="X84" s="301" t="n">
        <v>46101</v>
      </c>
      <c r="Y84" s="301" t="n">
        <v>46102</v>
      </c>
      <c r="Z84" s="301" t="n">
        <v>46103</v>
      </c>
      <c r="AA84" s="301" t="n">
        <v>46104</v>
      </c>
      <c r="AB84" s="301" t="n">
        <v>46105</v>
      </c>
      <c r="AC84" s="301" t="n">
        <v>46106</v>
      </c>
      <c r="AD84" s="301" t="n">
        <v>46107</v>
      </c>
      <c r="AE84" s="301" t="n">
        <v>46108</v>
      </c>
      <c r="AF84" s="301" t="n">
        <v>46109</v>
      </c>
      <c r="AG84" s="301" t="n">
        <v>46110</v>
      </c>
      <c r="AH84" s="301" t="n">
        <v>46111</v>
      </c>
      <c r="AI84" s="301" t="n">
        <v>46112</v>
      </c>
      <c r="AJ84" s="542" t="inlineStr">
        <is>
          <t>Consumption</t>
        </is>
      </c>
    </row>
    <row r="85">
      <c r="A85" s="509" t="n"/>
      <c r="B85" s="509" t="n"/>
      <c r="C85" s="509" t="n"/>
      <c r="D85" s="509" t="n"/>
      <c r="E85" s="302" t="inlineStr">
        <is>
          <t>Sun</t>
        </is>
      </c>
      <c r="F85" s="302" t="inlineStr">
        <is>
          <t>Mon</t>
        </is>
      </c>
      <c r="G85" s="302" t="inlineStr">
        <is>
          <t>Tue</t>
        </is>
      </c>
      <c r="H85" s="302" t="inlineStr">
        <is>
          <t>Wed</t>
        </is>
      </c>
      <c r="I85" s="302" t="inlineStr">
        <is>
          <t>Thu</t>
        </is>
      </c>
      <c r="J85" s="302" t="inlineStr">
        <is>
          <t>Fri</t>
        </is>
      </c>
      <c r="K85" s="302" t="inlineStr">
        <is>
          <t>Sat</t>
        </is>
      </c>
      <c r="L85" s="302" t="inlineStr">
        <is>
          <t>Sun</t>
        </is>
      </c>
      <c r="M85" s="302" t="inlineStr">
        <is>
          <t>Mon</t>
        </is>
      </c>
      <c r="N85" s="302" t="inlineStr">
        <is>
          <t>Tue</t>
        </is>
      </c>
      <c r="O85" s="302" t="inlineStr">
        <is>
          <t>Wed</t>
        </is>
      </c>
      <c r="P85" s="302" t="inlineStr">
        <is>
          <t>Thu</t>
        </is>
      </c>
      <c r="Q85" s="302" t="inlineStr">
        <is>
          <t>Fri</t>
        </is>
      </c>
      <c r="R85" s="302" t="inlineStr">
        <is>
          <t>Sat</t>
        </is>
      </c>
      <c r="S85" s="302" t="inlineStr">
        <is>
          <t>Sun</t>
        </is>
      </c>
      <c r="T85" s="302" t="inlineStr">
        <is>
          <t>Mon</t>
        </is>
      </c>
      <c r="U85" s="302" t="inlineStr">
        <is>
          <t>Tue</t>
        </is>
      </c>
      <c r="V85" s="302" t="inlineStr">
        <is>
          <t>Wed</t>
        </is>
      </c>
      <c r="W85" s="302" t="inlineStr">
        <is>
          <t>Thu</t>
        </is>
      </c>
      <c r="X85" s="302" t="inlineStr">
        <is>
          <t>Fri</t>
        </is>
      </c>
      <c r="Y85" s="302" t="inlineStr">
        <is>
          <t>Sat</t>
        </is>
      </c>
      <c r="Z85" s="302" t="inlineStr">
        <is>
          <t>Sun</t>
        </is>
      </c>
      <c r="AA85" s="302" t="inlineStr">
        <is>
          <t>Mon</t>
        </is>
      </c>
      <c r="AB85" s="302" t="inlineStr">
        <is>
          <t>Tue</t>
        </is>
      </c>
      <c r="AC85" s="302" t="inlineStr">
        <is>
          <t>Wed</t>
        </is>
      </c>
      <c r="AD85" s="302" t="inlineStr">
        <is>
          <t>Thu</t>
        </is>
      </c>
      <c r="AE85" s="302" t="inlineStr">
        <is>
          <t>Fri</t>
        </is>
      </c>
      <c r="AF85" s="302" t="inlineStr">
        <is>
          <t>Sat</t>
        </is>
      </c>
      <c r="AG85" s="302" t="inlineStr">
        <is>
          <t>Sun</t>
        </is>
      </c>
      <c r="AH85" s="302" t="inlineStr">
        <is>
          <t>Mon</t>
        </is>
      </c>
      <c r="AI85" s="302" t="inlineStr">
        <is>
          <t>Tue</t>
        </is>
      </c>
      <c r="AJ85" s="516" t="n"/>
    </row>
    <row r="86">
      <c r="A86" s="509" t="n"/>
      <c r="B86" s="509" t="n"/>
      <c r="C86" s="509" t="n"/>
      <c r="D86" s="509" t="n"/>
      <c r="E86" s="303" t="inlineStr">
        <is>
          <t>Time</t>
        </is>
      </c>
      <c r="F86" s="303" t="inlineStr">
        <is>
          <t>Time</t>
        </is>
      </c>
      <c r="G86" s="303" t="inlineStr">
        <is>
          <t>Time</t>
        </is>
      </c>
      <c r="H86" s="303" t="inlineStr">
        <is>
          <t>Time</t>
        </is>
      </c>
      <c r="I86" s="303" t="inlineStr">
        <is>
          <t>Time</t>
        </is>
      </c>
      <c r="J86" s="303" t="inlineStr">
        <is>
          <t>Time</t>
        </is>
      </c>
      <c r="K86" s="303" t="inlineStr">
        <is>
          <t>Time</t>
        </is>
      </c>
      <c r="L86" s="303" t="inlineStr">
        <is>
          <t>Time</t>
        </is>
      </c>
      <c r="M86" s="303" t="inlineStr">
        <is>
          <t>Time</t>
        </is>
      </c>
      <c r="N86" s="303" t="inlineStr">
        <is>
          <t>Time</t>
        </is>
      </c>
      <c r="O86" s="303" t="inlineStr">
        <is>
          <t>Time</t>
        </is>
      </c>
      <c r="P86" s="303" t="inlineStr">
        <is>
          <t>Time</t>
        </is>
      </c>
      <c r="Q86" s="303" t="inlineStr">
        <is>
          <t>Time</t>
        </is>
      </c>
      <c r="R86" s="303" t="inlineStr">
        <is>
          <t>Time</t>
        </is>
      </c>
      <c r="S86" s="303" t="inlineStr">
        <is>
          <t>Time</t>
        </is>
      </c>
      <c r="T86" s="303" t="inlineStr">
        <is>
          <t>Time</t>
        </is>
      </c>
      <c r="U86" s="303" t="inlineStr">
        <is>
          <t>Time</t>
        </is>
      </c>
      <c r="V86" s="303" t="inlineStr">
        <is>
          <t>Time</t>
        </is>
      </c>
      <c r="W86" s="303" t="inlineStr">
        <is>
          <t>Time</t>
        </is>
      </c>
      <c r="X86" s="303" t="inlineStr">
        <is>
          <t>Time</t>
        </is>
      </c>
      <c r="Y86" s="303" t="inlineStr">
        <is>
          <t>Time</t>
        </is>
      </c>
      <c r="Z86" s="303" t="inlineStr">
        <is>
          <t>Time</t>
        </is>
      </c>
      <c r="AA86" s="303" t="inlineStr">
        <is>
          <t>Time</t>
        </is>
      </c>
      <c r="AB86" s="303" t="inlineStr">
        <is>
          <t>Time</t>
        </is>
      </c>
      <c r="AC86" s="303" t="inlineStr">
        <is>
          <t>Time</t>
        </is>
      </c>
      <c r="AD86" s="303" t="inlineStr">
        <is>
          <t>Time</t>
        </is>
      </c>
      <c r="AE86" s="303" t="inlineStr">
        <is>
          <t>Time</t>
        </is>
      </c>
      <c r="AF86" s="303" t="inlineStr">
        <is>
          <t>Time</t>
        </is>
      </c>
      <c r="AG86" s="303" t="inlineStr">
        <is>
          <t>Time</t>
        </is>
      </c>
      <c r="AH86" s="303" t="inlineStr">
        <is>
          <t>Time</t>
        </is>
      </c>
      <c r="AI86" s="303" t="inlineStr">
        <is>
          <t>Time</t>
        </is>
      </c>
      <c r="AJ86" s="516" t="n"/>
    </row>
    <row r="87">
      <c r="A87" s="510" t="n"/>
      <c r="B87" s="510" t="n"/>
      <c r="C87" s="510" t="n"/>
      <c r="D87" s="510" t="n"/>
      <c r="E87" s="369" t="n">
        <v>0.3333333333333333</v>
      </c>
      <c r="F87" s="369" t="n">
        <v>0.3333333333333333</v>
      </c>
      <c r="G87" s="369" t="n">
        <v>0.3333333333333333</v>
      </c>
      <c r="H87" s="369" t="n">
        <v>0.3333333333333333</v>
      </c>
      <c r="I87" s="369" t="n">
        <v>0.3333333333333333</v>
      </c>
      <c r="J87" s="369" t="n">
        <v>0.3333333333333333</v>
      </c>
      <c r="K87" s="369" t="n">
        <v>0.3333333333333333</v>
      </c>
      <c r="L87" s="369" t="n">
        <v>0.3333333333333333</v>
      </c>
      <c r="M87" s="369" t="n">
        <v>0.3333333333333333</v>
      </c>
      <c r="N87" s="369" t="n">
        <v>0.3333333333333333</v>
      </c>
      <c r="O87" s="369" t="n">
        <v>0.3333333333333333</v>
      </c>
      <c r="P87" s="369" t="n">
        <v>0.3333333333333333</v>
      </c>
      <c r="Q87" s="369" t="n">
        <v>0.3333333333333333</v>
      </c>
      <c r="R87" s="369" t="n">
        <v>0.3333333333333333</v>
      </c>
      <c r="S87" s="369" t="n">
        <v>0.3333333333333333</v>
      </c>
      <c r="T87" s="369" t="n">
        <v>0.3333333333333333</v>
      </c>
      <c r="U87" s="369" t="n">
        <v>0.3333333333333333</v>
      </c>
      <c r="V87" s="369" t="n">
        <v>0.3333333333333333</v>
      </c>
      <c r="W87" s="369" t="n">
        <v>0.3333333333333333</v>
      </c>
      <c r="X87" s="369" t="n">
        <v>0.3333333333333333</v>
      </c>
      <c r="Y87" s="369" t="n">
        <v>0.3333333333333333</v>
      </c>
      <c r="Z87" s="369" t="n">
        <v>0.3333333333333333</v>
      </c>
      <c r="AA87" s="369" t="n">
        <v>0.3333333333333333</v>
      </c>
      <c r="AB87" s="369" t="n">
        <v>0.3333333333333333</v>
      </c>
      <c r="AC87" s="369" t="n">
        <v>0.3333333333333333</v>
      </c>
      <c r="AD87" s="369" t="n">
        <v>0.3333333333333333</v>
      </c>
      <c r="AE87" s="369" t="n">
        <v>0.3333333333333333</v>
      </c>
      <c r="AF87" s="369" t="n">
        <v>0.3333333333333333</v>
      </c>
      <c r="AG87" s="369" t="n">
        <v>0.3333333333333333</v>
      </c>
      <c r="AH87" s="369" t="n">
        <v>0.3333333333333333</v>
      </c>
      <c r="AI87" s="369" t="n">
        <v>0.3333333333333333</v>
      </c>
      <c r="AJ87" s="517" t="n"/>
    </row>
    <row r="88">
      <c r="A88" s="310" t="n">
        <v>1</v>
      </c>
      <c r="B88" s="370" t="inlineStr">
        <is>
          <t>Basement:-2</t>
        </is>
      </c>
      <c r="C88" s="370" t="inlineStr">
        <is>
          <t>Liberty-170</t>
        </is>
      </c>
      <c r="D88" s="370" t="n">
        <v>2216</v>
      </c>
      <c r="E88" s="370" t="n">
        <v>2216</v>
      </c>
      <c r="F88" s="370" t="n">
        <v>2241</v>
      </c>
      <c r="G88" s="370" t="n">
        <v>2241</v>
      </c>
      <c r="H88" s="370" t="n">
        <v>2241</v>
      </c>
      <c r="I88" s="370" t="n">
        <v>2272</v>
      </c>
      <c r="J88" s="370" t="n">
        <v>2297</v>
      </c>
      <c r="K88" s="370" t="n">
        <v>2297</v>
      </c>
      <c r="L88" s="370" t="n">
        <v>2297</v>
      </c>
      <c r="M88" s="370" t="n">
        <v>2322</v>
      </c>
      <c r="N88" s="370" t="n">
        <v>2329</v>
      </c>
      <c r="O88" s="370" t="n">
        <v>2336</v>
      </c>
      <c r="P88" s="370" t="n">
        <v>2344</v>
      </c>
      <c r="Q88" s="370" t="n">
        <v>2370</v>
      </c>
      <c r="R88" s="370" t="n">
        <v>2370</v>
      </c>
      <c r="S88" s="370" t="n">
        <v>2370</v>
      </c>
      <c r="T88" s="370" t="n">
        <v>2382</v>
      </c>
      <c r="U88" s="370" t="n">
        <v>2407</v>
      </c>
      <c r="V88" s="370" t="n">
        <v>2437</v>
      </c>
      <c r="W88" s="370" t="n">
        <v>2437</v>
      </c>
      <c r="X88" s="370" t="n">
        <v>2437</v>
      </c>
      <c r="Y88" s="370" t="n">
        <v>2437</v>
      </c>
      <c r="Z88" s="370" t="n">
        <v>2437</v>
      </c>
      <c r="AA88" s="370" t="n">
        <v>2459</v>
      </c>
      <c r="AB88" s="370" t="n">
        <v>2485</v>
      </c>
      <c r="AC88" s="370" t="n"/>
      <c r="AD88" s="370" t="n"/>
      <c r="AE88" s="370" t="n"/>
      <c r="AF88" s="370" t="n"/>
      <c r="AG88" s="370" t="n"/>
      <c r="AH88" s="370" t="n"/>
      <c r="AI88" s="370" t="n"/>
      <c r="AJ88" s="355">
        <f>SUM(H88:AH88)</f>
        <v/>
      </c>
    </row>
    <row r="89">
      <c r="A89" s="300" t="n"/>
      <c r="B89" s="300" t="n"/>
      <c r="C89" s="300" t="n"/>
      <c r="D89" s="300" t="n"/>
      <c r="E89" s="300" t="n"/>
      <c r="F89" s="300" t="n"/>
      <c r="G89" s="300" t="n"/>
      <c r="H89" s="300" t="n"/>
      <c r="I89" s="300" t="n"/>
      <c r="J89" s="300" t="n"/>
      <c r="K89" s="300" t="n"/>
      <c r="L89" s="300" t="n"/>
      <c r="M89" s="300" t="n"/>
      <c r="N89" s="300" t="n"/>
      <c r="O89" s="300" t="n"/>
      <c r="P89" s="300" t="n"/>
      <c r="Q89" s="300" t="n"/>
      <c r="R89" s="300" t="n"/>
      <c r="S89" s="300" t="n"/>
      <c r="T89" s="300" t="n"/>
      <c r="U89" s="300" t="n"/>
      <c r="V89" s="300" t="n"/>
      <c r="W89" s="300" t="n"/>
      <c r="X89" s="300" t="n"/>
      <c r="Y89" s="300" t="n"/>
      <c r="Z89" s="300" t="n"/>
      <c r="AA89" s="300" t="n"/>
      <c r="AB89" s="300" t="n"/>
      <c r="AC89" s="300" t="n"/>
      <c r="AD89" s="300" t="n"/>
      <c r="AE89" s="300" t="n"/>
      <c r="AF89" s="300" t="n"/>
      <c r="AG89" s="300" t="n"/>
    </row>
    <row r="90">
      <c r="A90" s="542" t="inlineStr">
        <is>
          <t>Sr.No</t>
        </is>
      </c>
      <c r="B90" s="542" t="inlineStr">
        <is>
          <t>Location</t>
        </is>
      </c>
      <c r="C90" s="542" t="inlineStr">
        <is>
          <t>Meter</t>
        </is>
      </c>
      <c r="D90" s="522" t="n"/>
      <c r="E90" s="352">
        <f>E84</f>
        <v/>
      </c>
      <c r="F90" s="352">
        <f>F84</f>
        <v/>
      </c>
      <c r="G90" s="352">
        <f>G84</f>
        <v/>
      </c>
      <c r="H90" s="352">
        <f>H84</f>
        <v/>
      </c>
      <c r="I90" s="352">
        <f>I84</f>
        <v/>
      </c>
      <c r="J90" s="352">
        <f>J84</f>
        <v/>
      </c>
      <c r="K90" s="352">
        <f>K84</f>
        <v/>
      </c>
      <c r="L90" s="352">
        <f>L84</f>
        <v/>
      </c>
      <c r="M90" s="352">
        <f>M84</f>
        <v/>
      </c>
      <c r="N90" s="352">
        <f>N84</f>
        <v/>
      </c>
      <c r="O90" s="352">
        <f>O84</f>
        <v/>
      </c>
      <c r="P90" s="352">
        <f>P84</f>
        <v/>
      </c>
      <c r="Q90" s="352">
        <f>Q84</f>
        <v/>
      </c>
      <c r="R90" s="352">
        <f>R84</f>
        <v/>
      </c>
      <c r="S90" s="352">
        <f>S84</f>
        <v/>
      </c>
      <c r="T90" s="352">
        <f>T84</f>
        <v/>
      </c>
      <c r="U90" s="352">
        <f>U84</f>
        <v/>
      </c>
      <c r="V90" s="352">
        <f>V84</f>
        <v/>
      </c>
      <c r="W90" s="352">
        <f>W84</f>
        <v/>
      </c>
      <c r="X90" s="352">
        <f>X84</f>
        <v/>
      </c>
      <c r="Y90" s="352">
        <f>Y84</f>
        <v/>
      </c>
      <c r="Z90" s="352">
        <f>Z84</f>
        <v/>
      </c>
      <c r="AA90" s="352">
        <f>AA84</f>
        <v/>
      </c>
      <c r="AB90" s="352">
        <f>AB84</f>
        <v/>
      </c>
      <c r="AC90" s="352">
        <f>AC84</f>
        <v/>
      </c>
      <c r="AD90" s="352">
        <f>AD84</f>
        <v/>
      </c>
      <c r="AE90" s="352">
        <f>AE84</f>
        <v/>
      </c>
      <c r="AF90" s="352">
        <f>AF84</f>
        <v/>
      </c>
      <c r="AG90" s="352">
        <f>AG84</f>
        <v/>
      </c>
      <c r="AH90" s="352">
        <f>AH84</f>
        <v/>
      </c>
      <c r="AI90" s="352">
        <f>AI84</f>
        <v/>
      </c>
      <c r="AJ90" s="542" t="inlineStr">
        <is>
          <t>Consumption</t>
        </is>
      </c>
    </row>
    <row r="91">
      <c r="A91" s="516" t="n"/>
      <c r="B91" s="516" t="n"/>
      <c r="C91" s="523" t="n"/>
      <c r="D91" s="524" t="n"/>
      <c r="E91" s="302" t="inlineStr">
        <is>
          <t>Sun</t>
        </is>
      </c>
      <c r="F91" s="302" t="inlineStr">
        <is>
          <t>Mon</t>
        </is>
      </c>
      <c r="G91" s="302" t="inlineStr">
        <is>
          <t>Tue</t>
        </is>
      </c>
      <c r="H91" s="302" t="inlineStr">
        <is>
          <t>Wed</t>
        </is>
      </c>
      <c r="I91" s="302" t="inlineStr">
        <is>
          <t>Thu</t>
        </is>
      </c>
      <c r="J91" s="302" t="inlineStr">
        <is>
          <t>Fri</t>
        </is>
      </c>
      <c r="K91" s="302" t="inlineStr">
        <is>
          <t>Sat</t>
        </is>
      </c>
      <c r="L91" s="302" t="inlineStr">
        <is>
          <t>Sun</t>
        </is>
      </c>
      <c r="M91" s="302" t="inlineStr">
        <is>
          <t>Mon</t>
        </is>
      </c>
      <c r="N91" s="302" t="inlineStr">
        <is>
          <t>Tue</t>
        </is>
      </c>
      <c r="O91" s="302" t="inlineStr">
        <is>
          <t>Wed</t>
        </is>
      </c>
      <c r="P91" s="302" t="inlineStr">
        <is>
          <t>Thu</t>
        </is>
      </c>
      <c r="Q91" s="302" t="inlineStr">
        <is>
          <t>Fri</t>
        </is>
      </c>
      <c r="R91" s="302" t="inlineStr">
        <is>
          <t>Sat</t>
        </is>
      </c>
      <c r="S91" s="302" t="inlineStr">
        <is>
          <t>Sun</t>
        </is>
      </c>
      <c r="T91" s="302" t="inlineStr">
        <is>
          <t>Mon</t>
        </is>
      </c>
      <c r="U91" s="302" t="inlineStr">
        <is>
          <t>Tue</t>
        </is>
      </c>
      <c r="V91" s="302" t="inlineStr">
        <is>
          <t>Wed</t>
        </is>
      </c>
      <c r="W91" s="302" t="inlineStr">
        <is>
          <t>Thu</t>
        </is>
      </c>
      <c r="X91" s="302" t="inlineStr">
        <is>
          <t>Fri</t>
        </is>
      </c>
      <c r="Y91" s="302" t="inlineStr">
        <is>
          <t>Sat</t>
        </is>
      </c>
      <c r="Z91" s="302" t="inlineStr">
        <is>
          <t>Sun</t>
        </is>
      </c>
      <c r="AA91" s="302" t="inlineStr">
        <is>
          <t>Mon</t>
        </is>
      </c>
      <c r="AB91" s="302" t="inlineStr">
        <is>
          <t>Tue</t>
        </is>
      </c>
      <c r="AC91" s="302" t="inlineStr">
        <is>
          <t>Wed</t>
        </is>
      </c>
      <c r="AD91" s="302" t="inlineStr">
        <is>
          <t>Thu</t>
        </is>
      </c>
      <c r="AE91" s="302" t="inlineStr">
        <is>
          <t>Fri</t>
        </is>
      </c>
      <c r="AF91" s="302" t="inlineStr">
        <is>
          <t>Sat</t>
        </is>
      </c>
      <c r="AG91" s="302" t="inlineStr">
        <is>
          <t>Sun</t>
        </is>
      </c>
      <c r="AH91" s="302" t="inlineStr">
        <is>
          <t>Mon</t>
        </is>
      </c>
      <c r="AI91" s="302" t="inlineStr">
        <is>
          <t>Tue</t>
        </is>
      </c>
      <c r="AJ91" s="516" t="n"/>
    </row>
    <row r="92">
      <c r="A92" s="516" t="n"/>
      <c r="B92" s="516" t="n"/>
      <c r="C92" s="523" t="n"/>
      <c r="D92" s="524" t="n"/>
      <c r="E92" s="353" t="inlineStr">
        <is>
          <t>Time</t>
        </is>
      </c>
      <c r="F92" s="353" t="inlineStr">
        <is>
          <t>Time</t>
        </is>
      </c>
      <c r="G92" s="353" t="inlineStr">
        <is>
          <t>Time</t>
        </is>
      </c>
      <c r="H92" s="353" t="inlineStr">
        <is>
          <t>Time</t>
        </is>
      </c>
      <c r="I92" s="353" t="inlineStr">
        <is>
          <t>Time</t>
        </is>
      </c>
      <c r="J92" s="353" t="inlineStr">
        <is>
          <t>Time</t>
        </is>
      </c>
      <c r="K92" s="353" t="inlineStr">
        <is>
          <t>Time</t>
        </is>
      </c>
      <c r="L92" s="353" t="inlineStr">
        <is>
          <t>Time</t>
        </is>
      </c>
      <c r="M92" s="353" t="inlineStr">
        <is>
          <t>Time</t>
        </is>
      </c>
      <c r="N92" s="353" t="inlineStr">
        <is>
          <t>Time</t>
        </is>
      </c>
      <c r="O92" s="353" t="inlineStr">
        <is>
          <t>Time</t>
        </is>
      </c>
      <c r="P92" s="353" t="inlineStr">
        <is>
          <t>Time</t>
        </is>
      </c>
      <c r="Q92" s="353" t="inlineStr">
        <is>
          <t>Time</t>
        </is>
      </c>
      <c r="R92" s="353" t="inlineStr">
        <is>
          <t>Time</t>
        </is>
      </c>
      <c r="S92" s="353" t="inlineStr">
        <is>
          <t>Time</t>
        </is>
      </c>
      <c r="T92" s="353" t="inlineStr">
        <is>
          <t>Time</t>
        </is>
      </c>
      <c r="U92" s="353" t="inlineStr">
        <is>
          <t>Time</t>
        </is>
      </c>
      <c r="V92" s="353" t="inlineStr">
        <is>
          <t>Time</t>
        </is>
      </c>
      <c r="W92" s="353" t="inlineStr">
        <is>
          <t>Time</t>
        </is>
      </c>
      <c r="X92" s="353" t="inlineStr">
        <is>
          <t>Time</t>
        </is>
      </c>
      <c r="Y92" s="353" t="inlineStr">
        <is>
          <t>Time</t>
        </is>
      </c>
      <c r="Z92" s="353" t="inlineStr">
        <is>
          <t>Time</t>
        </is>
      </c>
      <c r="AA92" s="353" t="inlineStr">
        <is>
          <t>Time</t>
        </is>
      </c>
      <c r="AB92" s="353" t="inlineStr">
        <is>
          <t>Time</t>
        </is>
      </c>
      <c r="AC92" s="353" t="inlineStr">
        <is>
          <t>Time</t>
        </is>
      </c>
      <c r="AD92" s="353" t="inlineStr">
        <is>
          <t>Time</t>
        </is>
      </c>
      <c r="AE92" s="353" t="inlineStr">
        <is>
          <t>Time</t>
        </is>
      </c>
      <c r="AF92" s="353" t="inlineStr">
        <is>
          <t>Time</t>
        </is>
      </c>
      <c r="AG92" s="353" t="inlineStr">
        <is>
          <t>Time</t>
        </is>
      </c>
      <c r="AH92" s="353" t="inlineStr">
        <is>
          <t>Time</t>
        </is>
      </c>
      <c r="AI92" s="353" t="inlineStr">
        <is>
          <t>Time</t>
        </is>
      </c>
      <c r="AJ92" s="516" t="n"/>
    </row>
    <row r="93">
      <c r="A93" s="517" t="n"/>
      <c r="B93" s="517" t="n"/>
      <c r="C93" s="525" t="n"/>
      <c r="D93" s="526" t="n"/>
      <c r="E93" s="354" t="n">
        <v>0.3333333333333333</v>
      </c>
      <c r="F93" s="354" t="n">
        <v>0.3333333333333333</v>
      </c>
      <c r="G93" s="354" t="n">
        <v>0.3333333333333333</v>
      </c>
      <c r="H93" s="354" t="n">
        <v>0.3333333333333333</v>
      </c>
      <c r="I93" s="354" t="n">
        <v>0.3333333333333333</v>
      </c>
      <c r="J93" s="354" t="n">
        <v>0.3333333333333333</v>
      </c>
      <c r="K93" s="354" t="n">
        <v>0.3333333333333333</v>
      </c>
      <c r="L93" s="354" t="n">
        <v>0.3333333333333333</v>
      </c>
      <c r="M93" s="354" t="n">
        <v>0.3333333333333333</v>
      </c>
      <c r="N93" s="354" t="n">
        <v>0.3333333333333333</v>
      </c>
      <c r="O93" s="354" t="n">
        <v>0.3333333333333333</v>
      </c>
      <c r="P93" s="354" t="n">
        <v>0.3333333333333333</v>
      </c>
      <c r="Q93" s="354" t="n">
        <v>0.3333333333333333</v>
      </c>
      <c r="R93" s="354" t="n">
        <v>0.3333333333333333</v>
      </c>
      <c r="S93" s="354" t="n">
        <v>0.3333333333333333</v>
      </c>
      <c r="T93" s="354" t="n">
        <v>0.3333333333333333</v>
      </c>
      <c r="U93" s="354" t="n">
        <v>0.3333333333333333</v>
      </c>
      <c r="V93" s="354" t="n">
        <v>0.3333333333333333</v>
      </c>
      <c r="W93" s="354" t="n">
        <v>0.3333333333333333</v>
      </c>
      <c r="X93" s="354" t="n">
        <v>0.3333333333333333</v>
      </c>
      <c r="Y93" s="354" t="n">
        <v>0.3333333333333333</v>
      </c>
      <c r="Z93" s="354" t="n">
        <v>0.3333333333333333</v>
      </c>
      <c r="AA93" s="354" t="n">
        <v>0.3333333333333333</v>
      </c>
      <c r="AB93" s="354" t="n">
        <v>0.3333333333333333</v>
      </c>
      <c r="AC93" s="354" t="n">
        <v>0.3333333333333333</v>
      </c>
      <c r="AD93" s="354" t="n">
        <v>0.3333333333333333</v>
      </c>
      <c r="AE93" s="354" t="n">
        <v>0.3333333333333333</v>
      </c>
      <c r="AF93" s="354" t="n">
        <v>0.3333333333333333</v>
      </c>
      <c r="AG93" s="354" t="n">
        <v>0.3333333333333333</v>
      </c>
      <c r="AH93" s="354" t="n">
        <v>0.3333333333333333</v>
      </c>
      <c r="AI93" s="354" t="n">
        <v>0.3333333333333333</v>
      </c>
      <c r="AJ93" s="517" t="n"/>
    </row>
    <row r="94">
      <c r="A94" s="558" t="n">
        <v>1</v>
      </c>
      <c r="B94" s="373" t="inlineStr">
        <is>
          <t>Basement:-2</t>
        </is>
      </c>
      <c r="C94" s="558" t="inlineStr">
        <is>
          <t>Liberty-170</t>
        </is>
      </c>
      <c r="D94" s="501" t="n"/>
      <c r="E94" s="355">
        <f>E88-D88</f>
        <v/>
      </c>
      <c r="F94" s="355">
        <f>F88-E88</f>
        <v/>
      </c>
      <c r="G94" s="355">
        <f>G88-F88</f>
        <v/>
      </c>
      <c r="H94" s="355">
        <f>H88-G88</f>
        <v/>
      </c>
      <c r="I94" s="355">
        <f>I88-H88</f>
        <v/>
      </c>
      <c r="J94" s="355">
        <f>J88-I88</f>
        <v/>
      </c>
      <c r="K94" s="355">
        <f>K88-J88</f>
        <v/>
      </c>
      <c r="L94" s="355">
        <f>L88-K88</f>
        <v/>
      </c>
      <c r="M94" s="355">
        <f>M88-L88</f>
        <v/>
      </c>
      <c r="N94" s="355">
        <f>N88-M88</f>
        <v/>
      </c>
      <c r="O94" s="355">
        <f>O88-N88</f>
        <v/>
      </c>
      <c r="P94" s="355">
        <f>P88-O88</f>
        <v/>
      </c>
      <c r="Q94" s="355">
        <f>Q88-P88</f>
        <v/>
      </c>
      <c r="R94" s="355">
        <f>R88-Q88</f>
        <v/>
      </c>
      <c r="S94" s="355">
        <f>S88-R88</f>
        <v/>
      </c>
      <c r="T94" s="355">
        <f>T88-S88</f>
        <v/>
      </c>
      <c r="U94" s="355">
        <f>U88-T88</f>
        <v/>
      </c>
      <c r="V94" s="355">
        <f>V88-U88</f>
        <v/>
      </c>
      <c r="W94" s="355">
        <f>W88-V88</f>
        <v/>
      </c>
      <c r="X94" s="355">
        <f>X88-W88</f>
        <v/>
      </c>
      <c r="Y94" s="355">
        <f>Y88-X88</f>
        <v/>
      </c>
      <c r="Z94" s="355">
        <f>Z88-Y88</f>
        <v/>
      </c>
      <c r="AA94" s="355">
        <f>AA88-Z88</f>
        <v/>
      </c>
      <c r="AB94" s="355">
        <f>AB88-AA88</f>
        <v/>
      </c>
      <c r="AC94" s="355">
        <f>AC88-AB88</f>
        <v/>
      </c>
      <c r="AD94" s="355">
        <f>AD88-AC88</f>
        <v/>
      </c>
      <c r="AE94" s="355">
        <f>AE88-AD88</f>
        <v/>
      </c>
      <c r="AF94" s="355">
        <f>AF88-AE88</f>
        <v/>
      </c>
      <c r="AG94" s="355">
        <f>AG88-AF88</f>
        <v/>
      </c>
      <c r="AH94" s="355">
        <f>AH88-AG88</f>
        <v/>
      </c>
      <c r="AI94" s="355">
        <f>AI88-AH88</f>
        <v/>
      </c>
      <c r="AJ94" s="355">
        <f>SUM(H94:AH94)</f>
        <v/>
      </c>
    </row>
  </sheetData>
  <mergeCells count="61">
    <mergeCell ref="C77:D77"/>
    <mergeCell ref="AJ40:AJ43"/>
    <mergeCell ref="D84:D87"/>
    <mergeCell ref="C62:D62"/>
    <mergeCell ref="C68:D68"/>
    <mergeCell ref="AJ90:AJ93"/>
    <mergeCell ref="C40:D43"/>
    <mergeCell ref="C58:D58"/>
    <mergeCell ref="A31:AI31"/>
    <mergeCell ref="C45:D45"/>
    <mergeCell ref="AJ2:AJ5"/>
    <mergeCell ref="C74:D74"/>
    <mergeCell ref="B2:B5"/>
    <mergeCell ref="C64:D64"/>
    <mergeCell ref="C79:D79"/>
    <mergeCell ref="D2:D5"/>
    <mergeCell ref="B38:D38"/>
    <mergeCell ref="C73:D73"/>
    <mergeCell ref="C90:D93"/>
    <mergeCell ref="A84:A87"/>
    <mergeCell ref="C84:C87"/>
    <mergeCell ref="A90:A93"/>
    <mergeCell ref="A1:AJ1"/>
    <mergeCell ref="C69:D69"/>
    <mergeCell ref="C47:D47"/>
    <mergeCell ref="C54:D54"/>
    <mergeCell ref="A83:D83"/>
    <mergeCell ref="C94:D94"/>
    <mergeCell ref="C65:D65"/>
    <mergeCell ref="C55:D55"/>
    <mergeCell ref="C50:D50"/>
    <mergeCell ref="C44:D44"/>
    <mergeCell ref="C75:D75"/>
    <mergeCell ref="C56:D56"/>
    <mergeCell ref="A40:A43"/>
    <mergeCell ref="C59:D59"/>
    <mergeCell ref="B84:B87"/>
    <mergeCell ref="C46:D46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E83:AI83"/>
    <mergeCell ref="C48:D48"/>
    <mergeCell ref="C72:D72"/>
    <mergeCell ref="C67:D67"/>
    <mergeCell ref="AJ84:AJ87"/>
    <mergeCell ref="C57:D57"/>
    <mergeCell ref="C66:D66"/>
    <mergeCell ref="A22:AI22"/>
    <mergeCell ref="C53:D53"/>
    <mergeCell ref="B39:D39"/>
    <mergeCell ref="C78:D78"/>
    <mergeCell ref="A36:AI37"/>
    <mergeCell ref="C49:D49"/>
    <mergeCell ref="B90:B9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J94"/>
  <sheetViews>
    <sheetView topLeftCell="AE55" zoomScale="130" zoomScaleNormal="130" workbookViewId="0">
      <selection activeCell="AH68" sqref="AH68:AI71"/>
    </sheetView>
  </sheetViews>
  <sheetFormatPr baseColWidth="8" defaultColWidth="18" defaultRowHeight="14.5"/>
  <cols>
    <col width="14" customWidth="1" style="300" min="1" max="1"/>
    <col width="27" customWidth="1" style="488" min="2" max="2"/>
    <col width="32" bestFit="1" customWidth="1" style="300" min="3" max="3"/>
    <col width="20" customWidth="1" style="300" min="4" max="4"/>
    <col width="33" customWidth="1" style="300" min="5" max="5"/>
    <col width="23" customWidth="1" style="488" min="6" max="32"/>
    <col width="18" customWidth="1" style="300" min="33" max="33"/>
    <col width="14" customWidth="1" style="300" min="34" max="34"/>
    <col width="18" customWidth="1" style="300" min="35" max="35"/>
    <col width="14" customWidth="1" style="488" min="36" max="62"/>
    <col width="18" customWidth="1" style="300" min="63" max="63"/>
    <col width="18" customWidth="1" style="300" min="64" max="16384"/>
  </cols>
  <sheetData>
    <row r="1" ht="21" customHeight="1" s="488">
      <c r="A1" s="579" t="inlineStr">
        <is>
          <t>FEB- 2026</t>
        </is>
      </c>
      <c r="B1" s="505" t="n"/>
      <c r="C1" s="505" t="n"/>
      <c r="D1" s="505" t="n"/>
      <c r="E1" s="505" t="n"/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6" t="n"/>
      <c r="AC1" s="299" t="n"/>
      <c r="AD1" s="299" t="n"/>
      <c r="AE1" s="299" t="n"/>
      <c r="AF1" s="299" t="n"/>
      <c r="AG1" s="299" t="n"/>
    </row>
    <row r="2">
      <c r="A2" s="550" t="inlineStr">
        <is>
          <t>Sr.No</t>
        </is>
      </c>
      <c r="B2" s="550" t="inlineStr">
        <is>
          <t>Location</t>
        </is>
      </c>
      <c r="C2" s="554" t="inlineStr">
        <is>
          <t>Meter</t>
        </is>
      </c>
      <c r="D2" s="543" t="inlineStr">
        <is>
          <t>Previous Reading</t>
        </is>
      </c>
      <c r="E2" s="301" t="n">
        <v>46054</v>
      </c>
      <c r="F2" s="301" t="n">
        <v>46055</v>
      </c>
      <c r="G2" s="301" t="n">
        <v>46056</v>
      </c>
      <c r="H2" s="301" t="n">
        <v>46057</v>
      </c>
      <c r="I2" s="301" t="n">
        <v>46058</v>
      </c>
      <c r="J2" s="301" t="n">
        <v>46059</v>
      </c>
      <c r="K2" s="301" t="n">
        <v>46060</v>
      </c>
      <c r="L2" s="301" t="n">
        <v>46061</v>
      </c>
      <c r="M2" s="301" t="n">
        <v>46062</v>
      </c>
      <c r="N2" s="301" t="n">
        <v>46063</v>
      </c>
      <c r="O2" s="301" t="n">
        <v>46064</v>
      </c>
      <c r="P2" s="301" t="n">
        <v>46065</v>
      </c>
      <c r="Q2" s="301" t="n">
        <v>46066</v>
      </c>
      <c r="R2" s="301" t="n">
        <v>46067</v>
      </c>
      <c r="S2" s="301" t="n">
        <v>46068</v>
      </c>
      <c r="T2" s="301" t="n">
        <v>46069</v>
      </c>
      <c r="U2" s="301" t="n">
        <v>46070</v>
      </c>
      <c r="V2" s="301" t="n">
        <v>46071</v>
      </c>
      <c r="W2" s="301" t="n">
        <v>46072</v>
      </c>
      <c r="X2" s="301" t="n">
        <v>46073</v>
      </c>
      <c r="Y2" s="301" t="n">
        <v>46074</v>
      </c>
      <c r="Z2" s="301" t="n">
        <v>46075</v>
      </c>
      <c r="AA2" s="301" t="n">
        <v>46076</v>
      </c>
      <c r="AB2" s="301" t="n">
        <v>46077</v>
      </c>
      <c r="AC2" s="301" t="n">
        <v>46078</v>
      </c>
      <c r="AD2" s="301" t="n">
        <v>46079</v>
      </c>
      <c r="AE2" s="301" t="n">
        <v>46080</v>
      </c>
      <c r="AF2" s="301" t="n">
        <v>46081</v>
      </c>
      <c r="AG2" s="548" t="inlineStr">
        <is>
          <t>Consumption</t>
        </is>
      </c>
    </row>
    <row r="3">
      <c r="A3" s="509" t="n"/>
      <c r="B3" s="509" t="n"/>
      <c r="C3" s="509" t="n"/>
      <c r="D3" s="509" t="n"/>
      <c r="E3" s="302" t="inlineStr">
        <is>
          <t>Sun</t>
        </is>
      </c>
      <c r="F3" s="302" t="inlineStr">
        <is>
          <t>Mon</t>
        </is>
      </c>
      <c r="G3" s="302" t="inlineStr">
        <is>
          <t>Tue</t>
        </is>
      </c>
      <c r="H3" s="302" t="inlineStr">
        <is>
          <t>Wed</t>
        </is>
      </c>
      <c r="I3" s="302" t="inlineStr">
        <is>
          <t>Thu</t>
        </is>
      </c>
      <c r="J3" s="302" t="inlineStr">
        <is>
          <t>Fri</t>
        </is>
      </c>
      <c r="K3" s="302" t="inlineStr">
        <is>
          <t>Sat</t>
        </is>
      </c>
      <c r="L3" s="302" t="inlineStr">
        <is>
          <t>Sun</t>
        </is>
      </c>
      <c r="M3" s="302" t="inlineStr">
        <is>
          <t>Mon</t>
        </is>
      </c>
      <c r="N3" s="302" t="inlineStr">
        <is>
          <t>Tue</t>
        </is>
      </c>
      <c r="O3" s="302" t="inlineStr">
        <is>
          <t>Wed</t>
        </is>
      </c>
      <c r="P3" s="302" t="inlineStr">
        <is>
          <t>Thu</t>
        </is>
      </c>
      <c r="Q3" s="302" t="inlineStr">
        <is>
          <t>Fri</t>
        </is>
      </c>
      <c r="R3" s="302" t="inlineStr">
        <is>
          <t>Sat</t>
        </is>
      </c>
      <c r="S3" s="302" t="inlineStr">
        <is>
          <t>Sun</t>
        </is>
      </c>
      <c r="T3" s="302" t="inlineStr">
        <is>
          <t>Mon</t>
        </is>
      </c>
      <c r="U3" s="302" t="inlineStr">
        <is>
          <t>Tue</t>
        </is>
      </c>
      <c r="V3" s="302" t="inlineStr">
        <is>
          <t>Wed</t>
        </is>
      </c>
      <c r="W3" s="302" t="inlineStr">
        <is>
          <t>Thu</t>
        </is>
      </c>
      <c r="X3" s="302" t="inlineStr">
        <is>
          <t>Fri</t>
        </is>
      </c>
      <c r="Y3" s="302" t="inlineStr">
        <is>
          <t>Sat</t>
        </is>
      </c>
      <c r="Z3" s="302" t="inlineStr">
        <is>
          <t>Sun</t>
        </is>
      </c>
      <c r="AA3" s="302" t="inlineStr">
        <is>
          <t>Mon</t>
        </is>
      </c>
      <c r="AB3" s="302" t="inlineStr">
        <is>
          <t>Tue</t>
        </is>
      </c>
      <c r="AC3" s="302" t="inlineStr">
        <is>
          <t>Wed</t>
        </is>
      </c>
      <c r="AD3" s="302" t="inlineStr">
        <is>
          <t>Thu</t>
        </is>
      </c>
      <c r="AE3" s="302" t="inlineStr">
        <is>
          <t>Fri</t>
        </is>
      </c>
      <c r="AF3" s="302" t="inlineStr">
        <is>
          <t>Sat</t>
        </is>
      </c>
      <c r="AG3" s="509" t="n"/>
    </row>
    <row r="4">
      <c r="A4" s="509" t="n"/>
      <c r="B4" s="509" t="n"/>
      <c r="C4" s="509" t="n"/>
      <c r="D4" s="509" t="n"/>
      <c r="E4" s="303" t="inlineStr">
        <is>
          <t>Time</t>
        </is>
      </c>
      <c r="F4" s="303" t="inlineStr">
        <is>
          <t>Time</t>
        </is>
      </c>
      <c r="G4" s="303" t="inlineStr">
        <is>
          <t>Time</t>
        </is>
      </c>
      <c r="H4" s="303" t="inlineStr">
        <is>
          <t>Time</t>
        </is>
      </c>
      <c r="I4" s="303" t="inlineStr">
        <is>
          <t>Time</t>
        </is>
      </c>
      <c r="J4" s="303" t="inlineStr">
        <is>
          <t>Time</t>
        </is>
      </c>
      <c r="K4" s="303" t="inlineStr">
        <is>
          <t>Time</t>
        </is>
      </c>
      <c r="L4" s="303" t="inlineStr">
        <is>
          <t>Time</t>
        </is>
      </c>
      <c r="M4" s="303" t="inlineStr">
        <is>
          <t>Time</t>
        </is>
      </c>
      <c r="N4" s="303" t="inlineStr">
        <is>
          <t>Time</t>
        </is>
      </c>
      <c r="O4" s="303" t="inlineStr">
        <is>
          <t>Time</t>
        </is>
      </c>
      <c r="P4" s="303" t="inlineStr">
        <is>
          <t>Time</t>
        </is>
      </c>
      <c r="Q4" s="303" t="inlineStr">
        <is>
          <t>Time</t>
        </is>
      </c>
      <c r="R4" s="303" t="inlineStr">
        <is>
          <t>Time</t>
        </is>
      </c>
      <c r="S4" s="303" t="inlineStr">
        <is>
          <t>Time</t>
        </is>
      </c>
      <c r="T4" s="303" t="inlineStr">
        <is>
          <t>Time</t>
        </is>
      </c>
      <c r="U4" s="303" t="inlineStr">
        <is>
          <t>Time</t>
        </is>
      </c>
      <c r="V4" s="303" t="inlineStr">
        <is>
          <t>Time</t>
        </is>
      </c>
      <c r="W4" s="303" t="inlineStr">
        <is>
          <t>Time</t>
        </is>
      </c>
      <c r="X4" s="303" t="inlineStr">
        <is>
          <t>Time</t>
        </is>
      </c>
      <c r="Y4" s="303" t="inlineStr">
        <is>
          <t>Time</t>
        </is>
      </c>
      <c r="Z4" s="303" t="inlineStr">
        <is>
          <t>Time</t>
        </is>
      </c>
      <c r="AA4" s="303" t="inlineStr">
        <is>
          <t>Time</t>
        </is>
      </c>
      <c r="AB4" s="303" t="inlineStr">
        <is>
          <t>Time</t>
        </is>
      </c>
      <c r="AC4" s="303" t="inlineStr">
        <is>
          <t>Time</t>
        </is>
      </c>
      <c r="AD4" s="303" t="inlineStr">
        <is>
          <t>Time</t>
        </is>
      </c>
      <c r="AE4" s="303" t="inlineStr">
        <is>
          <t>Time</t>
        </is>
      </c>
      <c r="AF4" s="303" t="inlineStr">
        <is>
          <t>Time</t>
        </is>
      </c>
      <c r="AG4" s="509" t="n"/>
    </row>
    <row r="5">
      <c r="A5" s="510" t="n"/>
      <c r="B5" s="510" t="n"/>
      <c r="C5" s="510" t="n"/>
      <c r="D5" s="510" t="n"/>
      <c r="E5" s="304" t="n">
        <v>0.3333333333333333</v>
      </c>
      <c r="F5" s="304" t="n">
        <v>0.3333333333333333</v>
      </c>
      <c r="G5" s="304" t="n">
        <v>0.3333333333333333</v>
      </c>
      <c r="H5" s="304" t="n">
        <v>0.3333333333333333</v>
      </c>
      <c r="I5" s="304" t="n">
        <v>0.3333333333333333</v>
      </c>
      <c r="J5" s="304" t="n">
        <v>0.3333333333333333</v>
      </c>
      <c r="K5" s="304" t="n">
        <v>0.3333333333333333</v>
      </c>
      <c r="L5" s="304" t="n">
        <v>0.3333333333333333</v>
      </c>
      <c r="M5" s="304" t="n">
        <v>0.3333333333333333</v>
      </c>
      <c r="N5" s="304" t="n">
        <v>0.3333333333333333</v>
      </c>
      <c r="O5" s="304" t="n">
        <v>0.3333333333333333</v>
      </c>
      <c r="P5" s="304" t="n">
        <v>0.3333333333333333</v>
      </c>
      <c r="Q5" s="304" t="n">
        <v>0.3333333333333333</v>
      </c>
      <c r="R5" s="304" t="n">
        <v>0.3333333333333333</v>
      </c>
      <c r="S5" s="304" t="n">
        <v>0.3333333333333333</v>
      </c>
      <c r="T5" s="304" t="n">
        <v>0.3333333333333333</v>
      </c>
      <c r="U5" s="304" t="n">
        <v>0.3333333333333333</v>
      </c>
      <c r="V5" s="304" t="n">
        <v>0.3333333333333333</v>
      </c>
      <c r="W5" s="304" t="n">
        <v>0.3333333333333333</v>
      </c>
      <c r="X5" s="304" t="n">
        <v>0.3333333333333333</v>
      </c>
      <c r="Y5" s="304" t="n">
        <v>0.3333333333333333</v>
      </c>
      <c r="Z5" s="304" t="n">
        <v>0.3333333333333333</v>
      </c>
      <c r="AA5" s="304" t="n">
        <v>0.3333333333333333</v>
      </c>
      <c r="AB5" s="304" t="n">
        <v>0.3333333333333333</v>
      </c>
      <c r="AC5" s="304" t="n">
        <v>0.3333333333333333</v>
      </c>
      <c r="AD5" s="304" t="n">
        <v>0.3333333333333333</v>
      </c>
      <c r="AE5" s="304" t="n">
        <v>0.3333333333333333</v>
      </c>
      <c r="AF5" s="304" t="n">
        <v>0.3333333333333333</v>
      </c>
      <c r="AG5" s="510" t="n"/>
    </row>
    <row r="6">
      <c r="A6" s="305" t="n">
        <v>1</v>
      </c>
      <c r="B6" s="541" t="inlineStr">
        <is>
          <t>3F</t>
        </is>
      </c>
      <c r="C6" s="307" t="inlineStr">
        <is>
          <t>SL No 540430038840 (EB Unit)</t>
        </is>
      </c>
      <c r="D6" s="308" t="n">
        <v>174539</v>
      </c>
      <c r="E6" s="305" t="n">
        <v>174831</v>
      </c>
      <c r="F6" s="305" t="n">
        <v>175100</v>
      </c>
      <c r="G6" s="305" t="n">
        <v>175349</v>
      </c>
      <c r="H6" s="305" t="n">
        <v>175600</v>
      </c>
      <c r="I6" s="305" t="n">
        <v>175858</v>
      </c>
      <c r="J6" s="305" t="n">
        <v>176115</v>
      </c>
      <c r="K6" s="305" t="n">
        <v>176323</v>
      </c>
      <c r="L6" s="305" t="n">
        <v>176539</v>
      </c>
      <c r="M6" s="305" t="n">
        <v>176807</v>
      </c>
      <c r="N6" s="305" t="n">
        <v>177067</v>
      </c>
      <c r="O6" s="309" t="n">
        <v>177320</v>
      </c>
      <c r="P6" s="310" t="n">
        <v>177586</v>
      </c>
      <c r="Q6" s="305" t="n">
        <v>177836</v>
      </c>
      <c r="R6" s="311" t="n">
        <v>178053</v>
      </c>
      <c r="S6" s="541" t="n">
        <v>178233</v>
      </c>
      <c r="T6" s="541" t="n">
        <v>178494</v>
      </c>
      <c r="U6" s="541" t="n">
        <v>178759</v>
      </c>
      <c r="V6" s="312" t="n">
        <v>179010</v>
      </c>
      <c r="W6" s="541" t="n">
        <v>179260</v>
      </c>
      <c r="X6" s="541" t="n">
        <v>179511</v>
      </c>
      <c r="Y6" s="541" t="n">
        <v>179718</v>
      </c>
      <c r="Z6" s="541" t="n">
        <v>179917</v>
      </c>
      <c r="AA6" s="309" t="n">
        <v>180174</v>
      </c>
      <c r="AB6" s="541" t="n">
        <v>180449</v>
      </c>
      <c r="AC6" s="541" t="n">
        <v>180698</v>
      </c>
      <c r="AD6" s="305" t="n">
        <v>180957</v>
      </c>
      <c r="AE6" s="313" t="n">
        <v>181217</v>
      </c>
      <c r="AF6" s="385" t="n">
        <v>181312</v>
      </c>
      <c r="AG6" s="314">
        <f>AF6-D6</f>
        <v/>
      </c>
    </row>
    <row r="7">
      <c r="A7" s="315" t="n"/>
      <c r="B7" s="315" t="n"/>
      <c r="C7" s="316" t="inlineStr">
        <is>
          <t>DG</t>
        </is>
      </c>
      <c r="D7" s="317" t="n">
        <v>4283</v>
      </c>
      <c r="E7" s="318" t="n">
        <v>4283</v>
      </c>
      <c r="F7" s="318" t="n">
        <v>4283</v>
      </c>
      <c r="G7" s="318" t="n">
        <v>4283</v>
      </c>
      <c r="H7" s="318" t="n">
        <v>4283</v>
      </c>
      <c r="I7" s="318" t="n">
        <v>4283</v>
      </c>
      <c r="J7" s="318" t="n">
        <v>4283</v>
      </c>
      <c r="K7" s="318" t="n">
        <v>4283</v>
      </c>
      <c r="L7" s="318" t="n">
        <v>4283</v>
      </c>
      <c r="M7" s="318" t="n">
        <v>4283</v>
      </c>
      <c r="N7" s="315" t="n">
        <v>4283</v>
      </c>
      <c r="O7" s="315" t="n">
        <v>4283</v>
      </c>
      <c r="P7" s="315" t="n">
        <v>4283</v>
      </c>
      <c r="Q7" s="315" t="n">
        <v>4283</v>
      </c>
      <c r="R7" s="315" t="n">
        <v>4283</v>
      </c>
      <c r="S7" s="315" t="n">
        <v>4283</v>
      </c>
      <c r="T7" s="315" t="n">
        <v>4283</v>
      </c>
      <c r="U7" s="315" t="n">
        <v>4283</v>
      </c>
      <c r="V7" s="315" t="n">
        <v>4283</v>
      </c>
      <c r="W7" s="315" t="n">
        <v>4283</v>
      </c>
      <c r="X7" s="315" t="n">
        <v>4283</v>
      </c>
      <c r="Y7" s="315" t="n">
        <v>4283</v>
      </c>
      <c r="Z7" s="315" t="n">
        <v>4283</v>
      </c>
      <c r="AA7" s="315" t="n">
        <v>4283</v>
      </c>
      <c r="AB7" s="315" t="n">
        <v>4283</v>
      </c>
      <c r="AC7" s="315" t="n">
        <v>4283</v>
      </c>
      <c r="AD7" s="315" t="n">
        <v>4283</v>
      </c>
      <c r="AE7" s="318" t="n">
        <v>4283</v>
      </c>
      <c r="AF7" s="318" t="n">
        <v>4283</v>
      </c>
      <c r="AG7" s="314">
        <f>AF7-D7</f>
        <v/>
      </c>
    </row>
    <row r="8">
      <c r="A8" s="541" t="n">
        <v>2</v>
      </c>
      <c r="B8" s="541" t="inlineStr">
        <is>
          <t>3F</t>
        </is>
      </c>
      <c r="C8" s="319" t="inlineStr">
        <is>
          <t>SL No 540430038845 (EB Unit)</t>
        </is>
      </c>
      <c r="D8" s="320" t="n">
        <v>1956</v>
      </c>
      <c r="E8" s="309" t="n">
        <v>1956</v>
      </c>
      <c r="F8" s="309" t="n">
        <v>1956</v>
      </c>
      <c r="G8" s="309" t="n">
        <v>1956</v>
      </c>
      <c r="H8" s="309" t="n">
        <v>1956</v>
      </c>
      <c r="I8" s="309" t="n">
        <v>1956</v>
      </c>
      <c r="J8" s="309" t="n">
        <v>1956</v>
      </c>
      <c r="K8" s="541" t="n">
        <v>1956</v>
      </c>
      <c r="L8" s="541" t="n">
        <v>1956</v>
      </c>
      <c r="M8" s="541" t="n">
        <v>1956</v>
      </c>
      <c r="N8" s="541" t="n">
        <v>1956</v>
      </c>
      <c r="O8" s="541" t="n">
        <v>1956</v>
      </c>
      <c r="P8" s="541" t="n">
        <v>1956</v>
      </c>
      <c r="Q8" s="541" t="n">
        <v>1956</v>
      </c>
      <c r="R8" s="541" t="n">
        <v>1956</v>
      </c>
      <c r="S8" s="541" t="n">
        <v>1956</v>
      </c>
      <c r="T8" s="541" t="n">
        <v>1956</v>
      </c>
      <c r="U8" s="541" t="n">
        <v>1956</v>
      </c>
      <c r="V8" s="541" t="n">
        <v>1956</v>
      </c>
      <c r="W8" s="541" t="n">
        <v>1956</v>
      </c>
      <c r="X8" s="541" t="n">
        <v>1956</v>
      </c>
      <c r="Y8" s="541" t="n">
        <v>1956</v>
      </c>
      <c r="Z8" s="541" t="n">
        <v>1956</v>
      </c>
      <c r="AA8" s="541" t="n">
        <v>1956</v>
      </c>
      <c r="AB8" s="541" t="n">
        <v>1956</v>
      </c>
      <c r="AC8" s="541" t="n">
        <v>1956</v>
      </c>
      <c r="AD8" s="541" t="n">
        <v>1956</v>
      </c>
      <c r="AE8" s="309" t="n">
        <v>1956</v>
      </c>
      <c r="AF8" s="386" t="n">
        <v>1956</v>
      </c>
      <c r="AG8" s="314">
        <f>AF8-D8</f>
        <v/>
      </c>
    </row>
    <row r="9">
      <c r="A9" s="541" t="n"/>
      <c r="B9" s="541" t="n"/>
      <c r="C9" s="316" t="inlineStr">
        <is>
          <t>DG</t>
        </is>
      </c>
      <c r="D9" s="320" t="n">
        <v>28.6</v>
      </c>
      <c r="E9" s="309" t="n">
        <v>28.6</v>
      </c>
      <c r="F9" s="309" t="n">
        <v>28.6</v>
      </c>
      <c r="G9" s="309" t="n">
        <v>28.6</v>
      </c>
      <c r="H9" s="309" t="n">
        <v>28.6</v>
      </c>
      <c r="I9" s="309" t="n">
        <v>28.6</v>
      </c>
      <c r="J9" s="309" t="n">
        <v>28.6</v>
      </c>
      <c r="K9" s="309" t="n">
        <v>28.6</v>
      </c>
      <c r="L9" s="309" t="n">
        <v>28.6</v>
      </c>
      <c r="M9" s="309" t="n">
        <v>28.6</v>
      </c>
      <c r="N9" s="541" t="n">
        <v>28.6</v>
      </c>
      <c r="O9" s="541" t="n">
        <v>28.6</v>
      </c>
      <c r="P9" s="541" t="n">
        <v>28.6</v>
      </c>
      <c r="Q9" s="541" t="n">
        <v>28.6</v>
      </c>
      <c r="R9" s="541" t="n">
        <v>28.6</v>
      </c>
      <c r="S9" s="541" t="n">
        <v>28.6</v>
      </c>
      <c r="T9" s="541" t="n">
        <v>28.6</v>
      </c>
      <c r="U9" s="541" t="n">
        <v>28.6</v>
      </c>
      <c r="V9" s="541" t="n">
        <v>28.6</v>
      </c>
      <c r="W9" s="541" t="n">
        <v>28.6</v>
      </c>
      <c r="X9" s="541" t="n">
        <v>28.6</v>
      </c>
      <c r="Y9" s="541" t="n">
        <v>28.6</v>
      </c>
      <c r="Z9" s="541" t="n">
        <v>28.6</v>
      </c>
      <c r="AA9" s="541" t="n">
        <v>28.6</v>
      </c>
      <c r="AB9" s="541" t="n">
        <v>28.6</v>
      </c>
      <c r="AC9" s="541" t="n">
        <v>28.6</v>
      </c>
      <c r="AD9" s="541" t="n">
        <v>28.6</v>
      </c>
      <c r="AE9" s="309" t="n">
        <v>28.6</v>
      </c>
      <c r="AF9" s="309" t="n">
        <v>28.6</v>
      </c>
      <c r="AG9" s="314">
        <f>AF9-D9</f>
        <v/>
      </c>
    </row>
    <row r="10">
      <c r="A10" s="541" t="n">
        <v>3</v>
      </c>
      <c r="B10" s="541" t="inlineStr">
        <is>
          <t>3F</t>
        </is>
      </c>
      <c r="C10" s="319" t="inlineStr">
        <is>
          <t>SL No 540430038844 (EB Unit)</t>
        </is>
      </c>
      <c r="D10" s="317" t="n">
        <v>253441</v>
      </c>
      <c r="E10" s="541" t="n">
        <v>253820</v>
      </c>
      <c r="F10" s="541" t="n">
        <v>254213</v>
      </c>
      <c r="G10" s="541" t="n">
        <v>254575</v>
      </c>
      <c r="H10" s="541" t="n">
        <v>254949</v>
      </c>
      <c r="I10" s="541" t="n">
        <v>255315</v>
      </c>
      <c r="J10" s="541" t="n">
        <v>255684</v>
      </c>
      <c r="K10" s="541" t="n">
        <v>255965</v>
      </c>
      <c r="L10" s="541" t="n">
        <v>256254</v>
      </c>
      <c r="M10" s="541" t="n">
        <v>256648</v>
      </c>
      <c r="N10" s="541" t="n">
        <v>257026</v>
      </c>
      <c r="O10" s="541" t="n">
        <v>257397</v>
      </c>
      <c r="P10" s="541" t="n">
        <v>257784</v>
      </c>
      <c r="Q10" s="541" t="n">
        <v>258148</v>
      </c>
      <c r="R10" s="541" t="n">
        <v>258434</v>
      </c>
      <c r="S10" s="541" t="n">
        <v>258676</v>
      </c>
      <c r="T10" s="541" t="n">
        <v>259048</v>
      </c>
      <c r="U10" s="541" t="n">
        <v>259431</v>
      </c>
      <c r="V10" s="541" t="n">
        <v>259794</v>
      </c>
      <c r="W10" s="541" t="n">
        <v>260155</v>
      </c>
      <c r="X10" s="541" t="n">
        <v>260518</v>
      </c>
      <c r="Y10" s="541" t="n">
        <v>260797</v>
      </c>
      <c r="Z10" s="541" t="n">
        <v>261061</v>
      </c>
      <c r="AA10" s="309" t="n">
        <v>261430</v>
      </c>
      <c r="AB10" s="315" t="n">
        <v>261827</v>
      </c>
      <c r="AC10" s="315" t="n">
        <v>262190</v>
      </c>
      <c r="AD10" s="315" t="n">
        <v>262566</v>
      </c>
      <c r="AE10" s="318" t="n">
        <v>262852</v>
      </c>
      <c r="AF10" s="387" t="n">
        <v>263065</v>
      </c>
      <c r="AG10" s="314">
        <f>AF10-D10</f>
        <v/>
      </c>
    </row>
    <row r="11">
      <c r="A11" s="541" t="n"/>
      <c r="B11" s="541" t="n"/>
      <c r="C11" s="316" t="inlineStr">
        <is>
          <t>DG</t>
        </is>
      </c>
      <c r="D11" s="321" t="n">
        <v>6410</v>
      </c>
      <c r="E11" s="309" t="n">
        <v>6410</v>
      </c>
      <c r="F11" s="309" t="n">
        <v>6410</v>
      </c>
      <c r="G11" s="309" t="n">
        <v>6410</v>
      </c>
      <c r="H11" s="309" t="n">
        <v>6410</v>
      </c>
      <c r="I11" s="309" t="n">
        <v>6410</v>
      </c>
      <c r="J11" s="309" t="n">
        <v>6410</v>
      </c>
      <c r="K11" s="309" t="n">
        <v>6410</v>
      </c>
      <c r="L11" s="309" t="n">
        <v>6410</v>
      </c>
      <c r="M11" s="309" t="n">
        <v>6410</v>
      </c>
      <c r="N11" s="541" t="n">
        <v>6410</v>
      </c>
      <c r="O11" s="541" t="n">
        <v>6410</v>
      </c>
      <c r="P11" s="541" t="n">
        <v>6410</v>
      </c>
      <c r="Q11" s="541" t="n">
        <v>6410</v>
      </c>
      <c r="R11" s="541" t="n">
        <v>6410</v>
      </c>
      <c r="S11" s="541" t="n">
        <v>6410</v>
      </c>
      <c r="T11" s="541" t="n">
        <v>6410</v>
      </c>
      <c r="U11" s="541" t="n">
        <v>6410</v>
      </c>
      <c r="V11" s="541" t="n">
        <v>6410</v>
      </c>
      <c r="W11" s="541" t="n">
        <v>6410</v>
      </c>
      <c r="X11" s="541" t="n">
        <v>6410</v>
      </c>
      <c r="Y11" s="541" t="n">
        <v>6410</v>
      </c>
      <c r="Z11" s="541" t="n">
        <v>6410</v>
      </c>
      <c r="AA11" s="541" t="n">
        <v>6410</v>
      </c>
      <c r="AB11" s="541" t="n">
        <v>6410</v>
      </c>
      <c r="AC11" s="541" t="n">
        <v>6410</v>
      </c>
      <c r="AD11" s="541" t="n">
        <v>6410</v>
      </c>
      <c r="AE11" s="309" t="n">
        <v>6410</v>
      </c>
      <c r="AF11" s="309" t="n">
        <v>6410</v>
      </c>
      <c r="AG11" s="314">
        <f>AF11-D11</f>
        <v/>
      </c>
    </row>
    <row r="12">
      <c r="A12" s="541" t="n">
        <v>4</v>
      </c>
      <c r="B12" s="541" t="inlineStr">
        <is>
          <t>3F</t>
        </is>
      </c>
      <c r="C12" s="322" t="inlineStr">
        <is>
          <t>SL No 540430038821 (EB Unit)</t>
        </is>
      </c>
      <c r="D12" s="323" t="n">
        <v>0</v>
      </c>
      <c r="E12" s="324" t="n">
        <v>0</v>
      </c>
      <c r="F12" s="309" t="n">
        <v>0</v>
      </c>
      <c r="G12" s="309" t="n">
        <v>0</v>
      </c>
      <c r="H12" s="309" t="n">
        <v>0</v>
      </c>
      <c r="I12" s="309" t="n">
        <v>0</v>
      </c>
      <c r="J12" s="309" t="n">
        <v>0</v>
      </c>
      <c r="K12" s="541" t="n">
        <v>0</v>
      </c>
      <c r="L12" s="541" t="n">
        <v>0</v>
      </c>
      <c r="M12" s="541" t="n">
        <v>0</v>
      </c>
      <c r="N12" s="541" t="n">
        <v>0</v>
      </c>
      <c r="O12" s="541" t="n">
        <v>0</v>
      </c>
      <c r="P12" s="541" t="n">
        <v>0</v>
      </c>
      <c r="Q12" s="541" t="n">
        <v>0</v>
      </c>
      <c r="R12" s="541" t="n">
        <v>0</v>
      </c>
      <c r="S12" s="541" t="n">
        <v>0</v>
      </c>
      <c r="T12" s="541" t="n">
        <v>0</v>
      </c>
      <c r="U12" s="541" t="n">
        <v>0</v>
      </c>
      <c r="V12" s="541" t="n">
        <v>0</v>
      </c>
      <c r="W12" s="541" t="n">
        <v>0</v>
      </c>
      <c r="X12" s="541" t="n">
        <v>0</v>
      </c>
      <c r="Y12" s="541" t="n">
        <v>0</v>
      </c>
      <c r="Z12" s="541" t="n">
        <v>0</v>
      </c>
      <c r="AA12" s="541" t="n">
        <v>0</v>
      </c>
      <c r="AB12" s="541" t="n">
        <v>0</v>
      </c>
      <c r="AC12" s="541" t="n">
        <v>0</v>
      </c>
      <c r="AD12" s="541" t="n">
        <v>0</v>
      </c>
      <c r="AE12" s="309" t="n">
        <v>0</v>
      </c>
      <c r="AF12" s="386" t="n">
        <v>0</v>
      </c>
      <c r="AG12" s="314">
        <f>AF12-D12</f>
        <v/>
      </c>
    </row>
    <row r="13">
      <c r="A13" s="541" t="n"/>
      <c r="B13" s="541" t="n"/>
      <c r="C13" s="325" t="inlineStr">
        <is>
          <t>DG</t>
        </is>
      </c>
      <c r="D13" s="323" t="n">
        <v>0</v>
      </c>
      <c r="E13" s="326" t="n">
        <v>0</v>
      </c>
      <c r="F13" s="327" t="n">
        <v>0</v>
      </c>
      <c r="G13" s="327" t="n">
        <v>0</v>
      </c>
      <c r="H13" s="327" t="n">
        <v>0</v>
      </c>
      <c r="I13" s="327" t="n">
        <v>0</v>
      </c>
      <c r="J13" s="327" t="n">
        <v>0</v>
      </c>
      <c r="K13" s="541" t="n">
        <v>0</v>
      </c>
      <c r="L13" s="541" t="n">
        <v>0</v>
      </c>
      <c r="M13" s="541" t="n">
        <v>0</v>
      </c>
      <c r="N13" s="541" t="n">
        <v>0</v>
      </c>
      <c r="O13" s="541" t="n">
        <v>0</v>
      </c>
      <c r="P13" s="541" t="n">
        <v>0</v>
      </c>
      <c r="Q13" s="541" t="n">
        <v>0</v>
      </c>
      <c r="R13" s="541" t="n">
        <v>0</v>
      </c>
      <c r="S13" s="541" t="n">
        <v>0</v>
      </c>
      <c r="T13" s="541" t="n">
        <v>0</v>
      </c>
      <c r="U13" s="541" t="n">
        <v>0</v>
      </c>
      <c r="V13" s="541" t="n">
        <v>0</v>
      </c>
      <c r="W13" s="541" t="n">
        <v>0</v>
      </c>
      <c r="X13" s="541" t="n">
        <v>0</v>
      </c>
      <c r="Y13" s="541" t="n">
        <v>0</v>
      </c>
      <c r="Z13" s="541" t="n">
        <v>0</v>
      </c>
      <c r="AA13" s="541" t="n">
        <v>0</v>
      </c>
      <c r="AB13" s="541" t="n">
        <v>0</v>
      </c>
      <c r="AC13" s="541" t="n">
        <v>0</v>
      </c>
      <c r="AD13" s="541" t="n">
        <v>0</v>
      </c>
      <c r="AE13" s="309" t="n">
        <v>0</v>
      </c>
      <c r="AF13" s="309" t="n">
        <v>0</v>
      </c>
      <c r="AG13" s="314">
        <f>AF13-D13</f>
        <v/>
      </c>
    </row>
    <row r="14">
      <c r="A14" s="541" t="n">
        <v>5</v>
      </c>
      <c r="B14" s="541" t="inlineStr">
        <is>
          <t>3F</t>
        </is>
      </c>
      <c r="C14" s="322" t="inlineStr">
        <is>
          <t>SL No 540430038849 (EB Unit)</t>
        </is>
      </c>
      <c r="D14" s="323" t="n">
        <v>131062</v>
      </c>
      <c r="E14" s="311" t="n">
        <v>131292</v>
      </c>
      <c r="F14" s="541" t="n">
        <v>131506</v>
      </c>
      <c r="G14" s="541" t="n">
        <v>131800</v>
      </c>
      <c r="H14" s="541" t="n">
        <v>132049</v>
      </c>
      <c r="I14" s="541" t="n">
        <v>132289</v>
      </c>
      <c r="J14" s="541" t="n">
        <v>132537</v>
      </c>
      <c r="K14" s="541" t="n">
        <v>132691</v>
      </c>
      <c r="L14" s="541" t="n">
        <v>132848</v>
      </c>
      <c r="M14" s="541" t="n">
        <v>133099</v>
      </c>
      <c r="N14" s="541" t="n">
        <v>133343</v>
      </c>
      <c r="O14" s="541" t="n">
        <v>133586</v>
      </c>
      <c r="P14" s="541" t="n">
        <v>133839</v>
      </c>
      <c r="Q14" s="541" t="n">
        <v>134080</v>
      </c>
      <c r="R14" s="541" t="n">
        <v>134244</v>
      </c>
      <c r="S14" s="541" t="n">
        <v>134379</v>
      </c>
      <c r="T14" s="541" t="n">
        <v>134623</v>
      </c>
      <c r="U14" s="328" t="n">
        <v>134878</v>
      </c>
      <c r="V14" s="541" t="n">
        <v>135126</v>
      </c>
      <c r="W14" s="541" t="n">
        <v>135373</v>
      </c>
      <c r="X14" s="541" t="n">
        <v>135615</v>
      </c>
      <c r="Y14" s="541" t="n">
        <v>135780</v>
      </c>
      <c r="Z14" s="541" t="n">
        <v>135920</v>
      </c>
      <c r="AA14" s="309" t="n">
        <v>136179</v>
      </c>
      <c r="AB14" s="328" t="n">
        <v>136447</v>
      </c>
      <c r="AC14" s="328" t="n">
        <v>136692</v>
      </c>
      <c r="AD14" s="328" t="n">
        <v>136933</v>
      </c>
      <c r="AE14" s="551" t="n">
        <v>137176</v>
      </c>
      <c r="AF14" s="388" t="n">
        <v>137256</v>
      </c>
      <c r="AG14" s="314">
        <f>AF14-D14</f>
        <v/>
      </c>
    </row>
    <row r="15">
      <c r="A15" s="541" t="n"/>
      <c r="B15" s="541" t="n"/>
      <c r="C15" s="325" t="inlineStr">
        <is>
          <t>DG</t>
        </is>
      </c>
      <c r="D15" s="323" t="n">
        <v>3280</v>
      </c>
      <c r="E15" s="330" t="n">
        <v>3280</v>
      </c>
      <c r="F15" s="330" t="n">
        <v>3280</v>
      </c>
      <c r="G15" s="330" t="n">
        <v>3280</v>
      </c>
      <c r="H15" s="330" t="n">
        <v>3280</v>
      </c>
      <c r="I15" s="330" t="n">
        <v>3280</v>
      </c>
      <c r="J15" s="330" t="n">
        <v>3280</v>
      </c>
      <c r="K15" s="330" t="n">
        <v>3280</v>
      </c>
      <c r="L15" s="330" t="n">
        <v>3280</v>
      </c>
      <c r="M15" s="330" t="n">
        <v>3280</v>
      </c>
      <c r="N15" s="331" t="n">
        <v>3280</v>
      </c>
      <c r="O15" s="331" t="n">
        <v>3280</v>
      </c>
      <c r="P15" s="331" t="n">
        <v>3280</v>
      </c>
      <c r="Q15" s="331" t="n">
        <v>3280</v>
      </c>
      <c r="R15" s="331" t="n">
        <v>3280</v>
      </c>
      <c r="S15" s="331" t="n">
        <v>3280</v>
      </c>
      <c r="T15" s="331" t="n">
        <v>3280</v>
      </c>
      <c r="U15" s="331" t="n">
        <v>3280</v>
      </c>
      <c r="V15" s="331" t="n">
        <v>3280</v>
      </c>
      <c r="W15" s="331" t="n">
        <v>3280</v>
      </c>
      <c r="X15" s="331" t="n">
        <v>3280</v>
      </c>
      <c r="Y15" s="331" t="n">
        <v>3280</v>
      </c>
      <c r="Z15" s="331" t="n">
        <v>3280</v>
      </c>
      <c r="AA15" s="331" t="n">
        <v>3280</v>
      </c>
      <c r="AB15" s="331" t="n">
        <v>3280</v>
      </c>
      <c r="AC15" s="331" t="n">
        <v>3280</v>
      </c>
      <c r="AD15" s="331" t="n">
        <v>3280</v>
      </c>
      <c r="AE15" s="327" t="n">
        <v>3280</v>
      </c>
      <c r="AF15" s="327" t="n">
        <v>3280</v>
      </c>
      <c r="AG15" s="314">
        <f>AF15-D15</f>
        <v/>
      </c>
    </row>
    <row r="16">
      <c r="A16" s="541" t="n">
        <v>6</v>
      </c>
      <c r="B16" s="541" t="inlineStr">
        <is>
          <t>3F</t>
        </is>
      </c>
      <c r="C16" s="322" t="inlineStr">
        <is>
          <t>SL No 540430038646 (EB Unit)</t>
        </is>
      </c>
      <c r="D16" s="323" t="n">
        <v>147456</v>
      </c>
      <c r="E16" s="332" t="n">
        <v>147615</v>
      </c>
      <c r="F16" s="309" t="n">
        <v>147867</v>
      </c>
      <c r="G16" s="305" t="n">
        <v>148133</v>
      </c>
      <c r="H16" s="311" t="n">
        <v>148380</v>
      </c>
      <c r="I16" s="541" t="n">
        <v>148664</v>
      </c>
      <c r="J16" s="541" t="n">
        <v>148922</v>
      </c>
      <c r="K16" s="309" t="n">
        <v>149040</v>
      </c>
      <c r="L16" s="333" t="n">
        <v>149120</v>
      </c>
      <c r="M16" s="310" t="n">
        <v>149390</v>
      </c>
      <c r="N16" s="310" t="n">
        <v>149641</v>
      </c>
      <c r="O16" s="310" t="n">
        <v>149911</v>
      </c>
      <c r="P16" s="310" t="n">
        <v>150175</v>
      </c>
      <c r="Q16" s="334" t="n">
        <v>150444</v>
      </c>
      <c r="R16" s="310" t="n">
        <v>150560</v>
      </c>
      <c r="S16" s="311" t="n">
        <v>150651</v>
      </c>
      <c r="T16" s="541" t="n">
        <v>150870</v>
      </c>
      <c r="U16" s="541" t="n">
        <v>151209</v>
      </c>
      <c r="V16" s="541" t="n">
        <v>151466</v>
      </c>
      <c r="W16" s="541" t="n">
        <v>151734</v>
      </c>
      <c r="X16" s="541" t="n">
        <v>151987</v>
      </c>
      <c r="Y16" s="541" t="n">
        <v>152116</v>
      </c>
      <c r="Z16" s="541" t="n">
        <v>152200</v>
      </c>
      <c r="AA16" s="309" t="n">
        <v>152455</v>
      </c>
      <c r="AB16" s="305" t="n">
        <v>152730</v>
      </c>
      <c r="AC16" s="305" t="n">
        <v>153003</v>
      </c>
      <c r="AD16" s="305" t="n">
        <v>153256</v>
      </c>
      <c r="AE16" s="313" t="n">
        <v>153524</v>
      </c>
      <c r="AF16" s="385" t="n">
        <v>153569</v>
      </c>
      <c r="AG16" s="314">
        <f>AF16-D16</f>
        <v/>
      </c>
    </row>
    <row r="17">
      <c r="A17" s="541" t="n"/>
      <c r="B17" s="541" t="n"/>
      <c r="C17" s="325" t="inlineStr">
        <is>
          <t>DG</t>
        </is>
      </c>
      <c r="D17" s="323" t="n">
        <v>4265</v>
      </c>
      <c r="E17" s="335" t="n">
        <v>4265</v>
      </c>
      <c r="F17" s="335" t="n">
        <v>4265</v>
      </c>
      <c r="G17" s="335" t="n">
        <v>4265</v>
      </c>
      <c r="H17" s="335" t="n">
        <v>4265</v>
      </c>
      <c r="I17" s="335" t="n">
        <v>4265</v>
      </c>
      <c r="J17" s="335" t="n">
        <v>4265</v>
      </c>
      <c r="K17" s="335" t="n">
        <v>4265</v>
      </c>
      <c r="L17" s="335" t="n">
        <v>4265</v>
      </c>
      <c r="M17" s="335" t="n">
        <v>4265</v>
      </c>
      <c r="N17" s="335" t="n">
        <v>4265</v>
      </c>
      <c r="O17" s="335" t="n">
        <v>4265</v>
      </c>
      <c r="P17" s="335" t="n">
        <v>4265</v>
      </c>
      <c r="Q17" s="335" t="n">
        <v>4265</v>
      </c>
      <c r="R17" s="335" t="n">
        <v>4265</v>
      </c>
      <c r="S17" s="335" t="n">
        <v>4265</v>
      </c>
      <c r="T17" s="335" t="n">
        <v>4265</v>
      </c>
      <c r="U17" s="335" t="n">
        <v>4265</v>
      </c>
      <c r="V17" s="335" t="n">
        <v>4265</v>
      </c>
      <c r="W17" s="335" t="n">
        <v>4265</v>
      </c>
      <c r="X17" s="335" t="n">
        <v>4265</v>
      </c>
      <c r="Y17" s="335" t="n">
        <v>4265</v>
      </c>
      <c r="Z17" s="335" t="n">
        <v>4265</v>
      </c>
      <c r="AA17" s="335" t="n">
        <v>4265</v>
      </c>
      <c r="AB17" s="335" t="n">
        <v>4265</v>
      </c>
      <c r="AC17" s="335" t="n">
        <v>4265</v>
      </c>
      <c r="AD17" s="335" t="n">
        <v>4265</v>
      </c>
      <c r="AE17" s="305" t="n">
        <v>4265</v>
      </c>
      <c r="AF17" s="305" t="n">
        <v>4265</v>
      </c>
      <c r="AG17" s="314">
        <f>AF17-D17</f>
        <v/>
      </c>
    </row>
    <row r="18">
      <c r="A18" s="541" t="n">
        <v>7</v>
      </c>
      <c r="B18" s="541" t="inlineStr">
        <is>
          <t>3F</t>
        </is>
      </c>
      <c r="C18" s="322" t="inlineStr">
        <is>
          <t>SL No 540430038843 (EB Unit)</t>
        </is>
      </c>
      <c r="D18" s="323" t="n">
        <v>486295</v>
      </c>
      <c r="E18" s="311" t="n">
        <v>487006</v>
      </c>
      <c r="F18" s="541" t="n">
        <v>487827</v>
      </c>
      <c r="G18" s="541" t="n">
        <v>488588</v>
      </c>
      <c r="H18" s="541" t="n">
        <v>489417</v>
      </c>
      <c r="I18" s="541" t="n">
        <v>490208</v>
      </c>
      <c r="J18" s="541" t="n">
        <v>491030</v>
      </c>
      <c r="K18" s="541" t="n">
        <v>491662</v>
      </c>
      <c r="L18" s="541" t="n">
        <v>492129</v>
      </c>
      <c r="M18" s="541" t="n">
        <v>492933</v>
      </c>
      <c r="N18" s="336" t="n">
        <v>493745</v>
      </c>
      <c r="O18" s="541" t="n">
        <v>494531</v>
      </c>
      <c r="P18" s="541" t="n">
        <v>495362</v>
      </c>
      <c r="Q18" s="541" t="n">
        <v>496164</v>
      </c>
      <c r="R18" s="315" t="n">
        <v>496807</v>
      </c>
      <c r="S18" s="336" t="n">
        <v>497268</v>
      </c>
      <c r="T18" s="541" t="n">
        <v>498051</v>
      </c>
      <c r="U18" s="541" t="n">
        <v>498873</v>
      </c>
      <c r="V18" s="541" t="n">
        <v>499668</v>
      </c>
      <c r="W18" s="541" t="n">
        <v>500480</v>
      </c>
      <c r="X18" s="328" t="n">
        <v>501274</v>
      </c>
      <c r="Y18" s="541" t="n">
        <v>501909</v>
      </c>
      <c r="Z18" s="541" t="n">
        <v>502389</v>
      </c>
      <c r="AA18" s="309" t="n">
        <v>502980</v>
      </c>
      <c r="AB18" s="305" t="n">
        <v>504032</v>
      </c>
      <c r="AC18" s="337" t="n">
        <v>504812</v>
      </c>
      <c r="AD18" s="315" t="n">
        <v>505620</v>
      </c>
      <c r="AE18" s="318" t="n">
        <v>506457</v>
      </c>
      <c r="AF18" s="387" t="n">
        <v>506717</v>
      </c>
      <c r="AG18" s="314">
        <f>AF18-D18</f>
        <v/>
      </c>
    </row>
    <row r="19">
      <c r="A19" s="541" t="n"/>
      <c r="B19" s="541" t="n"/>
      <c r="C19" s="325" t="inlineStr">
        <is>
          <t>DG</t>
        </is>
      </c>
      <c r="D19" s="323" t="n">
        <v>11614</v>
      </c>
      <c r="E19" s="311" t="n">
        <v>11614</v>
      </c>
      <c r="F19" s="541" t="n">
        <v>11614</v>
      </c>
      <c r="G19" s="541" t="n">
        <v>11614</v>
      </c>
      <c r="H19" s="541" t="n">
        <v>11614</v>
      </c>
      <c r="I19" s="541" t="n">
        <v>11614</v>
      </c>
      <c r="J19" s="541" t="n">
        <v>11614</v>
      </c>
      <c r="K19" s="541" t="n">
        <v>11614</v>
      </c>
      <c r="L19" s="541" t="n">
        <v>11614</v>
      </c>
      <c r="M19" s="541" t="n">
        <v>11614</v>
      </c>
      <c r="N19" s="541" t="n">
        <v>11614</v>
      </c>
      <c r="O19" s="541" t="n">
        <v>11614</v>
      </c>
      <c r="P19" s="541" t="n">
        <v>11614</v>
      </c>
      <c r="Q19" s="541" t="n">
        <v>11614</v>
      </c>
      <c r="R19" s="541" t="n">
        <v>11614</v>
      </c>
      <c r="S19" s="541" t="n">
        <v>11614</v>
      </c>
      <c r="T19" s="541" t="n">
        <v>11614</v>
      </c>
      <c r="U19" s="541" t="n">
        <v>11614</v>
      </c>
      <c r="V19" s="541" t="n">
        <v>11614</v>
      </c>
      <c r="W19" s="541" t="n">
        <v>11614</v>
      </c>
      <c r="X19" s="541" t="n">
        <v>11614</v>
      </c>
      <c r="Y19" s="541" t="n">
        <v>11614</v>
      </c>
      <c r="Z19" s="541" t="n">
        <v>11614</v>
      </c>
      <c r="AA19" s="541" t="n">
        <v>11614</v>
      </c>
      <c r="AB19" s="541" t="n">
        <v>11614</v>
      </c>
      <c r="AC19" s="541" t="n">
        <v>11614</v>
      </c>
      <c r="AD19" s="541" t="n">
        <v>11614</v>
      </c>
      <c r="AE19" s="309" t="n">
        <v>11614</v>
      </c>
      <c r="AF19" s="309" t="n">
        <v>11614</v>
      </c>
      <c r="AG19" s="314">
        <f>AF19-D19</f>
        <v/>
      </c>
    </row>
    <row r="20">
      <c r="A20" s="541" t="n">
        <v>8</v>
      </c>
      <c r="B20" s="541" t="inlineStr">
        <is>
          <t>3F</t>
        </is>
      </c>
      <c r="C20" s="322" t="inlineStr">
        <is>
          <t>SL No 540430038848 (EB Unit)</t>
        </is>
      </c>
      <c r="D20" s="323" t="n">
        <v>94542</v>
      </c>
      <c r="E20" s="311" t="n">
        <v>94674</v>
      </c>
      <c r="F20" s="541" t="n">
        <v>94791</v>
      </c>
      <c r="G20" s="541" t="n">
        <v>94887</v>
      </c>
      <c r="H20" s="541" t="n">
        <v>95003</v>
      </c>
      <c r="I20" s="541" t="n">
        <v>95103</v>
      </c>
      <c r="J20" s="541" t="n">
        <v>95225</v>
      </c>
      <c r="K20" s="541" t="n">
        <v>95316</v>
      </c>
      <c r="L20" s="541" t="n">
        <v>95417</v>
      </c>
      <c r="M20" s="541" t="n">
        <v>95528</v>
      </c>
      <c r="N20" s="541" t="n">
        <v>95644</v>
      </c>
      <c r="O20" s="541" t="n">
        <v>95755</v>
      </c>
      <c r="P20" s="541" t="n">
        <v>95884</v>
      </c>
      <c r="Q20" s="541" t="n">
        <v>95990</v>
      </c>
      <c r="R20" s="541" t="n">
        <v>96095</v>
      </c>
      <c r="S20" s="541" t="n">
        <v>96177</v>
      </c>
      <c r="T20" s="541" t="n">
        <v>96294</v>
      </c>
      <c r="U20" s="541" t="n">
        <v>96410</v>
      </c>
      <c r="V20" s="541" t="n">
        <v>96529</v>
      </c>
      <c r="W20" s="541" t="n">
        <v>96645</v>
      </c>
      <c r="X20" s="541" t="n">
        <v>96765</v>
      </c>
      <c r="Y20" s="541" t="n">
        <v>96868</v>
      </c>
      <c r="Z20" s="541" t="n">
        <v>96973</v>
      </c>
      <c r="AA20" s="315" t="n">
        <v>97076</v>
      </c>
      <c r="AB20" s="315" t="n">
        <v>97205</v>
      </c>
      <c r="AC20" s="315" t="n">
        <v>97321</v>
      </c>
      <c r="AD20" s="315" t="n">
        <v>97444</v>
      </c>
      <c r="AE20" s="318" t="n">
        <v>97565</v>
      </c>
      <c r="AF20" s="387" t="n">
        <v>97629</v>
      </c>
      <c r="AG20" s="314">
        <f>AF20-D20</f>
        <v/>
      </c>
    </row>
    <row r="21">
      <c r="A21" s="541" t="n"/>
      <c r="B21" s="541" t="n"/>
      <c r="C21" s="325" t="inlineStr">
        <is>
          <t>DG</t>
        </is>
      </c>
      <c r="D21" s="323" t="n">
        <v>2214</v>
      </c>
      <c r="E21" s="311" t="n">
        <v>2214</v>
      </c>
      <c r="F21" s="541" t="n">
        <v>2214</v>
      </c>
      <c r="G21" s="541" t="n">
        <v>2214</v>
      </c>
      <c r="H21" s="541" t="n">
        <v>2214</v>
      </c>
      <c r="I21" s="541" t="n">
        <v>2214</v>
      </c>
      <c r="J21" s="541" t="n">
        <v>2214</v>
      </c>
      <c r="K21" s="541" t="n">
        <v>2214</v>
      </c>
      <c r="L21" s="541" t="n">
        <v>2214</v>
      </c>
      <c r="M21" s="541" t="n">
        <v>2214</v>
      </c>
      <c r="N21" s="541" t="n">
        <v>2214</v>
      </c>
      <c r="O21" s="541" t="n">
        <v>2214</v>
      </c>
      <c r="P21" s="541" t="n">
        <v>2214</v>
      </c>
      <c r="Q21" s="541" t="n">
        <v>2214</v>
      </c>
      <c r="R21" s="541" t="n">
        <v>2214</v>
      </c>
      <c r="S21" s="541" t="n">
        <v>2214</v>
      </c>
      <c r="T21" s="541" t="n">
        <v>2214</v>
      </c>
      <c r="U21" s="541" t="n">
        <v>2214</v>
      </c>
      <c r="V21" s="541" t="n">
        <v>2214</v>
      </c>
      <c r="W21" s="541" t="n">
        <v>2214</v>
      </c>
      <c r="X21" s="541" t="n">
        <v>2214</v>
      </c>
      <c r="Y21" s="541" t="n">
        <v>2214</v>
      </c>
      <c r="Z21" s="541" t="n">
        <v>2214</v>
      </c>
      <c r="AA21" s="541" t="n">
        <v>2214</v>
      </c>
      <c r="AB21" s="541" t="n">
        <v>2214</v>
      </c>
      <c r="AC21" s="541" t="n">
        <v>2214</v>
      </c>
      <c r="AD21" s="541" t="n">
        <v>2214</v>
      </c>
      <c r="AE21" s="309" t="n">
        <v>2214</v>
      </c>
      <c r="AF21" s="309" t="n">
        <v>2214</v>
      </c>
      <c r="AG21" s="314">
        <f>AF21-D21</f>
        <v/>
      </c>
    </row>
    <row r="22" ht="14.5" customHeight="1" s="488">
      <c r="A22" s="541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01" t="n"/>
    </row>
    <row r="23">
      <c r="A23" s="541" t="n">
        <v>1</v>
      </c>
      <c r="B23" s="541" t="inlineStr">
        <is>
          <t>3F</t>
        </is>
      </c>
      <c r="C23" s="319" t="inlineStr">
        <is>
          <t>AHU1</t>
        </is>
      </c>
      <c r="D23" s="317" t="n">
        <v>49293</v>
      </c>
      <c r="E23" s="541" t="n">
        <v>49373</v>
      </c>
      <c r="F23" s="541" t="n">
        <v>49489</v>
      </c>
      <c r="G23" s="541" t="n">
        <v>49646</v>
      </c>
      <c r="H23" s="541" t="n">
        <v>49829</v>
      </c>
      <c r="I23" s="541" t="n">
        <v>50011</v>
      </c>
      <c r="J23" s="541" t="n">
        <v>50169</v>
      </c>
      <c r="K23" s="541" t="n">
        <v>50274</v>
      </c>
      <c r="L23" s="541" t="n">
        <v>50274</v>
      </c>
      <c r="M23" s="541" t="n">
        <v>50419</v>
      </c>
      <c r="N23" s="541" t="n">
        <v>50572</v>
      </c>
      <c r="O23" s="541" t="n">
        <v>50735</v>
      </c>
      <c r="P23" s="541" t="n">
        <v>50900</v>
      </c>
      <c r="Q23" s="541" t="n">
        <v>51051</v>
      </c>
      <c r="R23" s="541" t="n">
        <v>51085</v>
      </c>
      <c r="S23" s="541" t="n">
        <v>51085</v>
      </c>
      <c r="T23" s="541" t="n">
        <v>51211</v>
      </c>
      <c r="U23" s="541" t="n">
        <v>51364</v>
      </c>
      <c r="V23" s="541" t="n">
        <v>51495</v>
      </c>
      <c r="W23" s="541" t="n">
        <v>51627</v>
      </c>
      <c r="X23" s="541" t="n">
        <v>51788</v>
      </c>
      <c r="Y23" s="541" t="n">
        <v>51921</v>
      </c>
      <c r="Z23" s="541" t="n">
        <v>51921</v>
      </c>
      <c r="AA23" s="541" t="n">
        <v>52070</v>
      </c>
      <c r="AB23" s="541" t="n">
        <v>52230</v>
      </c>
      <c r="AC23" s="541" t="n">
        <v>52369</v>
      </c>
      <c r="AD23" s="541" t="n">
        <v>52505</v>
      </c>
      <c r="AE23" s="318" t="n">
        <v>52644</v>
      </c>
      <c r="AF23" s="387" t="n">
        <v>52703</v>
      </c>
      <c r="AG23" s="384">
        <f>AF23-D23</f>
        <v/>
      </c>
    </row>
    <row r="24">
      <c r="A24" s="541" t="n"/>
      <c r="B24" s="541" t="n"/>
      <c r="C24" s="338" t="inlineStr">
        <is>
          <t>DG</t>
        </is>
      </c>
      <c r="D24" s="320" t="n">
        <v>1923</v>
      </c>
      <c r="E24" s="541" t="n">
        <v>1923</v>
      </c>
      <c r="F24" s="541" t="n">
        <v>1923</v>
      </c>
      <c r="G24" s="541" t="n">
        <v>1923</v>
      </c>
      <c r="H24" s="541" t="n">
        <v>1923</v>
      </c>
      <c r="I24" s="541" t="n">
        <v>1923</v>
      </c>
      <c r="J24" s="541" t="n">
        <v>1923</v>
      </c>
      <c r="K24" s="541" t="n">
        <v>1923</v>
      </c>
      <c r="L24" s="541" t="n">
        <v>1923</v>
      </c>
      <c r="M24" s="541" t="n">
        <v>1923</v>
      </c>
      <c r="N24" s="541" t="n">
        <v>1923</v>
      </c>
      <c r="O24" s="541" t="n">
        <v>1923</v>
      </c>
      <c r="P24" s="541" t="n">
        <v>1923</v>
      </c>
      <c r="Q24" s="541" t="n">
        <v>1923</v>
      </c>
      <c r="R24" s="541" t="n">
        <v>1923</v>
      </c>
      <c r="S24" s="328" t="n">
        <v>1923</v>
      </c>
      <c r="T24" s="328" t="n">
        <v>1923</v>
      </c>
      <c r="U24" s="328" t="n">
        <v>1923</v>
      </c>
      <c r="V24" s="328" t="n">
        <v>1923</v>
      </c>
      <c r="W24" s="328" t="n">
        <v>1923</v>
      </c>
      <c r="X24" s="328" t="n">
        <v>1923</v>
      </c>
      <c r="Y24" s="328" t="n">
        <v>1923</v>
      </c>
      <c r="Z24" s="328" t="n">
        <v>1923</v>
      </c>
      <c r="AA24" s="328" t="n">
        <v>1923</v>
      </c>
      <c r="AB24" s="328" t="n">
        <v>1923</v>
      </c>
      <c r="AC24" s="328" t="n">
        <v>1923</v>
      </c>
      <c r="AD24" s="328" t="n">
        <v>1923</v>
      </c>
      <c r="AE24" s="309" t="n">
        <v>1923</v>
      </c>
      <c r="AF24" s="309" t="n">
        <v>1923</v>
      </c>
      <c r="AG24" s="384">
        <f>AF24-D24</f>
        <v/>
      </c>
    </row>
    <row r="25">
      <c r="A25" s="541" t="n">
        <v>2</v>
      </c>
      <c r="B25" s="541" t="inlineStr">
        <is>
          <t>3F</t>
        </is>
      </c>
      <c r="C25" s="319" t="inlineStr">
        <is>
          <t>AHU2</t>
        </is>
      </c>
      <c r="D25" s="317" t="n">
        <v>52906</v>
      </c>
      <c r="E25" s="541" t="n">
        <v>52988</v>
      </c>
      <c r="F25" s="541" t="n">
        <v>53112</v>
      </c>
      <c r="G25" s="541" t="n">
        <v>53241</v>
      </c>
      <c r="H25" s="541" t="n">
        <v>53362</v>
      </c>
      <c r="I25" s="541" t="n">
        <v>53502</v>
      </c>
      <c r="J25" s="541" t="n">
        <v>53621</v>
      </c>
      <c r="K25" s="541" t="n">
        <v>53714</v>
      </c>
      <c r="L25" s="541" t="n">
        <v>53714</v>
      </c>
      <c r="M25" s="541" t="n">
        <v>53872</v>
      </c>
      <c r="N25" s="541" t="n">
        <v>54010</v>
      </c>
      <c r="O25" s="541" t="n">
        <v>54152</v>
      </c>
      <c r="P25" s="541" t="n">
        <v>54303</v>
      </c>
      <c r="Q25" s="541" t="n">
        <v>54457</v>
      </c>
      <c r="R25" s="541" t="n">
        <v>54497</v>
      </c>
      <c r="S25" s="541" t="n">
        <v>54497</v>
      </c>
      <c r="T25" s="541" t="n">
        <v>54661</v>
      </c>
      <c r="U25" s="541" t="n">
        <v>54850</v>
      </c>
      <c r="V25" s="541" t="n">
        <v>55006</v>
      </c>
      <c r="W25" s="541" t="n">
        <v>55145</v>
      </c>
      <c r="X25" s="541" t="n">
        <v>55261</v>
      </c>
      <c r="Y25" s="541" t="n">
        <v>55349</v>
      </c>
      <c r="Z25" s="541" t="n">
        <v>55360</v>
      </c>
      <c r="AA25" s="541" t="n">
        <v>55461</v>
      </c>
      <c r="AB25" s="541" t="n">
        <v>55540</v>
      </c>
      <c r="AC25" s="541" t="n">
        <v>55610</v>
      </c>
      <c r="AD25" s="541" t="n">
        <v>55683</v>
      </c>
      <c r="AE25" s="318" t="n">
        <v>55771</v>
      </c>
      <c r="AF25" s="387" t="n">
        <v>55794</v>
      </c>
      <c r="AG25" s="384">
        <f>AF25-D25</f>
        <v/>
      </c>
    </row>
    <row r="26">
      <c r="A26" s="541" t="n"/>
      <c r="B26" s="541" t="n"/>
      <c r="C26" s="338" t="inlineStr">
        <is>
          <t>DG</t>
        </is>
      </c>
      <c r="D26" s="320" t="n">
        <v>1911</v>
      </c>
      <c r="E26" s="541" t="n">
        <v>1911</v>
      </c>
      <c r="F26" s="541" t="n">
        <v>1911</v>
      </c>
      <c r="G26" s="541" t="n">
        <v>1911</v>
      </c>
      <c r="H26" s="541" t="n">
        <v>1911</v>
      </c>
      <c r="I26" s="541" t="n">
        <v>1911</v>
      </c>
      <c r="J26" s="541" t="n">
        <v>1911</v>
      </c>
      <c r="K26" s="541" t="n">
        <v>1911</v>
      </c>
      <c r="L26" s="541" t="n">
        <v>1911</v>
      </c>
      <c r="M26" s="541" t="n">
        <v>1911</v>
      </c>
      <c r="N26" s="541" t="n">
        <v>1911</v>
      </c>
      <c r="O26" s="541" t="n">
        <v>1911</v>
      </c>
      <c r="P26" s="541" t="n">
        <v>1911</v>
      </c>
      <c r="Q26" s="541" t="n">
        <v>1911</v>
      </c>
      <c r="R26" s="541" t="n">
        <v>1911</v>
      </c>
      <c r="S26" s="541" t="n">
        <v>1911</v>
      </c>
      <c r="T26" s="541" t="n">
        <v>1911</v>
      </c>
      <c r="U26" s="541" t="n">
        <v>1911</v>
      </c>
      <c r="V26" s="541" t="n">
        <v>1911</v>
      </c>
      <c r="W26" s="541" t="n">
        <v>1911</v>
      </c>
      <c r="X26" s="541" t="n">
        <v>1911</v>
      </c>
      <c r="Y26" s="541" t="n">
        <v>1911</v>
      </c>
      <c r="Z26" s="541" t="n">
        <v>1911</v>
      </c>
      <c r="AA26" s="541" t="n">
        <v>1911</v>
      </c>
      <c r="AB26" s="541" t="n">
        <v>1911</v>
      </c>
      <c r="AC26" s="541" t="n">
        <v>1911</v>
      </c>
      <c r="AD26" s="541" t="n">
        <v>1911</v>
      </c>
      <c r="AE26" s="309" t="n">
        <v>1911</v>
      </c>
      <c r="AF26" s="309" t="n">
        <v>1911</v>
      </c>
      <c r="AG26" s="384">
        <f>AF26-D26</f>
        <v/>
      </c>
    </row>
    <row r="27">
      <c r="A27" s="541" t="n">
        <v>3</v>
      </c>
      <c r="B27" s="541" t="inlineStr">
        <is>
          <t>3F</t>
        </is>
      </c>
      <c r="C27" s="319" t="inlineStr">
        <is>
          <t>AHU3</t>
        </is>
      </c>
      <c r="D27" s="320" t="n">
        <v>65921</v>
      </c>
      <c r="E27" s="541" t="n">
        <v>65977</v>
      </c>
      <c r="F27" s="541" t="n">
        <v>66090</v>
      </c>
      <c r="G27" s="541" t="n">
        <v>66207</v>
      </c>
      <c r="H27" s="541" t="n">
        <v>66322</v>
      </c>
      <c r="I27" s="541" t="n">
        <v>66446</v>
      </c>
      <c r="J27" s="541" t="n">
        <v>66534</v>
      </c>
      <c r="K27" s="541" t="n">
        <v>66615</v>
      </c>
      <c r="L27" s="541" t="n">
        <v>66615</v>
      </c>
      <c r="M27" s="541" t="n">
        <v>66733</v>
      </c>
      <c r="N27" s="541" t="n">
        <v>66839</v>
      </c>
      <c r="O27" s="541" t="n">
        <v>66938</v>
      </c>
      <c r="P27" s="541" t="n">
        <v>67051</v>
      </c>
      <c r="Q27" s="541" t="n">
        <v>67180</v>
      </c>
      <c r="R27" s="541" t="n">
        <v>67181</v>
      </c>
      <c r="S27" s="541" t="n">
        <v>67181</v>
      </c>
      <c r="T27" s="541" t="n">
        <v>67335</v>
      </c>
      <c r="U27" s="541" t="n">
        <v>67479</v>
      </c>
      <c r="V27" s="541" t="n">
        <v>67590</v>
      </c>
      <c r="W27" s="541" t="n">
        <v>67716</v>
      </c>
      <c r="X27" s="541" t="n">
        <v>67841</v>
      </c>
      <c r="Y27" s="541" t="n">
        <v>67948</v>
      </c>
      <c r="Z27" s="541" t="n">
        <v>67949</v>
      </c>
      <c r="AA27" s="541" t="n">
        <v>68039</v>
      </c>
      <c r="AB27" s="541" t="n">
        <v>68148</v>
      </c>
      <c r="AC27" s="541" t="n">
        <v>68241</v>
      </c>
      <c r="AD27" s="541" t="n">
        <v>68353</v>
      </c>
      <c r="AE27" s="309" t="n">
        <v>68455</v>
      </c>
      <c r="AF27" s="386" t="n">
        <v>68469</v>
      </c>
      <c r="AG27" s="384">
        <f>AF27-D27</f>
        <v/>
      </c>
    </row>
    <row r="28">
      <c r="A28" s="541" t="n"/>
      <c r="B28" s="541" t="n"/>
      <c r="C28" s="338" t="inlineStr">
        <is>
          <t>DG</t>
        </is>
      </c>
      <c r="D28" s="320" t="n">
        <v>2068</v>
      </c>
      <c r="E28" s="541" t="n">
        <v>2068</v>
      </c>
      <c r="F28" s="541" t="n">
        <v>2068</v>
      </c>
      <c r="G28" s="541" t="n">
        <v>2068</v>
      </c>
      <c r="H28" s="541" t="n">
        <v>2068</v>
      </c>
      <c r="I28" s="541" t="n">
        <v>2068</v>
      </c>
      <c r="J28" s="541" t="n">
        <v>2068</v>
      </c>
      <c r="K28" s="541" t="n">
        <v>2068</v>
      </c>
      <c r="L28" s="541" t="n">
        <v>2068</v>
      </c>
      <c r="M28" s="541" t="n">
        <v>2068</v>
      </c>
      <c r="N28" s="541" t="n">
        <v>2068</v>
      </c>
      <c r="O28" s="541" t="n">
        <v>2068</v>
      </c>
      <c r="P28" s="541" t="n">
        <v>2068</v>
      </c>
      <c r="Q28" s="541" t="n">
        <v>2068</v>
      </c>
      <c r="R28" s="541" t="n">
        <v>2068</v>
      </c>
      <c r="S28" s="541" t="n">
        <v>2068</v>
      </c>
      <c r="T28" s="541" t="n">
        <v>2068</v>
      </c>
      <c r="U28" s="541" t="n">
        <v>2068</v>
      </c>
      <c r="V28" s="541" t="n">
        <v>2068</v>
      </c>
      <c r="W28" s="541" t="n">
        <v>2068</v>
      </c>
      <c r="X28" s="541" t="n">
        <v>2068</v>
      </c>
      <c r="Y28" s="541" t="n">
        <v>2068</v>
      </c>
      <c r="Z28" s="541" t="n">
        <v>2068</v>
      </c>
      <c r="AA28" s="541" t="n">
        <v>2068</v>
      </c>
      <c r="AB28" s="541" t="n">
        <v>2068</v>
      </c>
      <c r="AC28" s="541" t="n">
        <v>2068</v>
      </c>
      <c r="AD28" s="541" t="n">
        <v>2068</v>
      </c>
      <c r="AE28" s="309" t="n">
        <v>2068</v>
      </c>
      <c r="AF28" s="309" t="n">
        <v>2068</v>
      </c>
      <c r="AG28" s="384">
        <f>AF28-D28</f>
        <v/>
      </c>
    </row>
    <row r="29">
      <c r="A29" s="541" t="n">
        <v>4</v>
      </c>
      <c r="B29" s="541" t="inlineStr">
        <is>
          <t>3F</t>
        </is>
      </c>
      <c r="C29" s="319" t="inlineStr">
        <is>
          <t>AHU4</t>
        </is>
      </c>
      <c r="D29" s="317" t="n">
        <v>43502</v>
      </c>
      <c r="E29" s="541" t="n">
        <v>43557</v>
      </c>
      <c r="F29" s="541" t="n">
        <v>43598</v>
      </c>
      <c r="G29" s="541" t="n">
        <v>43696</v>
      </c>
      <c r="H29" s="541" t="n">
        <v>43803</v>
      </c>
      <c r="I29" s="541" t="n">
        <v>43914</v>
      </c>
      <c r="J29" s="541" t="n">
        <v>43957</v>
      </c>
      <c r="K29" s="541" t="n">
        <v>44006</v>
      </c>
      <c r="L29" s="541" t="n">
        <v>44006</v>
      </c>
      <c r="M29" s="541" t="n">
        <v>44095</v>
      </c>
      <c r="N29" s="541" t="n">
        <v>44201</v>
      </c>
      <c r="O29" s="541" t="n">
        <v>44309</v>
      </c>
      <c r="P29" s="541" t="n">
        <v>44406</v>
      </c>
      <c r="Q29" s="541" t="n">
        <v>44506</v>
      </c>
      <c r="R29" s="541" t="n">
        <v>44506</v>
      </c>
      <c r="S29" s="541" t="n">
        <v>44506</v>
      </c>
      <c r="T29" s="541" t="n">
        <v>44623</v>
      </c>
      <c r="U29" s="541" t="n">
        <v>44764</v>
      </c>
      <c r="V29" s="541" t="n">
        <v>44906</v>
      </c>
      <c r="W29" s="541" t="n">
        <v>45012</v>
      </c>
      <c r="X29" s="541" t="n">
        <v>45125</v>
      </c>
      <c r="Y29" s="541" t="n">
        <v>45159</v>
      </c>
      <c r="Z29" s="541" t="n">
        <v>45159</v>
      </c>
      <c r="AA29" s="541" t="n">
        <v>45198</v>
      </c>
      <c r="AB29" s="541" t="n">
        <v>45248</v>
      </c>
      <c r="AC29" s="541" t="n">
        <v>45285</v>
      </c>
      <c r="AD29" s="541" t="n">
        <v>45326</v>
      </c>
      <c r="AE29" s="318" t="n">
        <v>45366</v>
      </c>
      <c r="AF29" s="387" t="n">
        <v>45373</v>
      </c>
      <c r="AG29" s="384">
        <f>AF29-D29</f>
        <v/>
      </c>
    </row>
    <row r="30">
      <c r="A30" s="541" t="n"/>
      <c r="B30" s="541" t="n"/>
      <c r="C30" s="338" t="inlineStr">
        <is>
          <t>DG</t>
        </is>
      </c>
      <c r="D30" s="320" t="n">
        <v>1788</v>
      </c>
      <c r="E30" s="541" t="n">
        <v>1788</v>
      </c>
      <c r="F30" s="541" t="n">
        <v>1788</v>
      </c>
      <c r="G30" s="541" t="n">
        <v>1788</v>
      </c>
      <c r="H30" s="541" t="n">
        <v>1788</v>
      </c>
      <c r="I30" s="541" t="n">
        <v>1788</v>
      </c>
      <c r="J30" s="541" t="n">
        <v>1788</v>
      </c>
      <c r="K30" s="541" t="n">
        <v>1788</v>
      </c>
      <c r="L30" s="541" t="n">
        <v>1788</v>
      </c>
      <c r="M30" s="541" t="n">
        <v>1788</v>
      </c>
      <c r="N30" s="541" t="n">
        <v>1788</v>
      </c>
      <c r="O30" s="541" t="n">
        <v>1788</v>
      </c>
      <c r="P30" s="541" t="n">
        <v>1788</v>
      </c>
      <c r="Q30" s="541" t="n">
        <v>1788</v>
      </c>
      <c r="R30" s="541" t="n">
        <v>1788</v>
      </c>
      <c r="S30" s="541" t="n">
        <v>1788</v>
      </c>
      <c r="T30" s="541" t="n">
        <v>1788</v>
      </c>
      <c r="U30" s="541" t="n">
        <v>1788</v>
      </c>
      <c r="V30" s="541" t="n">
        <v>1788</v>
      </c>
      <c r="W30" s="541" t="n">
        <v>1788</v>
      </c>
      <c r="X30" s="541" t="n">
        <v>1788</v>
      </c>
      <c r="Y30" s="541" t="n">
        <v>1788</v>
      </c>
      <c r="Z30" s="541" t="n">
        <v>1788</v>
      </c>
      <c r="AA30" s="541" t="n">
        <v>1788</v>
      </c>
      <c r="AB30" s="541" t="n">
        <v>1788</v>
      </c>
      <c r="AC30" s="541" t="n">
        <v>1788</v>
      </c>
      <c r="AD30" s="541" t="n">
        <v>1788</v>
      </c>
      <c r="AE30" s="309" t="n">
        <v>1788</v>
      </c>
      <c r="AF30" s="309" t="n">
        <v>1788</v>
      </c>
      <c r="AG30" s="384">
        <f>AF30-D30</f>
        <v/>
      </c>
    </row>
    <row r="31" ht="14.5" customHeight="1" s="488">
      <c r="A31" s="541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01" t="n"/>
    </row>
    <row r="32">
      <c r="A32" s="541" t="n">
        <v>1</v>
      </c>
      <c r="B32" s="541" t="inlineStr">
        <is>
          <t>3F</t>
        </is>
      </c>
      <c r="C32" s="319" t="inlineStr">
        <is>
          <t>AHU1 - BTU</t>
        </is>
      </c>
      <c r="D32" s="339" t="n">
        <v>394335</v>
      </c>
      <c r="E32" s="340" t="n">
        <v>394529</v>
      </c>
      <c r="F32" s="341" t="n">
        <v>394780</v>
      </c>
      <c r="G32" s="341" t="n">
        <v>395172</v>
      </c>
      <c r="H32" s="341" t="n">
        <v>395438</v>
      </c>
      <c r="I32" s="340" t="n">
        <v>395746</v>
      </c>
      <c r="J32" s="341" t="n">
        <v>396130</v>
      </c>
      <c r="K32" s="341" t="n">
        <v>396382</v>
      </c>
      <c r="L32" s="341" t="n">
        <v>396384</v>
      </c>
      <c r="M32" s="340" t="n">
        <v>396771</v>
      </c>
      <c r="N32" s="341" t="n">
        <v>397175</v>
      </c>
      <c r="O32" s="341" t="n">
        <v>397646</v>
      </c>
      <c r="P32" s="341" t="n">
        <v>398105</v>
      </c>
      <c r="Q32" s="340" t="n">
        <v>398540</v>
      </c>
      <c r="R32" s="341" t="n">
        <v>398616</v>
      </c>
      <c r="S32" s="341" t="n">
        <v>398616</v>
      </c>
      <c r="T32" s="341" t="n">
        <v>399031</v>
      </c>
      <c r="U32" s="340" t="n">
        <v>399519</v>
      </c>
      <c r="V32" s="341" t="n">
        <v>399977</v>
      </c>
      <c r="W32" s="341" t="n">
        <v>400328</v>
      </c>
      <c r="X32" s="341" t="n">
        <v>400709</v>
      </c>
      <c r="Y32" s="340" t="n">
        <v>400993</v>
      </c>
      <c r="Z32" s="341" t="n">
        <v>400993</v>
      </c>
      <c r="AA32" s="341" t="n">
        <v>401453</v>
      </c>
      <c r="AB32" s="341" t="n">
        <v>402025</v>
      </c>
      <c r="AC32" s="341" t="n">
        <v>402476</v>
      </c>
      <c r="AD32" s="340" t="n">
        <v>402844</v>
      </c>
      <c r="AE32" s="342" t="n">
        <v>403259</v>
      </c>
      <c r="AF32" s="389" t="n">
        <v>403490</v>
      </c>
      <c r="AG32" s="314">
        <f>AF32-D32</f>
        <v/>
      </c>
    </row>
    <row r="33">
      <c r="A33" s="541" t="n">
        <v>2</v>
      </c>
      <c r="B33" s="541" t="inlineStr">
        <is>
          <t>3F</t>
        </is>
      </c>
      <c r="C33" s="319" t="inlineStr">
        <is>
          <t>AHU2 - BTU</t>
        </is>
      </c>
      <c r="D33" s="339" t="n">
        <v>370360</v>
      </c>
      <c r="E33" s="341" t="n">
        <v>370538</v>
      </c>
      <c r="F33" s="341" t="n">
        <v>370818</v>
      </c>
      <c r="G33" s="341" t="n">
        <v>371159</v>
      </c>
      <c r="H33" s="341" t="n">
        <v>371466</v>
      </c>
      <c r="I33" s="341" t="n">
        <v>371768</v>
      </c>
      <c r="J33" s="341" t="n">
        <v>372097</v>
      </c>
      <c r="K33" s="341" t="n">
        <v>372301</v>
      </c>
      <c r="L33" s="341" t="n">
        <v>372301</v>
      </c>
      <c r="M33" s="341" t="n">
        <v>372742</v>
      </c>
      <c r="N33" s="341" t="n">
        <v>373142</v>
      </c>
      <c r="O33" s="341" t="n">
        <v>373455</v>
      </c>
      <c r="P33" s="341" t="n">
        <v>373794</v>
      </c>
      <c r="Q33" s="341" t="n">
        <v>374169</v>
      </c>
      <c r="R33" s="341" t="n">
        <v>374287</v>
      </c>
      <c r="S33" s="341" t="n">
        <v>374587</v>
      </c>
      <c r="T33" s="341" t="n">
        <v>374770</v>
      </c>
      <c r="U33" s="341" t="n">
        <v>375241</v>
      </c>
      <c r="V33" s="341" t="n">
        <v>375708</v>
      </c>
      <c r="W33" s="341" t="n">
        <v>376115</v>
      </c>
      <c r="X33" s="341" t="n">
        <v>376469</v>
      </c>
      <c r="Y33" s="341" t="n">
        <v>376760</v>
      </c>
      <c r="Z33" s="341" t="n">
        <v>376780</v>
      </c>
      <c r="AA33" s="341" t="n">
        <v>377287</v>
      </c>
      <c r="AB33" s="341" t="n">
        <v>377775</v>
      </c>
      <c r="AC33" s="341" t="n">
        <v>378160</v>
      </c>
      <c r="AD33" s="341" t="n">
        <v>378522</v>
      </c>
      <c r="AE33" s="342" t="n">
        <v>378872</v>
      </c>
      <c r="AF33" s="389" t="n">
        <v>378984</v>
      </c>
      <c r="AG33" s="314">
        <f>AF33-D33</f>
        <v/>
      </c>
    </row>
    <row r="34">
      <c r="A34" s="541" t="n">
        <v>3</v>
      </c>
      <c r="B34" s="541" t="inlineStr">
        <is>
          <t>3F</t>
        </is>
      </c>
      <c r="C34" s="319" t="inlineStr">
        <is>
          <t>AHU3 - BTU</t>
        </is>
      </c>
      <c r="D34" s="339" t="n">
        <v>398878</v>
      </c>
      <c r="E34" s="341" t="n">
        <v>399037</v>
      </c>
      <c r="F34" s="341" t="n">
        <v>399232</v>
      </c>
      <c r="G34" s="341" t="n">
        <v>399521</v>
      </c>
      <c r="H34" s="341" t="n">
        <v>399806</v>
      </c>
      <c r="I34" s="341" t="n">
        <v>400112</v>
      </c>
      <c r="J34" s="341" t="n">
        <v>400363</v>
      </c>
      <c r="K34" s="341" t="n">
        <v>400496</v>
      </c>
      <c r="L34" s="341" t="n">
        <v>400496</v>
      </c>
      <c r="M34" s="341" t="n">
        <v>400733</v>
      </c>
      <c r="N34" s="341" t="n">
        <v>401009</v>
      </c>
      <c r="O34" s="341" t="n">
        <v>401214</v>
      </c>
      <c r="P34" s="341" t="n">
        <v>401550</v>
      </c>
      <c r="Q34" s="341" t="n">
        <v>401891</v>
      </c>
      <c r="R34" s="341" t="n">
        <v>401892</v>
      </c>
      <c r="S34" s="341" t="n">
        <v>401892</v>
      </c>
      <c r="T34" s="341" t="n">
        <v>402318</v>
      </c>
      <c r="U34" s="341" t="n">
        <v>402694</v>
      </c>
      <c r="V34" s="341" t="n">
        <v>403135</v>
      </c>
      <c r="W34" s="341" t="n">
        <v>403387</v>
      </c>
      <c r="X34" s="341" t="n">
        <v>403763</v>
      </c>
      <c r="Y34" s="341" t="n">
        <v>404016</v>
      </c>
      <c r="Z34" s="341" t="n">
        <v>404016</v>
      </c>
      <c r="AA34" s="341" t="n">
        <v>404439</v>
      </c>
      <c r="AB34" s="341" t="n">
        <v>404980</v>
      </c>
      <c r="AC34" s="341" t="n">
        <v>405523</v>
      </c>
      <c r="AD34" s="341" t="n">
        <v>405908</v>
      </c>
      <c r="AE34" s="342" t="n">
        <v>406266</v>
      </c>
      <c r="AF34" s="389" t="n">
        <v>406367</v>
      </c>
      <c r="AG34" s="314">
        <f>AF34-D34</f>
        <v/>
      </c>
    </row>
    <row r="35">
      <c r="A35" s="541" t="n">
        <v>4</v>
      </c>
      <c r="B35" s="541" t="inlineStr">
        <is>
          <t>3F</t>
        </is>
      </c>
      <c r="C35" s="319" t="inlineStr">
        <is>
          <t>AHU4 - BTU</t>
        </is>
      </c>
      <c r="D35" s="339" t="n">
        <v>428437</v>
      </c>
      <c r="E35" s="341" t="n">
        <v>428733</v>
      </c>
      <c r="F35" s="341" t="n">
        <v>429192</v>
      </c>
      <c r="G35" s="341" t="n">
        <v>429704</v>
      </c>
      <c r="H35" s="341" t="n">
        <v>430200</v>
      </c>
      <c r="I35" s="341" t="n">
        <v>430748</v>
      </c>
      <c r="J35" s="341" t="n">
        <v>431322</v>
      </c>
      <c r="K35" s="341" t="n">
        <v>431625</v>
      </c>
      <c r="L35" s="341" t="n">
        <v>431660</v>
      </c>
      <c r="M35" s="341" t="n">
        <v>432274</v>
      </c>
      <c r="N35" s="341" t="n">
        <v>432850</v>
      </c>
      <c r="O35" s="341" t="n">
        <v>433422</v>
      </c>
      <c r="P35" s="343" t="n">
        <v>433751</v>
      </c>
      <c r="Q35" s="341" t="n">
        <v>434237</v>
      </c>
      <c r="R35" s="341" t="n">
        <v>434311</v>
      </c>
      <c r="S35" s="341" t="n">
        <v>434311</v>
      </c>
      <c r="T35" s="341" t="n">
        <v>434830</v>
      </c>
      <c r="U35" s="341" t="n">
        <v>435186</v>
      </c>
      <c r="V35" s="341" t="n">
        <v>435764</v>
      </c>
      <c r="W35" s="341" t="n">
        <v>436495</v>
      </c>
      <c r="X35" s="341" t="n">
        <v>437347</v>
      </c>
      <c r="Y35" s="341" t="n">
        <v>437676</v>
      </c>
      <c r="Z35" s="341" t="n">
        <v>437711</v>
      </c>
      <c r="AA35" s="341" t="n">
        <v>438234</v>
      </c>
      <c r="AB35" s="341" t="n">
        <v>438931</v>
      </c>
      <c r="AC35" s="341" t="n">
        <v>439476</v>
      </c>
      <c r="AD35" s="341" t="n">
        <v>439926</v>
      </c>
      <c r="AE35" s="342" t="n">
        <v>440273</v>
      </c>
      <c r="AF35" s="389" t="n">
        <v>440357</v>
      </c>
      <c r="AG35" s="314">
        <f>AF35-D35</f>
        <v/>
      </c>
    </row>
    <row r="36">
      <c r="E36" s="344" t="n"/>
      <c r="AG36" s="345" t="n"/>
    </row>
    <row r="37">
      <c r="A37" s="346" t="n"/>
      <c r="B37" s="347" t="n"/>
      <c r="C37" s="348" t="n"/>
      <c r="D37" s="349" t="n"/>
      <c r="E37" s="346" t="n"/>
      <c r="F37" s="346" t="n"/>
      <c r="G37" s="346" t="n"/>
      <c r="H37" s="346" t="n"/>
      <c r="I37" s="346" t="n"/>
      <c r="J37" s="346" t="n"/>
      <c r="K37" s="346" t="n"/>
      <c r="L37" s="346" t="n"/>
      <c r="M37" s="346" t="n"/>
      <c r="N37" s="346" t="n"/>
      <c r="O37" s="346" t="n"/>
      <c r="P37" s="346" t="n"/>
      <c r="Q37" s="346" t="n"/>
      <c r="R37" s="346" t="n"/>
      <c r="S37" s="346" t="n"/>
      <c r="T37" s="346" t="n"/>
      <c r="U37" s="346" t="n"/>
      <c r="V37" s="346" t="n"/>
      <c r="W37" s="346" t="n"/>
      <c r="X37" s="346" t="n"/>
      <c r="Y37" s="346" t="n"/>
      <c r="Z37" s="346" t="n"/>
      <c r="AA37" s="346" t="n"/>
      <c r="AB37" s="346" t="n"/>
      <c r="AC37" s="346" t="n"/>
      <c r="AD37" s="346" t="n"/>
      <c r="AE37" s="346" t="n"/>
      <c r="AF37" s="346" t="n"/>
      <c r="AG37" s="346" t="n"/>
    </row>
    <row r="38" ht="14.5" customHeight="1" s="488">
      <c r="A38" s="350" t="n"/>
      <c r="B38" s="555" t="inlineStr">
        <is>
          <t xml:space="preserve"> Daily Energy Report</t>
        </is>
      </c>
      <c r="C38" s="520" t="n"/>
      <c r="D38" s="501" t="n"/>
      <c r="E38" s="350" t="n"/>
      <c r="F38" s="350" t="n"/>
      <c r="G38" s="350" t="n"/>
      <c r="H38" s="350" t="n"/>
      <c r="I38" s="350" t="n"/>
      <c r="J38" s="350" t="n"/>
      <c r="K38" s="350" t="n"/>
      <c r="L38" s="350" t="n"/>
      <c r="M38" s="350" t="n"/>
      <c r="N38" s="350" t="n"/>
      <c r="O38" s="350" t="n"/>
      <c r="P38" s="350" t="n"/>
      <c r="Q38" s="350" t="n"/>
      <c r="R38" s="350" t="n"/>
      <c r="S38" s="350" t="n"/>
      <c r="T38" s="350" t="n"/>
      <c r="U38" s="350" t="n"/>
      <c r="V38" s="350" t="n"/>
      <c r="W38" s="350" t="n"/>
      <c r="X38" s="350" t="n"/>
      <c r="Y38" s="350" t="n"/>
      <c r="Z38" s="350" t="n"/>
      <c r="AA38" s="350" t="n"/>
      <c r="AB38" s="350" t="n"/>
      <c r="AC38" s="350" t="n"/>
      <c r="AD38" s="350" t="n"/>
      <c r="AE38" s="350" t="n"/>
      <c r="AF38" s="350" t="n"/>
      <c r="AG38" s="350" t="n"/>
    </row>
    <row r="39" ht="14.5" customHeight="1" s="488">
      <c r="A39" s="351" t="n"/>
      <c r="B39" s="560" t="inlineStr">
        <is>
          <t>Electricity Consumption</t>
        </is>
      </c>
      <c r="C39" s="520" t="n"/>
      <c r="D39" s="501" t="n"/>
      <c r="E39" s="351" t="n"/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</row>
    <row r="40">
      <c r="A40" s="542" t="inlineStr">
        <is>
          <t>Sr.No</t>
        </is>
      </c>
      <c r="B40" s="542" t="inlineStr">
        <is>
          <t>Location</t>
        </is>
      </c>
      <c r="C40" s="542" t="inlineStr">
        <is>
          <t>Meter</t>
        </is>
      </c>
      <c r="D40" s="522" t="n"/>
      <c r="E40" s="301" t="n">
        <v>46054</v>
      </c>
      <c r="F40" s="352">
        <f>F2</f>
        <v/>
      </c>
      <c r="G40" s="352">
        <f>G2</f>
        <v/>
      </c>
      <c r="H40" s="352">
        <f>H2</f>
        <v/>
      </c>
      <c r="I40" s="352">
        <f>I2</f>
        <v/>
      </c>
      <c r="J40" s="352">
        <f>J2</f>
        <v/>
      </c>
      <c r="K40" s="352">
        <f>K2</f>
        <v/>
      </c>
      <c r="L40" s="352">
        <f>L2</f>
        <v/>
      </c>
      <c r="M40" s="352">
        <f>M2</f>
        <v/>
      </c>
      <c r="N40" s="352">
        <f>N2</f>
        <v/>
      </c>
      <c r="O40" s="352">
        <f>O2</f>
        <v/>
      </c>
      <c r="P40" s="352">
        <f>P2</f>
        <v/>
      </c>
      <c r="Q40" s="352">
        <f>Q2</f>
        <v/>
      </c>
      <c r="R40" s="352">
        <f>R2</f>
        <v/>
      </c>
      <c r="S40" s="352">
        <f>S2</f>
        <v/>
      </c>
      <c r="T40" s="352">
        <f>T2</f>
        <v/>
      </c>
      <c r="U40" s="352">
        <f>U2</f>
        <v/>
      </c>
      <c r="V40" s="352">
        <f>V2</f>
        <v/>
      </c>
      <c r="W40" s="352">
        <f>W2</f>
        <v/>
      </c>
      <c r="X40" s="352">
        <f>X2</f>
        <v/>
      </c>
      <c r="Y40" s="352">
        <f>Y2</f>
        <v/>
      </c>
      <c r="Z40" s="352">
        <f>Z2</f>
        <v/>
      </c>
      <c r="AA40" s="352">
        <f>AA2</f>
        <v/>
      </c>
      <c r="AB40" s="352">
        <f>AB2</f>
        <v/>
      </c>
      <c r="AC40" s="352">
        <f>AC2</f>
        <v/>
      </c>
      <c r="AD40" s="352">
        <f>AD2</f>
        <v/>
      </c>
      <c r="AE40" s="352">
        <f>AE2</f>
        <v/>
      </c>
      <c r="AF40" s="352">
        <f>AF2</f>
        <v/>
      </c>
      <c r="AG40" s="542" t="inlineStr">
        <is>
          <t>Consumption</t>
        </is>
      </c>
    </row>
    <row r="41">
      <c r="A41" s="516" t="n"/>
      <c r="B41" s="516" t="n"/>
      <c r="C41" s="523" t="n"/>
      <c r="D41" s="524" t="n"/>
      <c r="E41" s="302" t="inlineStr">
        <is>
          <t>Sun</t>
        </is>
      </c>
      <c r="F41" s="302" t="inlineStr">
        <is>
          <t>Mon</t>
        </is>
      </c>
      <c r="G41" s="302" t="inlineStr">
        <is>
          <t>Tue</t>
        </is>
      </c>
      <c r="H41" s="302" t="inlineStr">
        <is>
          <t>Wed</t>
        </is>
      </c>
      <c r="I41" s="302" t="inlineStr">
        <is>
          <t>Thu</t>
        </is>
      </c>
      <c r="J41" s="302" t="inlineStr">
        <is>
          <t>Fri</t>
        </is>
      </c>
      <c r="K41" s="302" t="inlineStr">
        <is>
          <t>Sat</t>
        </is>
      </c>
      <c r="L41" s="302" t="inlineStr">
        <is>
          <t>Sun</t>
        </is>
      </c>
      <c r="M41" s="302" t="inlineStr">
        <is>
          <t>Mon</t>
        </is>
      </c>
      <c r="N41" s="302" t="inlineStr">
        <is>
          <t>Tue</t>
        </is>
      </c>
      <c r="O41" s="302" t="inlineStr">
        <is>
          <t>Wed</t>
        </is>
      </c>
      <c r="P41" s="302" t="inlineStr">
        <is>
          <t>Thu</t>
        </is>
      </c>
      <c r="Q41" s="302" t="inlineStr">
        <is>
          <t>Fri</t>
        </is>
      </c>
      <c r="R41" s="302" t="inlineStr">
        <is>
          <t>Sat</t>
        </is>
      </c>
      <c r="S41" s="302" t="inlineStr">
        <is>
          <t>Sun</t>
        </is>
      </c>
      <c r="T41" s="302" t="inlineStr">
        <is>
          <t>Mon</t>
        </is>
      </c>
      <c r="U41" s="302" t="inlineStr">
        <is>
          <t>Tue</t>
        </is>
      </c>
      <c r="V41" s="302" t="inlineStr">
        <is>
          <t>Wed</t>
        </is>
      </c>
      <c r="W41" s="302" t="inlineStr">
        <is>
          <t>Thu</t>
        </is>
      </c>
      <c r="X41" s="302" t="inlineStr">
        <is>
          <t>Fri</t>
        </is>
      </c>
      <c r="Y41" s="302" t="inlineStr">
        <is>
          <t>Sat</t>
        </is>
      </c>
      <c r="Z41" s="302" t="inlineStr">
        <is>
          <t>Sun</t>
        </is>
      </c>
      <c r="AA41" s="302" t="inlineStr">
        <is>
          <t>Mon</t>
        </is>
      </c>
      <c r="AB41" s="302" t="inlineStr">
        <is>
          <t>Tue</t>
        </is>
      </c>
      <c r="AC41" s="302" t="inlineStr">
        <is>
          <t>Wed</t>
        </is>
      </c>
      <c r="AD41" s="302" t="inlineStr">
        <is>
          <t>Thu</t>
        </is>
      </c>
      <c r="AE41" s="302" t="inlineStr">
        <is>
          <t>Fri</t>
        </is>
      </c>
      <c r="AF41" s="302" t="inlineStr">
        <is>
          <t>Sat</t>
        </is>
      </c>
      <c r="AG41" s="516" t="n"/>
    </row>
    <row r="42">
      <c r="A42" s="516" t="n"/>
      <c r="B42" s="516" t="n"/>
      <c r="C42" s="523" t="n"/>
      <c r="D42" s="524" t="n"/>
      <c r="E42" s="353" t="inlineStr">
        <is>
          <t>Time</t>
        </is>
      </c>
      <c r="F42" s="353" t="inlineStr">
        <is>
          <t>Time</t>
        </is>
      </c>
      <c r="G42" s="353" t="inlineStr">
        <is>
          <t>Time</t>
        </is>
      </c>
      <c r="H42" s="353" t="inlineStr">
        <is>
          <t>Time</t>
        </is>
      </c>
      <c r="I42" s="353" t="inlineStr">
        <is>
          <t>Time</t>
        </is>
      </c>
      <c r="J42" s="353" t="inlineStr">
        <is>
          <t>Time</t>
        </is>
      </c>
      <c r="K42" s="353" t="inlineStr">
        <is>
          <t>Time</t>
        </is>
      </c>
      <c r="L42" s="353" t="inlineStr">
        <is>
          <t>Time</t>
        </is>
      </c>
      <c r="M42" s="353" t="inlineStr">
        <is>
          <t>Time</t>
        </is>
      </c>
      <c r="N42" s="353" t="inlineStr">
        <is>
          <t>Time</t>
        </is>
      </c>
      <c r="O42" s="353" t="inlineStr">
        <is>
          <t>Time</t>
        </is>
      </c>
      <c r="P42" s="353" t="inlineStr">
        <is>
          <t>Time</t>
        </is>
      </c>
      <c r="Q42" s="353" t="inlineStr">
        <is>
          <t>Time</t>
        </is>
      </c>
      <c r="R42" s="353" t="inlineStr">
        <is>
          <t>Time</t>
        </is>
      </c>
      <c r="S42" s="353" t="inlineStr">
        <is>
          <t>Time</t>
        </is>
      </c>
      <c r="T42" s="353" t="inlineStr">
        <is>
          <t>Time</t>
        </is>
      </c>
      <c r="U42" s="353" t="inlineStr">
        <is>
          <t>Time</t>
        </is>
      </c>
      <c r="V42" s="353" t="inlineStr">
        <is>
          <t>Time</t>
        </is>
      </c>
      <c r="W42" s="353" t="inlineStr">
        <is>
          <t>Time</t>
        </is>
      </c>
      <c r="X42" s="353" t="inlineStr">
        <is>
          <t>Time</t>
        </is>
      </c>
      <c r="Y42" s="353" t="inlineStr">
        <is>
          <t>Time</t>
        </is>
      </c>
      <c r="Z42" s="353" t="inlineStr">
        <is>
          <t>Time</t>
        </is>
      </c>
      <c r="AA42" s="353" t="inlineStr">
        <is>
          <t>Time</t>
        </is>
      </c>
      <c r="AB42" s="353" t="inlineStr">
        <is>
          <t>Time</t>
        </is>
      </c>
      <c r="AC42" s="353" t="inlineStr">
        <is>
          <t>Time</t>
        </is>
      </c>
      <c r="AD42" s="353" t="inlineStr">
        <is>
          <t>Time</t>
        </is>
      </c>
      <c r="AE42" s="352">
        <f>AE4</f>
        <v/>
      </c>
      <c r="AF42" s="303" t="inlineStr">
        <is>
          <t>Time</t>
        </is>
      </c>
      <c r="AG42" s="516" t="n"/>
    </row>
    <row r="43">
      <c r="A43" s="517" t="n"/>
      <c r="B43" s="517" t="n"/>
      <c r="C43" s="525" t="n"/>
      <c r="D43" s="526" t="n"/>
      <c r="E43" s="354" t="n">
        <v>0.3333333333333333</v>
      </c>
      <c r="F43" s="354" t="n">
        <v>0.3333333333333333</v>
      </c>
      <c r="G43" s="354" t="n">
        <v>0.3333333333333333</v>
      </c>
      <c r="H43" s="354" t="n">
        <v>0.3333333333333333</v>
      </c>
      <c r="I43" s="354" t="n">
        <v>0.3333333333333333</v>
      </c>
      <c r="J43" s="354" t="n">
        <v>0.3333333333333333</v>
      </c>
      <c r="K43" s="354" t="n">
        <v>0.3333333333333333</v>
      </c>
      <c r="L43" s="354" t="n">
        <v>0.3333333333333333</v>
      </c>
      <c r="M43" s="354" t="n">
        <v>0.3333333333333333</v>
      </c>
      <c r="N43" s="354" t="n">
        <v>0.3333333333333333</v>
      </c>
      <c r="O43" s="354" t="n">
        <v>0.3333333333333333</v>
      </c>
      <c r="P43" s="354" t="n">
        <v>0.3333333333333333</v>
      </c>
      <c r="Q43" s="354" t="n">
        <v>0.3333333333333333</v>
      </c>
      <c r="R43" s="354" t="n">
        <v>0.3333333333333333</v>
      </c>
      <c r="S43" s="354" t="n">
        <v>0.3333333333333333</v>
      </c>
      <c r="T43" s="354" t="n">
        <v>0.3333333333333333</v>
      </c>
      <c r="U43" s="354" t="n">
        <v>0.3333333333333333</v>
      </c>
      <c r="V43" s="354" t="n">
        <v>0.3333333333333333</v>
      </c>
      <c r="W43" s="354" t="n">
        <v>0.3333333333333333</v>
      </c>
      <c r="X43" s="354" t="n">
        <v>0.3333333333333333</v>
      </c>
      <c r="Y43" s="354" t="n">
        <v>0.3333333333333333</v>
      </c>
      <c r="Z43" s="354" t="n">
        <v>0.3333333333333333</v>
      </c>
      <c r="AA43" s="354" t="n">
        <v>0.3333333333333333</v>
      </c>
      <c r="AB43" s="354" t="n">
        <v>0.3333333333333333</v>
      </c>
      <c r="AC43" s="354" t="n">
        <v>0.3333333333333333</v>
      </c>
      <c r="AD43" s="354" t="n">
        <v>0.3333333333333333</v>
      </c>
      <c r="AE43" s="354" t="n">
        <v>0.3333333333333333</v>
      </c>
      <c r="AF43" s="304" t="n">
        <v>0.3333333333333333</v>
      </c>
      <c r="AG43" s="517" t="n"/>
    </row>
    <row r="44" ht="12" customHeight="1" s="488">
      <c r="A44" s="541" t="n">
        <v>1</v>
      </c>
      <c r="B44" s="541" t="inlineStr">
        <is>
          <t>3F</t>
        </is>
      </c>
      <c r="C44" s="541" t="inlineStr">
        <is>
          <t>SL No 540430038840 (EB Unit)</t>
        </is>
      </c>
      <c r="D44" s="501" t="n"/>
      <c r="E44" s="355">
        <f>E6-D6</f>
        <v/>
      </c>
      <c r="F44" s="355">
        <f>F6-E6</f>
        <v/>
      </c>
      <c r="G44" s="355">
        <f>G6-F6</f>
        <v/>
      </c>
      <c r="H44" s="355">
        <f>H6-G6</f>
        <v/>
      </c>
      <c r="I44" s="355">
        <f>I6-H6</f>
        <v/>
      </c>
      <c r="J44" s="355">
        <f>J6-I6</f>
        <v/>
      </c>
      <c r="K44" s="355">
        <f>K6-J6</f>
        <v/>
      </c>
      <c r="L44" s="355">
        <f>L6-K6</f>
        <v/>
      </c>
      <c r="M44" s="355">
        <f>M6-L6</f>
        <v/>
      </c>
      <c r="N44" s="355">
        <f>N6-M6</f>
        <v/>
      </c>
      <c r="O44" s="355">
        <f>O6-N6</f>
        <v/>
      </c>
      <c r="P44" s="355">
        <f>P6-O6</f>
        <v/>
      </c>
      <c r="Q44" s="355">
        <f>Q6-P6</f>
        <v/>
      </c>
      <c r="R44" s="355">
        <f>R6-Q6</f>
        <v/>
      </c>
      <c r="S44" s="355">
        <f>S6-R6</f>
        <v/>
      </c>
      <c r="T44" s="355">
        <f>T6-S6</f>
        <v/>
      </c>
      <c r="U44" s="355">
        <f>U6-T6</f>
        <v/>
      </c>
      <c r="V44" s="355">
        <f>V6-U6</f>
        <v/>
      </c>
      <c r="W44" s="355">
        <f>W6-V6</f>
        <v/>
      </c>
      <c r="X44" s="355">
        <f>X6-W6</f>
        <v/>
      </c>
      <c r="Y44" s="355">
        <f>Y6-X6</f>
        <v/>
      </c>
      <c r="Z44" s="355">
        <f>Z6-Y6</f>
        <v/>
      </c>
      <c r="AA44" s="355">
        <f>AA6-Z6</f>
        <v/>
      </c>
      <c r="AB44" s="355">
        <f>AB6-AA6</f>
        <v/>
      </c>
      <c r="AC44" s="355">
        <f>AC6-AB6</f>
        <v/>
      </c>
      <c r="AD44" s="355">
        <f>AD6-AC6</f>
        <v/>
      </c>
      <c r="AE44" s="355">
        <f>AE6-AD6</f>
        <v/>
      </c>
      <c r="AF44" s="355">
        <f>AF6-AE6</f>
        <v/>
      </c>
      <c r="AG44" s="356">
        <f>SUM(E44:AF44)</f>
        <v/>
      </c>
    </row>
    <row r="45" ht="12" customHeight="1" s="488">
      <c r="A45" s="541" t="n"/>
      <c r="B45" s="541" t="n"/>
      <c r="C45" s="547" t="inlineStr">
        <is>
          <t>DG</t>
        </is>
      </c>
      <c r="D45" s="501" t="n"/>
      <c r="E45" s="355">
        <f>E7-D7</f>
        <v/>
      </c>
      <c r="F45" s="355">
        <f>F7-E7</f>
        <v/>
      </c>
      <c r="G45" s="355">
        <f>G7-F7</f>
        <v/>
      </c>
      <c r="H45" s="355">
        <f>H7-G7</f>
        <v/>
      </c>
      <c r="I45" s="355">
        <f>I7-H7</f>
        <v/>
      </c>
      <c r="J45" s="355">
        <f>J7-I7</f>
        <v/>
      </c>
      <c r="K45" s="355">
        <f>K7-J7</f>
        <v/>
      </c>
      <c r="L45" s="355">
        <f>L7-K7</f>
        <v/>
      </c>
      <c r="M45" s="355">
        <f>M7-L7</f>
        <v/>
      </c>
      <c r="N45" s="355">
        <f>N7-M7</f>
        <v/>
      </c>
      <c r="O45" s="355">
        <f>O7-N7</f>
        <v/>
      </c>
      <c r="P45" s="355">
        <f>P7-O7</f>
        <v/>
      </c>
      <c r="Q45" s="355">
        <f>Q7-P7</f>
        <v/>
      </c>
      <c r="R45" s="355">
        <f>R7-Q7</f>
        <v/>
      </c>
      <c r="S45" s="355">
        <f>S7-R7</f>
        <v/>
      </c>
      <c r="T45" s="355">
        <f>T7-S7</f>
        <v/>
      </c>
      <c r="U45" s="355">
        <f>U7-T7</f>
        <v/>
      </c>
      <c r="V45" s="355">
        <f>V7-U7</f>
        <v/>
      </c>
      <c r="W45" s="355">
        <f>W7-V7</f>
        <v/>
      </c>
      <c r="X45" s="355">
        <f>X7-W7</f>
        <v/>
      </c>
      <c r="Y45" s="355">
        <f>Y7-X7</f>
        <v/>
      </c>
      <c r="Z45" s="355">
        <f>Z7-Y7</f>
        <v/>
      </c>
      <c r="AA45" s="355">
        <f>AA7-Z7</f>
        <v/>
      </c>
      <c r="AB45" s="355">
        <f>AB7-AA7</f>
        <v/>
      </c>
      <c r="AC45" s="355">
        <f>AC7-AB7</f>
        <v/>
      </c>
      <c r="AD45" s="355">
        <f>AD7-AC7</f>
        <v/>
      </c>
      <c r="AE45" s="355">
        <f>AE7-AD7</f>
        <v/>
      </c>
      <c r="AF45" s="355">
        <f>AF7-AE7</f>
        <v/>
      </c>
      <c r="AG45" s="356">
        <f>SUM(E45:AF45)</f>
        <v/>
      </c>
    </row>
    <row r="46" ht="12" customHeight="1" s="488">
      <c r="A46" s="541" t="n">
        <v>2</v>
      </c>
      <c r="B46" s="541" t="inlineStr">
        <is>
          <t>3F</t>
        </is>
      </c>
      <c r="C46" s="541" t="inlineStr">
        <is>
          <t>SL No 540430038845 (EB Unit)</t>
        </is>
      </c>
      <c r="D46" s="501" t="n"/>
      <c r="E46" s="355">
        <f>E8-D8</f>
        <v/>
      </c>
      <c r="F46" s="355">
        <f>F8-E8</f>
        <v/>
      </c>
      <c r="G46" s="355">
        <f>G8-F8</f>
        <v/>
      </c>
      <c r="H46" s="355">
        <f>H8-G8</f>
        <v/>
      </c>
      <c r="I46" s="355">
        <f>I8-H8</f>
        <v/>
      </c>
      <c r="J46" s="355">
        <f>J8-I8</f>
        <v/>
      </c>
      <c r="K46" s="355">
        <f>K8-J8</f>
        <v/>
      </c>
      <c r="L46" s="355">
        <f>L8-K8</f>
        <v/>
      </c>
      <c r="M46" s="355">
        <f>M8-L8</f>
        <v/>
      </c>
      <c r="N46" s="355">
        <f>N8-M8</f>
        <v/>
      </c>
      <c r="O46" s="355">
        <f>O8-N8</f>
        <v/>
      </c>
      <c r="P46" s="355">
        <f>P8-O8</f>
        <v/>
      </c>
      <c r="Q46" s="355">
        <f>Q8-P8</f>
        <v/>
      </c>
      <c r="R46" s="355">
        <f>R8-Q8</f>
        <v/>
      </c>
      <c r="S46" s="355">
        <f>S8-R8</f>
        <v/>
      </c>
      <c r="T46" s="355">
        <f>T8-S8</f>
        <v/>
      </c>
      <c r="U46" s="355">
        <f>U8-T8</f>
        <v/>
      </c>
      <c r="V46" s="355">
        <f>V8-U8</f>
        <v/>
      </c>
      <c r="W46" s="355">
        <f>W8-V8</f>
        <v/>
      </c>
      <c r="X46" s="355">
        <f>X8-W8</f>
        <v/>
      </c>
      <c r="Y46" s="355">
        <f>Y8-X8</f>
        <v/>
      </c>
      <c r="Z46" s="355">
        <f>Z8-Y8</f>
        <v/>
      </c>
      <c r="AA46" s="355">
        <f>AA8-Z8</f>
        <v/>
      </c>
      <c r="AB46" s="355">
        <f>AB8-AA8</f>
        <v/>
      </c>
      <c r="AC46" s="355">
        <f>AC8-AB8</f>
        <v/>
      </c>
      <c r="AD46" s="355">
        <f>AD8-AC8</f>
        <v/>
      </c>
      <c r="AE46" s="355">
        <f>AE8-AD8</f>
        <v/>
      </c>
      <c r="AF46" s="355">
        <f>AF8-AE8</f>
        <v/>
      </c>
      <c r="AG46" s="356">
        <f>SUM(E46:AF46)</f>
        <v/>
      </c>
    </row>
    <row r="47" ht="12" customHeight="1" s="488">
      <c r="A47" s="541" t="n"/>
      <c r="B47" s="541" t="n"/>
      <c r="C47" s="547" t="inlineStr">
        <is>
          <t>DG</t>
        </is>
      </c>
      <c r="D47" s="501" t="n"/>
      <c r="E47" s="355">
        <f>E9-D9</f>
        <v/>
      </c>
      <c r="F47" s="355">
        <f>F9-E9</f>
        <v/>
      </c>
      <c r="G47" s="355">
        <f>G9-F9</f>
        <v/>
      </c>
      <c r="H47" s="355">
        <f>H9-G9</f>
        <v/>
      </c>
      <c r="I47" s="355">
        <f>I9-H9</f>
        <v/>
      </c>
      <c r="J47" s="355">
        <f>J9-I9</f>
        <v/>
      </c>
      <c r="K47" s="355">
        <f>K9-J9</f>
        <v/>
      </c>
      <c r="L47" s="355">
        <f>L9-K9</f>
        <v/>
      </c>
      <c r="M47" s="355">
        <f>M9-L9</f>
        <v/>
      </c>
      <c r="N47" s="355">
        <f>N9-M9</f>
        <v/>
      </c>
      <c r="O47" s="355">
        <f>O9-N9</f>
        <v/>
      </c>
      <c r="P47" s="355">
        <f>P9-O9</f>
        <v/>
      </c>
      <c r="Q47" s="355">
        <f>Q9-P9</f>
        <v/>
      </c>
      <c r="R47" s="355">
        <f>R9-Q9</f>
        <v/>
      </c>
      <c r="S47" s="355">
        <f>S9-R9</f>
        <v/>
      </c>
      <c r="T47" s="355">
        <f>T9-S9</f>
        <v/>
      </c>
      <c r="U47" s="355">
        <f>U9-T9</f>
        <v/>
      </c>
      <c r="V47" s="355">
        <f>V9-U9</f>
        <v/>
      </c>
      <c r="W47" s="355">
        <f>W9-V9</f>
        <v/>
      </c>
      <c r="X47" s="355">
        <f>X9-W9</f>
        <v/>
      </c>
      <c r="Y47" s="355">
        <f>Y9-X9</f>
        <v/>
      </c>
      <c r="Z47" s="355">
        <f>Z9-Y9</f>
        <v/>
      </c>
      <c r="AA47" s="355">
        <f>AA9-Z9</f>
        <v/>
      </c>
      <c r="AB47" s="355">
        <f>AB9-AA9</f>
        <v/>
      </c>
      <c r="AC47" s="355">
        <f>AC9-AB9</f>
        <v/>
      </c>
      <c r="AD47" s="355">
        <f>AD9-AC9</f>
        <v/>
      </c>
      <c r="AE47" s="355">
        <f>AE9-AD9</f>
        <v/>
      </c>
      <c r="AF47" s="355">
        <f>AF9-AE9</f>
        <v/>
      </c>
      <c r="AG47" s="356">
        <f>SUM(E47:AF47)</f>
        <v/>
      </c>
    </row>
    <row r="48" ht="12" customHeight="1" s="488">
      <c r="A48" s="541" t="n">
        <v>3</v>
      </c>
      <c r="B48" s="541" t="inlineStr">
        <is>
          <t>3F</t>
        </is>
      </c>
      <c r="C48" s="541" t="inlineStr">
        <is>
          <t>SL No 540430038844 (EB Unit)</t>
        </is>
      </c>
      <c r="D48" s="501" t="n"/>
      <c r="E48" s="355">
        <f>E10-D10</f>
        <v/>
      </c>
      <c r="F48" s="355">
        <f>F10-E10</f>
        <v/>
      </c>
      <c r="G48" s="355">
        <f>G10-F10</f>
        <v/>
      </c>
      <c r="H48" s="355">
        <f>H10-G10</f>
        <v/>
      </c>
      <c r="I48" s="355">
        <f>I10-H10</f>
        <v/>
      </c>
      <c r="J48" s="355">
        <f>J10-I10</f>
        <v/>
      </c>
      <c r="K48" s="355">
        <f>K10-J10</f>
        <v/>
      </c>
      <c r="L48" s="355">
        <f>L10-K10</f>
        <v/>
      </c>
      <c r="M48" s="355">
        <f>M10-L10</f>
        <v/>
      </c>
      <c r="N48" s="355">
        <f>N10-M10</f>
        <v/>
      </c>
      <c r="O48" s="355">
        <f>O10-N10</f>
        <v/>
      </c>
      <c r="P48" s="355">
        <f>P10-O10</f>
        <v/>
      </c>
      <c r="Q48" s="355">
        <f>Q10-P10</f>
        <v/>
      </c>
      <c r="R48" s="355">
        <f>R10-Q10</f>
        <v/>
      </c>
      <c r="S48" s="355">
        <f>S10-R10</f>
        <v/>
      </c>
      <c r="T48" s="355">
        <f>T10-S10</f>
        <v/>
      </c>
      <c r="U48" s="355">
        <f>U10-T10</f>
        <v/>
      </c>
      <c r="V48" s="355">
        <f>V10-U10</f>
        <v/>
      </c>
      <c r="W48" s="355">
        <f>W10-V10</f>
        <v/>
      </c>
      <c r="X48" s="355">
        <f>X10-W10</f>
        <v/>
      </c>
      <c r="Y48" s="355">
        <f>Y10-X10</f>
        <v/>
      </c>
      <c r="Z48" s="355">
        <f>Z10-Y10</f>
        <v/>
      </c>
      <c r="AA48" s="355">
        <f>AA10-Z10</f>
        <v/>
      </c>
      <c r="AB48" s="355">
        <f>AB10-AA10</f>
        <v/>
      </c>
      <c r="AC48" s="355">
        <f>AC10-AB10</f>
        <v/>
      </c>
      <c r="AD48" s="355">
        <f>AD10-AC10</f>
        <v/>
      </c>
      <c r="AE48" s="355">
        <f>AE10-AD10</f>
        <v/>
      </c>
      <c r="AF48" s="355">
        <f>AF10-AE10</f>
        <v/>
      </c>
      <c r="AG48" s="356">
        <f>SUM(E48:AF48)</f>
        <v/>
      </c>
    </row>
    <row r="49" ht="12" customHeight="1" s="488">
      <c r="A49" s="541" t="n"/>
      <c r="B49" s="541" t="n"/>
      <c r="C49" s="547" t="inlineStr">
        <is>
          <t>DG</t>
        </is>
      </c>
      <c r="D49" s="501" t="n"/>
      <c r="E49" s="355">
        <f>E11-D11</f>
        <v/>
      </c>
      <c r="F49" s="355">
        <f>F11-E11</f>
        <v/>
      </c>
      <c r="G49" s="355">
        <f>G11-F11</f>
        <v/>
      </c>
      <c r="H49" s="355">
        <f>H11-G11</f>
        <v/>
      </c>
      <c r="I49" s="355">
        <f>I11-H11</f>
        <v/>
      </c>
      <c r="J49" s="355">
        <f>J11-I11</f>
        <v/>
      </c>
      <c r="K49" s="355">
        <f>K11-J11</f>
        <v/>
      </c>
      <c r="L49" s="355">
        <f>L11-K11</f>
        <v/>
      </c>
      <c r="M49" s="355">
        <f>M11-L11</f>
        <v/>
      </c>
      <c r="N49" s="355">
        <f>N11-M11</f>
        <v/>
      </c>
      <c r="O49" s="355">
        <f>O11-N11</f>
        <v/>
      </c>
      <c r="P49" s="355">
        <f>P11-O11</f>
        <v/>
      </c>
      <c r="Q49" s="355">
        <f>Q11-P11</f>
        <v/>
      </c>
      <c r="R49" s="355">
        <f>R11-Q11</f>
        <v/>
      </c>
      <c r="S49" s="355">
        <f>S11-R11</f>
        <v/>
      </c>
      <c r="T49" s="355">
        <f>T11-S11</f>
        <v/>
      </c>
      <c r="U49" s="355">
        <f>U11-T11</f>
        <v/>
      </c>
      <c r="V49" s="355">
        <f>V11-U11</f>
        <v/>
      </c>
      <c r="W49" s="355">
        <f>W11-V11</f>
        <v/>
      </c>
      <c r="X49" s="355">
        <f>X11-W11</f>
        <v/>
      </c>
      <c r="Y49" s="355">
        <f>Y11-X11</f>
        <v/>
      </c>
      <c r="Z49" s="355">
        <f>Z11-Y11</f>
        <v/>
      </c>
      <c r="AA49" s="355">
        <f>AA11-Z11</f>
        <v/>
      </c>
      <c r="AB49" s="355">
        <f>AB11-AA11</f>
        <v/>
      </c>
      <c r="AC49" s="355">
        <f>AC11-AB11</f>
        <v/>
      </c>
      <c r="AD49" s="355">
        <f>AD11-AC11</f>
        <v/>
      </c>
      <c r="AE49" s="355">
        <f>AE11-AD11</f>
        <v/>
      </c>
      <c r="AF49" s="355">
        <f>AF11-AE11</f>
        <v/>
      </c>
      <c r="AG49" s="356">
        <f>SUM(E49:AF49)</f>
        <v/>
      </c>
    </row>
    <row r="50" ht="12" customHeight="1" s="488">
      <c r="A50" s="541" t="n">
        <v>4</v>
      </c>
      <c r="B50" s="541" t="inlineStr">
        <is>
          <t>3F</t>
        </is>
      </c>
      <c r="C50" s="541" t="inlineStr">
        <is>
          <t>SL No 540430038821 (EB Unit)</t>
        </is>
      </c>
      <c r="D50" s="501" t="n"/>
      <c r="E50" s="355">
        <f>E12-D12</f>
        <v/>
      </c>
      <c r="F50" s="355">
        <f>F12-E12</f>
        <v/>
      </c>
      <c r="G50" s="355">
        <f>G12-F12</f>
        <v/>
      </c>
      <c r="H50" s="355">
        <f>H12-G12</f>
        <v/>
      </c>
      <c r="I50" s="355">
        <f>I12-H12</f>
        <v/>
      </c>
      <c r="J50" s="355">
        <f>J12-I12</f>
        <v/>
      </c>
      <c r="K50" s="355">
        <f>K12-J12</f>
        <v/>
      </c>
      <c r="L50" s="355">
        <f>L12-K12</f>
        <v/>
      </c>
      <c r="M50" s="355">
        <f>M12-L12</f>
        <v/>
      </c>
      <c r="N50" s="355">
        <f>N12-M12</f>
        <v/>
      </c>
      <c r="O50" s="355">
        <f>O12-N12</f>
        <v/>
      </c>
      <c r="P50" s="355">
        <f>P12-O12</f>
        <v/>
      </c>
      <c r="Q50" s="355">
        <f>Q12-P12</f>
        <v/>
      </c>
      <c r="R50" s="355">
        <f>R12-Q12</f>
        <v/>
      </c>
      <c r="S50" s="355">
        <f>S12-R12</f>
        <v/>
      </c>
      <c r="T50" s="355">
        <f>T12-S12</f>
        <v/>
      </c>
      <c r="U50" s="355">
        <f>U12-T12</f>
        <v/>
      </c>
      <c r="V50" s="355">
        <f>V12-U12</f>
        <v/>
      </c>
      <c r="W50" s="355">
        <f>W12-V12</f>
        <v/>
      </c>
      <c r="X50" s="355">
        <f>X12-W12</f>
        <v/>
      </c>
      <c r="Y50" s="355">
        <f>Y12-X12</f>
        <v/>
      </c>
      <c r="Z50" s="355">
        <f>Z12-Y12</f>
        <v/>
      </c>
      <c r="AA50" s="355">
        <f>AA12-Z12</f>
        <v/>
      </c>
      <c r="AB50" s="355">
        <f>AB12-AA12</f>
        <v/>
      </c>
      <c r="AC50" s="355">
        <f>AC12-AB12</f>
        <v/>
      </c>
      <c r="AD50" s="355">
        <f>AD12-AC12</f>
        <v/>
      </c>
      <c r="AE50" s="355">
        <f>AE12-AD12</f>
        <v/>
      </c>
      <c r="AF50" s="355">
        <f>AF12-AE12</f>
        <v/>
      </c>
      <c r="AG50" s="356">
        <f>SUM(E50:AF50)</f>
        <v/>
      </c>
    </row>
    <row r="51" ht="12" customHeight="1" s="488">
      <c r="A51" s="541" t="n"/>
      <c r="B51" s="541" t="n"/>
      <c r="C51" s="547" t="inlineStr">
        <is>
          <t>DG</t>
        </is>
      </c>
      <c r="D51" s="501" t="n"/>
      <c r="E51" s="355">
        <f>E13-D13</f>
        <v/>
      </c>
      <c r="F51" s="355">
        <f>F13-E13</f>
        <v/>
      </c>
      <c r="G51" s="355">
        <f>G13-F13</f>
        <v/>
      </c>
      <c r="H51" s="355">
        <f>H13-G13</f>
        <v/>
      </c>
      <c r="I51" s="355">
        <f>I13-H13</f>
        <v/>
      </c>
      <c r="J51" s="355">
        <f>J13-I13</f>
        <v/>
      </c>
      <c r="K51" s="355">
        <f>K13-J13</f>
        <v/>
      </c>
      <c r="L51" s="355">
        <f>L13-K13</f>
        <v/>
      </c>
      <c r="M51" s="355">
        <f>M13-L13</f>
        <v/>
      </c>
      <c r="N51" s="355">
        <f>N13-M13</f>
        <v/>
      </c>
      <c r="O51" s="355">
        <f>O13-N13</f>
        <v/>
      </c>
      <c r="P51" s="355">
        <f>P13-O13</f>
        <v/>
      </c>
      <c r="Q51" s="355">
        <f>Q13-P13</f>
        <v/>
      </c>
      <c r="R51" s="355">
        <f>R13-Q13</f>
        <v/>
      </c>
      <c r="S51" s="355">
        <f>S13-R13</f>
        <v/>
      </c>
      <c r="T51" s="355">
        <f>T13-S13</f>
        <v/>
      </c>
      <c r="U51" s="355">
        <f>U13-T13</f>
        <v/>
      </c>
      <c r="V51" s="355">
        <f>V13-U13</f>
        <v/>
      </c>
      <c r="W51" s="355">
        <f>W13-V13</f>
        <v/>
      </c>
      <c r="X51" s="355">
        <f>X13-W13</f>
        <v/>
      </c>
      <c r="Y51" s="355">
        <f>Y13-X13</f>
        <v/>
      </c>
      <c r="Z51" s="355">
        <f>Z13-Y13</f>
        <v/>
      </c>
      <c r="AA51" s="355">
        <f>AA13-Z13</f>
        <v/>
      </c>
      <c r="AB51" s="355">
        <f>AB13-AA13</f>
        <v/>
      </c>
      <c r="AC51" s="355">
        <f>AC13-AB13</f>
        <v/>
      </c>
      <c r="AD51" s="355">
        <f>AD13-AC13</f>
        <v/>
      </c>
      <c r="AE51" s="355">
        <f>AE13-AD13</f>
        <v/>
      </c>
      <c r="AF51" s="355">
        <f>AF13-AE13</f>
        <v/>
      </c>
      <c r="AG51" s="356">
        <f>SUM(E51:AF51)</f>
        <v/>
      </c>
    </row>
    <row r="52" ht="12" customHeight="1" s="488">
      <c r="A52" s="541" t="n">
        <v>5</v>
      </c>
      <c r="B52" s="541" t="inlineStr">
        <is>
          <t>3F</t>
        </is>
      </c>
      <c r="C52" s="541" t="inlineStr">
        <is>
          <t>SL No 540430038849 (EB Unit)</t>
        </is>
      </c>
      <c r="D52" s="501" t="n"/>
      <c r="E52" s="355">
        <f>E14-D14</f>
        <v/>
      </c>
      <c r="F52" s="355">
        <f>F14-E14</f>
        <v/>
      </c>
      <c r="G52" s="355">
        <f>G14-F14</f>
        <v/>
      </c>
      <c r="H52" s="355">
        <f>H14-G14</f>
        <v/>
      </c>
      <c r="I52" s="355">
        <f>I14-H14</f>
        <v/>
      </c>
      <c r="J52" s="355">
        <f>J14-I14</f>
        <v/>
      </c>
      <c r="K52" s="355">
        <f>K14-J14</f>
        <v/>
      </c>
      <c r="L52" s="355">
        <f>L14-K14</f>
        <v/>
      </c>
      <c r="M52" s="355">
        <f>M14-L14</f>
        <v/>
      </c>
      <c r="N52" s="355">
        <f>N14-M14</f>
        <v/>
      </c>
      <c r="O52" s="355">
        <f>O14-N14</f>
        <v/>
      </c>
      <c r="P52" s="355">
        <f>P14-O14</f>
        <v/>
      </c>
      <c r="Q52" s="355">
        <f>Q14-P14</f>
        <v/>
      </c>
      <c r="R52" s="355">
        <f>R14-Q14</f>
        <v/>
      </c>
      <c r="S52" s="355">
        <f>S14-R14</f>
        <v/>
      </c>
      <c r="T52" s="355">
        <f>T14-S14</f>
        <v/>
      </c>
      <c r="U52" s="355">
        <f>U14-T14</f>
        <v/>
      </c>
      <c r="V52" s="355">
        <f>V14-U14</f>
        <v/>
      </c>
      <c r="W52" s="355">
        <f>W14-V14</f>
        <v/>
      </c>
      <c r="X52" s="355">
        <f>X14-W14</f>
        <v/>
      </c>
      <c r="Y52" s="355">
        <f>Y14-X14</f>
        <v/>
      </c>
      <c r="Z52" s="355">
        <f>Z14-Y14</f>
        <v/>
      </c>
      <c r="AA52" s="355">
        <f>AA14-Z14</f>
        <v/>
      </c>
      <c r="AB52" s="355">
        <f>AB14-AA14</f>
        <v/>
      </c>
      <c r="AC52" s="355">
        <f>AC14-AB14</f>
        <v/>
      </c>
      <c r="AD52" s="355">
        <f>AD14-AC14</f>
        <v/>
      </c>
      <c r="AE52" s="355">
        <f>AE14-AD14</f>
        <v/>
      </c>
      <c r="AF52" s="355">
        <f>AF14-AE14</f>
        <v/>
      </c>
      <c r="AG52" s="356">
        <f>SUM(E52:AF52)</f>
        <v/>
      </c>
    </row>
    <row r="53" ht="12" customHeight="1" s="488">
      <c r="A53" s="541" t="n"/>
      <c r="B53" s="541" t="n"/>
      <c r="C53" s="547" t="inlineStr">
        <is>
          <t>DG</t>
        </is>
      </c>
      <c r="D53" s="501" t="n"/>
      <c r="E53" s="355">
        <f>E15-D15</f>
        <v/>
      </c>
      <c r="F53" s="355">
        <f>F15-E15</f>
        <v/>
      </c>
      <c r="G53" s="355">
        <f>G15-F15</f>
        <v/>
      </c>
      <c r="H53" s="355">
        <f>H15-G15</f>
        <v/>
      </c>
      <c r="I53" s="355">
        <f>I15-H15</f>
        <v/>
      </c>
      <c r="J53" s="355">
        <f>J15-I15</f>
        <v/>
      </c>
      <c r="K53" s="355">
        <f>K15-J15</f>
        <v/>
      </c>
      <c r="L53" s="355">
        <f>L15-K15</f>
        <v/>
      </c>
      <c r="M53" s="355">
        <f>M15-L15</f>
        <v/>
      </c>
      <c r="N53" s="355">
        <f>N15-M15</f>
        <v/>
      </c>
      <c r="O53" s="355">
        <f>O15-N15</f>
        <v/>
      </c>
      <c r="P53" s="355">
        <f>P15-O15</f>
        <v/>
      </c>
      <c r="Q53" s="355">
        <f>Q15-P15</f>
        <v/>
      </c>
      <c r="R53" s="355">
        <f>R15-Q15</f>
        <v/>
      </c>
      <c r="S53" s="355">
        <f>S15-R15</f>
        <v/>
      </c>
      <c r="T53" s="355">
        <f>T15-S15</f>
        <v/>
      </c>
      <c r="U53" s="355">
        <f>U15-T15</f>
        <v/>
      </c>
      <c r="V53" s="355">
        <f>V15-U15</f>
        <v/>
      </c>
      <c r="W53" s="355">
        <f>W15-V15</f>
        <v/>
      </c>
      <c r="X53" s="355">
        <f>X15-W15</f>
        <v/>
      </c>
      <c r="Y53" s="355">
        <f>Y15-X15</f>
        <v/>
      </c>
      <c r="Z53" s="355">
        <f>Z15-Y15</f>
        <v/>
      </c>
      <c r="AA53" s="355">
        <f>AA15-Z15</f>
        <v/>
      </c>
      <c r="AB53" s="355">
        <f>AB15-AA15</f>
        <v/>
      </c>
      <c r="AC53" s="355">
        <f>AC15-AB15</f>
        <v/>
      </c>
      <c r="AD53" s="355">
        <f>AD15-AC15</f>
        <v/>
      </c>
      <c r="AE53" s="355">
        <f>AE15-AD15</f>
        <v/>
      </c>
      <c r="AF53" s="355">
        <f>AF15-AE15</f>
        <v/>
      </c>
      <c r="AG53" s="356">
        <f>SUM(E53:AF53)</f>
        <v/>
      </c>
    </row>
    <row r="54" ht="12" customHeight="1" s="488">
      <c r="A54" s="541" t="n">
        <v>6</v>
      </c>
      <c r="B54" s="541" t="inlineStr">
        <is>
          <t>3F</t>
        </is>
      </c>
      <c r="C54" s="541" t="inlineStr">
        <is>
          <t>SL No 540430038696 (EB Unit)</t>
        </is>
      </c>
      <c r="D54" s="501" t="n"/>
      <c r="E54" s="355">
        <f>E16-D16</f>
        <v/>
      </c>
      <c r="F54" s="355">
        <f>F16-E16</f>
        <v/>
      </c>
      <c r="G54" s="355">
        <f>G16-F16</f>
        <v/>
      </c>
      <c r="H54" s="355">
        <f>H16-G16</f>
        <v/>
      </c>
      <c r="I54" s="355">
        <f>I16-H16</f>
        <v/>
      </c>
      <c r="J54" s="355">
        <f>J16-I16</f>
        <v/>
      </c>
      <c r="K54" s="355">
        <f>K16-J16</f>
        <v/>
      </c>
      <c r="L54" s="355">
        <f>L16-K16</f>
        <v/>
      </c>
      <c r="M54" s="355">
        <f>M16-L16</f>
        <v/>
      </c>
      <c r="N54" s="355">
        <f>N16-M16</f>
        <v/>
      </c>
      <c r="O54" s="355">
        <f>O16-N16</f>
        <v/>
      </c>
      <c r="P54" s="355">
        <f>P16-O16</f>
        <v/>
      </c>
      <c r="Q54" s="355">
        <f>Q16-P16</f>
        <v/>
      </c>
      <c r="R54" s="355">
        <f>R16-Q16</f>
        <v/>
      </c>
      <c r="S54" s="355">
        <f>S16-R16</f>
        <v/>
      </c>
      <c r="T54" s="355">
        <f>T16-S16</f>
        <v/>
      </c>
      <c r="U54" s="355">
        <f>U16-T16</f>
        <v/>
      </c>
      <c r="V54" s="355">
        <f>V16-U16</f>
        <v/>
      </c>
      <c r="W54" s="355">
        <f>W16-V16</f>
        <v/>
      </c>
      <c r="X54" s="355">
        <f>X16-W16</f>
        <v/>
      </c>
      <c r="Y54" s="355">
        <f>Y16-X16</f>
        <v/>
      </c>
      <c r="Z54" s="355">
        <f>Z16-Y16</f>
        <v/>
      </c>
      <c r="AA54" s="355">
        <f>AA16-Z16</f>
        <v/>
      </c>
      <c r="AB54" s="355">
        <f>AB16-AA16</f>
        <v/>
      </c>
      <c r="AC54" s="355">
        <f>AC16-AB16</f>
        <v/>
      </c>
      <c r="AD54" s="355">
        <f>AD16-AC16</f>
        <v/>
      </c>
      <c r="AE54" s="355">
        <f>AE16-AD16</f>
        <v/>
      </c>
      <c r="AF54" s="355">
        <f>AF16-AE16</f>
        <v/>
      </c>
      <c r="AG54" s="356">
        <f>SUM(E54:AF54)</f>
        <v/>
      </c>
    </row>
    <row r="55" ht="12" customHeight="1" s="488">
      <c r="A55" s="541" t="n"/>
      <c r="B55" s="541" t="n"/>
      <c r="C55" s="547" t="inlineStr">
        <is>
          <t>DG</t>
        </is>
      </c>
      <c r="D55" s="501" t="n"/>
      <c r="E55" s="355">
        <f>E17-D17</f>
        <v/>
      </c>
      <c r="F55" s="355">
        <f>F17-E17</f>
        <v/>
      </c>
      <c r="G55" s="355">
        <f>G17-F17</f>
        <v/>
      </c>
      <c r="H55" s="355">
        <f>H17-G17</f>
        <v/>
      </c>
      <c r="I55" s="355">
        <f>I17-H17</f>
        <v/>
      </c>
      <c r="J55" s="355">
        <f>J17-I17</f>
        <v/>
      </c>
      <c r="K55" s="355">
        <f>K17-J17</f>
        <v/>
      </c>
      <c r="L55" s="355">
        <f>L17-K17</f>
        <v/>
      </c>
      <c r="M55" s="355">
        <f>M17-L17</f>
        <v/>
      </c>
      <c r="N55" s="355">
        <f>N17-M17</f>
        <v/>
      </c>
      <c r="O55" s="355">
        <f>O17-N17</f>
        <v/>
      </c>
      <c r="P55" s="355">
        <f>P17-O17</f>
        <v/>
      </c>
      <c r="Q55" s="355">
        <f>Q17-P17</f>
        <v/>
      </c>
      <c r="R55" s="355">
        <f>R17-Q17</f>
        <v/>
      </c>
      <c r="S55" s="355">
        <f>S17-R17</f>
        <v/>
      </c>
      <c r="T55" s="355">
        <f>T17-S17</f>
        <v/>
      </c>
      <c r="U55" s="355">
        <f>U17-T17</f>
        <v/>
      </c>
      <c r="V55" s="355">
        <f>V17-U17</f>
        <v/>
      </c>
      <c r="W55" s="355">
        <f>W17-V17</f>
        <v/>
      </c>
      <c r="X55" s="355">
        <f>X17-W17</f>
        <v/>
      </c>
      <c r="Y55" s="355">
        <f>Y17-X17</f>
        <v/>
      </c>
      <c r="Z55" s="355">
        <f>Z17-Y17</f>
        <v/>
      </c>
      <c r="AA55" s="355">
        <f>AA17-Z17</f>
        <v/>
      </c>
      <c r="AB55" s="355">
        <f>AB17-AA17</f>
        <v/>
      </c>
      <c r="AC55" s="355">
        <f>AC17-AB17</f>
        <v/>
      </c>
      <c r="AD55" s="355">
        <f>AD17-AC17</f>
        <v/>
      </c>
      <c r="AE55" s="355">
        <f>AE17-AD17</f>
        <v/>
      </c>
      <c r="AF55" s="355">
        <f>AF17-AE17</f>
        <v/>
      </c>
      <c r="AG55" s="356">
        <f>SUM(E55:AF55)</f>
        <v/>
      </c>
    </row>
    <row r="56" ht="12" customHeight="1" s="488">
      <c r="A56" s="541" t="n">
        <v>7</v>
      </c>
      <c r="B56" s="541" t="inlineStr">
        <is>
          <t>3F</t>
        </is>
      </c>
      <c r="C56" s="541" t="inlineStr">
        <is>
          <t>SL No 540430038843 (EB Unit)</t>
        </is>
      </c>
      <c r="D56" s="501" t="n"/>
      <c r="E56" s="355">
        <f>E18-D18</f>
        <v/>
      </c>
      <c r="F56" s="355">
        <f>F18-E18</f>
        <v/>
      </c>
      <c r="G56" s="355">
        <f>G18-F18</f>
        <v/>
      </c>
      <c r="H56" s="355">
        <f>H18-G18</f>
        <v/>
      </c>
      <c r="I56" s="355">
        <f>I18-H18</f>
        <v/>
      </c>
      <c r="J56" s="355">
        <f>J18-I18</f>
        <v/>
      </c>
      <c r="K56" s="355">
        <f>K18-J18</f>
        <v/>
      </c>
      <c r="L56" s="355">
        <f>L18-K18</f>
        <v/>
      </c>
      <c r="M56" s="355">
        <f>M18-L18</f>
        <v/>
      </c>
      <c r="N56" s="355">
        <f>N18-M18</f>
        <v/>
      </c>
      <c r="O56" s="355">
        <f>O18-N18</f>
        <v/>
      </c>
      <c r="P56" s="355">
        <f>P18-O18</f>
        <v/>
      </c>
      <c r="Q56" s="355">
        <f>Q18-P18</f>
        <v/>
      </c>
      <c r="R56" s="355">
        <f>R18-Q18</f>
        <v/>
      </c>
      <c r="S56" s="355">
        <f>S18-R18</f>
        <v/>
      </c>
      <c r="T56" s="355">
        <f>T18-S18</f>
        <v/>
      </c>
      <c r="U56" s="355">
        <f>U18-T18</f>
        <v/>
      </c>
      <c r="V56" s="355">
        <f>V18-U18</f>
        <v/>
      </c>
      <c r="W56" s="355">
        <f>W18-V18</f>
        <v/>
      </c>
      <c r="X56" s="355">
        <f>X18-W18</f>
        <v/>
      </c>
      <c r="Y56" s="355">
        <f>Y18-X18</f>
        <v/>
      </c>
      <c r="Z56" s="355">
        <f>Z18-Y18</f>
        <v/>
      </c>
      <c r="AA56" s="355">
        <f>AA18-Z18</f>
        <v/>
      </c>
      <c r="AB56" s="355">
        <f>AB18-AA18</f>
        <v/>
      </c>
      <c r="AC56" s="355">
        <f>AC18-AB18</f>
        <v/>
      </c>
      <c r="AD56" s="355">
        <f>AD18-AC18</f>
        <v/>
      </c>
      <c r="AE56" s="355">
        <f>AE18-AD18</f>
        <v/>
      </c>
      <c r="AF56" s="355">
        <f>AF18-AE18</f>
        <v/>
      </c>
      <c r="AG56" s="356">
        <f>SUM(E56:AF56)</f>
        <v/>
      </c>
    </row>
    <row r="57" ht="12" customHeight="1" s="488">
      <c r="A57" s="541" t="n"/>
      <c r="B57" s="541" t="n"/>
      <c r="C57" s="547" t="inlineStr">
        <is>
          <t>DG</t>
        </is>
      </c>
      <c r="D57" s="501" t="n"/>
      <c r="E57" s="355">
        <f>E19-D19</f>
        <v/>
      </c>
      <c r="F57" s="355">
        <f>F19-E19</f>
        <v/>
      </c>
      <c r="G57" s="355">
        <f>G19-F19</f>
        <v/>
      </c>
      <c r="H57" s="355">
        <f>H19-G19</f>
        <v/>
      </c>
      <c r="I57" s="355">
        <f>I19-H19</f>
        <v/>
      </c>
      <c r="J57" s="355">
        <f>J19-I19</f>
        <v/>
      </c>
      <c r="K57" s="355">
        <f>K19-J19</f>
        <v/>
      </c>
      <c r="L57" s="355">
        <f>L19-K19</f>
        <v/>
      </c>
      <c r="M57" s="355">
        <f>M19-L19</f>
        <v/>
      </c>
      <c r="N57" s="355">
        <f>N19-M19</f>
        <v/>
      </c>
      <c r="O57" s="355">
        <f>O19-N19</f>
        <v/>
      </c>
      <c r="P57" s="355">
        <f>P19-O19</f>
        <v/>
      </c>
      <c r="Q57" s="355">
        <f>Q19-P19</f>
        <v/>
      </c>
      <c r="R57" s="355">
        <f>R19-Q19</f>
        <v/>
      </c>
      <c r="S57" s="355">
        <f>S19-R19</f>
        <v/>
      </c>
      <c r="T57" s="355">
        <f>T19-S19</f>
        <v/>
      </c>
      <c r="U57" s="355">
        <f>U19-T19</f>
        <v/>
      </c>
      <c r="V57" s="355">
        <f>V19-U19</f>
        <v/>
      </c>
      <c r="W57" s="355">
        <f>W19-V19</f>
        <v/>
      </c>
      <c r="X57" s="355">
        <f>X19-W19</f>
        <v/>
      </c>
      <c r="Y57" s="355">
        <f>Y19-X19</f>
        <v/>
      </c>
      <c r="Z57" s="355">
        <f>Z19-Y19</f>
        <v/>
      </c>
      <c r="AA57" s="355">
        <f>AA19-Z19</f>
        <v/>
      </c>
      <c r="AB57" s="355">
        <f>AB19-AA19</f>
        <v/>
      </c>
      <c r="AC57" s="355">
        <f>AC19-AB19</f>
        <v/>
      </c>
      <c r="AD57" s="355">
        <f>AD19-AC19</f>
        <v/>
      </c>
      <c r="AE57" s="355">
        <f>AE19-AD19</f>
        <v/>
      </c>
      <c r="AF57" s="355">
        <f>AF19-AE19</f>
        <v/>
      </c>
      <c r="AG57" s="356">
        <f>SUM(E57:AF57)</f>
        <v/>
      </c>
    </row>
    <row r="58" ht="12" customHeight="1" s="488">
      <c r="A58" s="541" t="n">
        <v>8</v>
      </c>
      <c r="B58" s="541" t="inlineStr">
        <is>
          <t>3F</t>
        </is>
      </c>
      <c r="C58" s="541" t="inlineStr">
        <is>
          <t>SL No 540430038848 (EB Unit)</t>
        </is>
      </c>
      <c r="D58" s="501" t="n"/>
      <c r="E58" s="355">
        <f>E20-D20</f>
        <v/>
      </c>
      <c r="F58" s="355">
        <f>F20-E20</f>
        <v/>
      </c>
      <c r="G58" s="355">
        <f>G20-F20</f>
        <v/>
      </c>
      <c r="H58" s="355">
        <f>H20-G20</f>
        <v/>
      </c>
      <c r="I58" s="355">
        <f>I20-H20</f>
        <v/>
      </c>
      <c r="J58" s="355">
        <f>J20-I20</f>
        <v/>
      </c>
      <c r="K58" s="355">
        <f>K20-J20</f>
        <v/>
      </c>
      <c r="L58" s="355">
        <f>L20-K20</f>
        <v/>
      </c>
      <c r="M58" s="355">
        <f>M20-L20</f>
        <v/>
      </c>
      <c r="N58" s="355">
        <f>N20-M20</f>
        <v/>
      </c>
      <c r="O58" s="355">
        <f>O20-N20</f>
        <v/>
      </c>
      <c r="P58" s="355">
        <f>P20-O20</f>
        <v/>
      </c>
      <c r="Q58" s="355">
        <f>Q20-P20</f>
        <v/>
      </c>
      <c r="R58" s="355">
        <f>R20-Q20</f>
        <v/>
      </c>
      <c r="S58" s="355">
        <f>S20-R20</f>
        <v/>
      </c>
      <c r="T58" s="355">
        <f>T20-S20</f>
        <v/>
      </c>
      <c r="U58" s="355">
        <f>U20-T20</f>
        <v/>
      </c>
      <c r="V58" s="355">
        <f>V20-U20</f>
        <v/>
      </c>
      <c r="W58" s="355">
        <f>W20-V20</f>
        <v/>
      </c>
      <c r="X58" s="355">
        <f>X20-W20</f>
        <v/>
      </c>
      <c r="Y58" s="355">
        <f>Y20-X20</f>
        <v/>
      </c>
      <c r="Z58" s="355">
        <f>Z20-Y20</f>
        <v/>
      </c>
      <c r="AA58" s="355">
        <f>AA20-Z20</f>
        <v/>
      </c>
      <c r="AB58" s="355">
        <f>AB20-AA20</f>
        <v/>
      </c>
      <c r="AC58" s="355">
        <f>AC20-AB20</f>
        <v/>
      </c>
      <c r="AD58" s="355">
        <f>AD20-AC20</f>
        <v/>
      </c>
      <c r="AE58" s="355">
        <f>AE20-AD20</f>
        <v/>
      </c>
      <c r="AF58" s="355">
        <f>AF20-AE20</f>
        <v/>
      </c>
      <c r="AG58" s="356">
        <f>SUM(E58:AF58)</f>
        <v/>
      </c>
    </row>
    <row r="59" ht="12" customHeight="1" s="488">
      <c r="A59" s="541" t="n"/>
      <c r="B59" s="541" t="n"/>
      <c r="C59" s="547" t="inlineStr">
        <is>
          <t>DG</t>
        </is>
      </c>
      <c r="D59" s="501" t="n"/>
      <c r="E59" s="355">
        <f>E21-D21</f>
        <v/>
      </c>
      <c r="F59" s="355">
        <f>F21-E21</f>
        <v/>
      </c>
      <c r="G59" s="355">
        <f>G21-F21</f>
        <v/>
      </c>
      <c r="H59" s="355">
        <f>H21-G21</f>
        <v/>
      </c>
      <c r="I59" s="355">
        <f>I21-H21</f>
        <v/>
      </c>
      <c r="J59" s="355">
        <f>J21-I21</f>
        <v/>
      </c>
      <c r="K59" s="355">
        <f>K21-J21</f>
        <v/>
      </c>
      <c r="L59" s="355">
        <f>L21-K21</f>
        <v/>
      </c>
      <c r="M59" s="355">
        <f>M21-L21</f>
        <v/>
      </c>
      <c r="N59" s="355">
        <f>N21-M21</f>
        <v/>
      </c>
      <c r="O59" s="355">
        <f>O21-N21</f>
        <v/>
      </c>
      <c r="P59" s="355">
        <f>P21-O21</f>
        <v/>
      </c>
      <c r="Q59" s="355">
        <f>Q21-P21</f>
        <v/>
      </c>
      <c r="R59" s="355">
        <f>R21-Q21</f>
        <v/>
      </c>
      <c r="S59" s="355">
        <f>S21-R21</f>
        <v/>
      </c>
      <c r="T59" s="355">
        <f>T21-S21</f>
        <v/>
      </c>
      <c r="U59" s="355">
        <f>U21-T21</f>
        <v/>
      </c>
      <c r="V59" s="355">
        <f>V21-U21</f>
        <v/>
      </c>
      <c r="W59" s="355">
        <f>W21-V21</f>
        <v/>
      </c>
      <c r="X59" s="355">
        <f>X21-W21</f>
        <v/>
      </c>
      <c r="Y59" s="355">
        <f>Y21-X21</f>
        <v/>
      </c>
      <c r="Z59" s="355">
        <f>Z21-Y21</f>
        <v/>
      </c>
      <c r="AA59" s="355">
        <f>AA21-Z21</f>
        <v/>
      </c>
      <c r="AB59" s="355">
        <f>AB21-AA21</f>
        <v/>
      </c>
      <c r="AC59" s="355">
        <f>AC21-AB21</f>
        <v/>
      </c>
      <c r="AD59" s="355">
        <f>AD21-AC21</f>
        <v/>
      </c>
      <c r="AE59" s="355">
        <f>AE21-AD21</f>
        <v/>
      </c>
      <c r="AF59" s="355">
        <f>AF21-AE21</f>
        <v/>
      </c>
      <c r="AG59" s="356">
        <f>SUM(E59:AF59)</f>
        <v/>
      </c>
    </row>
    <row r="60" ht="12" customHeight="1" s="488">
      <c r="A60" s="357" t="n"/>
      <c r="B60" s="357" t="n"/>
      <c r="C60" s="553" t="inlineStr">
        <is>
          <t>Total Power - EB Unit</t>
        </is>
      </c>
      <c r="D60" s="501" t="n"/>
      <c r="E60" s="358">
        <f>SUM(E58,E56,E54,E52,E50,E48,E46,E44)</f>
        <v/>
      </c>
      <c r="F60" s="358">
        <f>SUM(F58,F56,F54,F52,F50,F48,F46,F44)</f>
        <v/>
      </c>
      <c r="G60" s="358">
        <f>SUM(G58,G56,G54,G52,G50,G48,G46,G44)</f>
        <v/>
      </c>
      <c r="H60" s="358">
        <f>SUM(H58,H56,H54,H52,H50,H48,H46,H44)</f>
        <v/>
      </c>
      <c r="I60" s="358">
        <f>SUM(I58,I56,I54,I52,I50,I48,I46,I44)</f>
        <v/>
      </c>
      <c r="J60" s="358">
        <f>SUM(J58,J56,J54,J52,J50,J48,J46,J44)</f>
        <v/>
      </c>
      <c r="K60" s="358">
        <f>SUM(K58,K56,K54,K52,K50,K48,K46,K44)</f>
        <v/>
      </c>
      <c r="L60" s="358">
        <f>SUM(L58,L56,L54,L52,L50,L48,L46,L44)</f>
        <v/>
      </c>
      <c r="M60" s="358">
        <f>SUM(M58,M56,M54,M52,M50,M48,M46,M44)</f>
        <v/>
      </c>
      <c r="N60" s="358">
        <f>SUM(N58,N56,N54,N52,N50,N48,N46,N44)</f>
        <v/>
      </c>
      <c r="O60" s="358">
        <f>SUM(O58,O56,O54,O52,O50,O48,O46,O44)</f>
        <v/>
      </c>
      <c r="P60" s="358">
        <f>SUM(P58,P56,P54,P52,P50,P48,P46,P44)</f>
        <v/>
      </c>
      <c r="Q60" s="358">
        <f>SUM(Q58,Q56,Q54,Q52,Q50,Q48,Q46,Q44)</f>
        <v/>
      </c>
      <c r="R60" s="358">
        <f>SUM(R58,R56,R54,R52,R50,R48,R46,R44)</f>
        <v/>
      </c>
      <c r="S60" s="358">
        <f>SUM(S58,S56,S54,S52,S50,S48,S46,S44)</f>
        <v/>
      </c>
      <c r="T60" s="358">
        <f>SUM(T58,T56,T54,T52,T50,T48,T46,T44)</f>
        <v/>
      </c>
      <c r="U60" s="358">
        <f>SUM(U58,U56,U54,U52,U50,U48,U46,U44)</f>
        <v/>
      </c>
      <c r="V60" s="358">
        <f>SUM(V58,V56,V54,V52,V50,V48,V46,V44)</f>
        <v/>
      </c>
      <c r="W60" s="358">
        <f>SUM(W58,W56,W54,W52,W50,W48,W46,W44)</f>
        <v/>
      </c>
      <c r="X60" s="358">
        <f>SUM(X58,X56,X54,X52,X50,X48,X46,X44)</f>
        <v/>
      </c>
      <c r="Y60" s="358">
        <f>SUM(Y58,Y56,Y54,Y52,Y50,Y48,Y46,Y44)</f>
        <v/>
      </c>
      <c r="Z60" s="358">
        <f>SUM(Z58,Z56,Z54,Z52,Z50,Z48,Z46,Z44)</f>
        <v/>
      </c>
      <c r="AA60" s="358">
        <f>SUM(AA58,AA56,AA54,AA52,AA50,AA48,AA46,AA44)</f>
        <v/>
      </c>
      <c r="AB60" s="358">
        <f>SUM(AB58,AB56,AB54,AB52,AB50,AB48,AB46,AB44)</f>
        <v/>
      </c>
      <c r="AC60" s="358">
        <f>SUM(AC58,AC56,AC54,AC52,AC50,AC48,AC46,AC44)</f>
        <v/>
      </c>
      <c r="AD60" s="358">
        <f>SUM(AD58,AD56,AD54,AD52,AD50,AD48,AD46,AD44)</f>
        <v/>
      </c>
      <c r="AE60" s="358">
        <f>SUM(AE58,AE56,AE54,AE52,AE50,AE48,AE46,AE44)</f>
        <v/>
      </c>
      <c r="AF60" s="358">
        <f>SUM(AF58,AF56,AF54,AF52,AF50,AF48,AF46,AF44)</f>
        <v/>
      </c>
      <c r="AG60" s="359">
        <f>SUM(E60:AF60)</f>
        <v/>
      </c>
    </row>
    <row r="61" ht="12" customHeight="1" s="488">
      <c r="A61" s="357" t="n"/>
      <c r="B61" s="357" t="n"/>
      <c r="C61" s="360" t="inlineStr">
        <is>
          <t>Total Power- DG</t>
        </is>
      </c>
      <c r="D61" s="361" t="n"/>
      <c r="E61" s="358">
        <f>SUM(E45,E47,E49,E51,E53,E55,E57,E59)</f>
        <v/>
      </c>
      <c r="F61" s="358">
        <f>SUM(F45,F47,F49,F51,F53,F55,F57,F59)</f>
        <v/>
      </c>
      <c r="G61" s="358">
        <f>SUM(G45,G47,G49,G51,G53,G55,G57,G59)</f>
        <v/>
      </c>
      <c r="H61" s="358">
        <f>SUM(H45,H47,H49,H51,H53,H55,H57,H59)</f>
        <v/>
      </c>
      <c r="I61" s="358">
        <f>SUM(I45,I47,I49,I51,I53,I55,I57,I59)</f>
        <v/>
      </c>
      <c r="J61" s="358">
        <f>SUM(J45,J47,J49,J51,J53,J55,J57,J59)</f>
        <v/>
      </c>
      <c r="K61" s="358">
        <f>SUM(K45,K47,K49,K51,K53,K55,K57,K59)</f>
        <v/>
      </c>
      <c r="L61" s="358">
        <f>SUM(L45,L47,L49,L51,L53,L55,L57,L59)</f>
        <v/>
      </c>
      <c r="M61" s="358">
        <f>SUM(M45,M47,M49,M51,M53,M55,M57,M59)</f>
        <v/>
      </c>
      <c r="N61" s="358">
        <f>SUM(N45,N47,N49,N51,N53,N55,N57,N59)</f>
        <v/>
      </c>
      <c r="O61" s="358">
        <f>SUM(O45,O47,O49,O51,O53,O55,O57,O59)</f>
        <v/>
      </c>
      <c r="P61" s="358">
        <f>SUM(P45,P47,P49,P51,P53,P55,P57,P59)</f>
        <v/>
      </c>
      <c r="Q61" s="358">
        <f>SUM(Q45,Q47,Q49,Q51,Q53,Q55,Q57,Q59)</f>
        <v/>
      </c>
      <c r="R61" s="358">
        <f>SUM(R45,R47,R49,R51,R53,R55,R57,R59)</f>
        <v/>
      </c>
      <c r="S61" s="358">
        <f>SUM(S45,S47,S49,S51,S53,S55,S57,S59)</f>
        <v/>
      </c>
      <c r="T61" s="358">
        <f>SUM(T45,T47,T49,T51,T53,T55,T57,T59)</f>
        <v/>
      </c>
      <c r="U61" s="358">
        <f>SUM(U45,U47,U49,U51,U53,U55,U57,U59)</f>
        <v/>
      </c>
      <c r="V61" s="358">
        <f>SUM(V45,V47,V49,V51,V53,V55,V57,V59)</f>
        <v/>
      </c>
      <c r="W61" s="358">
        <f>SUM(W45,W47,W49,W51,W53,W55,W57,W59)</f>
        <v/>
      </c>
      <c r="X61" s="358">
        <f>SUM(X45,X47,X49,X51,X53,X55,X57,X59)</f>
        <v/>
      </c>
      <c r="Y61" s="358">
        <f>SUM(Y45,Y47,Y49,Y51,Y53,Y55,Y57,Y59)</f>
        <v/>
      </c>
      <c r="Z61" s="358">
        <f>SUM(Z45,Z47,Z49,Z51,Z53,Z55,Z57,Z59)</f>
        <v/>
      </c>
      <c r="AA61" s="358">
        <f>SUM(AA45,AA47,AA49,AA51,AA53,AA55,AA57,AA59)</f>
        <v/>
      </c>
      <c r="AB61" s="358">
        <f>SUM(AB45,AB47,AB49,AB51,AB53,AB55,AB57,AB59)</f>
        <v/>
      </c>
      <c r="AC61" s="358">
        <f>SUM(AC45,AC47,AC49,AC51,AC53,AC55,AC57,AC59)</f>
        <v/>
      </c>
      <c r="AD61" s="358">
        <f>SUM(AD45,AD47,AD49,AD51,AD53,AD55,AD57,AD59)</f>
        <v/>
      </c>
      <c r="AE61" s="358">
        <f>SUM(AE45,AE47,AE49,AE51,AE53,AE55,AE57,AE59)</f>
        <v/>
      </c>
      <c r="AF61" s="358">
        <f>SUM(AF45,AF47,AF49,AF51,AF53,AF55,AF57,AF59)</f>
        <v/>
      </c>
      <c r="AG61" s="359">
        <f>SUM(E61:AF61)</f>
        <v/>
      </c>
    </row>
    <row r="62" ht="14.5" customHeight="1" s="488">
      <c r="A62" s="555" t="n"/>
      <c r="B62" s="555" t="n"/>
      <c r="C62" s="545" t="inlineStr">
        <is>
          <t>Total Power Cumulative</t>
        </is>
      </c>
      <c r="D62" s="501" t="n"/>
      <c r="E62" s="363">
        <f>E60</f>
        <v/>
      </c>
      <c r="F62" s="363">
        <f>F60</f>
        <v/>
      </c>
      <c r="G62" s="363">
        <f>G60</f>
        <v/>
      </c>
      <c r="H62" s="363">
        <f>H60</f>
        <v/>
      </c>
      <c r="I62" s="363">
        <f>I60</f>
        <v/>
      </c>
      <c r="J62" s="363">
        <f>J60</f>
        <v/>
      </c>
      <c r="K62" s="363">
        <f>K60</f>
        <v/>
      </c>
      <c r="L62" s="363">
        <f>L60</f>
        <v/>
      </c>
      <c r="M62" s="363">
        <f>M60</f>
        <v/>
      </c>
      <c r="N62" s="363">
        <f>N60</f>
        <v/>
      </c>
      <c r="O62" s="363">
        <f>O60</f>
        <v/>
      </c>
      <c r="P62" s="363">
        <f>P60</f>
        <v/>
      </c>
      <c r="Q62" s="363">
        <f>Q60</f>
        <v/>
      </c>
      <c r="R62" s="363">
        <f>R60</f>
        <v/>
      </c>
      <c r="S62" s="363">
        <f>S60</f>
        <v/>
      </c>
      <c r="T62" s="363">
        <f>T60</f>
        <v/>
      </c>
      <c r="U62" s="363">
        <f>U60</f>
        <v/>
      </c>
      <c r="V62" s="363">
        <f>V60</f>
        <v/>
      </c>
      <c r="W62" s="363">
        <f>W60</f>
        <v/>
      </c>
      <c r="X62" s="363">
        <f>X60</f>
        <v/>
      </c>
      <c r="Y62" s="363">
        <f>Y60</f>
        <v/>
      </c>
      <c r="Z62" s="363">
        <f>Z60</f>
        <v/>
      </c>
      <c r="AA62" s="363">
        <f>AA60</f>
        <v/>
      </c>
      <c r="AB62" s="363">
        <f>AB60</f>
        <v/>
      </c>
      <c r="AC62" s="363">
        <f>AC60</f>
        <v/>
      </c>
      <c r="AD62" s="363">
        <f>AD60</f>
        <v/>
      </c>
      <c r="AE62" s="363">
        <f>AE60</f>
        <v/>
      </c>
      <c r="AF62" s="363">
        <f>AF60</f>
        <v/>
      </c>
      <c r="AG62" s="363">
        <f>SUM(E62:AF62)</f>
        <v/>
      </c>
    </row>
    <row r="63">
      <c r="A63" s="351" t="n"/>
      <c r="B63" s="560" t="n"/>
      <c r="C63" s="365" t="n"/>
      <c r="D63" s="366" t="n"/>
      <c r="E63" s="351" t="n"/>
      <c r="F63" s="351" t="n"/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</row>
    <row r="64" ht="14.5" customHeight="1" s="488">
      <c r="A64" s="367" t="inlineStr">
        <is>
          <t>S No</t>
        </is>
      </c>
      <c r="B64" s="367" t="inlineStr">
        <is>
          <t>Location</t>
        </is>
      </c>
      <c r="C64" s="552" t="inlineStr">
        <is>
          <t>Meter</t>
        </is>
      </c>
      <c r="D64" s="501" t="n"/>
      <c r="E64" s="367" t="n"/>
      <c r="F64" s="367" t="n"/>
      <c r="G64" s="367" t="n"/>
      <c r="H64" s="367" t="n"/>
      <c r="I64" s="367" t="n"/>
      <c r="J64" s="367" t="n"/>
      <c r="K64" s="367" t="n"/>
      <c r="L64" s="367" t="n"/>
      <c r="M64" s="367" t="n"/>
      <c r="N64" s="367" t="n"/>
      <c r="O64" s="367" t="n"/>
      <c r="P64" s="367" t="n"/>
      <c r="Q64" s="367" t="n"/>
      <c r="R64" s="367" t="n"/>
      <c r="S64" s="367" t="n"/>
      <c r="T64" s="367" t="n"/>
      <c r="U64" s="367" t="n"/>
      <c r="V64" s="367" t="n"/>
      <c r="W64" s="367" t="n"/>
      <c r="X64" s="367" t="n"/>
      <c r="Y64" s="367" t="n"/>
      <c r="Z64" s="367" t="n"/>
      <c r="AA64" s="367" t="n"/>
      <c r="AB64" s="367" t="n"/>
      <c r="AC64" s="367" t="n"/>
      <c r="AD64" s="367" t="n"/>
      <c r="AE64" s="367" t="n"/>
      <c r="AF64" s="367" t="n"/>
      <c r="AG64" s="368" t="n"/>
    </row>
    <row r="65" ht="14.5" customHeight="1" s="488">
      <c r="A65" s="541" t="n">
        <v>1</v>
      </c>
      <c r="B65" s="541" t="inlineStr">
        <is>
          <t>3F</t>
        </is>
      </c>
      <c r="C65" s="558" t="inlineStr">
        <is>
          <t>AHU1</t>
        </is>
      </c>
      <c r="D65" s="501" t="n"/>
      <c r="E65" s="363">
        <f>E23-D23</f>
        <v/>
      </c>
      <c r="F65" s="363">
        <f>F23-E23</f>
        <v/>
      </c>
      <c r="G65" s="363">
        <f>G23-F23</f>
        <v/>
      </c>
      <c r="H65" s="363">
        <f>H23-G23</f>
        <v/>
      </c>
      <c r="I65" s="363">
        <f>I23-H23</f>
        <v/>
      </c>
      <c r="J65" s="363">
        <f>J23-I23</f>
        <v/>
      </c>
      <c r="K65" s="363">
        <f>K23-J23</f>
        <v/>
      </c>
      <c r="L65" s="363">
        <f>L23-K23</f>
        <v/>
      </c>
      <c r="M65" s="363">
        <f>M23-L23</f>
        <v/>
      </c>
      <c r="N65" s="363">
        <f>N23-M23</f>
        <v/>
      </c>
      <c r="O65" s="363">
        <f>O23-N23</f>
        <v/>
      </c>
      <c r="P65" s="363">
        <f>P23-O23</f>
        <v/>
      </c>
      <c r="Q65" s="363">
        <f>Q23-P23</f>
        <v/>
      </c>
      <c r="R65" s="363">
        <f>R23-Q23</f>
        <v/>
      </c>
      <c r="S65" s="363">
        <f>S23-R23</f>
        <v/>
      </c>
      <c r="T65" s="363">
        <f>T23-S23</f>
        <v/>
      </c>
      <c r="U65" s="363">
        <f>U23-T23</f>
        <v/>
      </c>
      <c r="V65" s="363">
        <f>V23-U23</f>
        <v/>
      </c>
      <c r="W65" s="363">
        <f>W23-V23</f>
        <v/>
      </c>
      <c r="X65" s="363">
        <f>X23-W23</f>
        <v/>
      </c>
      <c r="Y65" s="363">
        <f>Y23-X23</f>
        <v/>
      </c>
      <c r="Z65" s="363">
        <f>Z23-Y23</f>
        <v/>
      </c>
      <c r="AA65" s="363">
        <f>AA23-Z23</f>
        <v/>
      </c>
      <c r="AB65" s="363">
        <f>AB23-AA23</f>
        <v/>
      </c>
      <c r="AC65" s="363">
        <f>AC23-AB23</f>
        <v/>
      </c>
      <c r="AD65" s="363">
        <f>AD23-AC23</f>
        <v/>
      </c>
      <c r="AE65" s="363">
        <f>AE23-AD23</f>
        <v/>
      </c>
      <c r="AF65" s="363">
        <f>AF23-AE23</f>
        <v/>
      </c>
      <c r="AG65" s="363">
        <f>SUM(E65:AF65)</f>
        <v/>
      </c>
    </row>
    <row r="66" ht="14.5" customHeight="1" s="488">
      <c r="A66" s="541" t="n"/>
      <c r="B66" s="541" t="n"/>
      <c r="C66" s="546" t="inlineStr">
        <is>
          <t>DG</t>
        </is>
      </c>
      <c r="D66" s="501" t="n"/>
      <c r="E66" s="363">
        <f>E24-D24</f>
        <v/>
      </c>
      <c r="F66" s="363">
        <f>F24-E24</f>
        <v/>
      </c>
      <c r="G66" s="363">
        <f>G24-F24</f>
        <v/>
      </c>
      <c r="H66" s="363">
        <f>H24-G24</f>
        <v/>
      </c>
      <c r="I66" s="363">
        <f>I24-H24</f>
        <v/>
      </c>
      <c r="J66" s="363">
        <f>J24-I24</f>
        <v/>
      </c>
      <c r="K66" s="363">
        <f>K24-J24</f>
        <v/>
      </c>
      <c r="L66" s="363">
        <f>L24-K24</f>
        <v/>
      </c>
      <c r="M66" s="363">
        <f>M24-L24</f>
        <v/>
      </c>
      <c r="N66" s="363">
        <f>N24-M24</f>
        <v/>
      </c>
      <c r="O66" s="363">
        <f>O24-N24</f>
        <v/>
      </c>
      <c r="P66" s="363">
        <f>P24-O24</f>
        <v/>
      </c>
      <c r="Q66" s="363">
        <f>Q24-P24</f>
        <v/>
      </c>
      <c r="R66" s="363">
        <f>R24-Q24</f>
        <v/>
      </c>
      <c r="S66" s="363">
        <f>S24-R24</f>
        <v/>
      </c>
      <c r="T66" s="363">
        <f>T24-S24</f>
        <v/>
      </c>
      <c r="U66" s="363">
        <f>U24-T24</f>
        <v/>
      </c>
      <c r="V66" s="363">
        <f>V24-U24</f>
        <v/>
      </c>
      <c r="W66" s="363">
        <f>W24-V24</f>
        <v/>
      </c>
      <c r="X66" s="363">
        <f>X24-W24</f>
        <v/>
      </c>
      <c r="Y66" s="363">
        <f>Y24-X24</f>
        <v/>
      </c>
      <c r="Z66" s="363">
        <f>Z24-Y24</f>
        <v/>
      </c>
      <c r="AA66" s="363">
        <f>AA24-Z24</f>
        <v/>
      </c>
      <c r="AB66" s="363">
        <f>AB24-AA24</f>
        <v/>
      </c>
      <c r="AC66" s="363">
        <f>AC24-AB24</f>
        <v/>
      </c>
      <c r="AD66" s="363">
        <f>AD24-AC24</f>
        <v/>
      </c>
      <c r="AE66" s="363">
        <f>AE24-AD24</f>
        <v/>
      </c>
      <c r="AF66" s="363">
        <f>AF24-AE24</f>
        <v/>
      </c>
      <c r="AG66" s="363">
        <f>SUM(E66:AF66)</f>
        <v/>
      </c>
    </row>
    <row r="67" ht="14.5" customHeight="1" s="488">
      <c r="A67" s="541" t="n">
        <v>2</v>
      </c>
      <c r="B67" s="541" t="inlineStr">
        <is>
          <t>3F</t>
        </is>
      </c>
      <c r="C67" s="558" t="inlineStr">
        <is>
          <t>AHU2</t>
        </is>
      </c>
      <c r="D67" s="501" t="n"/>
      <c r="E67" s="363">
        <f>E25-D25</f>
        <v/>
      </c>
      <c r="F67" s="363">
        <f>F25-E25</f>
        <v/>
      </c>
      <c r="G67" s="363">
        <f>G25-F25</f>
        <v/>
      </c>
      <c r="H67" s="363">
        <f>H25-G25</f>
        <v/>
      </c>
      <c r="I67" s="363">
        <f>I25-H25</f>
        <v/>
      </c>
      <c r="J67" s="363">
        <f>J25-I25</f>
        <v/>
      </c>
      <c r="K67" s="363">
        <f>K25-J25</f>
        <v/>
      </c>
      <c r="L67" s="363">
        <f>L25-K25</f>
        <v/>
      </c>
      <c r="M67" s="363">
        <f>M25-L25</f>
        <v/>
      </c>
      <c r="N67" s="363">
        <f>N25-M25</f>
        <v/>
      </c>
      <c r="O67" s="363">
        <f>O25-N25</f>
        <v/>
      </c>
      <c r="P67" s="363">
        <f>P25-O25</f>
        <v/>
      </c>
      <c r="Q67" s="363">
        <f>Q25-P25</f>
        <v/>
      </c>
      <c r="R67" s="363">
        <f>R25-Q25</f>
        <v/>
      </c>
      <c r="S67" s="363">
        <f>S25-R25</f>
        <v/>
      </c>
      <c r="T67" s="363">
        <f>T25-S25</f>
        <v/>
      </c>
      <c r="U67" s="363">
        <f>U25-T25</f>
        <v/>
      </c>
      <c r="V67" s="363">
        <f>V25-U25</f>
        <v/>
      </c>
      <c r="W67" s="363">
        <f>W25-V25</f>
        <v/>
      </c>
      <c r="X67" s="363">
        <f>X25-W25</f>
        <v/>
      </c>
      <c r="Y67" s="363">
        <f>Y25-X25</f>
        <v/>
      </c>
      <c r="Z67" s="363">
        <f>Z25-Y25</f>
        <v/>
      </c>
      <c r="AA67" s="363">
        <f>AA25-Z25</f>
        <v/>
      </c>
      <c r="AB67" s="363">
        <f>AB25-AA25</f>
        <v/>
      </c>
      <c r="AC67" s="363">
        <f>AC25-AB25</f>
        <v/>
      </c>
      <c r="AD67" s="363">
        <f>AD25-AC25</f>
        <v/>
      </c>
      <c r="AE67" s="363">
        <f>AE25-AD25</f>
        <v/>
      </c>
      <c r="AF67" s="363">
        <f>AF25-AE25</f>
        <v/>
      </c>
      <c r="AG67" s="363">
        <f>SUM(E67:AF67)</f>
        <v/>
      </c>
    </row>
    <row r="68" ht="13" customHeight="1" s="488">
      <c r="A68" s="541" t="n"/>
      <c r="B68" s="541" t="n"/>
      <c r="C68" s="546" t="inlineStr">
        <is>
          <t>DG</t>
        </is>
      </c>
      <c r="D68" s="501" t="n"/>
      <c r="E68" s="363">
        <f>E26-D26</f>
        <v/>
      </c>
      <c r="F68" s="363">
        <f>F26-E26</f>
        <v/>
      </c>
      <c r="G68" s="363">
        <f>G26-F26</f>
        <v/>
      </c>
      <c r="H68" s="363">
        <f>H26-G26</f>
        <v/>
      </c>
      <c r="I68" s="363">
        <f>I26-H26</f>
        <v/>
      </c>
      <c r="J68" s="363">
        <f>J26-I26</f>
        <v/>
      </c>
      <c r="K68" s="363">
        <f>K26-J26</f>
        <v/>
      </c>
      <c r="L68" s="363">
        <f>L26-K26</f>
        <v/>
      </c>
      <c r="M68" s="363">
        <f>M26-L26</f>
        <v/>
      </c>
      <c r="N68" s="363">
        <f>N26-M26</f>
        <v/>
      </c>
      <c r="O68" s="363">
        <f>O26-N26</f>
        <v/>
      </c>
      <c r="P68" s="363">
        <f>P26-O26</f>
        <v/>
      </c>
      <c r="Q68" s="363">
        <f>Q26-P26</f>
        <v/>
      </c>
      <c r="R68" s="363">
        <f>R26-Q26</f>
        <v/>
      </c>
      <c r="S68" s="363">
        <f>S26-R26</f>
        <v/>
      </c>
      <c r="T68" s="363">
        <f>T26-S26</f>
        <v/>
      </c>
      <c r="U68" s="363">
        <f>U26-T26</f>
        <v/>
      </c>
      <c r="V68" s="363">
        <f>V26-U26</f>
        <v/>
      </c>
      <c r="W68" s="363">
        <f>W26-V26</f>
        <v/>
      </c>
      <c r="X68" s="363">
        <f>X26-W26</f>
        <v/>
      </c>
      <c r="Y68" s="363">
        <f>Y26-X26</f>
        <v/>
      </c>
      <c r="Z68" s="363">
        <f>Z26-Y26</f>
        <v/>
      </c>
      <c r="AA68" s="363">
        <f>AA26-Z26</f>
        <v/>
      </c>
      <c r="AB68" s="363">
        <f>AB26-AA26</f>
        <v/>
      </c>
      <c r="AC68" s="363">
        <f>AC26-AB26</f>
        <v/>
      </c>
      <c r="AD68" s="363">
        <f>AD26-AC26</f>
        <v/>
      </c>
      <c r="AE68" s="363">
        <f>AE26-AD26</f>
        <v/>
      </c>
      <c r="AF68" s="363">
        <f>AF26-AE26</f>
        <v/>
      </c>
      <c r="AG68" s="363">
        <f>SUM(E68:AF68)</f>
        <v/>
      </c>
      <c r="AH68" s="115" t="inlineStr">
        <is>
          <t>EB</t>
        </is>
      </c>
      <c r="AI68" s="116">
        <f>AG60</f>
        <v/>
      </c>
    </row>
    <row r="69" ht="13" customHeight="1" s="488">
      <c r="A69" s="541" t="n">
        <v>3</v>
      </c>
      <c r="B69" s="541" t="inlineStr">
        <is>
          <t>3F</t>
        </is>
      </c>
      <c r="C69" s="558" t="inlineStr">
        <is>
          <t>AHU3</t>
        </is>
      </c>
      <c r="D69" s="501" t="n"/>
      <c r="E69" s="363">
        <f>E27-D27</f>
        <v/>
      </c>
      <c r="F69" s="363">
        <f>F27-E27</f>
        <v/>
      </c>
      <c r="G69" s="363">
        <f>G27-F27</f>
        <v/>
      </c>
      <c r="H69" s="363">
        <f>H27-G27</f>
        <v/>
      </c>
      <c r="I69" s="363">
        <f>I27-H27</f>
        <v/>
      </c>
      <c r="J69" s="363">
        <f>J27-I27</f>
        <v/>
      </c>
      <c r="K69" s="363">
        <f>K27-J27</f>
        <v/>
      </c>
      <c r="L69" s="363">
        <f>L27-K27</f>
        <v/>
      </c>
      <c r="M69" s="363">
        <f>M27-L27</f>
        <v/>
      </c>
      <c r="N69" s="363">
        <f>N27-M27</f>
        <v/>
      </c>
      <c r="O69" s="363">
        <f>O27-N27</f>
        <v/>
      </c>
      <c r="P69" s="363">
        <f>P27-O27</f>
        <v/>
      </c>
      <c r="Q69" s="363">
        <f>Q27-P27</f>
        <v/>
      </c>
      <c r="R69" s="363">
        <f>R27-Q27</f>
        <v/>
      </c>
      <c r="S69" s="363">
        <f>S27-R27</f>
        <v/>
      </c>
      <c r="T69" s="363">
        <f>T27-S27</f>
        <v/>
      </c>
      <c r="U69" s="363">
        <f>U27-T27</f>
        <v/>
      </c>
      <c r="V69" s="363">
        <f>V27-U27</f>
        <v/>
      </c>
      <c r="W69" s="363">
        <f>W27-V27</f>
        <v/>
      </c>
      <c r="X69" s="363">
        <f>X27-W27</f>
        <v/>
      </c>
      <c r="Y69" s="363">
        <f>Y27-X27</f>
        <v/>
      </c>
      <c r="Z69" s="363">
        <f>Z27-Y27</f>
        <v/>
      </c>
      <c r="AA69" s="363">
        <f>AA27-Z27</f>
        <v/>
      </c>
      <c r="AB69" s="363">
        <f>AB27-AA27</f>
        <v/>
      </c>
      <c r="AC69" s="363">
        <f>AC27-AB27</f>
        <v/>
      </c>
      <c r="AD69" s="363">
        <f>AD27-AC27</f>
        <v/>
      </c>
      <c r="AE69" s="363">
        <f>AE27-AD27</f>
        <v/>
      </c>
      <c r="AF69" s="363">
        <f>AF27-AE27</f>
        <v/>
      </c>
      <c r="AG69" s="363">
        <f>SUM(E69:AF69)</f>
        <v/>
      </c>
      <c r="AH69" s="115" t="inlineStr">
        <is>
          <t>AHU</t>
        </is>
      </c>
      <c r="AI69" s="116">
        <f>AG73</f>
        <v/>
      </c>
    </row>
    <row r="70" ht="13" customHeight="1" s="488">
      <c r="A70" s="541" t="n"/>
      <c r="B70" s="541" t="n"/>
      <c r="C70" s="546" t="inlineStr">
        <is>
          <t>DG</t>
        </is>
      </c>
      <c r="D70" s="501" t="n"/>
      <c r="E70" s="363">
        <f>E28-D28</f>
        <v/>
      </c>
      <c r="F70" s="363">
        <f>F28-E28</f>
        <v/>
      </c>
      <c r="G70" s="363">
        <f>G28-F28</f>
        <v/>
      </c>
      <c r="H70" s="363">
        <f>H28-G28</f>
        <v/>
      </c>
      <c r="I70" s="363">
        <f>I28-H28</f>
        <v/>
      </c>
      <c r="J70" s="363">
        <f>J28-I28</f>
        <v/>
      </c>
      <c r="K70" s="363">
        <f>K28-J28</f>
        <v/>
      </c>
      <c r="L70" s="363">
        <f>L28-K28</f>
        <v/>
      </c>
      <c r="M70" s="363">
        <f>M28-L28</f>
        <v/>
      </c>
      <c r="N70" s="363">
        <f>N28-M28</f>
        <v/>
      </c>
      <c r="O70" s="363">
        <f>O28-N28</f>
        <v/>
      </c>
      <c r="P70" s="363">
        <f>P28-O28</f>
        <v/>
      </c>
      <c r="Q70" s="363">
        <f>Q28-P28</f>
        <v/>
      </c>
      <c r="R70" s="363">
        <f>R28-Q28</f>
        <v/>
      </c>
      <c r="S70" s="363">
        <f>S28-R28</f>
        <v/>
      </c>
      <c r="T70" s="363">
        <f>T28-S28</f>
        <v/>
      </c>
      <c r="U70" s="363">
        <f>U28-T28</f>
        <v/>
      </c>
      <c r="V70" s="363">
        <f>V28-U28</f>
        <v/>
      </c>
      <c r="W70" s="363">
        <f>W28-V28</f>
        <v/>
      </c>
      <c r="X70" s="363">
        <f>X28-W28</f>
        <v/>
      </c>
      <c r="Y70" s="363">
        <f>Y28-X28</f>
        <v/>
      </c>
      <c r="Z70" s="363">
        <f>Z28-Y28</f>
        <v/>
      </c>
      <c r="AA70" s="363">
        <f>AA28-Z28</f>
        <v/>
      </c>
      <c r="AB70" s="363">
        <f>AB28-AA28</f>
        <v/>
      </c>
      <c r="AC70" s="363">
        <f>AC28-AB28</f>
        <v/>
      </c>
      <c r="AD70" s="363">
        <f>AD28-AC28</f>
        <v/>
      </c>
      <c r="AE70" s="363">
        <f>AE28-AD28</f>
        <v/>
      </c>
      <c r="AF70" s="363">
        <f>AF28-AE28</f>
        <v/>
      </c>
      <c r="AG70" s="363">
        <f>SUM(E70:AF70)</f>
        <v/>
      </c>
      <c r="AH70" s="115" t="inlineStr">
        <is>
          <t>BTU</t>
        </is>
      </c>
      <c r="AI70" s="116">
        <f>AG79*40%</f>
        <v/>
      </c>
    </row>
    <row r="71" ht="13" customHeight="1" s="488">
      <c r="A71" s="541" t="n">
        <v>4</v>
      </c>
      <c r="B71" s="541" t="inlineStr">
        <is>
          <t>3F</t>
        </is>
      </c>
      <c r="C71" s="558" t="inlineStr">
        <is>
          <t>AHU4</t>
        </is>
      </c>
      <c r="D71" s="501" t="n"/>
      <c r="E71" s="363">
        <f>E29-D29</f>
        <v/>
      </c>
      <c r="F71" s="363">
        <f>F29-E29</f>
        <v/>
      </c>
      <c r="G71" s="363">
        <f>G29-F29</f>
        <v/>
      </c>
      <c r="H71" s="363">
        <f>H29-G29</f>
        <v/>
      </c>
      <c r="I71" s="363">
        <f>I29-H29</f>
        <v/>
      </c>
      <c r="J71" s="363">
        <f>J29-I29</f>
        <v/>
      </c>
      <c r="K71" s="363">
        <f>K29-J29</f>
        <v/>
      </c>
      <c r="L71" s="363">
        <f>L29-K29</f>
        <v/>
      </c>
      <c r="M71" s="363">
        <f>M29-L29</f>
        <v/>
      </c>
      <c r="N71" s="363">
        <f>N29-M29</f>
        <v/>
      </c>
      <c r="O71" s="363">
        <f>O29-N29</f>
        <v/>
      </c>
      <c r="P71" s="363">
        <f>P29-O29</f>
        <v/>
      </c>
      <c r="Q71" s="363">
        <f>Q29-P29</f>
        <v/>
      </c>
      <c r="R71" s="363">
        <f>R29-Q29</f>
        <v/>
      </c>
      <c r="S71" s="363">
        <f>S29-R29</f>
        <v/>
      </c>
      <c r="T71" s="363">
        <f>T29-S29</f>
        <v/>
      </c>
      <c r="U71" s="363">
        <f>U29-T29</f>
        <v/>
      </c>
      <c r="V71" s="363">
        <f>V29-U29</f>
        <v/>
      </c>
      <c r="W71" s="363">
        <f>W29-V29</f>
        <v/>
      </c>
      <c r="X71" s="363">
        <f>X29-W29</f>
        <v/>
      </c>
      <c r="Y71" s="363">
        <f>Y29-X29</f>
        <v/>
      </c>
      <c r="Z71" s="363">
        <f>Z29-Y29</f>
        <v/>
      </c>
      <c r="AA71" s="363">
        <f>AA29-Z29</f>
        <v/>
      </c>
      <c r="AB71" s="363">
        <f>AB29-AA29</f>
        <v/>
      </c>
      <c r="AC71" s="363">
        <f>AC29-AB29</f>
        <v/>
      </c>
      <c r="AD71" s="363">
        <f>AD29-AC29</f>
        <v/>
      </c>
      <c r="AE71" s="363">
        <f>AE29-AD29</f>
        <v/>
      </c>
      <c r="AF71" s="363">
        <f>AF29-AE29</f>
        <v/>
      </c>
      <c r="AG71" s="363">
        <f>SUM(E71:AF71)</f>
        <v/>
      </c>
      <c r="AH71" s="117" t="inlineStr">
        <is>
          <t>DG</t>
        </is>
      </c>
      <c r="AI71" s="118">
        <f>AG74+AG61</f>
        <v/>
      </c>
    </row>
    <row r="72" ht="14.5" customHeight="1" s="488">
      <c r="A72" s="541" t="n"/>
      <c r="B72" s="541" t="n"/>
      <c r="C72" s="546" t="inlineStr">
        <is>
          <t>DG</t>
        </is>
      </c>
      <c r="D72" s="501" t="n"/>
      <c r="E72" s="363">
        <f>E30-D30</f>
        <v/>
      </c>
      <c r="F72" s="363">
        <f>F30-E30</f>
        <v/>
      </c>
      <c r="G72" s="363">
        <f>G30-F30</f>
        <v/>
      </c>
      <c r="H72" s="363">
        <f>H30-G30</f>
        <v/>
      </c>
      <c r="I72" s="363">
        <f>I30-H30</f>
        <v/>
      </c>
      <c r="J72" s="363">
        <f>J30-I30</f>
        <v/>
      </c>
      <c r="K72" s="363">
        <f>K30-J30</f>
        <v/>
      </c>
      <c r="L72" s="363">
        <f>L30-K30</f>
        <v/>
      </c>
      <c r="M72" s="363">
        <f>M30-L30</f>
        <v/>
      </c>
      <c r="N72" s="363">
        <f>N30-M30</f>
        <v/>
      </c>
      <c r="O72" s="363">
        <f>O30-N30</f>
        <v/>
      </c>
      <c r="P72" s="363">
        <f>P30-O30</f>
        <v/>
      </c>
      <c r="Q72" s="363">
        <f>Q30-P30</f>
        <v/>
      </c>
      <c r="R72" s="363">
        <f>R30-Q30</f>
        <v/>
      </c>
      <c r="S72" s="363">
        <f>S30-R30</f>
        <v/>
      </c>
      <c r="T72" s="363">
        <f>T30-S30</f>
        <v/>
      </c>
      <c r="U72" s="363">
        <f>U30-T30</f>
        <v/>
      </c>
      <c r="V72" s="363">
        <f>V30-U30</f>
        <v/>
      </c>
      <c r="W72" s="363">
        <f>W30-V30</f>
        <v/>
      </c>
      <c r="X72" s="363">
        <f>X30-W30</f>
        <v/>
      </c>
      <c r="Y72" s="363">
        <f>Y30-X30</f>
        <v/>
      </c>
      <c r="Z72" s="363">
        <f>Z30-Y30</f>
        <v/>
      </c>
      <c r="AA72" s="363">
        <f>AA30-Z30</f>
        <v/>
      </c>
      <c r="AB72" s="363">
        <f>AB30-AA30</f>
        <v/>
      </c>
      <c r="AC72" s="363">
        <f>AC30-AB30</f>
        <v/>
      </c>
      <c r="AD72" s="363">
        <f>AD30-AC30</f>
        <v/>
      </c>
      <c r="AE72" s="363">
        <f>AE30-AD30</f>
        <v/>
      </c>
      <c r="AF72" s="363">
        <f>AF30-AE30</f>
        <v/>
      </c>
      <c r="AG72" s="363">
        <f>SUM(E72:AF72)</f>
        <v/>
      </c>
    </row>
    <row r="73" ht="14.5" customHeight="1" s="488">
      <c r="A73" s="357" t="n"/>
      <c r="B73" s="357" t="n"/>
      <c r="C73" s="553" t="inlineStr">
        <is>
          <t>Total AHU Power Consumption</t>
        </is>
      </c>
      <c r="D73" s="501" t="n"/>
      <c r="E73" s="358">
        <f>SUM(E65,E67,E69,E71)</f>
        <v/>
      </c>
      <c r="F73" s="358">
        <f>SUM(F65,F67,F69,F71)</f>
        <v/>
      </c>
      <c r="G73" s="358">
        <f>SUM(G65,G67,G69,G71)</f>
        <v/>
      </c>
      <c r="H73" s="358">
        <f>SUM(H65,H67,H69,H71)</f>
        <v/>
      </c>
      <c r="I73" s="358">
        <f>SUM(I65,I67,I69,I71)</f>
        <v/>
      </c>
      <c r="J73" s="358">
        <f>SUM(J65,J67,J69,J71)</f>
        <v/>
      </c>
      <c r="K73" s="358">
        <f>SUM(K65,K67,K69,K71)</f>
        <v/>
      </c>
      <c r="L73" s="358">
        <f>SUM(L65,L67,L69,L71)</f>
        <v/>
      </c>
      <c r="M73" s="358">
        <f>SUM(M65,M67,M69,M71)</f>
        <v/>
      </c>
      <c r="N73" s="358">
        <f>SUM(N65,N67,N69,N71)</f>
        <v/>
      </c>
      <c r="O73" s="358">
        <f>SUM(O65,O67,O69,O71)</f>
        <v/>
      </c>
      <c r="P73" s="358">
        <f>SUM(P65,P67,P69,P71)</f>
        <v/>
      </c>
      <c r="Q73" s="358">
        <f>SUM(Q65,Q67,Q69,Q71)</f>
        <v/>
      </c>
      <c r="R73" s="358">
        <f>SUM(R65,R67,R69,R71)</f>
        <v/>
      </c>
      <c r="S73" s="358">
        <f>SUM(S65,S67,S69,S71)</f>
        <v/>
      </c>
      <c r="T73" s="358">
        <f>SUM(T65,T67,T69,T71)</f>
        <v/>
      </c>
      <c r="U73" s="358">
        <f>SUM(U65,U67,U69,U71)</f>
        <v/>
      </c>
      <c r="V73" s="358">
        <f>SUM(V65,V67,V69,V71)</f>
        <v/>
      </c>
      <c r="W73" s="358">
        <f>SUM(W65,W67,W69,W71)</f>
        <v/>
      </c>
      <c r="X73" s="358">
        <f>SUM(X65,X67,X69,X71)</f>
        <v/>
      </c>
      <c r="Y73" s="358">
        <f>SUM(Y65,Y67,Y69,Y71)</f>
        <v/>
      </c>
      <c r="Z73" s="358">
        <f>SUM(Z65,Z67,Z69,Z71)</f>
        <v/>
      </c>
      <c r="AA73" s="358">
        <f>SUM(AA65,AA67,AA69,AA71)</f>
        <v/>
      </c>
      <c r="AB73" s="358">
        <f>SUM(AB65,AB67,AB69,AB71)</f>
        <v/>
      </c>
      <c r="AC73" s="358">
        <f>SUM(AC65,AC67,AC69,AC71)</f>
        <v/>
      </c>
      <c r="AD73" s="358">
        <f>SUM(AD65,AD67,AD69,AD71)</f>
        <v/>
      </c>
      <c r="AE73" s="358">
        <f>SUM(AE65,AE67,AE69,AE71)</f>
        <v/>
      </c>
      <c r="AF73" s="358">
        <f>SUM(AF65,AF67,AF69,AF71)</f>
        <v/>
      </c>
      <c r="AG73" s="358">
        <f>SUM(AG65,AG67,AG69,AG71)</f>
        <v/>
      </c>
    </row>
    <row r="74" ht="14.5" customHeight="1" s="488">
      <c r="A74" s="357" t="n"/>
      <c r="B74" s="357" t="n"/>
      <c r="C74" s="549" t="inlineStr">
        <is>
          <t>Total AHU DG consumption</t>
        </is>
      </c>
      <c r="D74" s="501" t="n"/>
      <c r="E74" s="358">
        <f>SUM(E66,E68,E70,E72)</f>
        <v/>
      </c>
      <c r="F74" s="358">
        <f>SUM(F66,F68,F70,F72)</f>
        <v/>
      </c>
      <c r="G74" s="358">
        <f>SUM(G66,G68,G70,G72)</f>
        <v/>
      </c>
      <c r="H74" s="358">
        <f>SUM(H66,H68,H70,H72)</f>
        <v/>
      </c>
      <c r="I74" s="358">
        <f>SUM(I66,I68,I70,I72)</f>
        <v/>
      </c>
      <c r="J74" s="358">
        <f>SUM(J66,J68,J70,J72)</f>
        <v/>
      </c>
      <c r="K74" s="358">
        <f>SUM(K66,K68,K70,K72)</f>
        <v/>
      </c>
      <c r="L74" s="358">
        <f>SUM(L66,L68,L70,L72)</f>
        <v/>
      </c>
      <c r="M74" s="358">
        <f>SUM(M66,M68,M70,M72)</f>
        <v/>
      </c>
      <c r="N74" s="358">
        <f>SUM(N66,N68,N70,N72)</f>
        <v/>
      </c>
      <c r="O74" s="358">
        <f>SUM(O66,O68,O70,O72)</f>
        <v/>
      </c>
      <c r="P74" s="358">
        <f>SUM(P66,P68,P70,P72)</f>
        <v/>
      </c>
      <c r="Q74" s="358">
        <f>SUM(Q66,Q68,Q70,Q72)</f>
        <v/>
      </c>
      <c r="R74" s="358">
        <f>SUM(R66,R68,R70,R72)</f>
        <v/>
      </c>
      <c r="S74" s="358">
        <f>SUM(S66,S68,S70,S72)</f>
        <v/>
      </c>
      <c r="T74" s="358">
        <f>SUM(T66,T68,T70,T72)</f>
        <v/>
      </c>
      <c r="U74" s="358">
        <f>SUM(U66,U68,U70,U72)</f>
        <v/>
      </c>
      <c r="V74" s="358">
        <f>SUM(V66,V68,V70,V72)</f>
        <v/>
      </c>
      <c r="W74" s="358">
        <f>SUM(W66,W68,W70,W72)</f>
        <v/>
      </c>
      <c r="X74" s="358">
        <f>SUM(X66,X68,X70,X72)</f>
        <v/>
      </c>
      <c r="Y74" s="358">
        <f>SUM(Y66,Y68,Y70,Y72)</f>
        <v/>
      </c>
      <c r="Z74" s="358">
        <f>SUM(Z66,Z68,Z70,Z72)</f>
        <v/>
      </c>
      <c r="AA74" s="358">
        <f>SUM(AA66,AA68,AA70,AA72)</f>
        <v/>
      </c>
      <c r="AB74" s="358">
        <f>SUM(AB66,AB68,AB70,AB72)</f>
        <v/>
      </c>
      <c r="AC74" s="358">
        <f>SUM(AC66,AC68,AC70,AC72)</f>
        <v/>
      </c>
      <c r="AD74" s="358">
        <f>SUM(AD66,AD68,AD70,AD72)</f>
        <v/>
      </c>
      <c r="AE74" s="358">
        <f>SUM(AE66,AE68,AE70,AE72)</f>
        <v/>
      </c>
      <c r="AF74" s="358">
        <f>SUM(AF66,AF68,AF70,AF72)</f>
        <v/>
      </c>
      <c r="AG74" s="358">
        <f>SUM(AG66,AG68,AG70,AG72)</f>
        <v/>
      </c>
    </row>
    <row r="75" ht="14.5" customHeight="1" s="488">
      <c r="A75" s="541" t="n">
        <v>1</v>
      </c>
      <c r="B75" s="541" t="inlineStr">
        <is>
          <t>3F</t>
        </is>
      </c>
      <c r="C75" s="541" t="inlineStr">
        <is>
          <t>AHU1 - BTU</t>
        </is>
      </c>
      <c r="D75" s="501" t="n"/>
      <c r="E75" s="363">
        <f>E32-D32</f>
        <v/>
      </c>
      <c r="F75" s="363">
        <f>F32-E32</f>
        <v/>
      </c>
      <c r="G75" s="363">
        <f>G32-F32</f>
        <v/>
      </c>
      <c r="H75" s="363">
        <f>H32-G32</f>
        <v/>
      </c>
      <c r="I75" s="363">
        <f>I32-H32</f>
        <v/>
      </c>
      <c r="J75" s="363">
        <f>J32-I32</f>
        <v/>
      </c>
      <c r="K75" s="363">
        <f>K32-J32</f>
        <v/>
      </c>
      <c r="L75" s="363">
        <f>L32-K32</f>
        <v/>
      </c>
      <c r="M75" s="363">
        <f>M32-L32</f>
        <v/>
      </c>
      <c r="N75" s="363">
        <f>N32-M32</f>
        <v/>
      </c>
      <c r="O75" s="363">
        <f>O32-N32</f>
        <v/>
      </c>
      <c r="P75" s="363">
        <f>P32-O32</f>
        <v/>
      </c>
      <c r="Q75" s="363">
        <f>Q32-P32</f>
        <v/>
      </c>
      <c r="R75" s="363">
        <f>R32-Q32</f>
        <v/>
      </c>
      <c r="S75" s="363">
        <f>S32-R32</f>
        <v/>
      </c>
      <c r="T75" s="363">
        <f>T32-S32</f>
        <v/>
      </c>
      <c r="U75" s="363">
        <f>U32-T32</f>
        <v/>
      </c>
      <c r="V75" s="363">
        <f>V32-U32</f>
        <v/>
      </c>
      <c r="W75" s="363">
        <f>W32-V32</f>
        <v/>
      </c>
      <c r="X75" s="363">
        <f>X32-W32</f>
        <v/>
      </c>
      <c r="Y75" s="363">
        <f>Y32-X32</f>
        <v/>
      </c>
      <c r="Z75" s="363">
        <f>Z32-Y32</f>
        <v/>
      </c>
      <c r="AA75" s="363">
        <f>AA32-Z32</f>
        <v/>
      </c>
      <c r="AB75" s="363">
        <f>AB32-AA32</f>
        <v/>
      </c>
      <c r="AC75" s="363">
        <f>AC32-AB32</f>
        <v/>
      </c>
      <c r="AD75" s="363">
        <f>AD32-AC32</f>
        <v/>
      </c>
      <c r="AE75" s="363">
        <f>AE32-AD32</f>
        <v/>
      </c>
      <c r="AF75" s="363">
        <f>AF32-AE32</f>
        <v/>
      </c>
      <c r="AG75" s="363">
        <f>SUM(E75:AF75)</f>
        <v/>
      </c>
    </row>
    <row r="76" ht="14.5" customHeight="1" s="488">
      <c r="A76" s="541" t="n">
        <v>2</v>
      </c>
      <c r="B76" s="541" t="inlineStr">
        <is>
          <t>3F</t>
        </is>
      </c>
      <c r="C76" s="541" t="inlineStr">
        <is>
          <t>AHU2 - BTU</t>
        </is>
      </c>
      <c r="D76" s="501" t="n"/>
      <c r="E76" s="363">
        <f>E33-D33</f>
        <v/>
      </c>
      <c r="F76" s="363">
        <f>F33-E33</f>
        <v/>
      </c>
      <c r="G76" s="363">
        <f>G33-F33</f>
        <v/>
      </c>
      <c r="H76" s="363">
        <f>H33-G33</f>
        <v/>
      </c>
      <c r="I76" s="363">
        <f>I33-H33</f>
        <v/>
      </c>
      <c r="J76" s="363">
        <f>J33-I33</f>
        <v/>
      </c>
      <c r="K76" s="363">
        <f>K33-J33</f>
        <v/>
      </c>
      <c r="L76" s="363">
        <f>L33-K33</f>
        <v/>
      </c>
      <c r="M76" s="363">
        <f>M33-L33</f>
        <v/>
      </c>
      <c r="N76" s="363">
        <f>N33-M33</f>
        <v/>
      </c>
      <c r="O76" s="363">
        <f>O33-N33</f>
        <v/>
      </c>
      <c r="P76" s="363">
        <f>P33-O33</f>
        <v/>
      </c>
      <c r="Q76" s="363">
        <f>Q33-P33</f>
        <v/>
      </c>
      <c r="R76" s="363">
        <f>R33-Q33</f>
        <v/>
      </c>
      <c r="S76" s="363">
        <f>S33-R33</f>
        <v/>
      </c>
      <c r="T76" s="363">
        <f>T33-S33</f>
        <v/>
      </c>
      <c r="U76" s="363">
        <f>U33-T33</f>
        <v/>
      </c>
      <c r="V76" s="363">
        <f>V33-U33</f>
        <v/>
      </c>
      <c r="W76" s="363">
        <f>W33-V33</f>
        <v/>
      </c>
      <c r="X76" s="363">
        <f>X33-W33</f>
        <v/>
      </c>
      <c r="Y76" s="363">
        <f>Y33-X33</f>
        <v/>
      </c>
      <c r="Z76" s="363">
        <f>Z33-Y33</f>
        <v/>
      </c>
      <c r="AA76" s="363">
        <f>AA33-Z33</f>
        <v/>
      </c>
      <c r="AB76" s="363">
        <f>AB33-AA33</f>
        <v/>
      </c>
      <c r="AC76" s="363">
        <f>AC33-AB33</f>
        <v/>
      </c>
      <c r="AD76" s="363">
        <f>AD33-AC33</f>
        <v/>
      </c>
      <c r="AE76" s="363">
        <f>AE33-AD33</f>
        <v/>
      </c>
      <c r="AF76" s="363">
        <f>AF33-AE33</f>
        <v/>
      </c>
      <c r="AG76" s="363">
        <f>SUM(E76:AF76)</f>
        <v/>
      </c>
    </row>
    <row r="77" ht="14.5" customHeight="1" s="488">
      <c r="A77" s="541" t="n">
        <v>3</v>
      </c>
      <c r="B77" s="541" t="inlineStr">
        <is>
          <t>3F</t>
        </is>
      </c>
      <c r="C77" s="541" t="inlineStr">
        <is>
          <t>AHU3 - BTU</t>
        </is>
      </c>
      <c r="D77" s="501" t="n"/>
      <c r="E77" s="363">
        <f>E34-D34</f>
        <v/>
      </c>
      <c r="F77" s="363">
        <f>F34-E34</f>
        <v/>
      </c>
      <c r="G77" s="363">
        <f>G34-F34</f>
        <v/>
      </c>
      <c r="H77" s="363">
        <f>H34-G34</f>
        <v/>
      </c>
      <c r="I77" s="363">
        <f>I34-H34</f>
        <v/>
      </c>
      <c r="J77" s="363">
        <f>J34-I34</f>
        <v/>
      </c>
      <c r="K77" s="363">
        <f>K34-J34</f>
        <v/>
      </c>
      <c r="L77" s="363">
        <f>L34-K34</f>
        <v/>
      </c>
      <c r="M77" s="363">
        <f>M34-L34</f>
        <v/>
      </c>
      <c r="N77" s="363">
        <f>N34-M34</f>
        <v/>
      </c>
      <c r="O77" s="363">
        <f>O34-N34</f>
        <v/>
      </c>
      <c r="P77" s="363">
        <f>P34-O34</f>
        <v/>
      </c>
      <c r="Q77" s="363">
        <f>Q34-P34</f>
        <v/>
      </c>
      <c r="R77" s="363">
        <f>R34-Q34</f>
        <v/>
      </c>
      <c r="S77" s="363">
        <f>S34-R34</f>
        <v/>
      </c>
      <c r="T77" s="363">
        <f>T34-S34</f>
        <v/>
      </c>
      <c r="U77" s="363">
        <f>U34-T34</f>
        <v/>
      </c>
      <c r="V77" s="363">
        <f>V34-U34</f>
        <v/>
      </c>
      <c r="W77" s="363">
        <f>W34-V34</f>
        <v/>
      </c>
      <c r="X77" s="363">
        <f>X34-W34</f>
        <v/>
      </c>
      <c r="Y77" s="363">
        <f>Y34-X34</f>
        <v/>
      </c>
      <c r="Z77" s="363">
        <f>Z34-Y34</f>
        <v/>
      </c>
      <c r="AA77" s="363">
        <f>AA34-Z34</f>
        <v/>
      </c>
      <c r="AB77" s="363">
        <f>AB34-AA34</f>
        <v/>
      </c>
      <c r="AC77" s="363">
        <f>AC34-AB34</f>
        <v/>
      </c>
      <c r="AD77" s="363">
        <f>AD34-AC34</f>
        <v/>
      </c>
      <c r="AE77" s="363">
        <f>AE34-AD34</f>
        <v/>
      </c>
      <c r="AF77" s="363">
        <f>AF34-AE34</f>
        <v/>
      </c>
      <c r="AG77" s="363">
        <f>SUM(E77:AF77)</f>
        <v/>
      </c>
    </row>
    <row r="78" ht="14.5" customHeight="1" s="488">
      <c r="A78" s="541" t="n">
        <v>4</v>
      </c>
      <c r="B78" s="541" t="inlineStr">
        <is>
          <t>3F</t>
        </is>
      </c>
      <c r="C78" s="541" t="inlineStr">
        <is>
          <t>AHU4 - BTU</t>
        </is>
      </c>
      <c r="D78" s="501" t="n"/>
      <c r="E78" s="363">
        <f>E35-D35</f>
        <v/>
      </c>
      <c r="F78" s="363">
        <f>F35-E35</f>
        <v/>
      </c>
      <c r="G78" s="363">
        <f>G35-F35</f>
        <v/>
      </c>
      <c r="H78" s="363">
        <f>H35-G35</f>
        <v/>
      </c>
      <c r="I78" s="363">
        <f>I35-H35</f>
        <v/>
      </c>
      <c r="J78" s="363">
        <f>J35-I35</f>
        <v/>
      </c>
      <c r="K78" s="363">
        <f>K35-J35</f>
        <v/>
      </c>
      <c r="L78" s="363">
        <f>L35-K35</f>
        <v/>
      </c>
      <c r="M78" s="363">
        <f>M35-L35</f>
        <v/>
      </c>
      <c r="N78" s="363">
        <f>N35-M35</f>
        <v/>
      </c>
      <c r="O78" s="363">
        <f>O35-N35</f>
        <v/>
      </c>
      <c r="P78" s="363">
        <f>P35-O35</f>
        <v/>
      </c>
      <c r="Q78" s="363">
        <f>Q35-P35</f>
        <v/>
      </c>
      <c r="R78" s="363">
        <f>R35-Q35</f>
        <v/>
      </c>
      <c r="S78" s="363">
        <f>S35-R35</f>
        <v/>
      </c>
      <c r="T78" s="363">
        <f>T35-S35</f>
        <v/>
      </c>
      <c r="U78" s="363">
        <f>U35-T35</f>
        <v/>
      </c>
      <c r="V78" s="363">
        <f>V35-U35</f>
        <v/>
      </c>
      <c r="W78" s="363">
        <f>W35-V35</f>
        <v/>
      </c>
      <c r="X78" s="363">
        <f>X35-W35</f>
        <v/>
      </c>
      <c r="Y78" s="363">
        <f>Y35-X35</f>
        <v/>
      </c>
      <c r="Z78" s="363">
        <f>Z35-Y35</f>
        <v/>
      </c>
      <c r="AA78" s="363">
        <f>AA35-Z35</f>
        <v/>
      </c>
      <c r="AB78" s="363">
        <f>AB35-AA35</f>
        <v/>
      </c>
      <c r="AC78" s="363">
        <f>AC35-AB35</f>
        <v/>
      </c>
      <c r="AD78" s="363">
        <f>AD35-AC35</f>
        <v/>
      </c>
      <c r="AE78" s="363">
        <f>AE35-AD35</f>
        <v/>
      </c>
      <c r="AF78" s="363">
        <f>AF35-AE35</f>
        <v/>
      </c>
      <c r="AG78" s="363">
        <f>SUM(E78:AF78)</f>
        <v/>
      </c>
    </row>
    <row r="79" ht="14.5" customHeight="1" s="488">
      <c r="A79" s="357" t="n"/>
      <c r="B79" s="357" t="n"/>
      <c r="C79" s="553" t="inlineStr">
        <is>
          <t>Total BTU Consumption</t>
        </is>
      </c>
      <c r="D79" s="501" t="n"/>
      <c r="E79" s="358">
        <f>SUM(E75:E78)</f>
        <v/>
      </c>
      <c r="F79" s="358">
        <f>SUM(F75:F78)</f>
        <v/>
      </c>
      <c r="G79" s="358">
        <f>SUM(G75:G78)</f>
        <v/>
      </c>
      <c r="H79" s="358">
        <f>SUM(H75:H78)</f>
        <v/>
      </c>
      <c r="I79" s="358">
        <f>SUM(I75:I78)</f>
        <v/>
      </c>
      <c r="J79" s="358">
        <f>SUM(J75:J78)</f>
        <v/>
      </c>
      <c r="K79" s="358">
        <f>SUM(K75:K78)</f>
        <v/>
      </c>
      <c r="L79" s="358">
        <f>SUM(L75:L78)</f>
        <v/>
      </c>
      <c r="M79" s="358">
        <f>SUM(M75:M78)</f>
        <v/>
      </c>
      <c r="N79" s="358">
        <f>SUM(N75:N78)</f>
        <v/>
      </c>
      <c r="O79" s="358">
        <f>SUM(O75:O78)</f>
        <v/>
      </c>
      <c r="P79" s="358">
        <f>SUM(P75:P78)</f>
        <v/>
      </c>
      <c r="Q79" s="358">
        <f>SUM(Q75:Q78)</f>
        <v/>
      </c>
      <c r="R79" s="358">
        <f>SUM(R75:R78)</f>
        <v/>
      </c>
      <c r="S79" s="358">
        <f>SUM(S75:S78)</f>
        <v/>
      </c>
      <c r="T79" s="358">
        <f>SUM(T75:T78)</f>
        <v/>
      </c>
      <c r="U79" s="358">
        <f>SUM(U75:U78)</f>
        <v/>
      </c>
      <c r="V79" s="358">
        <f>SUM(V75:V78)</f>
        <v/>
      </c>
      <c r="W79" s="358">
        <f>SUM(W75:W78)</f>
        <v/>
      </c>
      <c r="X79" s="358">
        <f>SUM(X75:X78)</f>
        <v/>
      </c>
      <c r="Y79" s="358">
        <f>SUM(Y75:Y78)</f>
        <v/>
      </c>
      <c r="Z79" s="358">
        <f>SUM(Z75:Z78)</f>
        <v/>
      </c>
      <c r="AA79" s="358">
        <f>SUM(AA75:AA78)</f>
        <v/>
      </c>
      <c r="AB79" s="358">
        <f>SUM(AB75:AB78)</f>
        <v/>
      </c>
      <c r="AC79" s="358">
        <f>SUM(AC75:AC78)</f>
        <v/>
      </c>
      <c r="AD79" s="358">
        <f>SUM(AD75:AD78)</f>
        <v/>
      </c>
      <c r="AE79" s="358">
        <f>SUM(AE75:AE78)</f>
        <v/>
      </c>
      <c r="AF79" s="358">
        <f>SUM(AF75:AF78)</f>
        <v/>
      </c>
      <c r="AG79" s="358">
        <f>SUM(AG75:AG78)</f>
        <v/>
      </c>
    </row>
    <row r="83" ht="14.5" customHeight="1" s="488">
      <c r="A83" s="557" t="n"/>
      <c r="B83" s="505" t="n"/>
      <c r="C83" s="505" t="n"/>
      <c r="D83" s="506" t="n"/>
      <c r="E83" s="578" t="inlineStr">
        <is>
          <t>FEB- 2026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375" t="n"/>
    </row>
    <row r="84">
      <c r="A84" s="550" t="inlineStr">
        <is>
          <t>Sr.No</t>
        </is>
      </c>
      <c r="B84" s="550" t="inlineStr">
        <is>
          <t>Location</t>
        </is>
      </c>
      <c r="C84" s="554" t="inlineStr">
        <is>
          <t>Meter</t>
        </is>
      </c>
      <c r="D84" s="543" t="inlineStr">
        <is>
          <t>Previous Reading</t>
        </is>
      </c>
      <c r="E84" s="301" t="n">
        <v>46054</v>
      </c>
      <c r="F84" s="301" t="n">
        <v>46055</v>
      </c>
      <c r="G84" s="301" t="n">
        <v>46056</v>
      </c>
      <c r="H84" s="301" t="n">
        <v>46057</v>
      </c>
      <c r="I84" s="301" t="n">
        <v>46058</v>
      </c>
      <c r="J84" s="301" t="n">
        <v>46059</v>
      </c>
      <c r="K84" s="301" t="n">
        <v>46060</v>
      </c>
      <c r="L84" s="301" t="n">
        <v>46061</v>
      </c>
      <c r="M84" s="301" t="n">
        <v>46062</v>
      </c>
      <c r="N84" s="301" t="n">
        <v>46063</v>
      </c>
      <c r="O84" s="301" t="n">
        <v>46064</v>
      </c>
      <c r="P84" s="301" t="n">
        <v>46065</v>
      </c>
      <c r="Q84" s="301" t="n">
        <v>46066</v>
      </c>
      <c r="R84" s="301" t="n">
        <v>46067</v>
      </c>
      <c r="S84" s="301" t="n">
        <v>46068</v>
      </c>
      <c r="T84" s="301" t="n">
        <v>46069</v>
      </c>
      <c r="U84" s="301" t="n">
        <v>46070</v>
      </c>
      <c r="V84" s="301" t="n">
        <v>46071</v>
      </c>
      <c r="W84" s="301" t="n">
        <v>46072</v>
      </c>
      <c r="X84" s="301" t="n">
        <v>46073</v>
      </c>
      <c r="Y84" s="301" t="n">
        <v>46074</v>
      </c>
      <c r="Z84" s="301" t="n">
        <v>46075</v>
      </c>
      <c r="AA84" s="301" t="n">
        <v>46076</v>
      </c>
      <c r="AB84" s="301" t="n">
        <v>46077</v>
      </c>
      <c r="AC84" s="301" t="n">
        <v>46078</v>
      </c>
      <c r="AD84" s="301" t="n">
        <v>46079</v>
      </c>
      <c r="AE84" s="301" t="n">
        <v>46080</v>
      </c>
      <c r="AF84" s="301" t="n">
        <v>46081</v>
      </c>
    </row>
    <row r="85">
      <c r="A85" s="509" t="n"/>
      <c r="B85" s="509" t="n"/>
      <c r="C85" s="509" t="n"/>
      <c r="D85" s="509" t="n"/>
      <c r="E85" s="302" t="inlineStr">
        <is>
          <t>Sun</t>
        </is>
      </c>
      <c r="F85" s="302" t="inlineStr">
        <is>
          <t>Mon</t>
        </is>
      </c>
      <c r="G85" s="302" t="inlineStr">
        <is>
          <t>Tue</t>
        </is>
      </c>
      <c r="H85" s="302" t="inlineStr">
        <is>
          <t>Wed</t>
        </is>
      </c>
      <c r="I85" s="302" t="inlineStr">
        <is>
          <t>Thu</t>
        </is>
      </c>
      <c r="J85" s="302" t="inlineStr">
        <is>
          <t>Fri</t>
        </is>
      </c>
      <c r="K85" s="302" t="inlineStr">
        <is>
          <t>Sat</t>
        </is>
      </c>
      <c r="L85" s="302" t="inlineStr">
        <is>
          <t>Sun</t>
        </is>
      </c>
      <c r="M85" s="302" t="inlineStr">
        <is>
          <t>Mon</t>
        </is>
      </c>
      <c r="N85" s="302" t="inlineStr">
        <is>
          <t>Tue</t>
        </is>
      </c>
      <c r="O85" s="302" t="inlineStr">
        <is>
          <t>Wed</t>
        </is>
      </c>
      <c r="P85" s="302" t="inlineStr">
        <is>
          <t>Thu</t>
        </is>
      </c>
      <c r="Q85" s="302" t="inlineStr">
        <is>
          <t>Fri</t>
        </is>
      </c>
      <c r="R85" s="302" t="inlineStr">
        <is>
          <t>Sat</t>
        </is>
      </c>
      <c r="S85" s="302" t="inlineStr">
        <is>
          <t>Sun</t>
        </is>
      </c>
      <c r="T85" s="302" t="inlineStr">
        <is>
          <t>Mon</t>
        </is>
      </c>
      <c r="U85" s="302" t="inlineStr">
        <is>
          <t>Tue</t>
        </is>
      </c>
      <c r="V85" s="302" t="inlineStr">
        <is>
          <t>Wed</t>
        </is>
      </c>
      <c r="W85" s="302" t="inlineStr">
        <is>
          <t>Thu</t>
        </is>
      </c>
      <c r="X85" s="302" t="inlineStr">
        <is>
          <t>Fri</t>
        </is>
      </c>
      <c r="Y85" s="302" t="inlineStr">
        <is>
          <t>Sat</t>
        </is>
      </c>
      <c r="Z85" s="302" t="inlineStr">
        <is>
          <t>Sun</t>
        </is>
      </c>
      <c r="AA85" s="302" t="inlineStr">
        <is>
          <t>Mon</t>
        </is>
      </c>
      <c r="AB85" s="302" t="inlineStr">
        <is>
          <t>Tue</t>
        </is>
      </c>
      <c r="AC85" s="302" t="inlineStr">
        <is>
          <t>Wed</t>
        </is>
      </c>
      <c r="AD85" s="302" t="inlineStr">
        <is>
          <t>Thu</t>
        </is>
      </c>
      <c r="AE85" s="302" t="inlineStr">
        <is>
          <t>Fri</t>
        </is>
      </c>
      <c r="AF85" s="302" t="inlineStr">
        <is>
          <t>Sat</t>
        </is>
      </c>
    </row>
    <row r="86">
      <c r="A86" s="509" t="n"/>
      <c r="B86" s="509" t="n"/>
      <c r="C86" s="509" t="n"/>
      <c r="D86" s="509" t="n"/>
      <c r="E86" s="303" t="inlineStr">
        <is>
          <t>Time</t>
        </is>
      </c>
      <c r="F86" s="303" t="inlineStr">
        <is>
          <t>Time</t>
        </is>
      </c>
      <c r="G86" s="303" t="inlineStr">
        <is>
          <t>Time</t>
        </is>
      </c>
      <c r="H86" s="303" t="inlineStr">
        <is>
          <t>Time</t>
        </is>
      </c>
      <c r="I86" s="303" t="inlineStr">
        <is>
          <t>Time</t>
        </is>
      </c>
      <c r="J86" s="303" t="inlineStr">
        <is>
          <t>Time</t>
        </is>
      </c>
      <c r="K86" s="303" t="inlineStr">
        <is>
          <t>Time</t>
        </is>
      </c>
      <c r="L86" s="303" t="inlineStr">
        <is>
          <t>Time</t>
        </is>
      </c>
      <c r="M86" s="303" t="inlineStr">
        <is>
          <t>Time</t>
        </is>
      </c>
      <c r="N86" s="303" t="inlineStr">
        <is>
          <t>Time</t>
        </is>
      </c>
      <c r="O86" s="303" t="inlineStr">
        <is>
          <t>Time</t>
        </is>
      </c>
      <c r="P86" s="303" t="inlineStr">
        <is>
          <t>Time</t>
        </is>
      </c>
      <c r="Q86" s="303" t="inlineStr">
        <is>
          <t>Time</t>
        </is>
      </c>
      <c r="R86" s="303" t="inlineStr">
        <is>
          <t>Time</t>
        </is>
      </c>
      <c r="S86" s="303" t="inlineStr">
        <is>
          <t>Time</t>
        </is>
      </c>
      <c r="T86" s="303" t="inlineStr">
        <is>
          <t>Time</t>
        </is>
      </c>
      <c r="U86" s="303" t="inlineStr">
        <is>
          <t>Time</t>
        </is>
      </c>
      <c r="V86" s="303" t="inlineStr">
        <is>
          <t>Time</t>
        </is>
      </c>
      <c r="W86" s="303" t="inlineStr">
        <is>
          <t>Time</t>
        </is>
      </c>
      <c r="X86" s="303" t="inlineStr">
        <is>
          <t>Time</t>
        </is>
      </c>
      <c r="Y86" s="303" t="inlineStr">
        <is>
          <t>Time</t>
        </is>
      </c>
      <c r="Z86" s="303" t="inlineStr">
        <is>
          <t>Time</t>
        </is>
      </c>
      <c r="AA86" s="303" t="inlineStr">
        <is>
          <t>Time</t>
        </is>
      </c>
      <c r="AB86" s="303" t="inlineStr">
        <is>
          <t>Time</t>
        </is>
      </c>
      <c r="AC86" s="303" t="inlineStr">
        <is>
          <t>Time</t>
        </is>
      </c>
      <c r="AD86" s="303" t="inlineStr">
        <is>
          <t>Time</t>
        </is>
      </c>
      <c r="AE86" s="303" t="inlineStr">
        <is>
          <t>Time</t>
        </is>
      </c>
      <c r="AF86" s="303" t="inlineStr">
        <is>
          <t>Time</t>
        </is>
      </c>
    </row>
    <row r="87">
      <c r="A87" s="510" t="n"/>
      <c r="B87" s="510" t="n"/>
      <c r="C87" s="510" t="n"/>
      <c r="D87" s="510" t="n"/>
      <c r="E87" s="369" t="n">
        <v>0.3333333333333333</v>
      </c>
      <c r="F87" s="369" t="n">
        <v>0.3333333333333333</v>
      </c>
      <c r="G87" s="369" t="n">
        <v>0.3333333333333333</v>
      </c>
      <c r="H87" s="369" t="n">
        <v>0.3333333333333333</v>
      </c>
      <c r="I87" s="369" t="n">
        <v>0.3333333333333333</v>
      </c>
      <c r="J87" s="369" t="n">
        <v>0.3333333333333333</v>
      </c>
      <c r="K87" s="369" t="n">
        <v>0.3333333333333333</v>
      </c>
      <c r="L87" s="369" t="n">
        <v>0.3333333333333333</v>
      </c>
      <c r="M87" s="369" t="n">
        <v>0.3333333333333333</v>
      </c>
      <c r="N87" s="369" t="n">
        <v>0.3333333333333333</v>
      </c>
      <c r="O87" s="369" t="n">
        <v>0.3333333333333333</v>
      </c>
      <c r="P87" s="369" t="n">
        <v>0.3333333333333333</v>
      </c>
      <c r="Q87" s="369" t="n">
        <v>0.3333333333333333</v>
      </c>
      <c r="R87" s="369" t="n">
        <v>0.3333333333333333</v>
      </c>
      <c r="S87" s="369" t="n">
        <v>0.3333333333333333</v>
      </c>
      <c r="T87" s="369" t="n">
        <v>0.3333333333333333</v>
      </c>
      <c r="U87" s="369" t="n">
        <v>0.3333333333333333</v>
      </c>
      <c r="V87" s="369" t="n">
        <v>0.3333333333333333</v>
      </c>
      <c r="W87" s="369" t="n">
        <v>0.3333333333333333</v>
      </c>
      <c r="X87" s="369" t="n">
        <v>0.3333333333333333</v>
      </c>
      <c r="Y87" s="369" t="n">
        <v>0.3333333333333333</v>
      </c>
      <c r="Z87" s="369" t="n">
        <v>0.3333333333333333</v>
      </c>
      <c r="AA87" s="369" t="n">
        <v>0.3333333333333333</v>
      </c>
      <c r="AB87" s="369" t="n">
        <v>0.3333333333333333</v>
      </c>
      <c r="AC87" s="369" t="n">
        <v>0.3333333333333333</v>
      </c>
      <c r="AD87" s="369" t="n">
        <v>0.3333333333333333</v>
      </c>
      <c r="AE87" s="369" t="n">
        <v>0.3333333333333333</v>
      </c>
      <c r="AF87" s="369" t="n">
        <v>0.3333333333333333</v>
      </c>
    </row>
    <row r="88" ht="10.5" customHeight="1" s="488">
      <c r="A88" s="310" t="n">
        <v>1</v>
      </c>
      <c r="B88" s="370" t="inlineStr">
        <is>
          <t>Basement:-2</t>
        </is>
      </c>
      <c r="C88" s="370" t="inlineStr">
        <is>
          <t>Liberty-170</t>
        </is>
      </c>
      <c r="D88" s="370" t="n">
        <v>1942</v>
      </c>
      <c r="E88" s="370" t="n">
        <v>1942</v>
      </c>
      <c r="F88" s="370" t="n">
        <v>1953</v>
      </c>
      <c r="G88" s="370" t="n">
        <v>1978</v>
      </c>
      <c r="H88" s="370" t="n">
        <v>1978</v>
      </c>
      <c r="I88" s="370" t="n">
        <v>1998</v>
      </c>
      <c r="J88" s="370" t="n">
        <v>1998</v>
      </c>
      <c r="K88" s="370" t="n">
        <v>1998</v>
      </c>
      <c r="L88" s="370" t="n">
        <v>1998</v>
      </c>
      <c r="M88" s="370" t="n">
        <v>2017</v>
      </c>
      <c r="N88" s="370" t="n">
        <v>2017</v>
      </c>
      <c r="O88" s="370" t="n">
        <v>2017</v>
      </c>
      <c r="P88" s="370" t="n">
        <v>2017</v>
      </c>
      <c r="Q88" s="370" t="n">
        <v>2017</v>
      </c>
      <c r="R88" s="370" t="n">
        <v>2017</v>
      </c>
      <c r="S88" s="370" t="n">
        <v>2017</v>
      </c>
      <c r="T88" s="370" t="n">
        <v>2041</v>
      </c>
      <c r="U88" s="370" t="n">
        <v>2066</v>
      </c>
      <c r="V88" s="370" t="n">
        <v>2081</v>
      </c>
      <c r="W88" s="370" t="n">
        <v>2107</v>
      </c>
      <c r="X88" s="370" t="n">
        <v>2128</v>
      </c>
      <c r="Y88" s="370" t="n">
        <v>2128</v>
      </c>
      <c r="Z88" s="370" t="n">
        <v>2128</v>
      </c>
      <c r="AA88" s="370" t="n">
        <v>2128</v>
      </c>
      <c r="AB88" s="370" t="n">
        <v>2152</v>
      </c>
      <c r="AC88" s="370" t="n">
        <v>2176</v>
      </c>
      <c r="AD88" s="370" t="n">
        <v>2202</v>
      </c>
      <c r="AE88" s="370" t="n">
        <v>2216</v>
      </c>
      <c r="AF88" s="370" t="n">
        <v>2216</v>
      </c>
      <c r="AG88" s="559" t="n"/>
      <c r="AH88" s="559" t="n"/>
      <c r="AI88" s="559" t="n"/>
      <c r="AJ88" s="559" t="n"/>
      <c r="AK88" s="559" t="n"/>
      <c r="AL88" s="559" t="n"/>
      <c r="AM88" s="559" t="n"/>
      <c r="AN88" s="559" t="n"/>
      <c r="AO88" s="559" t="n"/>
      <c r="AP88" s="559" t="n"/>
      <c r="AQ88" s="559" t="n"/>
      <c r="AR88" s="559" t="n"/>
      <c r="AS88" s="559" t="n"/>
      <c r="AT88" s="559" t="n"/>
      <c r="AU88" s="559" t="n"/>
      <c r="AV88" s="559" t="n"/>
      <c r="AW88" s="559" t="n"/>
      <c r="AX88" s="559" t="n"/>
      <c r="AY88" s="559" t="n"/>
      <c r="AZ88" s="559" t="n"/>
      <c r="BA88" s="559" t="n"/>
      <c r="BB88" s="559" t="n"/>
      <c r="BC88" s="559" t="n"/>
      <c r="BD88" s="559" t="n"/>
      <c r="BE88" s="559" t="n"/>
      <c r="BF88" s="559" t="n"/>
      <c r="BG88" s="559" t="n"/>
      <c r="BH88" s="559" t="n"/>
      <c r="BI88" s="559" t="n"/>
      <c r="BJ88" s="559" t="n"/>
    </row>
    <row r="90">
      <c r="A90" s="542" t="inlineStr">
        <is>
          <t>Sr.No</t>
        </is>
      </c>
      <c r="B90" s="542" t="inlineStr">
        <is>
          <t>Location</t>
        </is>
      </c>
      <c r="C90" s="542" t="inlineStr">
        <is>
          <t>Meter</t>
        </is>
      </c>
      <c r="D90" s="522" t="n"/>
      <c r="E90" s="352">
        <f>E84</f>
        <v/>
      </c>
      <c r="F90" s="352">
        <f>F84</f>
        <v/>
      </c>
      <c r="G90" s="352">
        <f>G84</f>
        <v/>
      </c>
      <c r="H90" s="352">
        <f>H84</f>
        <v/>
      </c>
      <c r="I90" s="352">
        <f>I84</f>
        <v/>
      </c>
      <c r="J90" s="352">
        <f>J84</f>
        <v/>
      </c>
      <c r="K90" s="352">
        <f>K84</f>
        <v/>
      </c>
      <c r="L90" s="352">
        <f>L84</f>
        <v/>
      </c>
      <c r="M90" s="352">
        <f>M84</f>
        <v/>
      </c>
      <c r="N90" s="352">
        <f>N84</f>
        <v/>
      </c>
      <c r="O90" s="352">
        <f>O84</f>
        <v/>
      </c>
      <c r="P90" s="352">
        <f>P84</f>
        <v/>
      </c>
      <c r="Q90" s="352">
        <f>Q84</f>
        <v/>
      </c>
      <c r="R90" s="352">
        <f>R84</f>
        <v/>
      </c>
      <c r="S90" s="352">
        <f>S84</f>
        <v/>
      </c>
      <c r="T90" s="352">
        <f>T84</f>
        <v/>
      </c>
      <c r="U90" s="352">
        <f>U84</f>
        <v/>
      </c>
      <c r="V90" s="352">
        <f>V84</f>
        <v/>
      </c>
      <c r="W90" s="352">
        <f>W84</f>
        <v/>
      </c>
      <c r="X90" s="352">
        <f>X84</f>
        <v/>
      </c>
      <c r="Y90" s="352">
        <f>Y84</f>
        <v/>
      </c>
      <c r="Z90" s="352">
        <f>Z84</f>
        <v/>
      </c>
      <c r="AA90" s="352">
        <f>AA84</f>
        <v/>
      </c>
      <c r="AB90" s="352">
        <f>AB84</f>
        <v/>
      </c>
      <c r="AC90" s="352">
        <f>AC84</f>
        <v/>
      </c>
      <c r="AD90" s="352">
        <f>AD84</f>
        <v/>
      </c>
      <c r="AE90" s="352">
        <f>AE84</f>
        <v/>
      </c>
      <c r="AF90" s="352">
        <f>AF84</f>
        <v/>
      </c>
      <c r="AG90" s="542" t="inlineStr">
        <is>
          <t>Consumption</t>
        </is>
      </c>
    </row>
    <row r="91">
      <c r="A91" s="516" t="n"/>
      <c r="B91" s="516" t="n"/>
      <c r="C91" s="523" t="n"/>
      <c r="D91" s="524" t="n"/>
      <c r="E91" s="302" t="inlineStr">
        <is>
          <t>Sun</t>
        </is>
      </c>
      <c r="F91" s="302" t="inlineStr">
        <is>
          <t>Mon</t>
        </is>
      </c>
      <c r="G91" s="302" t="inlineStr">
        <is>
          <t>Tue</t>
        </is>
      </c>
      <c r="H91" s="302" t="inlineStr">
        <is>
          <t>Wed</t>
        </is>
      </c>
      <c r="I91" s="302" t="inlineStr">
        <is>
          <t>Thu</t>
        </is>
      </c>
      <c r="J91" s="302" t="inlineStr">
        <is>
          <t>Fri</t>
        </is>
      </c>
      <c r="K91" s="302" t="inlineStr">
        <is>
          <t>Sat</t>
        </is>
      </c>
      <c r="L91" s="302" t="inlineStr">
        <is>
          <t>Sun</t>
        </is>
      </c>
      <c r="M91" s="302" t="inlineStr">
        <is>
          <t>Mon</t>
        </is>
      </c>
      <c r="N91" s="302" t="inlineStr">
        <is>
          <t>Tue</t>
        </is>
      </c>
      <c r="O91" s="302" t="inlineStr">
        <is>
          <t>Wed</t>
        </is>
      </c>
      <c r="P91" s="302" t="inlineStr">
        <is>
          <t>Thu</t>
        </is>
      </c>
      <c r="Q91" s="302" t="inlineStr">
        <is>
          <t>Fri</t>
        </is>
      </c>
      <c r="R91" s="302" t="inlineStr">
        <is>
          <t>Sat</t>
        </is>
      </c>
      <c r="S91" s="302" t="inlineStr">
        <is>
          <t>Sun</t>
        </is>
      </c>
      <c r="T91" s="302" t="inlineStr">
        <is>
          <t>Mon</t>
        </is>
      </c>
      <c r="U91" s="302" t="inlineStr">
        <is>
          <t>Tue</t>
        </is>
      </c>
      <c r="V91" s="302" t="inlineStr">
        <is>
          <t>Wed</t>
        </is>
      </c>
      <c r="W91" s="302" t="inlineStr">
        <is>
          <t>Thu</t>
        </is>
      </c>
      <c r="X91" s="302" t="inlineStr">
        <is>
          <t>Fri</t>
        </is>
      </c>
      <c r="Y91" s="302" t="inlineStr">
        <is>
          <t>Sat</t>
        </is>
      </c>
      <c r="Z91" s="302" t="inlineStr">
        <is>
          <t>Sun</t>
        </is>
      </c>
      <c r="AA91" s="302" t="inlineStr">
        <is>
          <t>Mon</t>
        </is>
      </c>
      <c r="AB91" s="302" t="inlineStr">
        <is>
          <t>Tue</t>
        </is>
      </c>
      <c r="AC91" s="302" t="inlineStr">
        <is>
          <t>Wed</t>
        </is>
      </c>
      <c r="AD91" s="302" t="inlineStr">
        <is>
          <t>Thu</t>
        </is>
      </c>
      <c r="AE91" s="302" t="inlineStr">
        <is>
          <t>Fri</t>
        </is>
      </c>
      <c r="AF91" s="302" t="inlineStr">
        <is>
          <t>Sat</t>
        </is>
      </c>
      <c r="AG91" s="516" t="n"/>
    </row>
    <row r="92">
      <c r="A92" s="516" t="n"/>
      <c r="B92" s="516" t="n"/>
      <c r="C92" s="523" t="n"/>
      <c r="D92" s="524" t="n"/>
      <c r="E92" s="353" t="inlineStr">
        <is>
          <t>Time</t>
        </is>
      </c>
      <c r="F92" s="353" t="inlineStr">
        <is>
          <t>Time</t>
        </is>
      </c>
      <c r="G92" s="353" t="inlineStr">
        <is>
          <t>Time</t>
        </is>
      </c>
      <c r="H92" s="353" t="inlineStr">
        <is>
          <t>Time</t>
        </is>
      </c>
      <c r="I92" s="353" t="inlineStr">
        <is>
          <t>Time</t>
        </is>
      </c>
      <c r="J92" s="353" t="inlineStr">
        <is>
          <t>Time</t>
        </is>
      </c>
      <c r="K92" s="353" t="inlineStr">
        <is>
          <t>Time</t>
        </is>
      </c>
      <c r="L92" s="353" t="inlineStr">
        <is>
          <t>Time</t>
        </is>
      </c>
      <c r="M92" s="353" t="inlineStr">
        <is>
          <t>Time</t>
        </is>
      </c>
      <c r="N92" s="353" t="inlineStr">
        <is>
          <t>Time</t>
        </is>
      </c>
      <c r="O92" s="353" t="inlineStr">
        <is>
          <t>Time</t>
        </is>
      </c>
      <c r="P92" s="353" t="inlineStr">
        <is>
          <t>Time</t>
        </is>
      </c>
      <c r="Q92" s="353" t="inlineStr">
        <is>
          <t>Time</t>
        </is>
      </c>
      <c r="R92" s="353" t="inlineStr">
        <is>
          <t>Time</t>
        </is>
      </c>
      <c r="S92" s="353" t="inlineStr">
        <is>
          <t>Time</t>
        </is>
      </c>
      <c r="T92" s="353" t="inlineStr">
        <is>
          <t>Time</t>
        </is>
      </c>
      <c r="U92" s="353" t="inlineStr">
        <is>
          <t>Time</t>
        </is>
      </c>
      <c r="V92" s="353" t="inlineStr">
        <is>
          <t>Time</t>
        </is>
      </c>
      <c r="W92" s="353" t="inlineStr">
        <is>
          <t>Time</t>
        </is>
      </c>
      <c r="X92" s="353" t="inlineStr">
        <is>
          <t>Time</t>
        </is>
      </c>
      <c r="Y92" s="353" t="inlineStr">
        <is>
          <t>Time</t>
        </is>
      </c>
      <c r="Z92" s="353" t="inlineStr">
        <is>
          <t>Time</t>
        </is>
      </c>
      <c r="AA92" s="353" t="inlineStr">
        <is>
          <t>Time</t>
        </is>
      </c>
      <c r="AB92" s="353" t="inlineStr">
        <is>
          <t>Time</t>
        </is>
      </c>
      <c r="AC92" s="353" t="inlineStr">
        <is>
          <t>Time</t>
        </is>
      </c>
      <c r="AD92" s="353" t="inlineStr">
        <is>
          <t>Time</t>
        </is>
      </c>
      <c r="AE92" s="353" t="inlineStr">
        <is>
          <t>Time</t>
        </is>
      </c>
      <c r="AF92" s="353" t="inlineStr">
        <is>
          <t>Time</t>
        </is>
      </c>
      <c r="AG92" s="516" t="n"/>
    </row>
    <row r="93">
      <c r="A93" s="517" t="n"/>
      <c r="B93" s="517" t="n"/>
      <c r="C93" s="525" t="n"/>
      <c r="D93" s="526" t="n"/>
      <c r="E93" s="354" t="n">
        <v>0.3333333333333333</v>
      </c>
      <c r="F93" s="354" t="n">
        <v>0.3333333333333333</v>
      </c>
      <c r="G93" s="354" t="n">
        <v>0.3333333333333333</v>
      </c>
      <c r="H93" s="354" t="n">
        <v>0.3333333333333333</v>
      </c>
      <c r="I93" s="354" t="n">
        <v>0.3333333333333333</v>
      </c>
      <c r="J93" s="354" t="n">
        <v>0.3333333333333333</v>
      </c>
      <c r="K93" s="354" t="n">
        <v>0.3333333333333333</v>
      </c>
      <c r="L93" s="354" t="n">
        <v>0.3333333333333333</v>
      </c>
      <c r="M93" s="354" t="n">
        <v>0.3333333333333333</v>
      </c>
      <c r="N93" s="354" t="n">
        <v>0.3333333333333333</v>
      </c>
      <c r="O93" s="354" t="n">
        <v>0.3333333333333333</v>
      </c>
      <c r="P93" s="354" t="n">
        <v>0.3333333333333333</v>
      </c>
      <c r="Q93" s="354" t="n">
        <v>0.3333333333333333</v>
      </c>
      <c r="R93" s="354" t="n">
        <v>0.3333333333333333</v>
      </c>
      <c r="S93" s="354" t="n">
        <v>0.3333333333333333</v>
      </c>
      <c r="T93" s="354" t="n">
        <v>0.3333333333333333</v>
      </c>
      <c r="U93" s="354" t="n">
        <v>0.3333333333333333</v>
      </c>
      <c r="V93" s="354" t="n">
        <v>0.3333333333333333</v>
      </c>
      <c r="W93" s="354" t="n">
        <v>0.3333333333333333</v>
      </c>
      <c r="X93" s="354" t="n">
        <v>0.3333333333333333</v>
      </c>
      <c r="Y93" s="354" t="n">
        <v>0.3333333333333333</v>
      </c>
      <c r="Z93" s="354" t="n">
        <v>0.3333333333333333</v>
      </c>
      <c r="AA93" s="354" t="n">
        <v>0.3333333333333333</v>
      </c>
      <c r="AB93" s="354" t="n">
        <v>0.3333333333333333</v>
      </c>
      <c r="AC93" s="354" t="n">
        <v>0.3333333333333333</v>
      </c>
      <c r="AD93" s="354" t="n">
        <v>0.3333333333333333</v>
      </c>
      <c r="AE93" s="354" t="n">
        <v>0.3333333333333333</v>
      </c>
      <c r="AF93" s="354" t="n">
        <v>0.3333333333333333</v>
      </c>
      <c r="AG93" s="517" t="n"/>
    </row>
    <row r="94" ht="14.5" customHeight="1" s="488">
      <c r="A94" s="558" t="n">
        <v>1</v>
      </c>
      <c r="B94" s="373" t="inlineStr">
        <is>
          <t>Basement:-2</t>
        </is>
      </c>
      <c r="C94" s="558" t="inlineStr">
        <is>
          <t>Liberty-170</t>
        </is>
      </c>
      <c r="D94" s="501" t="n"/>
      <c r="E94" s="355">
        <f>E88-D88</f>
        <v/>
      </c>
      <c r="F94" s="355">
        <f>F88-E88</f>
        <v/>
      </c>
      <c r="G94" s="355">
        <f>G88-F88</f>
        <v/>
      </c>
      <c r="H94" s="355">
        <f>H88-G88</f>
        <v/>
      </c>
      <c r="I94" s="355">
        <f>I88-H88</f>
        <v/>
      </c>
      <c r="J94" s="355">
        <f>J88-I88</f>
        <v/>
      </c>
      <c r="K94" s="355">
        <f>K88-J88</f>
        <v/>
      </c>
      <c r="L94" s="355">
        <f>L88-K88</f>
        <v/>
      </c>
      <c r="M94" s="355">
        <f>M88-L88</f>
        <v/>
      </c>
      <c r="N94" s="355">
        <f>N88-M88</f>
        <v/>
      </c>
      <c r="O94" s="355">
        <f>O88-N88</f>
        <v/>
      </c>
      <c r="P94" s="355">
        <f>P88-O88</f>
        <v/>
      </c>
      <c r="Q94" s="355">
        <f>Q88-P88</f>
        <v/>
      </c>
      <c r="R94" s="355">
        <f>R88-Q88</f>
        <v/>
      </c>
      <c r="S94" s="355">
        <f>S88-R88</f>
        <v/>
      </c>
      <c r="T94" s="355">
        <f>T88-S88</f>
        <v/>
      </c>
      <c r="U94" s="355">
        <f>U88-T88</f>
        <v/>
      </c>
      <c r="V94" s="355">
        <f>V88-U88</f>
        <v/>
      </c>
      <c r="W94" s="355">
        <f>W88-V88</f>
        <v/>
      </c>
      <c r="X94" s="355">
        <f>X88-W88</f>
        <v/>
      </c>
      <c r="Y94" s="355">
        <f>Y88-X88</f>
        <v/>
      </c>
      <c r="Z94" s="355">
        <f>Z88-Y88</f>
        <v/>
      </c>
      <c r="AA94" s="355">
        <f>AA88-Z88</f>
        <v/>
      </c>
      <c r="AB94" s="355">
        <f>AB88-#REF!</f>
        <v/>
      </c>
      <c r="AC94" s="355">
        <f>AC88-AB88</f>
        <v/>
      </c>
      <c r="AD94" s="355">
        <f>AD88-AC88</f>
        <v/>
      </c>
      <c r="AE94" s="355">
        <f>AE88-AD88</f>
        <v/>
      </c>
      <c r="AF94" s="355" t="n"/>
      <c r="AG94" s="355">
        <f>SUM(E94:AE94)</f>
        <v/>
      </c>
      <c r="AH94" s="374" t="n"/>
      <c r="AI94" s="374" t="n"/>
      <c r="AJ94" s="374" t="n"/>
      <c r="AK94" s="374" t="n"/>
      <c r="AL94" s="374" t="n"/>
      <c r="AM94" s="374" t="n"/>
      <c r="AN94" s="374" t="n"/>
      <c r="AO94" s="374" t="n"/>
      <c r="AP94" s="374" t="n"/>
      <c r="AQ94" s="374" t="n"/>
      <c r="AR94" s="374" t="n"/>
      <c r="AS94" s="374" t="n"/>
      <c r="AT94" s="374" t="n"/>
      <c r="AU94" s="374" t="n"/>
      <c r="AV94" s="374" t="n"/>
      <c r="AW94" s="374" t="n"/>
      <c r="AX94" s="374" t="n"/>
      <c r="AY94" s="374" t="n"/>
      <c r="AZ94" s="374" t="n"/>
      <c r="BA94" s="374" t="n"/>
      <c r="BB94" s="374" t="n"/>
      <c r="BC94" s="374" t="n"/>
      <c r="BD94" s="374" t="n"/>
      <c r="BE94" s="374" t="n"/>
      <c r="BF94" s="374" t="n"/>
      <c r="BG94" s="374" t="n"/>
      <c r="BH94" s="374" t="n"/>
      <c r="BI94" s="374" t="n"/>
      <c r="BJ94" s="374" t="n"/>
    </row>
  </sheetData>
  <mergeCells count="59">
    <mergeCell ref="C77:D77"/>
    <mergeCell ref="E83:AE83"/>
    <mergeCell ref="D84:D87"/>
    <mergeCell ref="C62:D62"/>
    <mergeCell ref="C68:D68"/>
    <mergeCell ref="C40:D43"/>
    <mergeCell ref="C58:D58"/>
    <mergeCell ref="C45:D45"/>
    <mergeCell ref="C74:D74"/>
    <mergeCell ref="AG90:AG93"/>
    <mergeCell ref="C64:D64"/>
    <mergeCell ref="B2:B5"/>
    <mergeCell ref="C79:D79"/>
    <mergeCell ref="D2:D5"/>
    <mergeCell ref="C90:D93"/>
    <mergeCell ref="AG2:AG5"/>
    <mergeCell ref="A84:A87"/>
    <mergeCell ref="A90:A93"/>
    <mergeCell ref="C84:C87"/>
    <mergeCell ref="AG40:AG43"/>
    <mergeCell ref="B38:D38"/>
    <mergeCell ref="C73:D73"/>
    <mergeCell ref="C47:D47"/>
    <mergeCell ref="C54:D54"/>
    <mergeCell ref="A83:D83"/>
    <mergeCell ref="C94:D94"/>
    <mergeCell ref="C65:D65"/>
    <mergeCell ref="C55:D55"/>
    <mergeCell ref="C50:D50"/>
    <mergeCell ref="C44:D44"/>
    <mergeCell ref="C75:D75"/>
    <mergeCell ref="C56:D56"/>
    <mergeCell ref="C59:D59"/>
    <mergeCell ref="C49:D49"/>
    <mergeCell ref="B84:B87"/>
    <mergeCell ref="C46:D46"/>
    <mergeCell ref="B40:B43"/>
    <mergeCell ref="C60:D60"/>
    <mergeCell ref="A22:AG22"/>
    <mergeCell ref="C51:D51"/>
    <mergeCell ref="A2:A5"/>
    <mergeCell ref="C76:D76"/>
    <mergeCell ref="C71:D71"/>
    <mergeCell ref="C2:C5"/>
    <mergeCell ref="A1:AB1"/>
    <mergeCell ref="C52:D52"/>
    <mergeCell ref="C70:D70"/>
    <mergeCell ref="C48:D48"/>
    <mergeCell ref="A31:AG31"/>
    <mergeCell ref="C72:D72"/>
    <mergeCell ref="C67:D67"/>
    <mergeCell ref="C57:D57"/>
    <mergeCell ref="C66:D66"/>
    <mergeCell ref="C53:D53"/>
    <mergeCell ref="B39:D39"/>
    <mergeCell ref="C78:D78"/>
    <mergeCell ref="C69:D69"/>
    <mergeCell ref="A40:A43"/>
    <mergeCell ref="B90:B93"/>
  </mergeCells>
  <pageMargins left="0.7" right="0.7" top="0.75" bottom="0.75" header="0.3" footer="0.3"/>
  <pageSetup orientation="portrait" paperSize="9" verticalDpi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94"/>
  <sheetViews>
    <sheetView topLeftCell="AG49" workbookViewId="0">
      <selection activeCell="AK80" sqref="AK80"/>
    </sheetView>
  </sheetViews>
  <sheetFormatPr baseColWidth="8" defaultRowHeight="14.5"/>
  <cols>
    <col width="14" customWidth="1" style="488" min="1" max="1"/>
    <col width="27" customWidth="1" style="488" min="2" max="2"/>
    <col width="32" customWidth="1" style="488" min="3" max="3"/>
    <col width="20" customWidth="1" style="488" min="4" max="4"/>
    <col width="33" customWidth="1" style="488" min="5" max="5"/>
    <col width="23" customWidth="1" style="488" min="6" max="35"/>
    <col width="18" customWidth="1" style="488" min="36" max="38"/>
    <col width="14" customWidth="1" style="488" min="39" max="65"/>
  </cols>
  <sheetData>
    <row r="1" ht="21" customHeight="1" s="488">
      <c r="A1" s="581" t="inlineStr">
        <is>
          <t>JAN- 2026</t>
        </is>
      </c>
      <c r="B1" s="505" t="n"/>
      <c r="C1" s="505" t="n"/>
      <c r="D1" s="505" t="n"/>
      <c r="E1" s="505" t="n"/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505" t="n"/>
      <c r="AJ1" s="505" t="n"/>
    </row>
    <row r="2">
      <c r="A2" s="508" t="inlineStr">
        <is>
          <t>Sr.No</t>
        </is>
      </c>
      <c r="B2" s="508" t="inlineStr">
        <is>
          <t>Location</t>
        </is>
      </c>
      <c r="C2" s="580" t="inlineStr">
        <is>
          <t>Meter</t>
        </is>
      </c>
      <c r="D2" s="562" t="inlineStr">
        <is>
          <t>Previous Reading</t>
        </is>
      </c>
      <c r="E2" s="51" t="n">
        <v>46023</v>
      </c>
      <c r="F2" s="51" t="n">
        <v>46024</v>
      </c>
      <c r="G2" s="51" t="n">
        <v>46025</v>
      </c>
      <c r="H2" s="51" t="n">
        <v>46026</v>
      </c>
      <c r="I2" s="51" t="n">
        <v>46027</v>
      </c>
      <c r="J2" s="51" t="n">
        <v>46028</v>
      </c>
      <c r="K2" s="51" t="n">
        <v>46029</v>
      </c>
      <c r="L2" s="51" t="n">
        <v>46030</v>
      </c>
      <c r="M2" s="51" t="n">
        <v>46031</v>
      </c>
      <c r="N2" s="51" t="n">
        <v>46032</v>
      </c>
      <c r="O2" s="51" t="n">
        <v>46033</v>
      </c>
      <c r="P2" s="51" t="n">
        <v>46034</v>
      </c>
      <c r="Q2" s="51" t="n">
        <v>46035</v>
      </c>
      <c r="R2" s="51" t="n">
        <v>46036</v>
      </c>
      <c r="S2" s="51" t="n">
        <v>46037</v>
      </c>
      <c r="T2" s="51" t="n">
        <v>46038</v>
      </c>
      <c r="U2" s="51" t="n">
        <v>46039</v>
      </c>
      <c r="V2" s="51" t="n">
        <v>46040</v>
      </c>
      <c r="W2" s="51" t="n">
        <v>46041</v>
      </c>
      <c r="X2" s="51" t="n">
        <v>46042</v>
      </c>
      <c r="Y2" s="51" t="n">
        <v>46043</v>
      </c>
      <c r="Z2" s="51" t="n">
        <v>46044</v>
      </c>
      <c r="AA2" s="51" t="n">
        <v>46045</v>
      </c>
      <c r="AB2" s="51" t="n">
        <v>46046</v>
      </c>
      <c r="AC2" s="51" t="n">
        <v>46047</v>
      </c>
      <c r="AD2" s="51" t="n">
        <v>46048</v>
      </c>
      <c r="AE2" s="51" t="n">
        <v>46049</v>
      </c>
      <c r="AF2" s="51" t="n">
        <v>46050</v>
      </c>
      <c r="AG2" s="51" t="n">
        <v>46051</v>
      </c>
      <c r="AH2" s="51" t="n">
        <v>46052</v>
      </c>
      <c r="AI2" s="51" t="n">
        <v>46053</v>
      </c>
      <c r="AJ2" s="518" t="inlineStr">
        <is>
          <t>Consumption</t>
        </is>
      </c>
    </row>
    <row r="3">
      <c r="A3" s="509" t="n"/>
      <c r="B3" s="509" t="n"/>
      <c r="C3" s="509" t="n"/>
      <c r="D3" s="509" t="n"/>
      <c r="E3" s="96" t="inlineStr">
        <is>
          <t>Thu</t>
        </is>
      </c>
      <c r="F3" s="96" t="inlineStr">
        <is>
          <t>Fri</t>
        </is>
      </c>
      <c r="G3" s="96" t="inlineStr">
        <is>
          <t>Sat</t>
        </is>
      </c>
      <c r="H3" s="96" t="inlineStr">
        <is>
          <t>Sun</t>
        </is>
      </c>
      <c r="I3" s="96" t="inlineStr">
        <is>
          <t>Mon</t>
        </is>
      </c>
      <c r="J3" s="96" t="inlineStr">
        <is>
          <t>Tue</t>
        </is>
      </c>
      <c r="K3" s="96" t="inlineStr">
        <is>
          <t>Wed</t>
        </is>
      </c>
      <c r="L3" s="96" t="inlineStr">
        <is>
          <t>Thu</t>
        </is>
      </c>
      <c r="M3" s="96" t="inlineStr">
        <is>
          <t>Fri</t>
        </is>
      </c>
      <c r="N3" s="96" t="inlineStr">
        <is>
          <t>Sat</t>
        </is>
      </c>
      <c r="O3" s="96" t="inlineStr">
        <is>
          <t>Sun</t>
        </is>
      </c>
      <c r="P3" s="96" t="inlineStr">
        <is>
          <t>Mon</t>
        </is>
      </c>
      <c r="Q3" s="96" t="inlineStr">
        <is>
          <t>Tue</t>
        </is>
      </c>
      <c r="R3" s="96" t="inlineStr">
        <is>
          <t>Wed</t>
        </is>
      </c>
      <c r="S3" s="96" t="inlineStr">
        <is>
          <t>Thu</t>
        </is>
      </c>
      <c r="T3" s="96" t="inlineStr">
        <is>
          <t>Fri</t>
        </is>
      </c>
      <c r="U3" s="96" t="inlineStr">
        <is>
          <t>Sat</t>
        </is>
      </c>
      <c r="V3" s="96" t="inlineStr">
        <is>
          <t>Sun</t>
        </is>
      </c>
      <c r="W3" s="96" t="inlineStr">
        <is>
          <t>Mon</t>
        </is>
      </c>
      <c r="X3" s="96" t="inlineStr">
        <is>
          <t>Tue</t>
        </is>
      </c>
      <c r="Y3" s="96" t="inlineStr">
        <is>
          <t>Wed</t>
        </is>
      </c>
      <c r="Z3" s="96" t="inlineStr">
        <is>
          <t>Thu</t>
        </is>
      </c>
      <c r="AA3" s="96" t="inlineStr">
        <is>
          <t>Fri</t>
        </is>
      </c>
      <c r="AB3" s="96" t="inlineStr">
        <is>
          <t>Sat</t>
        </is>
      </c>
      <c r="AC3" s="96" t="inlineStr">
        <is>
          <t>Sun</t>
        </is>
      </c>
      <c r="AD3" s="96" t="inlineStr">
        <is>
          <t>Mon</t>
        </is>
      </c>
      <c r="AE3" s="96" t="inlineStr">
        <is>
          <t>Tue</t>
        </is>
      </c>
      <c r="AF3" s="96" t="inlineStr">
        <is>
          <t>Wed</t>
        </is>
      </c>
      <c r="AG3" s="96" t="inlineStr">
        <is>
          <t>Thu</t>
        </is>
      </c>
      <c r="AH3" s="96" t="inlineStr">
        <is>
          <t>Fri</t>
        </is>
      </c>
      <c r="AI3" s="96" t="inlineStr">
        <is>
          <t>Sat</t>
        </is>
      </c>
      <c r="AJ3" s="509" t="n"/>
    </row>
    <row r="4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2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199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3" t="n">
        <v>0.3333333333333333</v>
      </c>
      <c r="AJ5" s="510" t="n"/>
    </row>
    <row r="6">
      <c r="A6" s="48" t="n">
        <v>1</v>
      </c>
      <c r="B6" s="561" t="inlineStr">
        <is>
          <t>3F</t>
        </is>
      </c>
      <c r="C6" s="139" t="inlineStr">
        <is>
          <t>SL No 540430038840 (EB Unit)</t>
        </is>
      </c>
      <c r="D6" s="169" t="n">
        <v>167218</v>
      </c>
      <c r="E6" s="48" t="n">
        <v>167542</v>
      </c>
      <c r="F6" s="48" t="n">
        <v>167774</v>
      </c>
      <c r="G6" s="48" t="n">
        <v>167980</v>
      </c>
      <c r="H6" s="48" t="n">
        <v>168197</v>
      </c>
      <c r="I6" s="48" t="n">
        <v>168430</v>
      </c>
      <c r="J6" s="48" t="n">
        <v>168686</v>
      </c>
      <c r="K6" s="48" t="n">
        <v>168939</v>
      </c>
      <c r="L6" s="48" t="n">
        <v>169174</v>
      </c>
      <c r="M6" s="48" t="n">
        <v>169417</v>
      </c>
      <c r="N6" s="48" t="n">
        <v>169628</v>
      </c>
      <c r="O6" s="58" t="n">
        <v>169835</v>
      </c>
      <c r="P6" s="184" t="n">
        <v>170093</v>
      </c>
      <c r="Q6" s="48" t="n">
        <v>170347</v>
      </c>
      <c r="R6" s="59" t="n">
        <v>170594</v>
      </c>
      <c r="S6" s="561" t="n">
        <v>170843</v>
      </c>
      <c r="T6" s="561" t="n">
        <v>171080</v>
      </c>
      <c r="U6" s="561" t="n">
        <v>171283</v>
      </c>
      <c r="V6" s="125" t="n">
        <v>171505</v>
      </c>
      <c r="W6" s="561" t="n">
        <v>171746</v>
      </c>
      <c r="X6" s="561" t="n">
        <v>172018</v>
      </c>
      <c r="Y6" s="561" t="n">
        <v>172271</v>
      </c>
      <c r="Z6" s="561" t="n">
        <v>172545</v>
      </c>
      <c r="AA6" s="58" t="n">
        <v>172791</v>
      </c>
      <c r="AB6" s="58" t="n">
        <v>173012</v>
      </c>
      <c r="AC6" s="58" t="n">
        <v>173195</v>
      </c>
      <c r="AD6" s="561" t="n">
        <v>173405</v>
      </c>
      <c r="AE6" s="561" t="n">
        <v>173667</v>
      </c>
      <c r="AF6" s="561" t="n">
        <v>173900</v>
      </c>
      <c r="AG6" s="48" t="n">
        <v>174192</v>
      </c>
      <c r="AH6" s="169" t="n">
        <v>174429</v>
      </c>
      <c r="AI6" s="169" t="n">
        <v>174539</v>
      </c>
      <c r="AJ6" s="57">
        <f>AI6-D6</f>
        <v/>
      </c>
    </row>
    <row r="7">
      <c r="A7" s="8" t="n"/>
      <c r="B7" s="8" t="n"/>
      <c r="C7" s="140" t="inlineStr">
        <is>
          <t>DG</t>
        </is>
      </c>
      <c r="D7" s="128" t="n">
        <v>4281</v>
      </c>
      <c r="E7" s="128" t="n">
        <v>4281</v>
      </c>
      <c r="F7" s="128" t="n">
        <v>4281</v>
      </c>
      <c r="G7" s="128" t="n">
        <v>4281</v>
      </c>
      <c r="H7" s="128" t="n">
        <v>4281</v>
      </c>
      <c r="I7" s="128" t="n">
        <v>4281</v>
      </c>
      <c r="J7" s="128" t="n">
        <v>4281</v>
      </c>
      <c r="K7" s="128" t="n">
        <v>4281</v>
      </c>
      <c r="L7" s="128" t="n">
        <v>4283</v>
      </c>
      <c r="M7" s="128" t="n">
        <v>4283</v>
      </c>
      <c r="N7" s="8" t="n">
        <v>4283</v>
      </c>
      <c r="O7" s="8" t="n">
        <v>4283</v>
      </c>
      <c r="P7" s="8" t="n">
        <v>4283</v>
      </c>
      <c r="Q7" s="8" t="n">
        <v>4283</v>
      </c>
      <c r="R7" s="8" t="n">
        <v>4283</v>
      </c>
      <c r="S7" s="8" t="n">
        <v>4283</v>
      </c>
      <c r="T7" s="8" t="n">
        <v>4283</v>
      </c>
      <c r="U7" s="8" t="n">
        <v>4283</v>
      </c>
      <c r="V7" s="8" t="n">
        <v>4283</v>
      </c>
      <c r="W7" s="8" t="n">
        <v>4283</v>
      </c>
      <c r="X7" s="8" t="n">
        <v>4283</v>
      </c>
      <c r="Y7" s="8" t="n">
        <v>4283</v>
      </c>
      <c r="Z7" s="8" t="n">
        <v>4283</v>
      </c>
      <c r="AA7" s="8" t="n">
        <v>4283</v>
      </c>
      <c r="AB7" s="8" t="n">
        <v>4283</v>
      </c>
      <c r="AC7" s="8" t="n">
        <v>4283</v>
      </c>
      <c r="AD7" s="8" t="n">
        <v>4283</v>
      </c>
      <c r="AE7" s="8" t="n">
        <v>4283</v>
      </c>
      <c r="AF7" s="8" t="n">
        <v>4283</v>
      </c>
      <c r="AG7" s="8" t="n">
        <v>4283</v>
      </c>
      <c r="AH7" s="128" t="n">
        <v>4283</v>
      </c>
      <c r="AI7" s="128" t="n">
        <v>4283</v>
      </c>
      <c r="AJ7" s="57">
        <f>AI7-D7</f>
        <v/>
      </c>
    </row>
    <row r="8">
      <c r="A8" s="561" t="n">
        <v>2</v>
      </c>
      <c r="B8" s="561" t="inlineStr">
        <is>
          <t>3F</t>
        </is>
      </c>
      <c r="C8" s="141" t="inlineStr">
        <is>
          <t>SL No 540430038845 (EB Unit)</t>
        </is>
      </c>
      <c r="D8" s="58" t="n">
        <v>1956</v>
      </c>
      <c r="E8" s="58" t="n">
        <v>1956</v>
      </c>
      <c r="F8" s="58" t="n">
        <v>1956</v>
      </c>
      <c r="G8" s="58" t="n">
        <v>1956</v>
      </c>
      <c r="H8" s="58" t="n">
        <v>1956</v>
      </c>
      <c r="I8" s="58" t="n">
        <v>1956</v>
      </c>
      <c r="J8" s="58" t="n">
        <v>1956</v>
      </c>
      <c r="K8" s="561" t="n">
        <v>1956</v>
      </c>
      <c r="L8" s="561" t="n">
        <v>1956</v>
      </c>
      <c r="M8" s="561" t="n">
        <v>1956</v>
      </c>
      <c r="N8" s="561" t="n">
        <v>1956</v>
      </c>
      <c r="O8" s="561" t="n">
        <v>1956</v>
      </c>
      <c r="P8" s="561" t="n">
        <v>1956</v>
      </c>
      <c r="Q8" s="561" t="n">
        <v>1956</v>
      </c>
      <c r="R8" s="561" t="n">
        <v>1956</v>
      </c>
      <c r="S8" s="561" t="n">
        <v>1956</v>
      </c>
      <c r="T8" s="561" t="n">
        <v>1956</v>
      </c>
      <c r="U8" s="561" t="n">
        <v>1956</v>
      </c>
      <c r="V8" s="561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8" t="n">
        <v>1956</v>
      </c>
      <c r="AI8" s="58" t="n">
        <v>1956</v>
      </c>
      <c r="AJ8" s="57">
        <f>AI8-D8</f>
        <v/>
      </c>
    </row>
    <row r="9">
      <c r="A9" s="561" t="n"/>
      <c r="B9" s="561" t="n"/>
      <c r="C9" s="140" t="inlineStr">
        <is>
          <t>DG</t>
        </is>
      </c>
      <c r="D9" s="58" t="n">
        <v>28.6</v>
      </c>
      <c r="E9" s="58" t="n">
        <v>28.6</v>
      </c>
      <c r="F9" s="58" t="n">
        <v>28.6</v>
      </c>
      <c r="G9" s="58" t="n">
        <v>28.6</v>
      </c>
      <c r="H9" s="58" t="n">
        <v>28.6</v>
      </c>
      <c r="I9" s="58" t="n">
        <v>28.6</v>
      </c>
      <c r="J9" s="58" t="n">
        <v>28.6</v>
      </c>
      <c r="K9" s="58" t="n">
        <v>28.6</v>
      </c>
      <c r="L9" s="58" t="n">
        <v>28.6</v>
      </c>
      <c r="M9" s="58" t="n">
        <v>28.6</v>
      </c>
      <c r="N9" s="561" t="n">
        <v>28.6</v>
      </c>
      <c r="O9" s="561" t="n">
        <v>28.6</v>
      </c>
      <c r="P9" s="561" t="n">
        <v>28.6</v>
      </c>
      <c r="Q9" s="561" t="n">
        <v>28.6</v>
      </c>
      <c r="R9" s="561" t="n">
        <v>28.6</v>
      </c>
      <c r="S9" s="561" t="n">
        <v>28.6</v>
      </c>
      <c r="T9" s="561" t="n">
        <v>28.6</v>
      </c>
      <c r="U9" s="561" t="n">
        <v>28.6</v>
      </c>
      <c r="V9" s="561" t="n">
        <v>28.6</v>
      </c>
      <c r="W9" s="561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8" t="n">
        <v>28.6</v>
      </c>
      <c r="AI9" s="58" t="n">
        <v>28.6</v>
      </c>
      <c r="AJ9" s="57">
        <f>AI9-D9</f>
        <v/>
      </c>
    </row>
    <row r="10">
      <c r="A10" s="561" t="n">
        <v>3</v>
      </c>
      <c r="B10" s="561" t="inlineStr">
        <is>
          <t>3F</t>
        </is>
      </c>
      <c r="C10" s="141" t="inlineStr">
        <is>
          <t>SL No 540430038844 (EB Unit)</t>
        </is>
      </c>
      <c r="D10" s="128" t="n">
        <v>243129</v>
      </c>
      <c r="E10" s="561" t="n">
        <v>243575</v>
      </c>
      <c r="F10" s="561" t="n">
        <v>243896</v>
      </c>
      <c r="G10" s="561" t="n">
        <v>244174</v>
      </c>
      <c r="H10" s="561" t="n">
        <v>244461</v>
      </c>
      <c r="I10" s="561" t="n">
        <v>244802</v>
      </c>
      <c r="J10" s="561" t="n">
        <v>245170</v>
      </c>
      <c r="K10" s="561" t="n">
        <v>245445</v>
      </c>
      <c r="L10" s="561" t="n">
        <v>245869</v>
      </c>
      <c r="M10" s="561" t="n">
        <v>246216</v>
      </c>
      <c r="N10" s="561" t="n">
        <v>246504</v>
      </c>
      <c r="O10" s="561" t="n">
        <v>246779</v>
      </c>
      <c r="P10" s="561" t="n">
        <v>247152</v>
      </c>
      <c r="Q10" s="561" t="n">
        <v>247513</v>
      </c>
      <c r="R10" s="561" t="n">
        <v>247865</v>
      </c>
      <c r="S10" s="561" t="n">
        <v>248225</v>
      </c>
      <c r="T10" s="561" t="n">
        <v>248562</v>
      </c>
      <c r="U10" s="561" t="n">
        <v>248834</v>
      </c>
      <c r="V10" s="561" t="n">
        <v>249125</v>
      </c>
      <c r="W10" s="561" t="n">
        <v>249483</v>
      </c>
      <c r="X10" s="561" t="n">
        <v>249876</v>
      </c>
      <c r="Y10" s="561" t="n">
        <v>250247</v>
      </c>
      <c r="Z10" s="561" t="n">
        <v>250652</v>
      </c>
      <c r="AA10" s="58" t="n">
        <v>250997</v>
      </c>
      <c r="AB10" s="58" t="n">
        <v>251294</v>
      </c>
      <c r="AC10" s="58" t="n">
        <v>251536</v>
      </c>
      <c r="AD10" s="561" t="n">
        <v>251816</v>
      </c>
      <c r="AE10" s="8" t="n">
        <v>252193</v>
      </c>
      <c r="AF10" s="8" t="n">
        <v>252566</v>
      </c>
      <c r="AG10" s="8" t="n">
        <v>252957</v>
      </c>
      <c r="AH10" s="128" t="n">
        <v>253301</v>
      </c>
      <c r="AI10" s="128" t="n">
        <v>253441</v>
      </c>
      <c r="AJ10" s="57">
        <f>AI10-D10</f>
        <v/>
      </c>
      <c r="AL10" s="296" t="n"/>
    </row>
    <row r="11">
      <c r="A11" s="561" t="n"/>
      <c r="B11" s="561" t="n"/>
      <c r="C11" s="140" t="inlineStr">
        <is>
          <t>DG</t>
        </is>
      </c>
      <c r="D11" s="58" t="n">
        <v>6407</v>
      </c>
      <c r="E11" s="58" t="n">
        <v>6407</v>
      </c>
      <c r="F11" s="58" t="n">
        <v>6407</v>
      </c>
      <c r="G11" s="58" t="n">
        <v>6407</v>
      </c>
      <c r="H11" s="58" t="n">
        <v>6407</v>
      </c>
      <c r="I11" s="58" t="n">
        <v>6407</v>
      </c>
      <c r="J11" s="58" t="n">
        <v>6407</v>
      </c>
      <c r="K11" s="58" t="n">
        <v>6407</v>
      </c>
      <c r="L11" s="58" t="n">
        <v>6410</v>
      </c>
      <c r="M11" s="58" t="n">
        <v>6410</v>
      </c>
      <c r="N11" s="561" t="n">
        <v>6410</v>
      </c>
      <c r="O11" s="561" t="n">
        <v>6410</v>
      </c>
      <c r="P11" s="561" t="n">
        <v>6410</v>
      </c>
      <c r="Q11" s="561" t="n">
        <v>6410</v>
      </c>
      <c r="R11" s="561" t="n">
        <v>6410</v>
      </c>
      <c r="S11" s="561" t="n">
        <v>6410</v>
      </c>
      <c r="T11" s="561" t="n">
        <v>6410</v>
      </c>
      <c r="U11" s="561" t="n">
        <v>6410</v>
      </c>
      <c r="V11" s="561" t="n">
        <v>6410</v>
      </c>
      <c r="W11" s="561" t="n">
        <v>6410</v>
      </c>
      <c r="X11" s="561" t="n">
        <v>6410</v>
      </c>
      <c r="Y11" s="561" t="n">
        <v>6410</v>
      </c>
      <c r="Z11" s="561" t="n">
        <v>6410</v>
      </c>
      <c r="AA11" s="561" t="n">
        <v>6410</v>
      </c>
      <c r="AB11" s="561" t="n">
        <v>6410</v>
      </c>
      <c r="AC11" s="561" t="n">
        <v>6410</v>
      </c>
      <c r="AD11" s="561" t="n">
        <v>6410</v>
      </c>
      <c r="AE11" s="561" t="n">
        <v>6410</v>
      </c>
      <c r="AF11" s="561" t="n">
        <v>6410</v>
      </c>
      <c r="AG11" s="561" t="n">
        <v>6410</v>
      </c>
      <c r="AH11" s="58" t="n">
        <v>6410</v>
      </c>
      <c r="AI11" s="58" t="n">
        <v>6410</v>
      </c>
      <c r="AJ11" s="57">
        <f>AI11-D11</f>
        <v/>
      </c>
    </row>
    <row r="12">
      <c r="A12" s="561" t="n">
        <v>4</v>
      </c>
      <c r="B12" s="561" t="inlineStr">
        <is>
          <t>3F</t>
        </is>
      </c>
      <c r="C12" s="141" t="inlineStr">
        <is>
          <t>SL No 540430038821 (EB Unit)</t>
        </is>
      </c>
      <c r="D12" s="58" t="n">
        <v>0</v>
      </c>
      <c r="E12" s="58" t="n">
        <v>0</v>
      </c>
      <c r="F12" s="58" t="n">
        <v>0</v>
      </c>
      <c r="G12" s="58" t="n">
        <v>0</v>
      </c>
      <c r="H12" s="58" t="n">
        <v>0</v>
      </c>
      <c r="I12" s="58" t="n">
        <v>0</v>
      </c>
      <c r="J12" s="58" t="n">
        <v>0</v>
      </c>
      <c r="K12" s="561" t="n">
        <v>0</v>
      </c>
      <c r="L12" s="561" t="n">
        <v>0</v>
      </c>
      <c r="M12" s="561" t="n">
        <v>0</v>
      </c>
      <c r="N12" s="561" t="n">
        <v>0</v>
      </c>
      <c r="O12" s="561" t="n">
        <v>0</v>
      </c>
      <c r="P12" s="561" t="n">
        <v>0</v>
      </c>
      <c r="Q12" s="561" t="n">
        <v>0</v>
      </c>
      <c r="R12" s="561" t="n">
        <v>0</v>
      </c>
      <c r="S12" s="561" t="n">
        <v>0</v>
      </c>
      <c r="T12" s="561" t="n">
        <v>0</v>
      </c>
      <c r="U12" s="561" t="n">
        <v>0</v>
      </c>
      <c r="V12" s="561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8" t="n">
        <v>0</v>
      </c>
      <c r="AI12" s="58" t="n">
        <v>0</v>
      </c>
      <c r="AJ12" s="57">
        <f>AI12-D12</f>
        <v/>
      </c>
    </row>
    <row r="13">
      <c r="A13" s="561" t="n"/>
      <c r="B13" s="561" t="n"/>
      <c r="C13" s="140" t="inlineStr">
        <is>
          <t>DG</t>
        </is>
      </c>
      <c r="D13" s="58" t="n">
        <v>0</v>
      </c>
      <c r="E13" s="205" t="n">
        <v>0</v>
      </c>
      <c r="F13" s="205" t="n">
        <v>0</v>
      </c>
      <c r="G13" s="205" t="n">
        <v>0</v>
      </c>
      <c r="H13" s="205" t="n">
        <v>0</v>
      </c>
      <c r="I13" s="205" t="n">
        <v>0</v>
      </c>
      <c r="J13" s="205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8" t="n">
        <v>0</v>
      </c>
      <c r="AI13" s="58" t="n">
        <v>0</v>
      </c>
      <c r="AJ13" s="57">
        <f>AI13-D13</f>
        <v/>
      </c>
    </row>
    <row r="14">
      <c r="A14" s="561" t="n">
        <v>5</v>
      </c>
      <c r="B14" s="561" t="inlineStr">
        <is>
          <t>3F</t>
        </is>
      </c>
      <c r="C14" s="213" t="inlineStr">
        <is>
          <t>SL No 540430038849 (EB Unit)</t>
        </is>
      </c>
      <c r="D14" s="569" t="n">
        <v>124335</v>
      </c>
      <c r="E14" s="59" t="n">
        <v>124585</v>
      </c>
      <c r="F14" s="561" t="n">
        <v>124796</v>
      </c>
      <c r="G14" s="561" t="n">
        <v>124964</v>
      </c>
      <c r="H14" s="561" t="n">
        <v>125134</v>
      </c>
      <c r="I14" s="561" t="n">
        <v>125372</v>
      </c>
      <c r="J14" s="561" t="n">
        <v>125627</v>
      </c>
      <c r="K14" s="561" t="n">
        <v>125881</v>
      </c>
      <c r="L14" s="561" t="n">
        <v>126122</v>
      </c>
      <c r="M14" s="561" t="n">
        <v>126356</v>
      </c>
      <c r="N14" s="561" t="n">
        <v>126518</v>
      </c>
      <c r="O14" s="561" t="n">
        <v>126682</v>
      </c>
      <c r="P14" s="561" t="n">
        <v>126945</v>
      </c>
      <c r="Q14" s="561" t="n">
        <v>127193</v>
      </c>
      <c r="R14" s="561" t="n">
        <v>127434</v>
      </c>
      <c r="S14" s="561" t="n">
        <v>127675</v>
      </c>
      <c r="T14" s="561" t="n">
        <v>127903</v>
      </c>
      <c r="U14" s="33" t="n">
        <v>128064</v>
      </c>
      <c r="V14" s="561" t="n">
        <v>128229</v>
      </c>
      <c r="W14" s="561" t="n">
        <v>128471</v>
      </c>
      <c r="X14" s="561" t="n">
        <v>128732</v>
      </c>
      <c r="Y14" s="561" t="n">
        <v>128989</v>
      </c>
      <c r="Z14" s="561" t="n">
        <v>129261</v>
      </c>
      <c r="AA14" s="58" t="n">
        <v>129494</v>
      </c>
      <c r="AB14" s="58" t="n">
        <v>129664</v>
      </c>
      <c r="AC14" s="58" t="n">
        <v>129801</v>
      </c>
      <c r="AD14" s="561" t="n">
        <v>129932</v>
      </c>
      <c r="AE14" s="33" t="n">
        <v>130183</v>
      </c>
      <c r="AF14" s="33" t="n">
        <v>130438</v>
      </c>
      <c r="AG14" s="33" t="n">
        <v>130712</v>
      </c>
      <c r="AH14" s="569" t="n">
        <v>130970</v>
      </c>
      <c r="AI14" s="569" t="n">
        <v>131062</v>
      </c>
      <c r="AJ14" s="57">
        <f>AI14-D14</f>
        <v/>
      </c>
    </row>
    <row r="15">
      <c r="A15" s="561" t="n"/>
      <c r="B15" s="561" t="n"/>
      <c r="C15" s="214" t="inlineStr">
        <is>
          <t>DG</t>
        </is>
      </c>
      <c r="D15" s="205" t="n">
        <v>3278</v>
      </c>
      <c r="E15" s="215" t="n">
        <v>3278</v>
      </c>
      <c r="F15" s="215" t="n">
        <v>3278</v>
      </c>
      <c r="G15" s="215" t="n">
        <v>3278</v>
      </c>
      <c r="H15" s="215" t="n">
        <v>3278</v>
      </c>
      <c r="I15" s="215" t="n">
        <v>3278</v>
      </c>
      <c r="J15" s="215" t="n">
        <v>3278</v>
      </c>
      <c r="K15" s="215" t="n">
        <v>3278</v>
      </c>
      <c r="L15" s="215" t="n">
        <v>3280</v>
      </c>
      <c r="M15" s="215" t="n">
        <v>3280</v>
      </c>
      <c r="N15" s="60" t="n">
        <v>3280</v>
      </c>
      <c r="O15" s="60" t="n">
        <v>3280</v>
      </c>
      <c r="P15" s="60" t="n">
        <v>3280</v>
      </c>
      <c r="Q15" s="60" t="n">
        <v>3280</v>
      </c>
      <c r="R15" s="60" t="n">
        <v>3280</v>
      </c>
      <c r="S15" s="60" t="n">
        <v>3280</v>
      </c>
      <c r="T15" s="60" t="n">
        <v>3280</v>
      </c>
      <c r="U15" s="60" t="n">
        <v>3280</v>
      </c>
      <c r="V15" s="60" t="n">
        <v>3280</v>
      </c>
      <c r="W15" s="60" t="n">
        <v>3280</v>
      </c>
      <c r="X15" s="60" t="n">
        <v>3280</v>
      </c>
      <c r="Y15" s="60" t="n">
        <v>3280</v>
      </c>
      <c r="Z15" s="60" t="n">
        <v>3280</v>
      </c>
      <c r="AA15" s="60" t="n">
        <v>3280</v>
      </c>
      <c r="AB15" s="60" t="n">
        <v>3280</v>
      </c>
      <c r="AC15" s="60" t="n">
        <v>3280</v>
      </c>
      <c r="AD15" s="60" t="n">
        <v>3280</v>
      </c>
      <c r="AE15" s="60" t="n">
        <v>3280</v>
      </c>
      <c r="AF15" s="60" t="n">
        <v>3280</v>
      </c>
      <c r="AG15" s="60" t="n">
        <v>3280</v>
      </c>
      <c r="AH15" s="205" t="n">
        <v>3280</v>
      </c>
      <c r="AI15" s="205" t="n">
        <v>3280</v>
      </c>
      <c r="AJ15" s="57">
        <f>AI15-D15</f>
        <v/>
      </c>
    </row>
    <row r="16">
      <c r="A16" s="561" t="n">
        <v>6</v>
      </c>
      <c r="B16" s="561" t="inlineStr">
        <is>
          <t>3F</t>
        </is>
      </c>
      <c r="C16" s="213" t="inlineStr">
        <is>
          <t>SL No 540430038646 (EB Unit)</t>
        </is>
      </c>
      <c r="D16" s="169" t="n">
        <v>141339</v>
      </c>
      <c r="E16" s="216" t="n">
        <v>141512</v>
      </c>
      <c r="F16" s="58" t="n">
        <v>141739</v>
      </c>
      <c r="G16" s="48" t="n">
        <v>141823</v>
      </c>
      <c r="H16" s="59" t="n">
        <v>141909</v>
      </c>
      <c r="I16" s="561" t="n">
        <v>142150</v>
      </c>
      <c r="J16" s="561" t="n">
        <v>142405</v>
      </c>
      <c r="K16" s="58" t="n">
        <v>142666</v>
      </c>
      <c r="L16" s="127" t="n">
        <v>142916</v>
      </c>
      <c r="M16" s="178" t="n">
        <v>143154</v>
      </c>
      <c r="N16" s="178" t="n">
        <v>143265</v>
      </c>
      <c r="O16" s="178" t="n">
        <v>143347</v>
      </c>
      <c r="P16" s="178" t="n">
        <v>143622</v>
      </c>
      <c r="Q16" s="179" t="n">
        <v>143821</v>
      </c>
      <c r="R16" s="178" t="n">
        <v>144124</v>
      </c>
      <c r="S16" s="59" t="n">
        <v>144356</v>
      </c>
      <c r="T16" s="561" t="n">
        <v>144588</v>
      </c>
      <c r="U16" s="561" t="n">
        <v>144670</v>
      </c>
      <c r="V16" s="561" t="n">
        <v>144766</v>
      </c>
      <c r="W16" s="561" t="n">
        <v>145026</v>
      </c>
      <c r="X16" s="561" t="n">
        <v>145298</v>
      </c>
      <c r="Y16" s="561" t="n">
        <v>145555</v>
      </c>
      <c r="Z16" s="561" t="n">
        <v>145854</v>
      </c>
      <c r="AA16" s="58" t="n">
        <v>146102</v>
      </c>
      <c r="AB16" s="58" t="n">
        <v>146207</v>
      </c>
      <c r="AC16" s="58" t="n">
        <v>146277</v>
      </c>
      <c r="AD16" s="58" t="n">
        <v>146364</v>
      </c>
      <c r="AE16" s="48" t="n">
        <v>146620</v>
      </c>
      <c r="AF16" s="48" t="n">
        <v>146903</v>
      </c>
      <c r="AG16" s="48" t="n">
        <v>147141</v>
      </c>
      <c r="AH16" s="169" t="n">
        <v>147399</v>
      </c>
      <c r="AI16" s="169" t="n">
        <v>147456</v>
      </c>
      <c r="AJ16" s="57">
        <f>AI16-D16</f>
        <v/>
      </c>
    </row>
    <row r="17">
      <c r="A17" s="561" t="n"/>
      <c r="B17" s="561" t="n"/>
      <c r="C17" s="214" t="inlineStr">
        <is>
          <t>DG</t>
        </is>
      </c>
      <c r="D17" s="206" t="n">
        <v>4262</v>
      </c>
      <c r="E17" s="129" t="n">
        <v>4262</v>
      </c>
      <c r="F17" s="129" t="n">
        <v>4262</v>
      </c>
      <c r="G17" s="129" t="n">
        <v>4262</v>
      </c>
      <c r="H17" s="129" t="n">
        <v>4262</v>
      </c>
      <c r="I17" s="129" t="n">
        <v>4262</v>
      </c>
      <c r="J17" s="129" t="n">
        <v>4262</v>
      </c>
      <c r="K17" s="129" t="n">
        <v>4262</v>
      </c>
      <c r="L17" s="129" t="n">
        <v>4265</v>
      </c>
      <c r="M17" s="129" t="n">
        <v>4265</v>
      </c>
      <c r="N17" s="129" t="n">
        <v>4265</v>
      </c>
      <c r="O17" s="129" t="n">
        <v>4265</v>
      </c>
      <c r="P17" s="129" t="n">
        <v>4265</v>
      </c>
      <c r="Q17" s="129" t="n">
        <v>4265</v>
      </c>
      <c r="R17" s="129" t="n">
        <v>4265</v>
      </c>
      <c r="S17" s="129" t="n">
        <v>4265</v>
      </c>
      <c r="T17" s="129" t="n">
        <v>4265</v>
      </c>
      <c r="U17" s="129" t="n">
        <v>4265</v>
      </c>
      <c r="V17" s="129" t="n">
        <v>4265</v>
      </c>
      <c r="W17" s="129" t="n">
        <v>4265</v>
      </c>
      <c r="X17" s="129" t="n">
        <v>4265</v>
      </c>
      <c r="Y17" s="129" t="n">
        <v>4265</v>
      </c>
      <c r="Z17" s="129" t="n">
        <v>4265</v>
      </c>
      <c r="AA17" s="129" t="n">
        <v>4265</v>
      </c>
      <c r="AB17" s="129" t="n">
        <v>4265</v>
      </c>
      <c r="AC17" s="129" t="n">
        <v>4265</v>
      </c>
      <c r="AD17" s="129" t="n">
        <v>4265</v>
      </c>
      <c r="AE17" s="129" t="n">
        <v>4265</v>
      </c>
      <c r="AF17" s="129" t="n">
        <v>4265</v>
      </c>
      <c r="AG17" s="206" t="n">
        <v>4265</v>
      </c>
      <c r="AH17" s="48" t="n">
        <v>4265</v>
      </c>
      <c r="AI17" s="48" t="n">
        <v>4265</v>
      </c>
      <c r="AJ17" s="57">
        <f>AI17-D17</f>
        <v/>
      </c>
    </row>
    <row r="18">
      <c r="A18" s="561" t="n">
        <v>7</v>
      </c>
      <c r="B18" s="561" t="inlineStr">
        <is>
          <t>3F</t>
        </is>
      </c>
      <c r="C18" s="141" t="inlineStr">
        <is>
          <t>SL No 540430038843 (EB Unit)</t>
        </is>
      </c>
      <c r="D18" s="128" t="n">
        <v>464366</v>
      </c>
      <c r="E18" s="561" t="n">
        <v>465312</v>
      </c>
      <c r="F18" s="561" t="n">
        <v>466032</v>
      </c>
      <c r="G18" s="561" t="n">
        <v>466646</v>
      </c>
      <c r="H18" s="561" t="n">
        <v>467230</v>
      </c>
      <c r="I18" s="561" t="n">
        <v>467963</v>
      </c>
      <c r="J18" s="561" t="n">
        <v>468778</v>
      </c>
      <c r="K18" s="561" t="n">
        <v>469606</v>
      </c>
      <c r="L18" s="561" t="n">
        <v>470375</v>
      </c>
      <c r="M18" s="561" t="n">
        <v>471146</v>
      </c>
      <c r="N18" s="5" t="n">
        <v>471740</v>
      </c>
      <c r="O18" s="561" t="n">
        <v>472262</v>
      </c>
      <c r="P18" s="561" t="n">
        <v>473083</v>
      </c>
      <c r="Q18" s="561" t="n">
        <v>473861</v>
      </c>
      <c r="R18" s="8" t="n">
        <v>474664</v>
      </c>
      <c r="S18" s="5" t="n">
        <v>475449</v>
      </c>
      <c r="T18" s="561" t="n">
        <v>476207</v>
      </c>
      <c r="U18" s="561" t="n">
        <v>476751</v>
      </c>
      <c r="V18" s="561" t="n">
        <v>477288</v>
      </c>
      <c r="W18" s="561" t="n">
        <v>478043</v>
      </c>
      <c r="X18" s="33" t="n">
        <v>478895</v>
      </c>
      <c r="Y18" s="561" t="n">
        <v>479694</v>
      </c>
      <c r="Z18" s="561" t="n">
        <v>480556</v>
      </c>
      <c r="AA18" s="58" t="n">
        <v>481336</v>
      </c>
      <c r="AB18" s="58" t="n">
        <v>481908</v>
      </c>
      <c r="AC18" s="58" t="n">
        <v>482373</v>
      </c>
      <c r="AD18" s="58" t="n">
        <v>482788</v>
      </c>
      <c r="AE18" s="48" t="n">
        <v>483581</v>
      </c>
      <c r="AF18" s="201" t="n">
        <v>483980</v>
      </c>
      <c r="AG18" s="8" t="n">
        <v>485211</v>
      </c>
      <c r="AH18" s="128" t="n">
        <v>485976</v>
      </c>
      <c r="AI18" s="128" t="n">
        <v>486295</v>
      </c>
      <c r="AJ18" s="57">
        <f>AI18-D18</f>
        <v/>
      </c>
    </row>
    <row r="19">
      <c r="A19" s="561" t="n"/>
      <c r="B19" s="561" t="n"/>
      <c r="C19" s="140" t="inlineStr">
        <is>
          <t>DG</t>
        </is>
      </c>
      <c r="D19" s="58" t="n">
        <v>11607</v>
      </c>
      <c r="E19" s="561" t="n">
        <v>11607</v>
      </c>
      <c r="F19" s="561" t="n">
        <v>11607</v>
      </c>
      <c r="G19" s="561" t="n">
        <v>11607</v>
      </c>
      <c r="H19" s="561" t="n">
        <v>11607</v>
      </c>
      <c r="I19" s="561" t="n">
        <v>11607</v>
      </c>
      <c r="J19" s="561" t="n">
        <v>11607</v>
      </c>
      <c r="K19" s="561" t="n">
        <v>11607</v>
      </c>
      <c r="L19" s="561" t="n">
        <v>11614</v>
      </c>
      <c r="M19" s="561" t="n">
        <v>11614</v>
      </c>
      <c r="N19" s="561" t="n">
        <v>11614</v>
      </c>
      <c r="O19" s="561" t="n">
        <v>11614</v>
      </c>
      <c r="P19" s="561" t="n">
        <v>11614</v>
      </c>
      <c r="Q19" s="561" t="n">
        <v>11614</v>
      </c>
      <c r="R19" s="561" t="n">
        <v>11614</v>
      </c>
      <c r="S19" s="561" t="n">
        <v>11614</v>
      </c>
      <c r="T19" s="561" t="n">
        <v>11614</v>
      </c>
      <c r="U19" s="561" t="n">
        <v>11614</v>
      </c>
      <c r="V19" s="561" t="n">
        <v>11614</v>
      </c>
      <c r="W19" s="561" t="n">
        <v>11614</v>
      </c>
      <c r="X19" s="561" t="n">
        <v>11614</v>
      </c>
      <c r="Y19" s="561" t="n">
        <v>11614</v>
      </c>
      <c r="Z19" s="561" t="n">
        <v>11614</v>
      </c>
      <c r="AA19" s="561" t="n">
        <v>11614</v>
      </c>
      <c r="AB19" s="561" t="n">
        <v>11614</v>
      </c>
      <c r="AC19" s="561" t="n">
        <v>11614</v>
      </c>
      <c r="AD19" s="561" t="n">
        <v>11614</v>
      </c>
      <c r="AE19" s="561" t="n">
        <v>11614</v>
      </c>
      <c r="AF19" s="561" t="n">
        <v>11614</v>
      </c>
      <c r="AG19" s="561" t="n">
        <v>11614</v>
      </c>
      <c r="AH19" s="58" t="n">
        <v>11614</v>
      </c>
      <c r="AI19" s="58" t="n">
        <v>11614</v>
      </c>
      <c r="AJ19" s="57">
        <f>AI19-D19</f>
        <v/>
      </c>
    </row>
    <row r="20">
      <c r="A20" s="561" t="n">
        <v>8</v>
      </c>
      <c r="B20" s="561" t="inlineStr">
        <is>
          <t>3F</t>
        </is>
      </c>
      <c r="C20" s="141" t="inlineStr">
        <is>
          <t>SL No 540430038848 (EB Unit)</t>
        </is>
      </c>
      <c r="D20" s="128" t="n">
        <v>91210</v>
      </c>
      <c r="E20" s="561" t="n">
        <v>91368</v>
      </c>
      <c r="F20" s="561" t="n">
        <v>91476</v>
      </c>
      <c r="G20" s="561" t="n">
        <v>91575</v>
      </c>
      <c r="H20" s="561" t="n">
        <v>91664</v>
      </c>
      <c r="I20" s="561" t="n">
        <v>91769</v>
      </c>
      <c r="J20" s="561" t="n">
        <v>91874</v>
      </c>
      <c r="K20" s="561" t="n">
        <v>92000</v>
      </c>
      <c r="L20" s="561" t="n">
        <v>92104</v>
      </c>
      <c r="M20" s="561" t="n">
        <v>92220</v>
      </c>
      <c r="N20" s="561" t="n">
        <v>92312</v>
      </c>
      <c r="O20" s="561" t="n">
        <v>92403</v>
      </c>
      <c r="P20" s="561" t="n">
        <v>92513</v>
      </c>
      <c r="Q20" s="561" t="n">
        <v>92637</v>
      </c>
      <c r="R20" s="561" t="n">
        <v>92742</v>
      </c>
      <c r="S20" s="561" t="n">
        <v>92855</v>
      </c>
      <c r="T20" s="561" t="n">
        <v>92959</v>
      </c>
      <c r="U20" s="561" t="n">
        <v>93061</v>
      </c>
      <c r="V20" s="561" t="n">
        <v>93157</v>
      </c>
      <c r="W20" s="561" t="n">
        <v>93276</v>
      </c>
      <c r="X20" s="561" t="n">
        <v>93391</v>
      </c>
      <c r="Y20" s="561" t="n">
        <v>93515</v>
      </c>
      <c r="Z20" s="561" t="n">
        <v>93639</v>
      </c>
      <c r="AA20" s="8" t="n">
        <v>93756</v>
      </c>
      <c r="AB20" s="8" t="n">
        <v>93851</v>
      </c>
      <c r="AC20" s="561" t="n">
        <v>93931</v>
      </c>
      <c r="AD20" s="561" t="n">
        <v>94016</v>
      </c>
      <c r="AE20" s="8" t="n">
        <v>94138</v>
      </c>
      <c r="AF20" s="8" t="n">
        <v>94253</v>
      </c>
      <c r="AG20" s="8" t="n">
        <v>94373</v>
      </c>
      <c r="AH20" s="128" t="n">
        <v>94479</v>
      </c>
      <c r="AI20" s="128" t="n">
        <v>94542</v>
      </c>
      <c r="AJ20" s="57">
        <f>AI20-D20</f>
        <v/>
      </c>
    </row>
    <row r="21">
      <c r="A21" s="561" t="n"/>
      <c r="B21" s="561" t="n"/>
      <c r="C21" s="140" t="inlineStr">
        <is>
          <t>DG</t>
        </is>
      </c>
      <c r="D21" s="58" t="n">
        <v>2213</v>
      </c>
      <c r="E21" s="561" t="n">
        <v>2213</v>
      </c>
      <c r="F21" s="561" t="n">
        <v>2213</v>
      </c>
      <c r="G21" s="561" t="n">
        <v>2213</v>
      </c>
      <c r="H21" s="561" t="n">
        <v>2213</v>
      </c>
      <c r="I21" s="561" t="n">
        <v>2213</v>
      </c>
      <c r="J21" s="561" t="n">
        <v>2213</v>
      </c>
      <c r="K21" s="561" t="n">
        <v>2213</v>
      </c>
      <c r="L21" s="561" t="n">
        <v>2214</v>
      </c>
      <c r="M21" s="561" t="n">
        <v>2214</v>
      </c>
      <c r="N21" s="561" t="n">
        <v>2214</v>
      </c>
      <c r="O21" s="561" t="n">
        <v>2214</v>
      </c>
      <c r="P21" s="561" t="n">
        <v>2214</v>
      </c>
      <c r="Q21" s="561" t="n">
        <v>2214</v>
      </c>
      <c r="R21" s="561" t="n">
        <v>2214</v>
      </c>
      <c r="S21" s="561" t="n">
        <v>2214</v>
      </c>
      <c r="T21" s="561" t="n">
        <v>2214</v>
      </c>
      <c r="U21" s="561" t="n">
        <v>2214</v>
      </c>
      <c r="V21" s="561" t="n">
        <v>2214</v>
      </c>
      <c r="W21" s="561" t="n">
        <v>2214</v>
      </c>
      <c r="X21" s="561" t="n">
        <v>2214</v>
      </c>
      <c r="Y21" s="561" t="n">
        <v>2214</v>
      </c>
      <c r="Z21" s="561" t="n">
        <v>2214</v>
      </c>
      <c r="AA21" s="561" t="n">
        <v>2214</v>
      </c>
      <c r="AB21" s="561" t="n">
        <v>2214</v>
      </c>
      <c r="AC21" s="561" t="n">
        <v>2214</v>
      </c>
      <c r="AD21" s="561" t="n">
        <v>2214</v>
      </c>
      <c r="AE21" s="561" t="n">
        <v>2214</v>
      </c>
      <c r="AF21" s="561" t="n">
        <v>2214</v>
      </c>
      <c r="AG21" s="561" t="n">
        <v>2214</v>
      </c>
      <c r="AH21" s="58" t="n">
        <v>2214</v>
      </c>
      <c r="AI21" s="58" t="n">
        <v>2214</v>
      </c>
      <c r="AJ21" s="57">
        <f>AI21-D21</f>
        <v/>
      </c>
    </row>
    <row r="22">
      <c r="A22" s="500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20" t="n"/>
      <c r="AJ22" s="501" t="n"/>
    </row>
    <row r="23">
      <c r="A23" s="561" t="n">
        <v>1</v>
      </c>
      <c r="B23" s="561" t="inlineStr">
        <is>
          <t>3F</t>
        </is>
      </c>
      <c r="C23" s="141" t="inlineStr">
        <is>
          <t>AHU1</t>
        </is>
      </c>
      <c r="D23" s="128" t="n">
        <v>45884</v>
      </c>
      <c r="E23" s="561" t="n">
        <v>45956</v>
      </c>
      <c r="F23" s="561" t="n">
        <v>46034</v>
      </c>
      <c r="G23" s="561" t="n">
        <v>46035</v>
      </c>
      <c r="H23" s="561" t="n">
        <v>46036</v>
      </c>
      <c r="I23" s="561" t="n">
        <v>46168</v>
      </c>
      <c r="J23" s="561" t="n">
        <v>46326</v>
      </c>
      <c r="K23" s="561" t="n">
        <v>46500</v>
      </c>
      <c r="L23" s="561" t="n">
        <v>46669</v>
      </c>
      <c r="M23" s="561" t="n">
        <v>46854</v>
      </c>
      <c r="N23" s="561" t="n">
        <v>46988</v>
      </c>
      <c r="O23" s="561" t="n">
        <v>46988</v>
      </c>
      <c r="P23" s="561" t="n">
        <v>47119</v>
      </c>
      <c r="Q23" s="561" t="n">
        <v>47283</v>
      </c>
      <c r="R23" s="561" t="n">
        <v>47431</v>
      </c>
      <c r="S23" s="561" t="n">
        <v>47533</v>
      </c>
      <c r="T23" s="561" t="n">
        <v>47647</v>
      </c>
      <c r="U23" s="561" t="n">
        <v>47663</v>
      </c>
      <c r="V23" s="561" t="n">
        <v>47663</v>
      </c>
      <c r="W23" s="561" t="n">
        <v>47817</v>
      </c>
      <c r="X23" s="561" t="n">
        <v>47993</v>
      </c>
      <c r="Y23" s="561" t="n">
        <v>48183</v>
      </c>
      <c r="Z23" s="561" t="n">
        <v>48377</v>
      </c>
      <c r="AA23" s="561" t="n">
        <v>48545</v>
      </c>
      <c r="AB23" s="561" t="n">
        <v>48550</v>
      </c>
      <c r="AC23" s="561" t="n">
        <v>48591</v>
      </c>
      <c r="AD23" s="561" t="n">
        <v>48591</v>
      </c>
      <c r="AE23" s="561" t="n">
        <v>48741</v>
      </c>
      <c r="AF23" s="561" t="n">
        <v>48911</v>
      </c>
      <c r="AG23" s="561" t="n">
        <v>49041</v>
      </c>
      <c r="AH23" s="128" t="n">
        <v>49203</v>
      </c>
      <c r="AI23" s="128" t="n">
        <v>49293</v>
      </c>
      <c r="AJ23" s="57">
        <f>AI23-D23</f>
        <v/>
      </c>
    </row>
    <row r="24">
      <c r="A24" s="561" t="n"/>
      <c r="B24" s="561" t="n"/>
      <c r="C24" s="142" t="inlineStr">
        <is>
          <t>DG</t>
        </is>
      </c>
      <c r="D24" s="58" t="n">
        <v>1921</v>
      </c>
      <c r="E24" s="561" t="n">
        <v>1921</v>
      </c>
      <c r="F24" s="561" t="n">
        <v>1921</v>
      </c>
      <c r="G24" s="561" t="n">
        <v>1921</v>
      </c>
      <c r="H24" s="561" t="n">
        <v>1921</v>
      </c>
      <c r="I24" s="561" t="n">
        <v>1921</v>
      </c>
      <c r="J24" s="561" t="n">
        <v>1921</v>
      </c>
      <c r="K24" s="561" t="n">
        <v>1921</v>
      </c>
      <c r="L24" s="561" t="n">
        <v>1921</v>
      </c>
      <c r="M24" s="561" t="n">
        <v>1921</v>
      </c>
      <c r="N24" s="561" t="n">
        <v>1921</v>
      </c>
      <c r="O24" s="561" t="n">
        <v>1921</v>
      </c>
      <c r="P24" s="561" t="n">
        <v>1921</v>
      </c>
      <c r="Q24" s="561" t="n">
        <v>1921</v>
      </c>
      <c r="R24" s="561" t="n">
        <v>1921</v>
      </c>
      <c r="S24" s="33" t="n">
        <v>1921</v>
      </c>
      <c r="T24" s="33" t="n">
        <v>1921</v>
      </c>
      <c r="U24" s="33" t="n">
        <v>1921</v>
      </c>
      <c r="V24" s="33" t="n">
        <v>1921</v>
      </c>
      <c r="W24" s="33" t="n">
        <v>1921</v>
      </c>
      <c r="X24" s="33" t="n">
        <v>1921</v>
      </c>
      <c r="Y24" s="33" t="n">
        <v>1921</v>
      </c>
      <c r="Z24" s="33" t="n">
        <v>1921</v>
      </c>
      <c r="AA24" s="33" t="n">
        <v>1921</v>
      </c>
      <c r="AB24" s="33" t="n">
        <v>1921</v>
      </c>
      <c r="AC24" s="33" t="n">
        <v>1921</v>
      </c>
      <c r="AD24" s="33" t="n">
        <v>1921</v>
      </c>
      <c r="AE24" s="33" t="n">
        <v>1921</v>
      </c>
      <c r="AF24" s="561" t="n">
        <v>1921</v>
      </c>
      <c r="AG24" s="561" t="n">
        <v>1921</v>
      </c>
      <c r="AH24" s="58" t="n">
        <v>1921</v>
      </c>
      <c r="AI24" s="58" t="n">
        <v>1923</v>
      </c>
      <c r="AJ24" s="57">
        <f>AI24-D24</f>
        <v/>
      </c>
    </row>
    <row r="25">
      <c r="A25" s="561" t="n">
        <v>2</v>
      </c>
      <c r="B25" s="561" t="inlineStr">
        <is>
          <t>3F</t>
        </is>
      </c>
      <c r="C25" s="141" t="inlineStr">
        <is>
          <t>AHU2</t>
        </is>
      </c>
      <c r="D25" s="128" t="n">
        <v>49831</v>
      </c>
      <c r="E25" s="561" t="n">
        <v>49898</v>
      </c>
      <c r="F25" s="561" t="n">
        <v>49975</v>
      </c>
      <c r="G25" s="561" t="n">
        <v>49975</v>
      </c>
      <c r="H25" s="561" t="n">
        <v>49976</v>
      </c>
      <c r="I25" s="561" t="n">
        <v>50106</v>
      </c>
      <c r="J25" s="561" t="n">
        <v>50212</v>
      </c>
      <c r="K25" s="561" t="n">
        <v>50337</v>
      </c>
      <c r="L25" s="561" t="n">
        <v>50439</v>
      </c>
      <c r="M25" s="561" t="n">
        <v>50561</v>
      </c>
      <c r="N25" s="561" t="n">
        <v>50696</v>
      </c>
      <c r="O25" s="561" t="n">
        <v>50696</v>
      </c>
      <c r="P25" s="561" t="n">
        <v>50817</v>
      </c>
      <c r="Q25" s="561" t="n">
        <v>50933</v>
      </c>
      <c r="R25" s="561" t="n">
        <v>51051</v>
      </c>
      <c r="S25" s="561" t="n">
        <v>51187</v>
      </c>
      <c r="T25" s="561" t="n">
        <v>51319</v>
      </c>
      <c r="U25" s="561" t="n">
        <v>51344</v>
      </c>
      <c r="V25" s="561" t="n">
        <v>51344</v>
      </c>
      <c r="W25" s="561" t="n">
        <v>51515</v>
      </c>
      <c r="X25" s="561" t="n">
        <v>51678</v>
      </c>
      <c r="Y25" s="561" t="n">
        <v>51832</v>
      </c>
      <c r="Z25" s="561" t="n">
        <v>51980</v>
      </c>
      <c r="AA25" s="561" t="n">
        <v>52160</v>
      </c>
      <c r="AB25" s="561" t="n">
        <v>52169</v>
      </c>
      <c r="AC25" s="561" t="n">
        <v>52169</v>
      </c>
      <c r="AD25" s="561" t="n">
        <v>52169</v>
      </c>
      <c r="AE25" s="561" t="n">
        <v>52358</v>
      </c>
      <c r="AF25" s="561" t="n">
        <v>52550</v>
      </c>
      <c r="AG25" s="561" t="n">
        <v>52686</v>
      </c>
      <c r="AH25" s="128" t="n">
        <v>52866</v>
      </c>
      <c r="AI25" s="128" t="n">
        <v>52906</v>
      </c>
      <c r="AJ25" s="57">
        <f>AI25-D25</f>
        <v/>
      </c>
    </row>
    <row r="26">
      <c r="A26" s="561" t="n"/>
      <c r="B26" s="561" t="n"/>
      <c r="C26" s="142" t="inlineStr">
        <is>
          <t>DG</t>
        </is>
      </c>
      <c r="D26" s="58" t="n">
        <v>1909</v>
      </c>
      <c r="E26" s="561" t="n">
        <v>1909</v>
      </c>
      <c r="F26" s="561" t="n">
        <v>1909</v>
      </c>
      <c r="G26" s="561" t="n">
        <v>1909</v>
      </c>
      <c r="H26" s="561" t="n">
        <v>1909</v>
      </c>
      <c r="I26" s="561" t="n">
        <v>1909</v>
      </c>
      <c r="J26" s="561" t="n">
        <v>1909</v>
      </c>
      <c r="K26" s="561" t="n">
        <v>1909</v>
      </c>
      <c r="L26" s="561" t="n">
        <v>1909</v>
      </c>
      <c r="M26" s="561" t="n">
        <v>1909</v>
      </c>
      <c r="N26" s="561" t="n">
        <v>1909</v>
      </c>
      <c r="O26" s="561" t="n">
        <v>1909</v>
      </c>
      <c r="P26" s="561" t="n">
        <v>1909</v>
      </c>
      <c r="Q26" s="561" t="n">
        <v>1909</v>
      </c>
      <c r="R26" s="561" t="n">
        <v>1909</v>
      </c>
      <c r="S26" s="561" t="n">
        <v>1909</v>
      </c>
      <c r="T26" s="561" t="n">
        <v>1909</v>
      </c>
      <c r="U26" s="561" t="n">
        <v>1909</v>
      </c>
      <c r="V26" s="561" t="n">
        <v>1909</v>
      </c>
      <c r="W26" s="561" t="n">
        <v>1909</v>
      </c>
      <c r="X26" s="561" t="n">
        <v>1909</v>
      </c>
      <c r="Y26" s="561" t="n">
        <v>1909</v>
      </c>
      <c r="Z26" s="561" t="n">
        <v>1909</v>
      </c>
      <c r="AA26" s="561" t="n">
        <v>1909</v>
      </c>
      <c r="AB26" s="561" t="n">
        <v>1909</v>
      </c>
      <c r="AC26" s="561" t="n">
        <v>1909</v>
      </c>
      <c r="AD26" s="561" t="n">
        <v>1909</v>
      </c>
      <c r="AE26" s="561" t="n">
        <v>1909</v>
      </c>
      <c r="AF26" s="561" t="n">
        <v>1909</v>
      </c>
      <c r="AG26" s="561" t="n">
        <v>1909</v>
      </c>
      <c r="AH26" s="58" t="n">
        <v>1909</v>
      </c>
      <c r="AI26" s="58" t="n">
        <v>1911</v>
      </c>
      <c r="AJ26" s="57">
        <f>AI26-D26</f>
        <v/>
      </c>
    </row>
    <row r="27">
      <c r="A27" s="561" t="n">
        <v>3</v>
      </c>
      <c r="B27" s="561" t="inlineStr">
        <is>
          <t>3F</t>
        </is>
      </c>
      <c r="C27" s="141" t="inlineStr">
        <is>
          <t>AHU3</t>
        </is>
      </c>
      <c r="D27" s="58" t="n">
        <v>61348</v>
      </c>
      <c r="E27" s="561" t="n">
        <v>61462</v>
      </c>
      <c r="F27" s="561" t="n">
        <v>61643</v>
      </c>
      <c r="G27" s="561" t="n">
        <v>61826</v>
      </c>
      <c r="H27" s="561" t="n">
        <v>62019</v>
      </c>
      <c r="I27" s="561" t="n">
        <v>62207</v>
      </c>
      <c r="J27" s="561" t="n">
        <v>62379</v>
      </c>
      <c r="K27" s="561" t="n">
        <v>62571</v>
      </c>
      <c r="L27" s="561" t="n">
        <v>62755</v>
      </c>
      <c r="M27" s="561" t="n">
        <v>62940</v>
      </c>
      <c r="N27" s="561" t="n">
        <v>63129</v>
      </c>
      <c r="O27" s="561" t="n">
        <v>63316</v>
      </c>
      <c r="P27" s="561" t="n">
        <v>63513</v>
      </c>
      <c r="Q27" s="561" t="n">
        <v>63698</v>
      </c>
      <c r="R27" s="561" t="n">
        <v>63883</v>
      </c>
      <c r="S27" s="561" t="n">
        <v>64023</v>
      </c>
      <c r="T27" s="561" t="n">
        <v>64218</v>
      </c>
      <c r="U27" s="561" t="n">
        <v>64320</v>
      </c>
      <c r="V27" s="561" t="n">
        <v>64320</v>
      </c>
      <c r="W27" s="561" t="n">
        <v>64476</v>
      </c>
      <c r="X27" s="561" t="n">
        <v>64662</v>
      </c>
      <c r="Y27" s="561" t="n">
        <v>64838</v>
      </c>
      <c r="Z27" s="561" t="n">
        <v>65003</v>
      </c>
      <c r="AA27" s="561" t="n">
        <v>65158</v>
      </c>
      <c r="AB27" s="561" t="n">
        <v>65332</v>
      </c>
      <c r="AC27" s="561" t="n">
        <v>65380</v>
      </c>
      <c r="AD27" s="561" t="n">
        <v>65380</v>
      </c>
      <c r="AE27" s="561" t="n">
        <v>65510</v>
      </c>
      <c r="AF27" s="561" t="n">
        <v>65667</v>
      </c>
      <c r="AG27" s="561" t="n">
        <v>65778</v>
      </c>
      <c r="AH27" s="58" t="n">
        <v>65894</v>
      </c>
      <c r="AI27" s="58" t="n">
        <v>65921</v>
      </c>
      <c r="AJ27" s="57">
        <f>AI27-D27</f>
        <v/>
      </c>
    </row>
    <row r="28">
      <c r="A28" s="561" t="n"/>
      <c r="B28" s="561" t="n"/>
      <c r="C28" s="142" t="inlineStr">
        <is>
          <t>DG</t>
        </is>
      </c>
      <c r="D28" s="58" t="n">
        <v>2065</v>
      </c>
      <c r="E28" s="561" t="n">
        <v>2065</v>
      </c>
      <c r="F28" s="561" t="n">
        <v>2065</v>
      </c>
      <c r="G28" s="561" t="n">
        <v>2065</v>
      </c>
      <c r="H28" s="561" t="n">
        <v>2065</v>
      </c>
      <c r="I28" s="561" t="n">
        <v>2065</v>
      </c>
      <c r="J28" s="561" t="n">
        <v>2065</v>
      </c>
      <c r="K28" s="561" t="n">
        <v>2065</v>
      </c>
      <c r="L28" s="561" t="n">
        <v>2065</v>
      </c>
      <c r="M28" s="561" t="n">
        <v>2065</v>
      </c>
      <c r="N28" s="561" t="n">
        <v>2065</v>
      </c>
      <c r="O28" s="561" t="n">
        <v>2065</v>
      </c>
      <c r="P28" s="561" t="n">
        <v>2065</v>
      </c>
      <c r="Q28" s="561" t="n">
        <v>2065</v>
      </c>
      <c r="R28" s="561" t="n">
        <v>2065</v>
      </c>
      <c r="S28" s="561" t="n">
        <v>2065</v>
      </c>
      <c r="T28" s="561" t="n">
        <v>2065</v>
      </c>
      <c r="U28" s="561" t="n">
        <v>2065</v>
      </c>
      <c r="V28" s="561" t="n">
        <v>2065</v>
      </c>
      <c r="W28" s="561" t="n">
        <v>2065</v>
      </c>
      <c r="X28" s="561" t="n">
        <v>2065</v>
      </c>
      <c r="Y28" s="561" t="n">
        <v>2065</v>
      </c>
      <c r="Z28" s="561" t="n">
        <v>2065</v>
      </c>
      <c r="AA28" s="561" t="n">
        <v>2065</v>
      </c>
      <c r="AB28" s="561" t="n">
        <v>2065</v>
      </c>
      <c r="AC28" s="561" t="n">
        <v>2065</v>
      </c>
      <c r="AD28" s="561" t="n">
        <v>2065</v>
      </c>
      <c r="AE28" s="561" t="n">
        <v>2065</v>
      </c>
      <c r="AF28" s="561" t="n">
        <v>2065</v>
      </c>
      <c r="AG28" s="561" t="n">
        <v>2065</v>
      </c>
      <c r="AH28" s="58" t="n">
        <v>2065</v>
      </c>
      <c r="AI28" s="58" t="n">
        <v>2068</v>
      </c>
      <c r="AJ28" s="57">
        <f>AI28-D28</f>
        <v/>
      </c>
    </row>
    <row r="29">
      <c r="A29" s="561" t="n">
        <v>4</v>
      </c>
      <c r="B29" s="561" t="inlineStr">
        <is>
          <t>3F</t>
        </is>
      </c>
      <c r="C29" s="141" t="inlineStr">
        <is>
          <t>AHU4</t>
        </is>
      </c>
      <c r="D29" s="128" t="n">
        <v>41608</v>
      </c>
      <c r="E29" s="561" t="n">
        <v>41614</v>
      </c>
      <c r="F29" s="561" t="n">
        <v>41801</v>
      </c>
      <c r="G29" s="561" t="n">
        <v>41801</v>
      </c>
      <c r="H29" s="561" t="n">
        <v>41803</v>
      </c>
      <c r="I29" s="561" t="n">
        <v>41944</v>
      </c>
      <c r="J29" s="561" t="n">
        <v>42061</v>
      </c>
      <c r="K29" s="561" t="n">
        <v>42189</v>
      </c>
      <c r="L29" s="561" t="n">
        <v>42289</v>
      </c>
      <c r="M29" s="561" t="n">
        <v>42385</v>
      </c>
      <c r="N29" s="561" t="n">
        <v>42438</v>
      </c>
      <c r="O29" s="561" t="n">
        <v>42438</v>
      </c>
      <c r="P29" s="561" t="n">
        <v>42517</v>
      </c>
      <c r="Q29" s="561" t="n">
        <v>42592</v>
      </c>
      <c r="R29" s="561" t="n">
        <v>42660</v>
      </c>
      <c r="S29" s="561" t="n">
        <v>42767</v>
      </c>
      <c r="T29" s="561" t="n">
        <v>42819</v>
      </c>
      <c r="U29" s="561" t="n">
        <v>42819</v>
      </c>
      <c r="V29" s="561" t="n">
        <v>42819</v>
      </c>
      <c r="W29" s="561" t="n">
        <v>42952</v>
      </c>
      <c r="X29" s="561" t="n">
        <v>43006</v>
      </c>
      <c r="Y29" s="561" t="n">
        <v>43051</v>
      </c>
      <c r="Z29" s="561" t="n">
        <v>43093</v>
      </c>
      <c r="AA29" s="561" t="n">
        <v>43139</v>
      </c>
      <c r="AB29" s="561" t="n">
        <v>43139</v>
      </c>
      <c r="AC29" s="561" t="n">
        <v>43139</v>
      </c>
      <c r="AD29" s="561" t="n">
        <v>43139</v>
      </c>
      <c r="AE29" s="561" t="n">
        <v>43253</v>
      </c>
      <c r="AF29" s="561" t="n">
        <v>43300</v>
      </c>
      <c r="AG29" s="561" t="n">
        <v>43397</v>
      </c>
      <c r="AH29" s="128" t="n">
        <v>43502</v>
      </c>
      <c r="AI29" s="128" t="n">
        <v>43502</v>
      </c>
      <c r="AJ29" s="57">
        <f>AI29-D29</f>
        <v/>
      </c>
    </row>
    <row r="30">
      <c r="A30" s="561" t="n"/>
      <c r="B30" s="561" t="n"/>
      <c r="C30" s="142" t="inlineStr">
        <is>
          <t>DG</t>
        </is>
      </c>
      <c r="D30" s="58" t="n">
        <v>1786</v>
      </c>
      <c r="E30" s="561" t="n">
        <v>1786</v>
      </c>
      <c r="F30" s="561" t="n">
        <v>1786</v>
      </c>
      <c r="G30" s="561" t="n">
        <v>1786</v>
      </c>
      <c r="H30" s="561" t="n">
        <v>1786</v>
      </c>
      <c r="I30" s="561" t="n">
        <v>1786</v>
      </c>
      <c r="J30" s="561" t="n">
        <v>1786</v>
      </c>
      <c r="K30" s="561" t="n">
        <v>1786</v>
      </c>
      <c r="L30" s="561" t="n">
        <v>1786</v>
      </c>
      <c r="M30" s="561" t="n">
        <v>1786</v>
      </c>
      <c r="N30" s="561" t="n">
        <v>1786</v>
      </c>
      <c r="O30" s="561" t="n">
        <v>1786</v>
      </c>
      <c r="P30" s="561" t="n">
        <v>1786</v>
      </c>
      <c r="Q30" s="561" t="n">
        <v>1786</v>
      </c>
      <c r="R30" s="561" t="n">
        <v>1786</v>
      </c>
      <c r="S30" s="561" t="n">
        <v>1786</v>
      </c>
      <c r="T30" s="561" t="n">
        <v>1786</v>
      </c>
      <c r="U30" s="561" t="n">
        <v>1786</v>
      </c>
      <c r="V30" s="561" t="n">
        <v>1786</v>
      </c>
      <c r="W30" s="561" t="n">
        <v>1786</v>
      </c>
      <c r="X30" s="561" t="n">
        <v>1786</v>
      </c>
      <c r="Y30" s="561" t="n">
        <v>1786</v>
      </c>
      <c r="Z30" s="561" t="n">
        <v>1786</v>
      </c>
      <c r="AA30" s="561" t="n">
        <v>1786</v>
      </c>
      <c r="AB30" s="561" t="n">
        <v>1786</v>
      </c>
      <c r="AC30" s="561" t="n">
        <v>1786</v>
      </c>
      <c r="AD30" s="561" t="n">
        <v>1786</v>
      </c>
      <c r="AE30" s="561" t="n">
        <v>1786</v>
      </c>
      <c r="AF30" s="561" t="n">
        <v>1786</v>
      </c>
      <c r="AG30" s="561" t="n">
        <v>1786</v>
      </c>
      <c r="AH30" s="58" t="n">
        <v>1786</v>
      </c>
      <c r="AI30" s="58" t="n">
        <v>1788</v>
      </c>
      <c r="AJ30" s="57">
        <f>AI30-D30</f>
        <v/>
      </c>
    </row>
    <row r="31">
      <c r="A31" s="561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20" t="n"/>
      <c r="AJ31" s="501" t="n"/>
    </row>
    <row r="32">
      <c r="A32" s="561" t="n">
        <v>1</v>
      </c>
      <c r="B32" s="561" t="inlineStr">
        <is>
          <t>3F</t>
        </is>
      </c>
      <c r="C32" s="141" t="inlineStr">
        <is>
          <t>AHU1 - BTU</t>
        </is>
      </c>
      <c r="D32" s="207" t="n">
        <v>388786</v>
      </c>
      <c r="E32" s="44" t="n">
        <v>388786</v>
      </c>
      <c r="F32" s="150" t="n">
        <v>388989</v>
      </c>
      <c r="G32" s="150" t="n">
        <v>388997</v>
      </c>
      <c r="H32" s="150" t="n">
        <v>388997</v>
      </c>
      <c r="I32" s="44" t="n">
        <v>389234</v>
      </c>
      <c r="J32" s="150" t="n">
        <v>389479</v>
      </c>
      <c r="K32" s="150" t="n">
        <v>389717</v>
      </c>
      <c r="L32" s="150" t="n">
        <v>389974</v>
      </c>
      <c r="M32" s="44" t="n">
        <v>390145</v>
      </c>
      <c r="N32" s="150" t="n">
        <v>390320</v>
      </c>
      <c r="O32" s="150" t="n">
        <v>390320</v>
      </c>
      <c r="P32" s="150" t="n">
        <v>390507</v>
      </c>
      <c r="Q32" s="44" t="n">
        <v>390801</v>
      </c>
      <c r="R32" s="150" t="n">
        <v>391035</v>
      </c>
      <c r="S32" s="150" t="n">
        <v>391137</v>
      </c>
      <c r="T32" s="150" t="n">
        <v>391284</v>
      </c>
      <c r="U32" s="44" t="n">
        <v>391340</v>
      </c>
      <c r="V32" s="150" t="n">
        <v>391340</v>
      </c>
      <c r="W32" s="150" t="n">
        <v>391655</v>
      </c>
      <c r="X32" s="150" t="n">
        <v>392070</v>
      </c>
      <c r="Y32" s="44" t="n">
        <v>392394</v>
      </c>
      <c r="Z32" s="150" t="n">
        <v>392730</v>
      </c>
      <c r="AA32" s="150" t="n">
        <v>392957</v>
      </c>
      <c r="AB32" s="150" t="n">
        <v>393032</v>
      </c>
      <c r="AC32" s="44" t="n">
        <v>393033</v>
      </c>
      <c r="AD32" s="150" t="n">
        <v>393033</v>
      </c>
      <c r="AE32" s="150" t="n">
        <v>393302</v>
      </c>
      <c r="AF32" s="150" t="n">
        <v>393652</v>
      </c>
      <c r="AG32" s="44" t="n">
        <v>393962</v>
      </c>
      <c r="AH32" s="207" t="n">
        <v>394254</v>
      </c>
      <c r="AI32" s="207" t="n">
        <v>394335</v>
      </c>
      <c r="AJ32" s="57">
        <f>AI32-D32</f>
        <v/>
      </c>
    </row>
    <row r="33">
      <c r="A33" s="561" t="n">
        <v>2</v>
      </c>
      <c r="B33" s="561" t="inlineStr">
        <is>
          <t>3F</t>
        </is>
      </c>
      <c r="C33" s="141" t="inlineStr">
        <is>
          <t>AHU2 - BTU</t>
        </is>
      </c>
      <c r="D33" s="207" t="n">
        <v>364801</v>
      </c>
      <c r="E33" s="150" t="n">
        <v>364801</v>
      </c>
      <c r="F33" s="150" t="n">
        <v>364942</v>
      </c>
      <c r="G33" s="150" t="n">
        <v>364942</v>
      </c>
      <c r="H33" s="150" t="n">
        <v>364942</v>
      </c>
      <c r="I33" s="150" t="n">
        <v>365152</v>
      </c>
      <c r="J33" s="150" t="n">
        <v>365356</v>
      </c>
      <c r="K33" s="150" t="n">
        <v>365548</v>
      </c>
      <c r="L33" s="150" t="n">
        <v>365752</v>
      </c>
      <c r="M33" s="150" t="n">
        <v>365874</v>
      </c>
      <c r="N33" s="150" t="n">
        <v>366053</v>
      </c>
      <c r="O33" s="150" t="n">
        <v>366084</v>
      </c>
      <c r="P33" s="150" t="n">
        <v>366288</v>
      </c>
      <c r="Q33" s="150" t="n">
        <v>366462</v>
      </c>
      <c r="R33" s="150" t="n">
        <v>366716</v>
      </c>
      <c r="S33" s="150" t="n">
        <v>366938</v>
      </c>
      <c r="T33" s="150" t="n">
        <v>367126</v>
      </c>
      <c r="U33" s="150" t="n">
        <v>367174</v>
      </c>
      <c r="V33" s="150" t="n">
        <v>367174</v>
      </c>
      <c r="W33" s="150" t="n">
        <v>367527</v>
      </c>
      <c r="X33" s="150" t="n">
        <v>367906</v>
      </c>
      <c r="Y33" s="150" t="n">
        <v>367906</v>
      </c>
      <c r="Z33" s="150" t="n">
        <v>368686</v>
      </c>
      <c r="AA33" s="150" t="n">
        <v>368931</v>
      </c>
      <c r="AB33" s="150" t="n">
        <v>369007</v>
      </c>
      <c r="AC33" s="150" t="n">
        <v>369007</v>
      </c>
      <c r="AD33" s="150" t="n">
        <v>369007</v>
      </c>
      <c r="AE33" s="150" t="n">
        <v>369310</v>
      </c>
      <c r="AF33" s="150" t="n">
        <v>369718</v>
      </c>
      <c r="AG33" s="150" t="n">
        <v>369986</v>
      </c>
      <c r="AH33" s="207" t="n">
        <v>370271</v>
      </c>
      <c r="AI33" s="207" t="n">
        <v>370360</v>
      </c>
      <c r="AJ33" s="57">
        <f>AI33-D33</f>
        <v/>
      </c>
    </row>
    <row r="34">
      <c r="A34" s="561" t="n">
        <v>3</v>
      </c>
      <c r="B34" s="561" t="inlineStr">
        <is>
          <t>3F</t>
        </is>
      </c>
      <c r="C34" s="141" t="inlineStr">
        <is>
          <t>AHU3 - BTU</t>
        </is>
      </c>
      <c r="D34" s="207" t="n">
        <v>391409</v>
      </c>
      <c r="E34" s="150" t="n">
        <v>391409</v>
      </c>
      <c r="F34" s="150" t="n">
        <v>391825</v>
      </c>
      <c r="G34" s="150" t="n">
        <v>392013</v>
      </c>
      <c r="H34" s="150" t="n">
        <v>392117</v>
      </c>
      <c r="I34" s="150" t="n">
        <v>392377</v>
      </c>
      <c r="J34" s="150" t="n">
        <v>392724</v>
      </c>
      <c r="K34" s="150" t="n">
        <v>393049</v>
      </c>
      <c r="L34" s="150" t="n">
        <v>393382</v>
      </c>
      <c r="M34" s="150" t="n">
        <v>393636</v>
      </c>
      <c r="N34" s="150" t="n">
        <v>393926</v>
      </c>
      <c r="O34" s="150" t="n">
        <v>394110</v>
      </c>
      <c r="P34" s="150" t="n">
        <v>394364</v>
      </c>
      <c r="Q34" s="150" t="n">
        <v>394683</v>
      </c>
      <c r="R34" s="150" t="n">
        <v>395014</v>
      </c>
      <c r="S34" s="150" t="n">
        <v>395146</v>
      </c>
      <c r="T34" s="150" t="n">
        <v>395378</v>
      </c>
      <c r="U34" s="150" t="n">
        <v>395602</v>
      </c>
      <c r="V34" s="150" t="n">
        <v>395602</v>
      </c>
      <c r="W34" s="150" t="n">
        <v>395861</v>
      </c>
      <c r="X34" s="150" t="n">
        <v>396223</v>
      </c>
      <c r="Y34" s="150" t="n">
        <v>396901</v>
      </c>
      <c r="Z34" s="150" t="n">
        <v>396936</v>
      </c>
      <c r="AA34" s="150" t="n">
        <v>397229</v>
      </c>
      <c r="AB34" s="150" t="n">
        <v>397522</v>
      </c>
      <c r="AC34" s="150" t="n">
        <v>397668</v>
      </c>
      <c r="AD34" s="150" t="n">
        <v>397668</v>
      </c>
      <c r="AE34" s="150" t="n">
        <v>397838</v>
      </c>
      <c r="AF34" s="150" t="n">
        <v>398215</v>
      </c>
      <c r="AG34" s="150" t="n">
        <v>398464</v>
      </c>
      <c r="AH34" s="207" t="n">
        <v>398786</v>
      </c>
      <c r="AI34" s="207" t="n">
        <v>398878</v>
      </c>
      <c r="AJ34" s="57">
        <f>AI34-D34</f>
        <v/>
      </c>
    </row>
    <row r="35">
      <c r="A35" s="561" t="n">
        <v>4</v>
      </c>
      <c r="B35" s="561" t="inlineStr">
        <is>
          <t>3F</t>
        </is>
      </c>
      <c r="C35" s="141" t="inlineStr">
        <is>
          <t>AHU4 - BTU</t>
        </is>
      </c>
      <c r="D35" s="207" t="n">
        <v>421615</v>
      </c>
      <c r="E35" s="150" t="n">
        <v>421615</v>
      </c>
      <c r="F35" s="150" t="n">
        <v>421903</v>
      </c>
      <c r="G35" s="150" t="n">
        <v>421937</v>
      </c>
      <c r="H35" s="150" t="n">
        <v>421937</v>
      </c>
      <c r="I35" s="150" t="n">
        <v>422256</v>
      </c>
      <c r="J35" s="150" t="n">
        <v>422450</v>
      </c>
      <c r="K35" s="150" t="n">
        <v>422666</v>
      </c>
      <c r="L35" s="150" t="n">
        <v>422851</v>
      </c>
      <c r="M35" s="150" t="n">
        <v>423008</v>
      </c>
      <c r="N35" s="150" t="n">
        <v>423199</v>
      </c>
      <c r="O35" s="150" t="n">
        <v>423243</v>
      </c>
      <c r="P35" s="202" t="n">
        <v>423479</v>
      </c>
      <c r="Q35" s="150" t="n">
        <v>423759</v>
      </c>
      <c r="R35" s="150" t="n">
        <v>423963</v>
      </c>
      <c r="S35" s="150" t="n">
        <v>424174</v>
      </c>
      <c r="T35" s="150" t="n">
        <v>424406</v>
      </c>
      <c r="U35" s="150" t="n">
        <v>424463</v>
      </c>
      <c r="V35" s="150" t="n">
        <v>424463</v>
      </c>
      <c r="W35" s="150" t="n">
        <v>424998</v>
      </c>
      <c r="X35" s="150" t="n">
        <v>425394</v>
      </c>
      <c r="Y35" s="150" t="n">
        <v>425852</v>
      </c>
      <c r="Z35" s="150" t="n">
        <v>426330</v>
      </c>
      <c r="AA35" s="150" t="n">
        <v>426609</v>
      </c>
      <c r="AB35" s="150" t="n">
        <v>426674</v>
      </c>
      <c r="AC35" s="150" t="n">
        <v>426688</v>
      </c>
      <c r="AD35" s="150" t="n">
        <v>426688</v>
      </c>
      <c r="AE35" s="150" t="n">
        <v>427118</v>
      </c>
      <c r="AF35" s="150" t="n">
        <v>427494</v>
      </c>
      <c r="AG35" s="150" t="n">
        <v>427900</v>
      </c>
      <c r="AH35" s="207" t="n">
        <v>428345</v>
      </c>
      <c r="AI35" s="207" t="n">
        <v>428437</v>
      </c>
      <c r="AJ35" s="57">
        <f>AI35-D35</f>
        <v/>
      </c>
    </row>
    <row r="36">
      <c r="A36" s="180" t="n"/>
      <c r="B36" s="180" t="n"/>
      <c r="C36" s="143" t="n"/>
      <c r="D36" s="180" t="n"/>
      <c r="E36" s="13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  <c r="AA36" s="180" t="n"/>
      <c r="AB36" s="180" t="n"/>
      <c r="AC36" s="6" t="n"/>
      <c r="AD36" s="180" t="n"/>
      <c r="AE36" s="180" t="n"/>
      <c r="AF36" s="180" t="n"/>
      <c r="AG36" s="180" t="n"/>
      <c r="AH36" s="180" t="n"/>
      <c r="AI36" s="180" t="n"/>
      <c r="AJ36" s="181">
        <f>SUM(AJ32:AJ35)</f>
        <v/>
      </c>
      <c r="AK36">
        <f>AJ36*40%</f>
        <v/>
      </c>
    </row>
    <row r="37">
      <c r="A37" s="14" t="n"/>
      <c r="B37" s="137" t="n"/>
      <c r="C37" s="144" t="n"/>
      <c r="D37" s="138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</row>
    <row r="38">
      <c r="A38" s="93" t="n"/>
      <c r="B38" s="539" t="inlineStr">
        <is>
          <t xml:space="preserve"> Daily Energy Report</t>
        </is>
      </c>
      <c r="C38" s="520" t="n"/>
      <c r="D38" s="501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</row>
    <row r="39">
      <c r="A39" s="94" t="n"/>
      <c r="B39" s="534" t="inlineStr">
        <is>
          <t>Electricity Consumption</t>
        </is>
      </c>
      <c r="C39" s="520" t="n"/>
      <c r="D39" s="501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4" t="n"/>
      <c r="AJ39" s="94" t="n"/>
    </row>
    <row r="40">
      <c r="A40" s="533" t="inlineStr">
        <is>
          <t>Sr.No</t>
        </is>
      </c>
      <c r="B40" s="533" t="inlineStr">
        <is>
          <t>Location</t>
        </is>
      </c>
      <c r="C40" s="533" t="inlineStr">
        <is>
          <t>Meter</t>
        </is>
      </c>
      <c r="D40" s="522" t="n"/>
      <c r="E40" s="51" t="n">
        <v>46023</v>
      </c>
      <c r="F40" s="95">
        <f>F2</f>
        <v/>
      </c>
      <c r="G40" s="95">
        <f>G2</f>
        <v/>
      </c>
      <c r="H40" s="95">
        <f>H2</f>
        <v/>
      </c>
      <c r="I40" s="95">
        <f>I2</f>
        <v/>
      </c>
      <c r="J40" s="95">
        <f>J2</f>
        <v/>
      </c>
      <c r="K40" s="95">
        <f>K2</f>
        <v/>
      </c>
      <c r="L40" s="95">
        <f>L2</f>
        <v/>
      </c>
      <c r="M40" s="95">
        <f>M2</f>
        <v/>
      </c>
      <c r="N40" s="95">
        <f>N2</f>
        <v/>
      </c>
      <c r="O40" s="95">
        <f>O2</f>
        <v/>
      </c>
      <c r="P40" s="95">
        <f>P2</f>
        <v/>
      </c>
      <c r="Q40" s="95">
        <f>Q2</f>
        <v/>
      </c>
      <c r="R40" s="95">
        <f>R2</f>
        <v/>
      </c>
      <c r="S40" s="95">
        <f>S2</f>
        <v/>
      </c>
      <c r="T40" s="95">
        <f>T2</f>
        <v/>
      </c>
      <c r="U40" s="95">
        <f>U2</f>
        <v/>
      </c>
      <c r="V40" s="95">
        <f>V2</f>
        <v/>
      </c>
      <c r="W40" s="95">
        <f>W2</f>
        <v/>
      </c>
      <c r="X40" s="95">
        <f>X2</f>
        <v/>
      </c>
      <c r="Y40" s="95">
        <f>Y2</f>
        <v/>
      </c>
      <c r="Z40" s="95">
        <f>Z2</f>
        <v/>
      </c>
      <c r="AA40" s="95">
        <f>AA2</f>
        <v/>
      </c>
      <c r="AB40" s="95">
        <f>AB2</f>
        <v/>
      </c>
      <c r="AC40" s="95">
        <f>AC2</f>
        <v/>
      </c>
      <c r="AD40" s="95">
        <f>AD2</f>
        <v/>
      </c>
      <c r="AE40" s="95">
        <f>AE2</f>
        <v/>
      </c>
      <c r="AF40" s="95">
        <f>AF2</f>
        <v/>
      </c>
      <c r="AG40" s="95">
        <f>AG2</f>
        <v/>
      </c>
      <c r="AH40" s="95">
        <f>AH2</f>
        <v/>
      </c>
      <c r="AI40" s="51" t="n">
        <v>46022</v>
      </c>
      <c r="AJ40" s="533" t="inlineStr">
        <is>
          <t>Consumption</t>
        </is>
      </c>
    </row>
    <row r="41">
      <c r="A41" s="516" t="n"/>
      <c r="B41" s="516" t="n"/>
      <c r="C41" s="523" t="n"/>
      <c r="D41" s="524" t="n"/>
      <c r="E41" s="96" t="inlineStr">
        <is>
          <t>Thu</t>
        </is>
      </c>
      <c r="F41" s="96" t="inlineStr">
        <is>
          <t>Fri</t>
        </is>
      </c>
      <c r="G41" s="96" t="inlineStr">
        <is>
          <t>Sat</t>
        </is>
      </c>
      <c r="H41" s="96" t="inlineStr">
        <is>
          <t>Sun</t>
        </is>
      </c>
      <c r="I41" s="96" t="inlineStr">
        <is>
          <t>Mon</t>
        </is>
      </c>
      <c r="J41" s="96" t="inlineStr">
        <is>
          <t>Tue</t>
        </is>
      </c>
      <c r="K41" s="96" t="inlineStr">
        <is>
          <t>Wed</t>
        </is>
      </c>
      <c r="L41" s="96" t="inlineStr">
        <is>
          <t>Thu</t>
        </is>
      </c>
      <c r="M41" s="96" t="inlineStr">
        <is>
          <t>Fri</t>
        </is>
      </c>
      <c r="N41" s="96" t="inlineStr">
        <is>
          <t>Sat</t>
        </is>
      </c>
      <c r="O41" s="96" t="inlineStr">
        <is>
          <t>Sun</t>
        </is>
      </c>
      <c r="P41" s="96" t="inlineStr">
        <is>
          <t>Mon</t>
        </is>
      </c>
      <c r="Q41" s="96" t="inlineStr">
        <is>
          <t>Tue</t>
        </is>
      </c>
      <c r="R41" s="96" t="inlineStr">
        <is>
          <t>Wed</t>
        </is>
      </c>
      <c r="S41" s="96" t="inlineStr">
        <is>
          <t>Thu</t>
        </is>
      </c>
      <c r="T41" s="96" t="inlineStr">
        <is>
          <t>Fri</t>
        </is>
      </c>
      <c r="U41" s="96" t="inlineStr">
        <is>
          <t>Sat</t>
        </is>
      </c>
      <c r="V41" s="96" t="inlineStr">
        <is>
          <t>Sun</t>
        </is>
      </c>
      <c r="W41" s="96" t="inlineStr">
        <is>
          <t>Mon</t>
        </is>
      </c>
      <c r="X41" s="96" t="inlineStr">
        <is>
          <t>Tue</t>
        </is>
      </c>
      <c r="Y41" s="96" t="inlineStr">
        <is>
          <t>Wed</t>
        </is>
      </c>
      <c r="Z41" s="96" t="inlineStr">
        <is>
          <t>Thu</t>
        </is>
      </c>
      <c r="AA41" s="96" t="inlineStr">
        <is>
          <t>Fri</t>
        </is>
      </c>
      <c r="AB41" s="96" t="inlineStr">
        <is>
          <t>Sat</t>
        </is>
      </c>
      <c r="AC41" s="96" t="inlineStr">
        <is>
          <t>Sun</t>
        </is>
      </c>
      <c r="AD41" s="96" t="inlineStr">
        <is>
          <t>Mon</t>
        </is>
      </c>
      <c r="AE41" s="96" t="inlineStr">
        <is>
          <t>Tue</t>
        </is>
      </c>
      <c r="AF41" s="96" t="inlineStr">
        <is>
          <t>Wed</t>
        </is>
      </c>
      <c r="AG41" s="96" t="inlineStr">
        <is>
          <t>Thu</t>
        </is>
      </c>
      <c r="AH41" s="96" t="inlineStr">
        <is>
          <t>Fri</t>
        </is>
      </c>
      <c r="AI41" s="96" t="inlineStr">
        <is>
          <t>Sat</t>
        </is>
      </c>
      <c r="AJ41" s="516" t="n"/>
    </row>
    <row r="42">
      <c r="A42" s="516" t="n"/>
      <c r="B42" s="516" t="n"/>
      <c r="C42" s="523" t="n"/>
      <c r="D42" s="524" t="n"/>
      <c r="E42" s="97" t="inlineStr">
        <is>
          <t>Time</t>
        </is>
      </c>
      <c r="F42" s="97" t="inlineStr">
        <is>
          <t>Time</t>
        </is>
      </c>
      <c r="G42" s="97" t="inlineStr">
        <is>
          <t>Time</t>
        </is>
      </c>
      <c r="H42" s="97" t="inlineStr">
        <is>
          <t>Time</t>
        </is>
      </c>
      <c r="I42" s="97" t="inlineStr">
        <is>
          <t>Time</t>
        </is>
      </c>
      <c r="J42" s="97" t="inlineStr">
        <is>
          <t>Time</t>
        </is>
      </c>
      <c r="K42" s="97" t="inlineStr">
        <is>
          <t>Time</t>
        </is>
      </c>
      <c r="L42" s="97" t="inlineStr">
        <is>
          <t>Time</t>
        </is>
      </c>
      <c r="M42" s="97" t="inlineStr">
        <is>
          <t>Time</t>
        </is>
      </c>
      <c r="N42" s="97" t="inlineStr">
        <is>
          <t>Time</t>
        </is>
      </c>
      <c r="O42" s="97" t="inlineStr">
        <is>
          <t>Time</t>
        </is>
      </c>
      <c r="P42" s="97" t="inlineStr">
        <is>
          <t>Time</t>
        </is>
      </c>
      <c r="Q42" s="97" t="inlineStr">
        <is>
          <t>Time</t>
        </is>
      </c>
      <c r="R42" s="97" t="inlineStr">
        <is>
          <t>Time</t>
        </is>
      </c>
      <c r="S42" s="97" t="inlineStr">
        <is>
          <t>Time</t>
        </is>
      </c>
      <c r="T42" s="97" t="inlineStr">
        <is>
          <t>Time</t>
        </is>
      </c>
      <c r="U42" s="97" t="inlineStr">
        <is>
          <t>Time</t>
        </is>
      </c>
      <c r="V42" s="97" t="inlineStr">
        <is>
          <t>Time</t>
        </is>
      </c>
      <c r="W42" s="97" t="inlineStr">
        <is>
          <t>Time</t>
        </is>
      </c>
      <c r="X42" s="97" t="inlineStr">
        <is>
          <t>Time</t>
        </is>
      </c>
      <c r="Y42" s="97" t="inlineStr">
        <is>
          <t>Time</t>
        </is>
      </c>
      <c r="Z42" s="97" t="inlineStr">
        <is>
          <t>Time</t>
        </is>
      </c>
      <c r="AA42" s="97" t="inlineStr">
        <is>
          <t>Time</t>
        </is>
      </c>
      <c r="AB42" s="97" t="inlineStr">
        <is>
          <t>Time</t>
        </is>
      </c>
      <c r="AC42" s="97" t="inlineStr">
        <is>
          <t>Time</t>
        </is>
      </c>
      <c r="AD42" s="97" t="inlineStr">
        <is>
          <t>Time</t>
        </is>
      </c>
      <c r="AE42" s="97" t="inlineStr">
        <is>
          <t>Time</t>
        </is>
      </c>
      <c r="AF42" s="97" t="inlineStr">
        <is>
          <t>Time</t>
        </is>
      </c>
      <c r="AG42" s="97" t="inlineStr">
        <is>
          <t>Time</t>
        </is>
      </c>
      <c r="AH42" s="95">
        <f>AH4</f>
        <v/>
      </c>
      <c r="AI42" s="52" t="inlineStr">
        <is>
          <t>Time</t>
        </is>
      </c>
      <c r="AJ42" s="516" t="n"/>
    </row>
    <row r="43">
      <c r="A43" s="517" t="n"/>
      <c r="B43" s="517" t="n"/>
      <c r="C43" s="525" t="n"/>
      <c r="D43" s="526" t="n"/>
      <c r="E43" s="98" t="n">
        <v>0.3333333333333333</v>
      </c>
      <c r="F43" s="98" t="n">
        <v>0.3333333333333333</v>
      </c>
      <c r="G43" s="98" t="n">
        <v>0.3333333333333333</v>
      </c>
      <c r="H43" s="98" t="n">
        <v>0.3333333333333333</v>
      </c>
      <c r="I43" s="98" t="n">
        <v>0.3333333333333333</v>
      </c>
      <c r="J43" s="98" t="n">
        <v>0.3333333333333333</v>
      </c>
      <c r="K43" s="98" t="n">
        <v>0.3333333333333333</v>
      </c>
      <c r="L43" s="98" t="n">
        <v>0.3333333333333333</v>
      </c>
      <c r="M43" s="98" t="n">
        <v>0.3333333333333333</v>
      </c>
      <c r="N43" s="98" t="n">
        <v>0.3333333333333333</v>
      </c>
      <c r="O43" s="98" t="n">
        <v>0.3333333333333333</v>
      </c>
      <c r="P43" s="98" t="n">
        <v>0.3333333333333333</v>
      </c>
      <c r="Q43" s="98" t="n">
        <v>0.3333333333333333</v>
      </c>
      <c r="R43" s="98" t="n">
        <v>0.3333333333333333</v>
      </c>
      <c r="S43" s="98" t="n">
        <v>0.3333333333333333</v>
      </c>
      <c r="T43" s="98" t="n">
        <v>0.3333333333333333</v>
      </c>
      <c r="U43" s="98" t="n">
        <v>0.3333333333333333</v>
      </c>
      <c r="V43" s="98" t="n">
        <v>0.3333333333333333</v>
      </c>
      <c r="W43" s="98" t="n">
        <v>0.3333333333333333</v>
      </c>
      <c r="X43" s="98" t="n">
        <v>0.3333333333333333</v>
      </c>
      <c r="Y43" s="98" t="n">
        <v>0.3333333333333333</v>
      </c>
      <c r="Z43" s="98" t="n">
        <v>0.3333333333333333</v>
      </c>
      <c r="AA43" s="98" t="n">
        <v>0.3333333333333333</v>
      </c>
      <c r="AB43" s="98" t="n">
        <v>0.3333333333333333</v>
      </c>
      <c r="AC43" s="98" t="n">
        <v>0.3333333333333333</v>
      </c>
      <c r="AD43" s="98" t="n">
        <v>0.3333333333333333</v>
      </c>
      <c r="AE43" s="98" t="n">
        <v>0.3333333333333333</v>
      </c>
      <c r="AF43" s="98" t="n">
        <v>0.3333333333333333</v>
      </c>
      <c r="AG43" s="98" t="n">
        <v>0.3333333333333333</v>
      </c>
      <c r="AH43" s="98" t="n">
        <v>0.3333333333333333</v>
      </c>
      <c r="AI43" s="53" t="n">
        <v>0.3333333333333333</v>
      </c>
      <c r="AJ43" s="517" t="n"/>
    </row>
    <row r="44" ht="15" customHeight="1" s="488">
      <c r="A44" s="500" t="n">
        <v>1</v>
      </c>
      <c r="B44" s="500" t="inlineStr">
        <is>
          <t>3F</t>
        </is>
      </c>
      <c r="C44" s="500" t="inlineStr">
        <is>
          <t>SL No 540430038840 (EB Unit)</t>
        </is>
      </c>
      <c r="D44" s="501" t="n"/>
      <c r="E44" s="20">
        <f>E6-D6</f>
        <v/>
      </c>
      <c r="F44" s="20">
        <f>F6-E6</f>
        <v/>
      </c>
      <c r="G44" s="20">
        <f>G6-F6</f>
        <v/>
      </c>
      <c r="H44" s="20">
        <f>H6-G6</f>
        <v/>
      </c>
      <c r="I44" s="20">
        <f>I6-H6</f>
        <v/>
      </c>
      <c r="J44" s="20">
        <f>J6-I6</f>
        <v/>
      </c>
      <c r="K44" s="20">
        <f>K6-J6</f>
        <v/>
      </c>
      <c r="L44" s="20">
        <f>L6-K6</f>
        <v/>
      </c>
      <c r="M44" s="20">
        <f>M6-L6</f>
        <v/>
      </c>
      <c r="N44" s="20">
        <f>N6-M6</f>
        <v/>
      </c>
      <c r="O44" s="20">
        <f>O6-N6</f>
        <v/>
      </c>
      <c r="P44" s="20">
        <f>P6-O6</f>
        <v/>
      </c>
      <c r="Q44" s="20">
        <f>Q6-P6</f>
        <v/>
      </c>
      <c r="R44" s="20">
        <f>R6-Q6</f>
        <v/>
      </c>
      <c r="S44" s="20">
        <f>S6-R6</f>
        <v/>
      </c>
      <c r="T44" s="20">
        <f>T6-S6</f>
        <v/>
      </c>
      <c r="U44" s="20">
        <f>U6-T6</f>
        <v/>
      </c>
      <c r="V44" s="20">
        <f>V6-U6</f>
        <v/>
      </c>
      <c r="W44" s="20">
        <f>W6-V6</f>
        <v/>
      </c>
      <c r="X44" s="20">
        <f>X6-W6</f>
        <v/>
      </c>
      <c r="Y44" s="20">
        <f>Y6-X6</f>
        <v/>
      </c>
      <c r="Z44" s="20">
        <f>Z6-Y6</f>
        <v/>
      </c>
      <c r="AA44" s="20">
        <f>AA6-Z6</f>
        <v/>
      </c>
      <c r="AB44" s="20">
        <f>AB6-AA6</f>
        <v/>
      </c>
      <c r="AC44" s="20">
        <f>AC6-AB6</f>
        <v/>
      </c>
      <c r="AD44" s="20">
        <f>AD6-AC6</f>
        <v/>
      </c>
      <c r="AE44" s="20">
        <f>AE6-AD6</f>
        <v/>
      </c>
      <c r="AF44" s="20">
        <f>AF6-AE6</f>
        <v/>
      </c>
      <c r="AG44" s="20">
        <f>AG6-AF6</f>
        <v/>
      </c>
      <c r="AH44" s="20">
        <f>AH6-AG6</f>
        <v/>
      </c>
      <c r="AI44" s="20">
        <f>AI6-AH6</f>
        <v/>
      </c>
      <c r="AJ44" s="21">
        <f>SUM(E44:AI44)</f>
        <v/>
      </c>
    </row>
    <row r="45" ht="15" customHeight="1" s="488">
      <c r="A45" s="500" t="n"/>
      <c r="B45" s="500" t="n"/>
      <c r="C45" s="529" t="inlineStr">
        <is>
          <t>DG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5" customHeight="1" s="488">
      <c r="A46" s="500" t="n">
        <v>2</v>
      </c>
      <c r="B46" s="500" t="inlineStr">
        <is>
          <t>3F</t>
        </is>
      </c>
      <c r="C46" s="500" t="inlineStr">
        <is>
          <t>SL No 540430038845 (EB Unit)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/>
      <c r="B47" s="500" t="n"/>
      <c r="C47" s="529" t="inlineStr">
        <is>
          <t>DG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5" customHeight="1" s="488">
      <c r="A48" s="500" t="n">
        <v>3</v>
      </c>
      <c r="B48" s="500" t="inlineStr">
        <is>
          <t>3F</t>
        </is>
      </c>
      <c r="C48" s="500" t="inlineStr">
        <is>
          <t>SL No 540430038844 (EB Unit)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/>
      <c r="B49" s="500" t="n"/>
      <c r="C49" s="529" t="inlineStr">
        <is>
          <t>DG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5" customHeight="1" s="488">
      <c r="A50" s="500" t="n">
        <v>4</v>
      </c>
      <c r="B50" s="500" t="inlineStr">
        <is>
          <t>3F</t>
        </is>
      </c>
      <c r="C50" s="500" t="inlineStr">
        <is>
          <t>SL No 540430038821 (EB Unit)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/>
      <c r="B51" s="500" t="n"/>
      <c r="C51" s="529" t="inlineStr">
        <is>
          <t>DG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5" customHeight="1" s="488">
      <c r="A52" s="500" t="n">
        <v>5</v>
      </c>
      <c r="B52" s="500" t="inlineStr">
        <is>
          <t>3F</t>
        </is>
      </c>
      <c r="C52" s="500" t="inlineStr">
        <is>
          <t>SL No 540430038849 (EB Unit)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/>
      <c r="B53" s="500" t="n"/>
      <c r="C53" s="529" t="inlineStr">
        <is>
          <t>DG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5" customHeight="1" s="488">
      <c r="A54" s="500" t="n">
        <v>6</v>
      </c>
      <c r="B54" s="500" t="inlineStr">
        <is>
          <t>3F</t>
        </is>
      </c>
      <c r="C54" s="500" t="inlineStr">
        <is>
          <t>SL No 540430038696 (EB Unit)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21">
        <f>SUM(E54:AI54)</f>
        <v/>
      </c>
    </row>
    <row r="55" ht="15" customHeight="1" s="488">
      <c r="A55" s="500" t="n"/>
      <c r="B55" s="500" t="n"/>
      <c r="C55" s="529" t="inlineStr">
        <is>
          <t>DG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21">
        <f>SUM(E55:AI55)</f>
        <v/>
      </c>
    </row>
    <row r="56" ht="15" customHeight="1" s="488">
      <c r="A56" s="500" t="n">
        <v>7</v>
      </c>
      <c r="B56" s="500" t="inlineStr">
        <is>
          <t>3F</t>
        </is>
      </c>
      <c r="C56" s="500" t="inlineStr">
        <is>
          <t>SL No 540430038843 (EB Unit)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21">
        <f>SUM(E56:AI56)</f>
        <v/>
      </c>
    </row>
    <row r="57" ht="15" customHeight="1" s="488">
      <c r="A57" s="500" t="n"/>
      <c r="B57" s="500" t="n"/>
      <c r="C57" s="529" t="inlineStr">
        <is>
          <t>DG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21">
        <f>SUM(E57:AI57)</f>
        <v/>
      </c>
    </row>
    <row r="58" ht="15" customHeight="1" s="488">
      <c r="A58" s="500" t="n">
        <v>8</v>
      </c>
      <c r="B58" s="500" t="inlineStr">
        <is>
          <t>3F</t>
        </is>
      </c>
      <c r="C58" s="500" t="inlineStr">
        <is>
          <t>SL No 540430038848 (EB Unit)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/>
      <c r="B59" s="500" t="n"/>
      <c r="C59" s="529" t="inlineStr">
        <is>
          <t>DG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>
      <c r="A60" s="99" t="n"/>
      <c r="B60" s="99" t="n"/>
      <c r="C60" s="511" t="inlineStr">
        <is>
          <t>Total Power - EB Unit</t>
        </is>
      </c>
      <c r="D60" s="501" t="n"/>
      <c r="E60" s="23">
        <f>SUM(E58,E56,E54,E52,E50,E48,E46,E44)</f>
        <v/>
      </c>
      <c r="F60" s="23">
        <f>SUM(F58,F56,F54,F52,F50,F48,F46,F44)</f>
        <v/>
      </c>
      <c r="G60" s="23">
        <f>SUM(G58,G56,G54,G52,G50,G48,G46,G44)</f>
        <v/>
      </c>
      <c r="H60" s="23">
        <f>SUM(H58,H56,H54,H52,H50,H48,H46,H44)</f>
        <v/>
      </c>
      <c r="I60" s="23">
        <f>SUM(I58,I56,I54,I52,I50,I48,I46,I44)</f>
        <v/>
      </c>
      <c r="J60" s="23">
        <f>SUM(J58,J56,J54,J52,J50,J48,J46,J44)</f>
        <v/>
      </c>
      <c r="K60" s="23">
        <f>SUM(K58,K56,K54,K52,K50,K48,K46,K44)</f>
        <v/>
      </c>
      <c r="L60" s="23">
        <f>SUM(L58,L56,L54,L52,L50,L48,L46,L44)</f>
        <v/>
      </c>
      <c r="M60" s="23">
        <f>SUM(M58,M56,M54,M52,M50,M48,M46,M44)</f>
        <v/>
      </c>
      <c r="N60" s="23">
        <f>SUM(N58,N56,N54,N52,N50,N48,N46,N44)</f>
        <v/>
      </c>
      <c r="O60" s="23">
        <f>SUM(O58,O56,O54,O52,O50,O48,O46,O44)</f>
        <v/>
      </c>
      <c r="P60" s="23">
        <f>SUM(P58,P56,P54,P52,P50,P48,P46,P44)</f>
        <v/>
      </c>
      <c r="Q60" s="23">
        <f>SUM(Q58,Q56,Q54,Q52,Q50,Q48,Q46,Q44)</f>
        <v/>
      </c>
      <c r="R60" s="23">
        <f>SUM(R58,R56,R54,R52,R50,R48,R46,R44)</f>
        <v/>
      </c>
      <c r="S60" s="23">
        <f>SUM(S58,S56,S54,S52,S50,S48,S46,S44)</f>
        <v/>
      </c>
      <c r="T60" s="23">
        <f>SUM(T58,T56,T54,T52,T50,T48,T46,T44)</f>
        <v/>
      </c>
      <c r="U60" s="23">
        <f>SUM(U58,U56,U54,U52,U50,U48,U46,U44)</f>
        <v/>
      </c>
      <c r="V60" s="23">
        <f>SUM(V58,V56,V54,V52,V50,V48,V46,V44)</f>
        <v/>
      </c>
      <c r="W60" s="23">
        <f>SUM(W58,W56,W54,W52,W50,W48,W46,W44)</f>
        <v/>
      </c>
      <c r="X60" s="23">
        <f>SUM(X58,X56,X54,X52,X50,X48,X46,X44)</f>
        <v/>
      </c>
      <c r="Y60" s="23">
        <f>SUM(Y58,Y56,Y54,Y52,Y50,Y48,Y46,Y44)</f>
        <v/>
      </c>
      <c r="Z60" s="23">
        <f>SUM(Z58,Z56,Z54,Z52,Z50,Z48,Z46,Z44)</f>
        <v/>
      </c>
      <c r="AA60" s="23">
        <f>SUM(AA58,AA56,AA54,AA52,AA50,AA48,AA46,AA44)</f>
        <v/>
      </c>
      <c r="AB60" s="23">
        <f>SUM(AB58,AB56,AB54,AB52,AB50,AB48,AB46,AB44)</f>
        <v/>
      </c>
      <c r="AC60" s="23">
        <f>SUM(AC58,AC56,AC54,AC52,AC50,AC48,AC46,AC44)</f>
        <v/>
      </c>
      <c r="AD60" s="23">
        <f>SUM(AD58,AD56,AD54,AD52,AD50,AD48,AD46,AD44)</f>
        <v/>
      </c>
      <c r="AE60" s="23">
        <f>SUM(AE58,AE56,AE54,AE52,AE50,AE48,AE46,AE44)</f>
        <v/>
      </c>
      <c r="AF60" s="23">
        <f>SUM(AF58,AF56,AF54,AF52,AF50,AF48,AF46,AF44)</f>
        <v/>
      </c>
      <c r="AG60" s="23">
        <f>SUM(AG58,AG56,AG54,AG52,AG50,AG48,AG46,AG44)</f>
        <v/>
      </c>
      <c r="AH60" s="23">
        <f>SUM(AH58,AH56,AH54,AH52,AH50,AH48,AH46,AH44)</f>
        <v/>
      </c>
      <c r="AI60" s="23">
        <f>SUM(AI58,AI56,AI54,AI52,AI50,AI48,AI46,AI44)</f>
        <v/>
      </c>
      <c r="AJ60" s="23">
        <f>SUM(AJ58,AJ56,AJ54,AJ52,AJ50,AJ48,AJ46,AJ44)</f>
        <v/>
      </c>
    </row>
    <row r="61">
      <c r="A61" s="99" t="n"/>
      <c r="B61" s="99" t="n"/>
      <c r="C61" s="145" t="inlineStr">
        <is>
          <t>Total Power- DG</t>
        </is>
      </c>
      <c r="D61" s="108" t="n"/>
      <c r="E61" s="23">
        <f>SUM(E45,E47,E49,E51,E53,E55,E57,E59)</f>
        <v/>
      </c>
      <c r="F61" s="23">
        <f>SUM(F45,F47,F49,F51,F53,F55,F57,F59)</f>
        <v/>
      </c>
      <c r="G61" s="23">
        <f>SUM(G45,G47,G49,G51,G53,G55,G57,G59)</f>
        <v/>
      </c>
      <c r="H61" s="23">
        <f>SUM(H45,H47,H49,H51,H53,H55,H57,H59)</f>
        <v/>
      </c>
      <c r="I61" s="23">
        <f>SUM(I45,I47,I49,I51,I53,I55,I57,I59)</f>
        <v/>
      </c>
      <c r="J61" s="23">
        <f>SUM(J45,J47,J49,J51,J53,J55,J57,J59)</f>
        <v/>
      </c>
      <c r="K61" s="23">
        <f>SUM(K45,K47,K49,K51,K53,K55,K57,K59)</f>
        <v/>
      </c>
      <c r="L61" s="23">
        <f>SUM(L45,L47,L49,L51,L53,L55,L57,L59)</f>
        <v/>
      </c>
      <c r="M61" s="23">
        <f>SUM(M45,M47,M49,M51,M53,M55,M57,M59)</f>
        <v/>
      </c>
      <c r="N61" s="23">
        <f>SUM(N45,N47,N49,N51,N53,N55,N57,N59)</f>
        <v/>
      </c>
      <c r="O61" s="23">
        <f>SUM(O45,O47,O49,O51,O53,O55,O57,O59)</f>
        <v/>
      </c>
      <c r="P61" s="23">
        <f>SUM(P45,P47,P49,P51,P53,P55,P57,P59)</f>
        <v/>
      </c>
      <c r="Q61" s="23">
        <f>SUM(Q45,Q47,Q49,Q51,Q53,Q55,Q57,Q59)</f>
        <v/>
      </c>
      <c r="R61" s="23">
        <f>SUM(R45,R47,R49,R51,R53,R55,R57,R59)</f>
        <v/>
      </c>
      <c r="S61" s="23">
        <f>SUM(S45,S47,S49,S51,S53,S55,S57,S59)</f>
        <v/>
      </c>
      <c r="T61" s="23">
        <f>SUM(T45,T47,T49,T51,T53,T55,T57,T59)</f>
        <v/>
      </c>
      <c r="U61" s="23">
        <f>SUM(U45,U47,U49,U51,U53,U55,U57,U59)</f>
        <v/>
      </c>
      <c r="V61" s="23">
        <f>SUM(V45,V47,V49,V51,V53,V55,V57,V59)</f>
        <v/>
      </c>
      <c r="W61" s="23">
        <f>SUM(W45,W47,W49,W51,W53,W55,W57,W59)</f>
        <v/>
      </c>
      <c r="X61" s="23">
        <f>SUM(X45,X47,X49,X51,X53,X55,X57,X59)</f>
        <v/>
      </c>
      <c r="Y61" s="23">
        <f>SUM(Y45,Y47,Y49,Y51,Y53,Y55,Y57,Y59)</f>
        <v/>
      </c>
      <c r="Z61" s="23">
        <f>SUM(Z45,Z47,Z49,Z51,Z53,Z55,Z57,Z59)</f>
        <v/>
      </c>
      <c r="AA61" s="23">
        <f>SUM(AA45,AA47,AA49,AA51,AA53,AA55,AA57,AA59)</f>
        <v/>
      </c>
      <c r="AB61" s="23">
        <f>SUM(AB45,AB47,AB49,AB51,AB53,AB55,AB57,AB59)</f>
        <v/>
      </c>
      <c r="AC61" s="23">
        <f>SUM(AC45,AC47,AC49,AC51,AC53,AC55,AC57,AC59)</f>
        <v/>
      </c>
      <c r="AD61" s="23">
        <f>SUM(AD45,AD47,AD49,AD51,AD53,AD55,AD57,AD59)</f>
        <v/>
      </c>
      <c r="AE61" s="23">
        <f>SUM(AE45,AE47,AE49,AE51,AE53,AE55,AE57,AE59)</f>
        <v/>
      </c>
      <c r="AF61" s="23">
        <f>SUM(AF45,AF47,AF49,AF51,AF53,AF55,AF57,AF59)</f>
        <v/>
      </c>
      <c r="AG61" s="23">
        <f>SUM(AG45,AG47,AG49,AG51,AG53,AG55,AG57,AG59)</f>
        <v/>
      </c>
      <c r="AH61" s="23">
        <f>SUM(AH45,AH47,AH49,AH51,AH53,AH55,AH57,AH59)</f>
        <v/>
      </c>
      <c r="AI61" s="23">
        <f>SUM(AI45,AI47,AI49,AI51,AI53,AI55,AI57,AI59)</f>
        <v/>
      </c>
      <c r="AJ61" s="23">
        <f>SUM(AJ45,AJ47,AJ49,AJ51,AJ53,AJ55,AJ57,AJ59)</f>
        <v/>
      </c>
    </row>
    <row r="62" ht="15" customHeight="1" s="488">
      <c r="A62" s="539" t="n"/>
      <c r="B62" s="539" t="n"/>
      <c r="C62" s="532" t="inlineStr">
        <is>
          <t>Total Power Cumulative</t>
        </is>
      </c>
      <c r="D62" s="501" t="n"/>
      <c r="E62" s="102">
        <f>E60</f>
        <v/>
      </c>
      <c r="F62" s="102">
        <f>F60</f>
        <v/>
      </c>
      <c r="G62" s="102">
        <f>G60</f>
        <v/>
      </c>
      <c r="H62" s="102">
        <f>H60</f>
        <v/>
      </c>
      <c r="I62" s="102">
        <f>I60</f>
        <v/>
      </c>
      <c r="J62" s="102">
        <f>J60</f>
        <v/>
      </c>
      <c r="K62" s="102">
        <f>K60</f>
        <v/>
      </c>
      <c r="L62" s="102">
        <f>L60</f>
        <v/>
      </c>
      <c r="M62" s="102">
        <f>M60</f>
        <v/>
      </c>
      <c r="N62" s="102">
        <f>N60</f>
        <v/>
      </c>
      <c r="O62" s="102">
        <f>O60</f>
        <v/>
      </c>
      <c r="P62" s="102">
        <f>P60</f>
        <v/>
      </c>
      <c r="Q62" s="102">
        <f>Q60</f>
        <v/>
      </c>
      <c r="R62" s="102">
        <f>R60</f>
        <v/>
      </c>
      <c r="S62" s="102">
        <f>S60</f>
        <v/>
      </c>
      <c r="T62" s="102">
        <f>T60</f>
        <v/>
      </c>
      <c r="U62" s="102">
        <f>U60</f>
        <v/>
      </c>
      <c r="V62" s="102">
        <f>V60</f>
        <v/>
      </c>
      <c r="W62" s="102">
        <f>W60</f>
        <v/>
      </c>
      <c r="X62" s="102">
        <f>X60</f>
        <v/>
      </c>
      <c r="Y62" s="102">
        <f>Y60</f>
        <v/>
      </c>
      <c r="Z62" s="102">
        <f>Z60</f>
        <v/>
      </c>
      <c r="AA62" s="102">
        <f>AA60</f>
        <v/>
      </c>
      <c r="AB62" s="102">
        <f>AB60</f>
        <v/>
      </c>
      <c r="AC62" s="102">
        <f>AC60</f>
        <v/>
      </c>
      <c r="AD62" s="102">
        <f>AD60</f>
        <v/>
      </c>
      <c r="AE62" s="102">
        <f>AE60</f>
        <v/>
      </c>
      <c r="AF62" s="102">
        <f>AF60</f>
        <v/>
      </c>
      <c r="AG62" s="102">
        <f>AG60</f>
        <v/>
      </c>
      <c r="AH62" s="102">
        <f>AH60</f>
        <v/>
      </c>
      <c r="AI62" s="102">
        <f>AI60</f>
        <v/>
      </c>
      <c r="AJ62" s="21">
        <f>SUM(E62:AI62)</f>
        <v/>
      </c>
    </row>
    <row r="63">
      <c r="A63" s="94" t="n"/>
      <c r="B63" s="534" t="n"/>
      <c r="C63" s="146" t="n"/>
      <c r="D63" s="109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4" t="n"/>
      <c r="AJ63" s="94" t="n"/>
    </row>
    <row r="64">
      <c r="A64" s="28" t="inlineStr">
        <is>
          <t>S No</t>
        </is>
      </c>
      <c r="B64" s="28" t="inlineStr">
        <is>
          <t>Location</t>
        </is>
      </c>
      <c r="C64" s="513" t="inlineStr">
        <is>
          <t>Meter</t>
        </is>
      </c>
      <c r="D64" s="50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</row>
    <row r="65" ht="15" customHeight="1" s="488">
      <c r="A65" s="500" t="n">
        <v>1</v>
      </c>
      <c r="B65" s="500" t="inlineStr">
        <is>
          <t>3F</t>
        </is>
      </c>
      <c r="C65" s="503" t="inlineStr">
        <is>
          <t>AHU1</t>
        </is>
      </c>
      <c r="D65" s="501" t="n"/>
      <c r="E65" s="102">
        <f>E23-D23</f>
        <v/>
      </c>
      <c r="F65" s="102">
        <f>F23-E23</f>
        <v/>
      </c>
      <c r="G65" s="102">
        <f>G23-F23</f>
        <v/>
      </c>
      <c r="H65" s="102">
        <f>H23-G23</f>
        <v/>
      </c>
      <c r="I65" s="102">
        <f>I23-H23</f>
        <v/>
      </c>
      <c r="J65" s="102">
        <f>J23-I23</f>
        <v/>
      </c>
      <c r="K65" s="102">
        <f>K23-J23</f>
        <v/>
      </c>
      <c r="L65" s="102">
        <f>L23-K23</f>
        <v/>
      </c>
      <c r="M65" s="102">
        <f>M23-L23</f>
        <v/>
      </c>
      <c r="N65" s="102">
        <f>N23-M23</f>
        <v/>
      </c>
      <c r="O65" s="102">
        <f>O23-N23</f>
        <v/>
      </c>
      <c r="P65" s="102">
        <f>P23-O23</f>
        <v/>
      </c>
      <c r="Q65" s="102">
        <f>Q23-P23</f>
        <v/>
      </c>
      <c r="R65" s="102">
        <f>R23-Q23</f>
        <v/>
      </c>
      <c r="S65" s="102">
        <f>S23-R23</f>
        <v/>
      </c>
      <c r="T65" s="102">
        <f>T23-S23</f>
        <v/>
      </c>
      <c r="U65" s="102">
        <f>U23-T23</f>
        <v/>
      </c>
      <c r="V65" s="102">
        <f>V23-U23</f>
        <v/>
      </c>
      <c r="W65" s="102">
        <f>W23-V23</f>
        <v/>
      </c>
      <c r="X65" s="102">
        <f>X23-W23</f>
        <v/>
      </c>
      <c r="Y65" s="102">
        <f>Y23-X23</f>
        <v/>
      </c>
      <c r="Z65" s="102">
        <f>Z23-Y23</f>
        <v/>
      </c>
      <c r="AA65" s="102">
        <f>AA23-Z23</f>
        <v/>
      </c>
      <c r="AB65" s="102">
        <f>AB23-AA23</f>
        <v/>
      </c>
      <c r="AC65" s="102">
        <f>AC23-AB23</f>
        <v/>
      </c>
      <c r="AD65" s="102">
        <f>AD23-AC23</f>
        <v/>
      </c>
      <c r="AE65" s="102">
        <f>AE23-AD23</f>
        <v/>
      </c>
      <c r="AF65" s="102">
        <f>AF23-AE23</f>
        <v/>
      </c>
      <c r="AG65" s="102">
        <f>AG23-AF23</f>
        <v/>
      </c>
      <c r="AH65" s="102">
        <f>AH23-AG23</f>
        <v/>
      </c>
      <c r="AI65" s="102">
        <f>AI23-AH23</f>
        <v/>
      </c>
      <c r="AJ65" s="21">
        <f>SUM(E65:AI65)</f>
        <v/>
      </c>
    </row>
    <row r="66" ht="15" customHeight="1" s="488">
      <c r="A66" s="500" t="n"/>
      <c r="B66" s="500" t="n"/>
      <c r="C66" s="531" t="inlineStr">
        <is>
          <t>DG</t>
        </is>
      </c>
      <c r="D66" s="501" t="n"/>
      <c r="E66" s="102">
        <f>E24-D24</f>
        <v/>
      </c>
      <c r="F66" s="102">
        <f>F24-E24</f>
        <v/>
      </c>
      <c r="G66" s="102">
        <f>G24-F24</f>
        <v/>
      </c>
      <c r="H66" s="102">
        <f>H24-G24</f>
        <v/>
      </c>
      <c r="I66" s="102">
        <f>I24-H24</f>
        <v/>
      </c>
      <c r="J66" s="102">
        <f>J24-I24</f>
        <v/>
      </c>
      <c r="K66" s="102">
        <f>K24-J24</f>
        <v/>
      </c>
      <c r="L66" s="102">
        <f>L24-K24</f>
        <v/>
      </c>
      <c r="M66" s="102">
        <f>M24-L24</f>
        <v/>
      </c>
      <c r="N66" s="102">
        <f>N24-M24</f>
        <v/>
      </c>
      <c r="O66" s="102">
        <f>O24-N24</f>
        <v/>
      </c>
      <c r="P66" s="102">
        <f>P24-O24</f>
        <v/>
      </c>
      <c r="Q66" s="102">
        <f>Q24-P24</f>
        <v/>
      </c>
      <c r="R66" s="102">
        <f>R24-Q24</f>
        <v/>
      </c>
      <c r="S66" s="102">
        <f>S24-R24</f>
        <v/>
      </c>
      <c r="T66" s="102">
        <f>T24-S24</f>
        <v/>
      </c>
      <c r="U66" s="102">
        <f>U24-T24</f>
        <v/>
      </c>
      <c r="V66" s="102">
        <f>V24-U24</f>
        <v/>
      </c>
      <c r="W66" s="102">
        <f>W24-V24</f>
        <v/>
      </c>
      <c r="X66" s="102">
        <f>X24-W24</f>
        <v/>
      </c>
      <c r="Y66" s="102">
        <f>Y24-X24</f>
        <v/>
      </c>
      <c r="Z66" s="102">
        <f>Z24-Y24</f>
        <v/>
      </c>
      <c r="AA66" s="102">
        <f>AA24-Z24</f>
        <v/>
      </c>
      <c r="AB66" s="102">
        <f>AB24-AA24</f>
        <v/>
      </c>
      <c r="AC66" s="102">
        <f>AC24-AB24</f>
        <v/>
      </c>
      <c r="AD66" s="102">
        <f>AD24-AC24</f>
        <v/>
      </c>
      <c r="AE66" s="102">
        <f>AE24-AD24</f>
        <v/>
      </c>
      <c r="AF66" s="102">
        <f>AF24-AE24</f>
        <v/>
      </c>
      <c r="AG66" s="102">
        <f>AG24-AF24</f>
        <v/>
      </c>
      <c r="AH66" s="102">
        <f>AH24-AG24</f>
        <v/>
      </c>
      <c r="AI66" s="102">
        <f>AI24-AH24</f>
        <v/>
      </c>
      <c r="AJ66" s="21">
        <f>SUM(E66:AI66)</f>
        <v/>
      </c>
    </row>
    <row r="67" ht="15" customHeight="1" s="488">
      <c r="A67" s="500" t="n">
        <v>2</v>
      </c>
      <c r="B67" s="500" t="inlineStr">
        <is>
          <t>3F</t>
        </is>
      </c>
      <c r="C67" s="503" t="inlineStr">
        <is>
          <t>AHU2</t>
        </is>
      </c>
      <c r="D67" s="501" t="n"/>
      <c r="E67" s="102">
        <f>E25-D25</f>
        <v/>
      </c>
      <c r="F67" s="102">
        <f>F25-E25</f>
        <v/>
      </c>
      <c r="G67" s="102">
        <f>G25-F25</f>
        <v/>
      </c>
      <c r="H67" s="102">
        <f>H25-G25</f>
        <v/>
      </c>
      <c r="I67" s="102">
        <f>I25-H25</f>
        <v/>
      </c>
      <c r="J67" s="102">
        <f>J25-I25</f>
        <v/>
      </c>
      <c r="K67" s="102">
        <f>K25-J25</f>
        <v/>
      </c>
      <c r="L67" s="102">
        <f>L25-K25</f>
        <v/>
      </c>
      <c r="M67" s="102">
        <f>M25-L25</f>
        <v/>
      </c>
      <c r="N67" s="102">
        <f>N25-M25</f>
        <v/>
      </c>
      <c r="O67" s="102">
        <f>O25-N25</f>
        <v/>
      </c>
      <c r="P67" s="102">
        <f>P25-O25</f>
        <v/>
      </c>
      <c r="Q67" s="102">
        <f>Q25-P25</f>
        <v/>
      </c>
      <c r="R67" s="102">
        <f>R25-Q25</f>
        <v/>
      </c>
      <c r="S67" s="102">
        <f>S25-R25</f>
        <v/>
      </c>
      <c r="T67" s="102">
        <f>T25-S25</f>
        <v/>
      </c>
      <c r="U67" s="102">
        <f>U25-T25</f>
        <v/>
      </c>
      <c r="V67" s="102">
        <f>V25-U25</f>
        <v/>
      </c>
      <c r="W67" s="102">
        <f>W25-V25</f>
        <v/>
      </c>
      <c r="X67" s="102">
        <f>X25-W25</f>
        <v/>
      </c>
      <c r="Y67" s="102">
        <f>Y25-X25</f>
        <v/>
      </c>
      <c r="Z67" s="102">
        <f>Z25-Y25</f>
        <v/>
      </c>
      <c r="AA67" s="102">
        <f>AA25-Z25</f>
        <v/>
      </c>
      <c r="AB67" s="102">
        <f>AB25-AA25</f>
        <v/>
      </c>
      <c r="AC67" s="102">
        <f>AC25-AB25</f>
        <v/>
      </c>
      <c r="AD67" s="102">
        <f>AD25-AC25</f>
        <v/>
      </c>
      <c r="AE67" s="102">
        <f>AE25-AD25</f>
        <v/>
      </c>
      <c r="AF67" s="102">
        <f>AF25-AE25</f>
        <v/>
      </c>
      <c r="AG67" s="102">
        <f>AG25-AF25</f>
        <v/>
      </c>
      <c r="AH67" s="102">
        <f>AH25-AG25</f>
        <v/>
      </c>
      <c r="AI67" s="102">
        <f>AI25-AH25</f>
        <v/>
      </c>
      <c r="AJ67" s="21">
        <f>SUM(E67:AI67)</f>
        <v/>
      </c>
    </row>
    <row r="68" ht="15" customHeight="1" s="488">
      <c r="A68" s="500" t="n"/>
      <c r="B68" s="500" t="n"/>
      <c r="C68" s="531" t="inlineStr">
        <is>
          <t>DG</t>
        </is>
      </c>
      <c r="D68" s="501" t="n"/>
      <c r="E68" s="102">
        <f>E26-D26</f>
        <v/>
      </c>
      <c r="F68" s="102">
        <f>F26-E26</f>
        <v/>
      </c>
      <c r="G68" s="102">
        <f>G26-F26</f>
        <v/>
      </c>
      <c r="H68" s="102">
        <f>H26-G26</f>
        <v/>
      </c>
      <c r="I68" s="102">
        <f>I26-H26</f>
        <v/>
      </c>
      <c r="J68" s="102">
        <f>J26-I26</f>
        <v/>
      </c>
      <c r="K68" s="102">
        <f>K26-J26</f>
        <v/>
      </c>
      <c r="L68" s="102">
        <f>L26-K26</f>
        <v/>
      </c>
      <c r="M68" s="102">
        <f>M26-L26</f>
        <v/>
      </c>
      <c r="N68" s="102">
        <f>N26-M26</f>
        <v/>
      </c>
      <c r="O68" s="102">
        <f>O26-N26</f>
        <v/>
      </c>
      <c r="P68" s="102">
        <f>P26-O26</f>
        <v/>
      </c>
      <c r="Q68" s="102">
        <f>Q26-P26</f>
        <v/>
      </c>
      <c r="R68" s="102">
        <f>R26-Q26</f>
        <v/>
      </c>
      <c r="S68" s="102">
        <f>S26-R26</f>
        <v/>
      </c>
      <c r="T68" s="102">
        <f>T26-S26</f>
        <v/>
      </c>
      <c r="U68" s="102">
        <f>U26-T26</f>
        <v/>
      </c>
      <c r="V68" s="102">
        <f>V26-U26</f>
        <v/>
      </c>
      <c r="W68" s="102">
        <f>W26-V26</f>
        <v/>
      </c>
      <c r="X68" s="102">
        <f>X26-W26</f>
        <v/>
      </c>
      <c r="Y68" s="102">
        <f>Y26-X26</f>
        <v/>
      </c>
      <c r="Z68" s="102">
        <f>Z26-Y26</f>
        <v/>
      </c>
      <c r="AA68" s="102">
        <f>AA26-Z26</f>
        <v/>
      </c>
      <c r="AB68" s="102">
        <f>AB26-AA26</f>
        <v/>
      </c>
      <c r="AC68" s="102">
        <f>AC26-AB26</f>
        <v/>
      </c>
      <c r="AD68" s="102">
        <f>AD26-AC26</f>
        <v/>
      </c>
      <c r="AE68" s="102">
        <f>AE26-AD26</f>
        <v/>
      </c>
      <c r="AF68" s="102">
        <f>AF26-AE26</f>
        <v/>
      </c>
      <c r="AG68" s="102">
        <f>AG26-AF26</f>
        <v/>
      </c>
      <c r="AH68" s="102">
        <f>AH26-AG26</f>
        <v/>
      </c>
      <c r="AI68" s="102">
        <f>AI26-AH26</f>
        <v/>
      </c>
      <c r="AJ68" s="21">
        <f>SUM(E68:AI68)</f>
        <v/>
      </c>
      <c r="AK68" s="115" t="inlineStr">
        <is>
          <t>EB</t>
        </is>
      </c>
      <c r="AL68" s="116">
        <f>AJ60</f>
        <v/>
      </c>
    </row>
    <row r="69" ht="15" customHeight="1" s="488">
      <c r="A69" s="500" t="n">
        <v>3</v>
      </c>
      <c r="B69" s="500" t="inlineStr">
        <is>
          <t>3F</t>
        </is>
      </c>
      <c r="C69" s="503" t="inlineStr">
        <is>
          <t>AHU3</t>
        </is>
      </c>
      <c r="D69" s="501" t="n"/>
      <c r="E69" s="102">
        <f>E27-D27</f>
        <v/>
      </c>
      <c r="F69" s="102">
        <f>F27-E27</f>
        <v/>
      </c>
      <c r="G69" s="102">
        <f>G27-F27</f>
        <v/>
      </c>
      <c r="H69" s="102">
        <f>H27-G27</f>
        <v/>
      </c>
      <c r="I69" s="102">
        <f>I27-H27</f>
        <v/>
      </c>
      <c r="J69" s="102">
        <f>J27-I27</f>
        <v/>
      </c>
      <c r="K69" s="102">
        <f>K27-J27</f>
        <v/>
      </c>
      <c r="L69" s="102">
        <f>L27-K27</f>
        <v/>
      </c>
      <c r="M69" s="102">
        <f>M27-L27</f>
        <v/>
      </c>
      <c r="N69" s="102">
        <f>N27-M27</f>
        <v/>
      </c>
      <c r="O69" s="102">
        <f>O27-N27</f>
        <v/>
      </c>
      <c r="P69" s="102">
        <f>P27-O27</f>
        <v/>
      </c>
      <c r="Q69" s="102">
        <f>Q27-P27</f>
        <v/>
      </c>
      <c r="R69" s="102">
        <f>R27-Q27</f>
        <v/>
      </c>
      <c r="S69" s="102">
        <f>S27-R27</f>
        <v/>
      </c>
      <c r="T69" s="102">
        <f>T27-S27</f>
        <v/>
      </c>
      <c r="U69" s="102">
        <f>U27-T27</f>
        <v/>
      </c>
      <c r="V69" s="102">
        <f>V27-U27</f>
        <v/>
      </c>
      <c r="W69" s="102">
        <f>W27-V27</f>
        <v/>
      </c>
      <c r="X69" s="102">
        <f>X27-W27</f>
        <v/>
      </c>
      <c r="Y69" s="102">
        <f>Y27-X27</f>
        <v/>
      </c>
      <c r="Z69" s="102">
        <f>Z27-Y27</f>
        <v/>
      </c>
      <c r="AA69" s="102">
        <f>AA27-Z27</f>
        <v/>
      </c>
      <c r="AB69" s="102">
        <f>AB27-AA27</f>
        <v/>
      </c>
      <c r="AC69" s="102">
        <f>AC27-AB27</f>
        <v/>
      </c>
      <c r="AD69" s="102">
        <f>AD27-AC27</f>
        <v/>
      </c>
      <c r="AE69" s="102">
        <f>AE27-AD27</f>
        <v/>
      </c>
      <c r="AF69" s="102">
        <f>AF27-AE27</f>
        <v/>
      </c>
      <c r="AG69" s="102">
        <f>AG27-AF27</f>
        <v/>
      </c>
      <c r="AH69" s="102">
        <f>AH27-AG27</f>
        <v/>
      </c>
      <c r="AI69" s="102">
        <f>AI27-AH27</f>
        <v/>
      </c>
      <c r="AJ69" s="21">
        <f>SUM(E69:AI69)</f>
        <v/>
      </c>
      <c r="AK69" s="115" t="inlineStr">
        <is>
          <t>AHU</t>
        </is>
      </c>
      <c r="AL69" s="116">
        <f>AJ73</f>
        <v/>
      </c>
    </row>
    <row r="70" ht="15" customHeight="1" s="488">
      <c r="A70" s="500" t="n"/>
      <c r="B70" s="500" t="n"/>
      <c r="C70" s="531" t="inlineStr">
        <is>
          <t>DG</t>
        </is>
      </c>
      <c r="D70" s="501" t="n"/>
      <c r="E70" s="102">
        <f>E28-D28</f>
        <v/>
      </c>
      <c r="F70" s="102">
        <f>F28-E28</f>
        <v/>
      </c>
      <c r="G70" s="102">
        <f>G28-F28</f>
        <v/>
      </c>
      <c r="H70" s="102">
        <f>H28-G28</f>
        <v/>
      </c>
      <c r="I70" s="102">
        <f>I28-H28</f>
        <v/>
      </c>
      <c r="J70" s="102">
        <f>J28-I28</f>
        <v/>
      </c>
      <c r="K70" s="102">
        <f>K28-J28</f>
        <v/>
      </c>
      <c r="L70" s="102">
        <f>L28-K28</f>
        <v/>
      </c>
      <c r="M70" s="102">
        <f>M28-L28</f>
        <v/>
      </c>
      <c r="N70" s="102">
        <f>N28-M28</f>
        <v/>
      </c>
      <c r="O70" s="102">
        <f>O28-N28</f>
        <v/>
      </c>
      <c r="P70" s="102">
        <f>P28-O28</f>
        <v/>
      </c>
      <c r="Q70" s="102">
        <f>Q28-P28</f>
        <v/>
      </c>
      <c r="R70" s="102">
        <f>R28-Q28</f>
        <v/>
      </c>
      <c r="S70" s="102">
        <f>S28-R28</f>
        <v/>
      </c>
      <c r="T70" s="102">
        <f>T28-S28</f>
        <v/>
      </c>
      <c r="U70" s="102">
        <f>U28-T28</f>
        <v/>
      </c>
      <c r="V70" s="102">
        <f>V28-U28</f>
        <v/>
      </c>
      <c r="W70" s="102">
        <f>W28-V28</f>
        <v/>
      </c>
      <c r="X70" s="102">
        <f>X28-W28</f>
        <v/>
      </c>
      <c r="Y70" s="102">
        <f>Y28-X28</f>
        <v/>
      </c>
      <c r="Z70" s="102">
        <f>Z28-Y28</f>
        <v/>
      </c>
      <c r="AA70" s="102">
        <f>AA28-Z28</f>
        <v/>
      </c>
      <c r="AB70" s="102">
        <f>AB28-AA28</f>
        <v/>
      </c>
      <c r="AC70" s="102">
        <f>AC28-AB28</f>
        <v/>
      </c>
      <c r="AD70" s="102">
        <f>AD28-AC28</f>
        <v/>
      </c>
      <c r="AE70" s="102">
        <f>AE28-AD28</f>
        <v/>
      </c>
      <c r="AF70" s="102">
        <f>AF28-AE28</f>
        <v/>
      </c>
      <c r="AG70" s="102">
        <f>AG28-AF28</f>
        <v/>
      </c>
      <c r="AH70" s="102">
        <f>AH28-AG28</f>
        <v/>
      </c>
      <c r="AI70" s="102">
        <f>AI28-AH28</f>
        <v/>
      </c>
      <c r="AJ70" s="21">
        <f>SUM(E70:AI70)</f>
        <v/>
      </c>
      <c r="AK70" s="115" t="inlineStr">
        <is>
          <t>BTU</t>
        </is>
      </c>
      <c r="AL70" s="116">
        <f>AJ79*40%</f>
        <v/>
      </c>
    </row>
    <row r="71" ht="15" customHeight="1" s="488">
      <c r="A71" s="500" t="n">
        <v>4</v>
      </c>
      <c r="B71" s="500" t="inlineStr">
        <is>
          <t>3F</t>
        </is>
      </c>
      <c r="C71" s="503" t="inlineStr">
        <is>
          <t>AHU4</t>
        </is>
      </c>
      <c r="D71" s="501" t="n"/>
      <c r="E71" s="102">
        <f>E29-D29</f>
        <v/>
      </c>
      <c r="F71" s="102">
        <f>F29-E29</f>
        <v/>
      </c>
      <c r="G71" s="102">
        <f>G29-F29</f>
        <v/>
      </c>
      <c r="H71" s="102">
        <f>H29-G29</f>
        <v/>
      </c>
      <c r="I71" s="102">
        <f>I29-H29</f>
        <v/>
      </c>
      <c r="J71" s="102">
        <f>J29-I29</f>
        <v/>
      </c>
      <c r="K71" s="102">
        <f>K29-J29</f>
        <v/>
      </c>
      <c r="L71" s="102">
        <f>L29-K29</f>
        <v/>
      </c>
      <c r="M71" s="102">
        <f>M29-L29</f>
        <v/>
      </c>
      <c r="N71" s="102">
        <f>N29-M29</f>
        <v/>
      </c>
      <c r="O71" s="102">
        <f>O29-N29</f>
        <v/>
      </c>
      <c r="P71" s="102">
        <f>P29-O29</f>
        <v/>
      </c>
      <c r="Q71" s="102">
        <f>Q29-P29</f>
        <v/>
      </c>
      <c r="R71" s="102">
        <f>R29-Q29</f>
        <v/>
      </c>
      <c r="S71" s="102">
        <f>S29-R29</f>
        <v/>
      </c>
      <c r="T71" s="102">
        <f>T29-S29</f>
        <v/>
      </c>
      <c r="U71" s="102">
        <f>U29-T29</f>
        <v/>
      </c>
      <c r="V71" s="102">
        <f>V29-U29</f>
        <v/>
      </c>
      <c r="W71" s="102">
        <f>W29-V29</f>
        <v/>
      </c>
      <c r="X71" s="102">
        <f>X29-W29</f>
        <v/>
      </c>
      <c r="Y71" s="102">
        <f>Y29-X29</f>
        <v/>
      </c>
      <c r="Z71" s="102">
        <f>Z29-Y29</f>
        <v/>
      </c>
      <c r="AA71" s="102">
        <f>AA29-Z29</f>
        <v/>
      </c>
      <c r="AB71" s="102">
        <f>AB29-AA29</f>
        <v/>
      </c>
      <c r="AC71" s="102">
        <f>AC29-AB29</f>
        <v/>
      </c>
      <c r="AD71" s="102">
        <f>AD29-AC29</f>
        <v/>
      </c>
      <c r="AE71" s="102">
        <f>AE29-AD29</f>
        <v/>
      </c>
      <c r="AF71" s="102">
        <f>AF29-AE29</f>
        <v/>
      </c>
      <c r="AG71" s="102">
        <f>AG29-AF29</f>
        <v/>
      </c>
      <c r="AH71" s="102">
        <f>AH29-AG29</f>
        <v/>
      </c>
      <c r="AI71" s="102">
        <f>AI29-AH29</f>
        <v/>
      </c>
      <c r="AJ71" s="21">
        <f>SUM(E71:AI71)</f>
        <v/>
      </c>
      <c r="AK71" s="117" t="inlineStr">
        <is>
          <t>DG</t>
        </is>
      </c>
      <c r="AL71" s="118">
        <f>AJ74+AJ61</f>
        <v/>
      </c>
    </row>
    <row r="72" ht="15" customHeight="1" s="488">
      <c r="A72" s="500" t="n"/>
      <c r="B72" s="500" t="n"/>
      <c r="C72" s="531" t="inlineStr">
        <is>
          <t>DG</t>
        </is>
      </c>
      <c r="D72" s="501" t="n"/>
      <c r="E72" s="102">
        <f>E30-D30</f>
        <v/>
      </c>
      <c r="F72" s="102">
        <f>F30-E30</f>
        <v/>
      </c>
      <c r="G72" s="102">
        <f>G30-F30</f>
        <v/>
      </c>
      <c r="H72" s="102">
        <f>H30-G30</f>
        <v/>
      </c>
      <c r="I72" s="102">
        <f>I30-H30</f>
        <v/>
      </c>
      <c r="J72" s="102">
        <f>J30-I30</f>
        <v/>
      </c>
      <c r="K72" s="102">
        <f>K30-J30</f>
        <v/>
      </c>
      <c r="L72" s="102">
        <f>L30-K30</f>
        <v/>
      </c>
      <c r="M72" s="102">
        <f>M30-L30</f>
        <v/>
      </c>
      <c r="N72" s="102">
        <f>N30-M30</f>
        <v/>
      </c>
      <c r="O72" s="102">
        <f>O30-N30</f>
        <v/>
      </c>
      <c r="P72" s="102">
        <f>P30-O30</f>
        <v/>
      </c>
      <c r="Q72" s="102">
        <f>Q30-P30</f>
        <v/>
      </c>
      <c r="R72" s="102">
        <f>R30-Q30</f>
        <v/>
      </c>
      <c r="S72" s="102">
        <f>S30-R30</f>
        <v/>
      </c>
      <c r="T72" s="102">
        <f>T30-S30</f>
        <v/>
      </c>
      <c r="U72" s="102">
        <f>U30-T30</f>
        <v/>
      </c>
      <c r="V72" s="102">
        <f>V30-U30</f>
        <v/>
      </c>
      <c r="W72" s="102">
        <f>W30-V30</f>
        <v/>
      </c>
      <c r="X72" s="102">
        <f>X30-W30</f>
        <v/>
      </c>
      <c r="Y72" s="102">
        <f>Y30-X30</f>
        <v/>
      </c>
      <c r="Z72" s="102">
        <f>Z30-Y30</f>
        <v/>
      </c>
      <c r="AA72" s="102">
        <f>AA30-Z30</f>
        <v/>
      </c>
      <c r="AB72" s="102">
        <f>AB30-AA30</f>
        <v/>
      </c>
      <c r="AC72" s="102">
        <f>AC30-AB30</f>
        <v/>
      </c>
      <c r="AD72" s="102">
        <f>AD30-AC30</f>
        <v/>
      </c>
      <c r="AE72" s="102">
        <f>AE30-AD30</f>
        <v/>
      </c>
      <c r="AF72" s="102">
        <f>AF30-AE30</f>
        <v/>
      </c>
      <c r="AG72" s="102">
        <f>AG30-AF30</f>
        <v/>
      </c>
      <c r="AH72" s="102">
        <f>AH30-AG30</f>
        <v/>
      </c>
      <c r="AI72" s="102">
        <f>AI30-AH30</f>
        <v/>
      </c>
      <c r="AJ72" s="21">
        <f>SUM(E72:AI72)</f>
        <v/>
      </c>
    </row>
    <row r="73">
      <c r="A73" s="99" t="n"/>
      <c r="B73" s="99" t="n"/>
      <c r="C73" s="511" t="inlineStr">
        <is>
          <t>Total AHU Power Consumption</t>
        </is>
      </c>
      <c r="D73" s="501" t="n"/>
      <c r="E73" s="23">
        <f>SUM(E65,E67,E69,E71)</f>
        <v/>
      </c>
      <c r="F73" s="23">
        <f>SUM(F65,F67,F69,F71)</f>
        <v/>
      </c>
      <c r="G73" s="23">
        <f>SUM(G65,G67,G69,G71)</f>
        <v/>
      </c>
      <c r="H73" s="23">
        <f>SUM(H65,H67,H69,H71)</f>
        <v/>
      </c>
      <c r="I73" s="23">
        <f>SUM(I65,I67,I69,I71)</f>
        <v/>
      </c>
      <c r="J73" s="23">
        <f>SUM(J65,J67,J69,J71)</f>
        <v/>
      </c>
      <c r="K73" s="23">
        <f>SUM(K65,K67,K69,K71)</f>
        <v/>
      </c>
      <c r="L73" s="23">
        <f>SUM(L65,L67,L69,L71)</f>
        <v/>
      </c>
      <c r="M73" s="23">
        <f>SUM(M65,M67,M69,M71)</f>
        <v/>
      </c>
      <c r="N73" s="23">
        <f>SUM(N65,N67,N69,N71)</f>
        <v/>
      </c>
      <c r="O73" s="23">
        <f>SUM(O65,O67,O69,O71)</f>
        <v/>
      </c>
      <c r="P73" s="23">
        <f>SUM(P65,P67,P69,P71)</f>
        <v/>
      </c>
      <c r="Q73" s="23">
        <f>SUM(Q65,Q67,Q69,Q71)</f>
        <v/>
      </c>
      <c r="R73" s="23">
        <f>SUM(R65,R67,R69,R71)</f>
        <v/>
      </c>
      <c r="S73" s="23">
        <f>SUM(S65,S67,S69,S71)</f>
        <v/>
      </c>
      <c r="T73" s="23">
        <f>SUM(T65,T67,T69,T71)</f>
        <v/>
      </c>
      <c r="U73" s="23">
        <f>SUM(U65,U67,U69,U71)</f>
        <v/>
      </c>
      <c r="V73" s="23">
        <f>SUM(V65,V67,V69,V71)</f>
        <v/>
      </c>
      <c r="W73" s="23">
        <f>SUM(W65,W67,W69,W71)</f>
        <v/>
      </c>
      <c r="X73" s="23">
        <f>SUM(X65,X67,X69,X71)</f>
        <v/>
      </c>
      <c r="Y73" s="23">
        <f>SUM(Y65,Y67,Y69,Y71)</f>
        <v/>
      </c>
      <c r="Z73" s="23">
        <f>SUM(Z65,Z67,Z69,Z71)</f>
        <v/>
      </c>
      <c r="AA73" s="23">
        <f>SUM(AA65,AA67,AA69,AA71)</f>
        <v/>
      </c>
      <c r="AB73" s="23">
        <f>SUM(AB65,AB67,AB69,AB71)</f>
        <v/>
      </c>
      <c r="AC73" s="23">
        <f>SUM(AC65,AC67,AC69,AC71)</f>
        <v/>
      </c>
      <c r="AD73" s="23">
        <f>SUM(AD65,AD67,AD69,AD71)</f>
        <v/>
      </c>
      <c r="AE73" s="23">
        <f>SUM(AE65,AE67,AE69,AE71)</f>
        <v/>
      </c>
      <c r="AF73" s="23">
        <f>SUM(AF65,AF67,AF69,AF71)</f>
        <v/>
      </c>
      <c r="AG73" s="23">
        <f>SUM(AG65,AG67,AG69,AG71)</f>
        <v/>
      </c>
      <c r="AH73" s="23">
        <f>SUM(AH65,AH67,AH69,AH71)</f>
        <v/>
      </c>
      <c r="AI73" s="23">
        <f>SUM(AI65,AI67,AI69,AI71)</f>
        <v/>
      </c>
      <c r="AJ73" s="23">
        <f>SUM(AJ65,AJ67,AJ69,AJ71)</f>
        <v/>
      </c>
    </row>
    <row r="74">
      <c r="A74" s="99" t="n"/>
      <c r="B74" s="99" t="n"/>
      <c r="C74" s="502" t="inlineStr">
        <is>
          <t>Total AHU DG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3">
        <f>SUM(AJ66,AJ68,AJ70,AJ72)</f>
        <v/>
      </c>
    </row>
    <row r="75" ht="15" customHeight="1" s="488">
      <c r="A75" s="500" t="n">
        <v>1</v>
      </c>
      <c r="B75" s="500" t="inlineStr">
        <is>
          <t>3F</t>
        </is>
      </c>
      <c r="C75" s="500" t="inlineStr">
        <is>
          <t>AHU1 - BTU</t>
        </is>
      </c>
      <c r="D75" s="501" t="n"/>
      <c r="E75" s="102">
        <f>E32-D32</f>
        <v/>
      </c>
      <c r="F75" s="102">
        <f>F32-E32</f>
        <v/>
      </c>
      <c r="G75" s="102">
        <f>G32-F32</f>
        <v/>
      </c>
      <c r="H75" s="102">
        <f>H32-G32</f>
        <v/>
      </c>
      <c r="I75" s="102">
        <f>I32-H32</f>
        <v/>
      </c>
      <c r="J75" s="102">
        <f>J32-I32</f>
        <v/>
      </c>
      <c r="K75" s="102">
        <f>K32-J32</f>
        <v/>
      </c>
      <c r="L75" s="102">
        <f>L32-K32</f>
        <v/>
      </c>
      <c r="M75" s="102">
        <f>M32-L32</f>
        <v/>
      </c>
      <c r="N75" s="102">
        <f>N32-M32</f>
        <v/>
      </c>
      <c r="O75" s="102">
        <f>O32-N32</f>
        <v/>
      </c>
      <c r="P75" s="102">
        <f>P32-O32</f>
        <v/>
      </c>
      <c r="Q75" s="102">
        <f>Q32-P32</f>
        <v/>
      </c>
      <c r="R75" s="102">
        <f>R32-Q32</f>
        <v/>
      </c>
      <c r="S75" s="102">
        <f>S32-R32</f>
        <v/>
      </c>
      <c r="T75" s="102">
        <f>T32-S32</f>
        <v/>
      </c>
      <c r="U75" s="102">
        <f>U32-T32</f>
        <v/>
      </c>
      <c r="V75" s="102">
        <f>V32-U32</f>
        <v/>
      </c>
      <c r="W75" s="102">
        <f>W32-V32</f>
        <v/>
      </c>
      <c r="X75" s="102">
        <f>X32-W32</f>
        <v/>
      </c>
      <c r="Y75" s="102">
        <f>Y32-X32</f>
        <v/>
      </c>
      <c r="Z75" s="102">
        <f>Z32-Y32</f>
        <v/>
      </c>
      <c r="AA75" s="102">
        <f>AA32-Z32</f>
        <v/>
      </c>
      <c r="AB75" s="102">
        <f>AB32-AA32</f>
        <v/>
      </c>
      <c r="AC75" s="102">
        <f>AC32-AB32</f>
        <v/>
      </c>
      <c r="AD75" s="102">
        <f>AD32-AC32</f>
        <v/>
      </c>
      <c r="AE75" s="102">
        <f>AE32-AD32</f>
        <v/>
      </c>
      <c r="AF75" s="102">
        <f>AF32-AE32</f>
        <v/>
      </c>
      <c r="AG75" s="102">
        <f>AG32-AF32</f>
        <v/>
      </c>
      <c r="AH75" s="102">
        <f>AH32-AG32</f>
        <v/>
      </c>
      <c r="AI75" s="102">
        <f>AI32-AH32</f>
        <v/>
      </c>
      <c r="AJ75" s="21">
        <f>SUM(E75:AI75)</f>
        <v/>
      </c>
    </row>
    <row r="76" ht="15" customHeight="1" s="488">
      <c r="A76" s="500" t="n">
        <v>2</v>
      </c>
      <c r="B76" s="500" t="inlineStr">
        <is>
          <t>3F</t>
        </is>
      </c>
      <c r="C76" s="500" t="inlineStr">
        <is>
          <t>AHU2 - BTU</t>
        </is>
      </c>
      <c r="D76" s="501" t="n"/>
      <c r="E76" s="102">
        <f>E33-D33</f>
        <v/>
      </c>
      <c r="F76" s="102">
        <f>F33-E33</f>
        <v/>
      </c>
      <c r="G76" s="102">
        <f>G33-F33</f>
        <v/>
      </c>
      <c r="H76" s="102">
        <f>H33-G33</f>
        <v/>
      </c>
      <c r="I76" s="102">
        <f>I33-H33</f>
        <v/>
      </c>
      <c r="J76" s="102">
        <f>J33-I33</f>
        <v/>
      </c>
      <c r="K76" s="102">
        <f>K33-J33</f>
        <v/>
      </c>
      <c r="L76" s="102">
        <f>L33-K33</f>
        <v/>
      </c>
      <c r="M76" s="102">
        <f>M33-L33</f>
        <v/>
      </c>
      <c r="N76" s="102">
        <f>N33-M33</f>
        <v/>
      </c>
      <c r="O76" s="102">
        <f>O33-N33</f>
        <v/>
      </c>
      <c r="P76" s="102">
        <f>P33-O33</f>
        <v/>
      </c>
      <c r="Q76" s="102">
        <f>Q33-P33</f>
        <v/>
      </c>
      <c r="R76" s="102">
        <f>R33-Q33</f>
        <v/>
      </c>
      <c r="S76" s="102">
        <f>S33-R33</f>
        <v/>
      </c>
      <c r="T76" s="102">
        <f>T33-S33</f>
        <v/>
      </c>
      <c r="U76" s="102">
        <f>U33-T33</f>
        <v/>
      </c>
      <c r="V76" s="102">
        <f>V33-U33</f>
        <v/>
      </c>
      <c r="W76" s="102">
        <f>W33-V33</f>
        <v/>
      </c>
      <c r="X76" s="102">
        <f>X33-W33</f>
        <v/>
      </c>
      <c r="Y76" s="102">
        <f>Y33-X33</f>
        <v/>
      </c>
      <c r="Z76" s="102">
        <f>Z33-Y33</f>
        <v/>
      </c>
      <c r="AA76" s="102">
        <f>AA33-Z33</f>
        <v/>
      </c>
      <c r="AB76" s="102">
        <f>AB33-AA33</f>
        <v/>
      </c>
      <c r="AC76" s="102">
        <f>AC33-AB33</f>
        <v/>
      </c>
      <c r="AD76" s="102">
        <f>AD33-AC33</f>
        <v/>
      </c>
      <c r="AE76" s="102">
        <f>AE33-AD33</f>
        <v/>
      </c>
      <c r="AF76" s="102">
        <f>AF33-AE33</f>
        <v/>
      </c>
      <c r="AG76" s="102">
        <f>AG33-AF33</f>
        <v/>
      </c>
      <c r="AH76" s="102">
        <f>AH33-AG33</f>
        <v/>
      </c>
      <c r="AI76" s="102">
        <f>AI33-AH33</f>
        <v/>
      </c>
      <c r="AJ76" s="21">
        <f>SUM(E76:AI76)</f>
        <v/>
      </c>
    </row>
    <row r="77" ht="15" customHeight="1" s="488">
      <c r="A77" s="500" t="n">
        <v>3</v>
      </c>
      <c r="B77" s="500" t="inlineStr">
        <is>
          <t>3F</t>
        </is>
      </c>
      <c r="C77" s="500" t="inlineStr">
        <is>
          <t>AHU3 - BTU</t>
        </is>
      </c>
      <c r="D77" s="501" t="n"/>
      <c r="E77" s="102">
        <f>E34-D34</f>
        <v/>
      </c>
      <c r="F77" s="102">
        <f>F34-E34</f>
        <v/>
      </c>
      <c r="G77" s="102">
        <f>G34-F34</f>
        <v/>
      </c>
      <c r="H77" s="102">
        <f>H34-G34</f>
        <v/>
      </c>
      <c r="I77" s="102">
        <f>I34-H34</f>
        <v/>
      </c>
      <c r="J77" s="102">
        <f>J34-I34</f>
        <v/>
      </c>
      <c r="K77" s="102">
        <f>K34-J34</f>
        <v/>
      </c>
      <c r="L77" s="102">
        <f>L34-K34</f>
        <v/>
      </c>
      <c r="M77" s="102">
        <f>M34-L34</f>
        <v/>
      </c>
      <c r="N77" s="102">
        <f>N34-M34</f>
        <v/>
      </c>
      <c r="O77" s="102">
        <f>O34-N34</f>
        <v/>
      </c>
      <c r="P77" s="102">
        <f>P34-O34</f>
        <v/>
      </c>
      <c r="Q77" s="102">
        <f>Q34-P34</f>
        <v/>
      </c>
      <c r="R77" s="102">
        <f>R34-Q34</f>
        <v/>
      </c>
      <c r="S77" s="102">
        <f>S34-R34</f>
        <v/>
      </c>
      <c r="T77" s="102">
        <f>T34-S34</f>
        <v/>
      </c>
      <c r="U77" s="102">
        <f>U34-T34</f>
        <v/>
      </c>
      <c r="V77" s="102">
        <f>V34-U34</f>
        <v/>
      </c>
      <c r="W77" s="102">
        <f>W34-V34</f>
        <v/>
      </c>
      <c r="X77" s="102">
        <f>X34-W34</f>
        <v/>
      </c>
      <c r="Y77" s="102">
        <f>Y34-X34</f>
        <v/>
      </c>
      <c r="Z77" s="102">
        <f>Z34-Y34</f>
        <v/>
      </c>
      <c r="AA77" s="102">
        <f>AA34-Z34</f>
        <v/>
      </c>
      <c r="AB77" s="102">
        <f>AB34-AA34</f>
        <v/>
      </c>
      <c r="AC77" s="102">
        <f>AC34-AB34</f>
        <v/>
      </c>
      <c r="AD77" s="102">
        <f>AD34-AC34</f>
        <v/>
      </c>
      <c r="AE77" s="102">
        <f>AE34-AD34</f>
        <v/>
      </c>
      <c r="AF77" s="102">
        <f>AF34-AE34</f>
        <v/>
      </c>
      <c r="AG77" s="102">
        <f>AG34-AF34</f>
        <v/>
      </c>
      <c r="AH77" s="102">
        <f>AH34-AG34</f>
        <v/>
      </c>
      <c r="AI77" s="102">
        <f>AI34-AH34</f>
        <v/>
      </c>
      <c r="AJ77" s="21">
        <f>SUM(E77:AI77)</f>
        <v/>
      </c>
    </row>
    <row r="78" ht="15" customHeight="1" s="488">
      <c r="A78" s="500" t="n">
        <v>4</v>
      </c>
      <c r="B78" s="500" t="inlineStr">
        <is>
          <t>3F</t>
        </is>
      </c>
      <c r="C78" s="500" t="inlineStr">
        <is>
          <t>AHU4 - BTU</t>
        </is>
      </c>
      <c r="D78" s="501" t="n"/>
      <c r="E78" s="102">
        <f>E35-D35</f>
        <v/>
      </c>
      <c r="F78" s="102">
        <f>F35-E35</f>
        <v/>
      </c>
      <c r="G78" s="102">
        <f>G35-F35</f>
        <v/>
      </c>
      <c r="H78" s="102">
        <f>H35-G35</f>
        <v/>
      </c>
      <c r="I78" s="102">
        <f>I35-H35</f>
        <v/>
      </c>
      <c r="J78" s="102">
        <f>J35-I35</f>
        <v/>
      </c>
      <c r="K78" s="102">
        <f>K35-J35</f>
        <v/>
      </c>
      <c r="L78" s="102">
        <f>L35-K35</f>
        <v/>
      </c>
      <c r="M78" s="102">
        <f>M35-L35</f>
        <v/>
      </c>
      <c r="N78" s="102">
        <f>N35-M35</f>
        <v/>
      </c>
      <c r="O78" s="102">
        <f>O35-N35</f>
        <v/>
      </c>
      <c r="P78" s="102">
        <f>P35-O35</f>
        <v/>
      </c>
      <c r="Q78" s="102">
        <f>Q35-P35</f>
        <v/>
      </c>
      <c r="R78" s="102">
        <f>R35-Q35</f>
        <v/>
      </c>
      <c r="S78" s="102">
        <f>S35-R35</f>
        <v/>
      </c>
      <c r="T78" s="102">
        <f>T35-S35</f>
        <v/>
      </c>
      <c r="U78" s="102">
        <f>U35-T35</f>
        <v/>
      </c>
      <c r="V78" s="102">
        <f>V35-U35</f>
        <v/>
      </c>
      <c r="W78" s="102">
        <f>W35-V35</f>
        <v/>
      </c>
      <c r="X78" s="102">
        <f>X35-W35</f>
        <v/>
      </c>
      <c r="Y78" s="102">
        <f>Y35-X35</f>
        <v/>
      </c>
      <c r="Z78" s="102">
        <f>Z35-Y35</f>
        <v/>
      </c>
      <c r="AA78" s="102">
        <f>AA35-Z35</f>
        <v/>
      </c>
      <c r="AB78" s="102">
        <f>AB35-AA35</f>
        <v/>
      </c>
      <c r="AC78" s="102">
        <f>AC35-AB35</f>
        <v/>
      </c>
      <c r="AD78" s="102">
        <f>AD35-AC35</f>
        <v/>
      </c>
      <c r="AE78" s="102">
        <f>AE35-AD35</f>
        <v/>
      </c>
      <c r="AF78" s="102">
        <f>AF35-AE35</f>
        <v/>
      </c>
      <c r="AG78" s="102">
        <f>AG35-AF35</f>
        <v/>
      </c>
      <c r="AH78" s="102">
        <f>AH35-AG35</f>
        <v/>
      </c>
      <c r="AI78" s="102">
        <f>AI35-AH35</f>
        <v/>
      </c>
      <c r="AJ78" s="21">
        <f>SUM(E78:AI78)</f>
        <v/>
      </c>
    </row>
    <row r="79" ht="23.25" customHeight="1" s="488">
      <c r="A79" s="99" t="n"/>
      <c r="B79" s="99" t="n"/>
      <c r="C79" s="511" t="inlineStr">
        <is>
          <t>Total BTU Consumption</t>
        </is>
      </c>
      <c r="D79" s="501" t="n"/>
      <c r="E79" s="23">
        <f>SUM(E75:E78)</f>
        <v/>
      </c>
      <c r="F79" s="23">
        <f>SUM(F75:F78)</f>
        <v/>
      </c>
      <c r="G79" s="23">
        <f>SUM(G75:G78)</f>
        <v/>
      </c>
      <c r="H79" s="23">
        <f>SUM(H75:H78)</f>
        <v/>
      </c>
      <c r="I79" s="23">
        <f>SUM(I75:I78)</f>
        <v/>
      </c>
      <c r="J79" s="23">
        <f>SUM(J75:J78)</f>
        <v/>
      </c>
      <c r="K79" s="23">
        <f>SUM(K75:K78)</f>
        <v/>
      </c>
      <c r="L79" s="23">
        <f>SUM(L75:L78)</f>
        <v/>
      </c>
      <c r="M79" s="23">
        <f>SUM(M75:M78)</f>
        <v/>
      </c>
      <c r="N79" s="23">
        <f>SUM(N75:N78)</f>
        <v/>
      </c>
      <c r="O79" s="23">
        <f>SUM(O75:O78)</f>
        <v/>
      </c>
      <c r="P79" s="23">
        <f>SUM(P75:P78)</f>
        <v/>
      </c>
      <c r="Q79" s="23">
        <f>SUM(Q75:Q78)</f>
        <v/>
      </c>
      <c r="R79" s="23">
        <f>SUM(R75:R78)</f>
        <v/>
      </c>
      <c r="S79" s="23">
        <f>SUM(S75:S78)</f>
        <v/>
      </c>
      <c r="T79" s="23">
        <f>SUM(T75:T78)</f>
        <v/>
      </c>
      <c r="U79" s="23">
        <f>SUM(U75:U78)</f>
        <v/>
      </c>
      <c r="V79" s="23">
        <f>SUM(V75:V78)</f>
        <v/>
      </c>
      <c r="W79" s="23">
        <f>SUM(W75:W78)</f>
        <v/>
      </c>
      <c r="X79" s="23">
        <f>SUM(X75:X78)</f>
        <v/>
      </c>
      <c r="Y79" s="23">
        <f>SUM(Y75:Y78)</f>
        <v/>
      </c>
      <c r="Z79" s="23">
        <f>SUM(Z75:Z78)</f>
        <v/>
      </c>
      <c r="AA79" s="23">
        <f>SUM(AA75:AA78)</f>
        <v/>
      </c>
      <c r="AB79" s="23">
        <f>SUM(AB75:AB78)</f>
        <v/>
      </c>
      <c r="AC79" s="23">
        <f>SUM(AC75:AC78)</f>
        <v/>
      </c>
      <c r="AD79" s="23">
        <f>SUM(AD75:AD78)</f>
        <v/>
      </c>
      <c r="AE79" s="23">
        <f>SUM(AE75:AE78)</f>
        <v/>
      </c>
      <c r="AF79" s="23">
        <f>SUM(AF75:AF78)</f>
        <v/>
      </c>
      <c r="AG79" s="23">
        <f>SUM(AG75:AG78)</f>
        <v/>
      </c>
      <c r="AH79" s="23">
        <f>SUM(AH75:AH78)</f>
        <v/>
      </c>
      <c r="AI79" s="23">
        <f>SUM(AI75:AI78)</f>
        <v/>
      </c>
      <c r="AJ79" s="217">
        <f>SUM(AJ75:AJ78)</f>
        <v/>
      </c>
    </row>
    <row r="83" ht="26.25" customHeight="1" s="488">
      <c r="A83" s="573" t="n"/>
      <c r="B83" s="505" t="n"/>
      <c r="C83" s="505" t="n"/>
      <c r="D83" s="506" t="n"/>
      <c r="E83" s="582" t="inlineStr">
        <is>
          <t>JAN- 2026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505" t="n"/>
      <c r="AG83" s="505" t="n"/>
      <c r="AH83" s="505" t="n"/>
      <c r="AI83" s="506" t="n"/>
    </row>
    <row r="84">
      <c r="A84" s="508" t="inlineStr">
        <is>
          <t>Sr.No</t>
        </is>
      </c>
      <c r="B84" s="508" t="inlineStr">
        <is>
          <t>Location</t>
        </is>
      </c>
      <c r="C84" s="580" t="inlineStr">
        <is>
          <t>Meter</t>
        </is>
      </c>
      <c r="D84" s="562" t="inlineStr">
        <is>
          <t>Previous Reading</t>
        </is>
      </c>
      <c r="E84" s="51" t="n">
        <v>46023</v>
      </c>
      <c r="F84" s="51" t="n">
        <v>46024</v>
      </c>
      <c r="G84" s="51" t="n">
        <v>46025</v>
      </c>
      <c r="H84" s="51" t="n">
        <v>46026</v>
      </c>
      <c r="I84" s="51" t="n">
        <v>46027</v>
      </c>
      <c r="J84" s="51" t="n">
        <v>46028</v>
      </c>
      <c r="K84" s="51" t="n">
        <v>46029</v>
      </c>
      <c r="L84" s="51" t="n">
        <v>46030</v>
      </c>
      <c r="M84" s="51" t="n">
        <v>46031</v>
      </c>
      <c r="N84" s="51" t="n">
        <v>46032</v>
      </c>
      <c r="O84" s="51" t="n">
        <v>46033</v>
      </c>
      <c r="P84" s="51" t="n">
        <v>46034</v>
      </c>
      <c r="Q84" s="51" t="n">
        <v>46035</v>
      </c>
      <c r="R84" s="51" t="n">
        <v>46036</v>
      </c>
      <c r="S84" s="51" t="n">
        <v>46037</v>
      </c>
      <c r="T84" s="51" t="n">
        <v>46038</v>
      </c>
      <c r="U84" s="51" t="n">
        <v>46039</v>
      </c>
      <c r="V84" s="51" t="n">
        <v>46040</v>
      </c>
      <c r="W84" s="51" t="n">
        <v>46041</v>
      </c>
      <c r="X84" s="51" t="n">
        <v>46042</v>
      </c>
      <c r="Y84" s="51" t="n">
        <v>46043</v>
      </c>
      <c r="Z84" s="51" t="n">
        <v>46044</v>
      </c>
      <c r="AA84" s="51" t="n">
        <v>46045</v>
      </c>
      <c r="AB84" s="51" t="n">
        <v>46046</v>
      </c>
      <c r="AC84" s="51" t="n">
        <v>46047</v>
      </c>
      <c r="AD84" s="51" t="n">
        <v>46048</v>
      </c>
      <c r="AE84" s="51" t="n">
        <v>46049</v>
      </c>
      <c r="AF84" s="51" t="n">
        <v>46050</v>
      </c>
      <c r="AG84" s="51" t="n">
        <v>46051</v>
      </c>
      <c r="AH84" s="51" t="n">
        <v>46052</v>
      </c>
      <c r="AI84" s="51" t="n">
        <v>46053</v>
      </c>
    </row>
    <row r="85">
      <c r="A85" s="509" t="n"/>
      <c r="B85" s="509" t="n"/>
      <c r="C85" s="509" t="n"/>
      <c r="D85" s="509" t="n"/>
      <c r="E85" s="96" t="inlineStr">
        <is>
          <t>Thu</t>
        </is>
      </c>
      <c r="F85" s="96" t="inlineStr">
        <is>
          <t>Fri</t>
        </is>
      </c>
      <c r="G85" s="96" t="inlineStr">
        <is>
          <t>Sat</t>
        </is>
      </c>
      <c r="H85" s="96" t="inlineStr">
        <is>
          <t>Sun</t>
        </is>
      </c>
      <c r="I85" s="96" t="inlineStr">
        <is>
          <t>Mon</t>
        </is>
      </c>
      <c r="J85" s="96" t="inlineStr">
        <is>
          <t>Tue</t>
        </is>
      </c>
      <c r="K85" s="96" t="inlineStr">
        <is>
          <t>Wed</t>
        </is>
      </c>
      <c r="L85" s="96" t="inlineStr">
        <is>
          <t>Thu</t>
        </is>
      </c>
      <c r="M85" s="96" t="inlineStr">
        <is>
          <t>Fri</t>
        </is>
      </c>
      <c r="N85" s="96" t="inlineStr">
        <is>
          <t>Sat</t>
        </is>
      </c>
      <c r="O85" s="96" t="inlineStr">
        <is>
          <t>Sun</t>
        </is>
      </c>
      <c r="P85" s="96" t="inlineStr">
        <is>
          <t>Mon</t>
        </is>
      </c>
      <c r="Q85" s="96" t="inlineStr">
        <is>
          <t>Tue</t>
        </is>
      </c>
      <c r="R85" s="96" t="inlineStr">
        <is>
          <t>Wed</t>
        </is>
      </c>
      <c r="S85" s="96" t="inlineStr">
        <is>
          <t>Thu</t>
        </is>
      </c>
      <c r="T85" s="96" t="inlineStr">
        <is>
          <t>Fri</t>
        </is>
      </c>
      <c r="U85" s="96" t="inlineStr">
        <is>
          <t>Sat</t>
        </is>
      </c>
      <c r="V85" s="96" t="inlineStr">
        <is>
          <t>Sun</t>
        </is>
      </c>
      <c r="W85" s="96" t="inlineStr">
        <is>
          <t>Mon</t>
        </is>
      </c>
      <c r="X85" s="96" t="inlineStr">
        <is>
          <t>Tue</t>
        </is>
      </c>
      <c r="Y85" s="96" t="inlineStr">
        <is>
          <t>Wed</t>
        </is>
      </c>
      <c r="Z85" s="96" t="inlineStr">
        <is>
          <t>Thu</t>
        </is>
      </c>
      <c r="AA85" s="96" t="inlineStr">
        <is>
          <t>Fri</t>
        </is>
      </c>
      <c r="AB85" s="96" t="inlineStr">
        <is>
          <t>Sat</t>
        </is>
      </c>
      <c r="AC85" s="96" t="inlineStr">
        <is>
          <t>Sun</t>
        </is>
      </c>
      <c r="AD85" s="96" t="inlineStr">
        <is>
          <t>Mon</t>
        </is>
      </c>
      <c r="AE85" s="96" t="inlineStr">
        <is>
          <t>Tue</t>
        </is>
      </c>
      <c r="AF85" s="96" t="inlineStr">
        <is>
          <t>Wed</t>
        </is>
      </c>
      <c r="AG85" s="96" t="inlineStr">
        <is>
          <t>Thu</t>
        </is>
      </c>
      <c r="AH85" s="96" t="inlineStr">
        <is>
          <t>Fri</t>
        </is>
      </c>
      <c r="AI85" s="96" t="inlineStr">
        <is>
          <t>Sat</t>
        </is>
      </c>
    </row>
    <row r="86">
      <c r="A86" s="509" t="n"/>
      <c r="B86" s="509" t="n"/>
      <c r="C86" s="509" t="n"/>
      <c r="D86" s="509" t="n"/>
      <c r="E86" s="52" t="inlineStr">
        <is>
          <t>Time</t>
        </is>
      </c>
      <c r="F86" s="52" t="inlineStr">
        <is>
          <t>Time</t>
        </is>
      </c>
      <c r="G86" s="52" t="inlineStr">
        <is>
          <t>Time</t>
        </is>
      </c>
      <c r="H86" s="52" t="inlineStr">
        <is>
          <t>Time</t>
        </is>
      </c>
      <c r="I86" s="52" t="inlineStr">
        <is>
          <t>Time</t>
        </is>
      </c>
      <c r="J86" s="52" t="inlineStr">
        <is>
          <t>Time</t>
        </is>
      </c>
      <c r="K86" s="52" t="inlineStr">
        <is>
          <t>Time</t>
        </is>
      </c>
      <c r="L86" s="52" t="inlineStr">
        <is>
          <t>Time</t>
        </is>
      </c>
      <c r="M86" s="52" t="inlineStr">
        <is>
          <t>Time</t>
        </is>
      </c>
      <c r="N86" s="52" t="inlineStr">
        <is>
          <t>Time</t>
        </is>
      </c>
      <c r="O86" s="52" t="inlineStr">
        <is>
          <t>Time</t>
        </is>
      </c>
      <c r="P86" s="52" t="inlineStr">
        <is>
          <t>Time</t>
        </is>
      </c>
      <c r="Q86" s="52" t="inlineStr">
        <is>
          <t>Time</t>
        </is>
      </c>
      <c r="R86" s="52" t="inlineStr">
        <is>
          <t>Time</t>
        </is>
      </c>
      <c r="S86" s="52" t="inlineStr">
        <is>
          <t>Time</t>
        </is>
      </c>
      <c r="T86" s="52" t="inlineStr">
        <is>
          <t>Time</t>
        </is>
      </c>
      <c r="U86" s="52" t="inlineStr">
        <is>
          <t>Time</t>
        </is>
      </c>
      <c r="V86" s="52" t="inlineStr">
        <is>
          <t>Time</t>
        </is>
      </c>
      <c r="W86" s="52" t="inlineStr">
        <is>
          <t>Time</t>
        </is>
      </c>
      <c r="X86" s="52" t="inlineStr">
        <is>
          <t>Time</t>
        </is>
      </c>
      <c r="Y86" s="52" t="inlineStr">
        <is>
          <t>Time</t>
        </is>
      </c>
      <c r="Z86" s="52" t="inlineStr">
        <is>
          <t>Time</t>
        </is>
      </c>
      <c r="AA86" s="52" t="inlineStr">
        <is>
          <t>Time</t>
        </is>
      </c>
      <c r="AB86" s="52" t="inlineStr">
        <is>
          <t>Time</t>
        </is>
      </c>
      <c r="AC86" s="52" t="inlineStr">
        <is>
          <t>Time</t>
        </is>
      </c>
      <c r="AD86" s="52" t="inlineStr">
        <is>
          <t>Time</t>
        </is>
      </c>
      <c r="AE86" s="52" t="inlineStr">
        <is>
          <t>Time</t>
        </is>
      </c>
      <c r="AF86" s="52" t="inlineStr">
        <is>
          <t>Time</t>
        </is>
      </c>
      <c r="AG86" s="52" t="inlineStr">
        <is>
          <t>Time</t>
        </is>
      </c>
      <c r="AH86" s="52" t="inlineStr">
        <is>
          <t>Time</t>
        </is>
      </c>
      <c r="AI86" s="52" t="inlineStr">
        <is>
          <t>Time</t>
        </is>
      </c>
    </row>
    <row r="87">
      <c r="A87" s="510" t="n"/>
      <c r="B87" s="510" t="n"/>
      <c r="C87" s="510" t="n"/>
      <c r="D87" s="510" t="n"/>
      <c r="E87" s="199" t="n">
        <v>0.3333333333333333</v>
      </c>
      <c r="F87" s="199" t="n">
        <v>0.3333333333333333</v>
      </c>
      <c r="G87" s="199" t="n">
        <v>0.3333333333333333</v>
      </c>
      <c r="H87" s="199" t="n">
        <v>0.3333333333333333</v>
      </c>
      <c r="I87" s="199" t="n">
        <v>0.3333333333333333</v>
      </c>
      <c r="J87" s="199" t="n">
        <v>0.3333333333333333</v>
      </c>
      <c r="K87" s="199" t="n">
        <v>0.3333333333333333</v>
      </c>
      <c r="L87" s="199" t="n">
        <v>0.3333333333333333</v>
      </c>
      <c r="M87" s="199" t="n">
        <v>0.3333333333333333</v>
      </c>
      <c r="N87" s="199" t="n">
        <v>0.3333333333333333</v>
      </c>
      <c r="O87" s="199" t="n">
        <v>0.3333333333333333</v>
      </c>
      <c r="P87" s="199" t="n">
        <v>0.3333333333333333</v>
      </c>
      <c r="Q87" s="199" t="n">
        <v>0.3333333333333333</v>
      </c>
      <c r="R87" s="199" t="n">
        <v>0.3333333333333333</v>
      </c>
      <c r="S87" s="199" t="n">
        <v>0.3333333333333333</v>
      </c>
      <c r="T87" s="199" t="n">
        <v>0.3333333333333333</v>
      </c>
      <c r="U87" s="199" t="n">
        <v>0.3333333333333333</v>
      </c>
      <c r="V87" s="199" t="n">
        <v>0.3333333333333333</v>
      </c>
      <c r="W87" s="199" t="n">
        <v>0.3333333333333333</v>
      </c>
      <c r="X87" s="199" t="n">
        <v>0.3333333333333333</v>
      </c>
      <c r="Y87" s="199" t="n">
        <v>0.3333333333333333</v>
      </c>
      <c r="Z87" s="199" t="n">
        <v>0.3333333333333333</v>
      </c>
      <c r="AA87" s="199" t="n">
        <v>0.3333333333333333</v>
      </c>
      <c r="AB87" s="199" t="n">
        <v>0.3333333333333333</v>
      </c>
      <c r="AC87" s="199" t="n">
        <v>0.3333333333333333</v>
      </c>
      <c r="AD87" s="199" t="n">
        <v>0.3333333333333333</v>
      </c>
      <c r="AE87" s="199" t="n">
        <v>0.3333333333333333</v>
      </c>
      <c r="AF87" s="199" t="n">
        <v>0.3333333333333333</v>
      </c>
      <c r="AG87" s="199" t="n">
        <v>0.3333333333333333</v>
      </c>
      <c r="AH87" s="199" t="n">
        <v>0.3333333333333333</v>
      </c>
      <c r="AI87" s="199" t="n">
        <v>0.3333333333333333</v>
      </c>
    </row>
    <row r="88">
      <c r="A88" s="184" t="n">
        <v>1</v>
      </c>
      <c r="B88" s="219" t="inlineStr">
        <is>
          <t>Basement:-2</t>
        </is>
      </c>
      <c r="C88" s="219" t="inlineStr">
        <is>
          <t>Liberty-170</t>
        </is>
      </c>
      <c r="D88" s="219" t="n">
        <v>1703</v>
      </c>
      <c r="E88" s="219" t="n">
        <v>1703</v>
      </c>
      <c r="F88" s="219" t="n">
        <v>1703</v>
      </c>
      <c r="G88" s="219" t="n">
        <v>1703</v>
      </c>
      <c r="H88" s="219" t="n">
        <v>1703</v>
      </c>
      <c r="I88" s="219" t="n">
        <v>1724</v>
      </c>
      <c r="J88" s="219" t="n">
        <v>1750</v>
      </c>
      <c r="K88" s="219" t="n">
        <v>1774</v>
      </c>
      <c r="L88" s="219" t="n">
        <v>1797</v>
      </c>
      <c r="M88" s="219" t="n">
        <v>1808</v>
      </c>
      <c r="N88" s="219" t="n">
        <v>1808</v>
      </c>
      <c r="O88" s="219" t="n">
        <v>1808</v>
      </c>
      <c r="P88" s="219" t="n">
        <v>1808</v>
      </c>
      <c r="Q88" s="219" t="n">
        <v>1833</v>
      </c>
      <c r="R88" s="219" t="n">
        <v>1833</v>
      </c>
      <c r="S88" s="219" t="n">
        <v>1846</v>
      </c>
      <c r="T88" s="219" t="n">
        <v>1868</v>
      </c>
      <c r="U88" s="219" t="n">
        <v>1868</v>
      </c>
      <c r="V88" s="219" t="n">
        <v>1868</v>
      </c>
      <c r="W88" s="219" t="n">
        <v>1868</v>
      </c>
      <c r="X88" s="219" t="n">
        <v>1875</v>
      </c>
      <c r="Y88" s="219" t="n">
        <v>1903</v>
      </c>
      <c r="Z88" s="219" t="n">
        <v>1918</v>
      </c>
      <c r="AA88" s="219" t="n">
        <v>1918</v>
      </c>
      <c r="AB88" s="219" t="n">
        <v>1918</v>
      </c>
      <c r="AC88" s="219" t="n">
        <v>1918</v>
      </c>
      <c r="AD88" s="219" t="n">
        <v>1918</v>
      </c>
      <c r="AE88" s="219" t="n">
        <v>1918</v>
      </c>
      <c r="AF88" s="219" t="n">
        <v>1918</v>
      </c>
      <c r="AG88" s="219" t="n">
        <v>1942</v>
      </c>
      <c r="AH88" s="219" t="n">
        <v>1942</v>
      </c>
      <c r="AI88" s="219" t="n">
        <v>1942</v>
      </c>
      <c r="AJ88" s="220" t="n"/>
      <c r="AK88" s="220" t="n"/>
      <c r="AL88" s="220" t="n"/>
      <c r="AM88" s="220" t="n"/>
      <c r="AN88" s="220" t="n"/>
      <c r="AO88" s="220" t="n"/>
      <c r="AP88" s="220" t="n"/>
      <c r="AQ88" s="220" t="n"/>
      <c r="AR88" s="220" t="n"/>
      <c r="AS88" s="220" t="n"/>
      <c r="AT88" s="220" t="n"/>
      <c r="AU88" s="220" t="n"/>
      <c r="AV88" s="220" t="n"/>
      <c r="AW88" s="220" t="n"/>
      <c r="AX88" s="220" t="n"/>
      <c r="AY88" s="220" t="n"/>
      <c r="AZ88" s="220" t="n"/>
      <c r="BA88" s="220" t="n"/>
      <c r="BB88" s="220" t="n"/>
      <c r="BC88" s="220" t="n"/>
      <c r="BD88" s="220" t="n"/>
      <c r="BE88" s="220" t="n"/>
      <c r="BF88" s="220" t="n"/>
      <c r="BG88" s="220" t="n"/>
      <c r="BH88" s="220" t="n"/>
      <c r="BI88" s="220" t="n"/>
      <c r="BJ88" s="220" t="n"/>
      <c r="BK88" s="220" t="n"/>
      <c r="BL88" s="220" t="n"/>
      <c r="BM88" s="220" t="n"/>
    </row>
    <row r="90">
      <c r="A90" s="533" t="inlineStr">
        <is>
          <t>Sr.No</t>
        </is>
      </c>
      <c r="B90" s="533" t="inlineStr">
        <is>
          <t>Location</t>
        </is>
      </c>
      <c r="C90" s="533" t="inlineStr">
        <is>
          <t>Meter</t>
        </is>
      </c>
      <c r="D90" s="522" t="n"/>
      <c r="E90" s="95">
        <f>E84</f>
        <v/>
      </c>
      <c r="F90" s="95">
        <f>F84</f>
        <v/>
      </c>
      <c r="G90" s="95">
        <f>G84</f>
        <v/>
      </c>
      <c r="H90" s="95">
        <f>H84</f>
        <v/>
      </c>
      <c r="I90" s="95">
        <f>I84</f>
        <v/>
      </c>
      <c r="J90" s="95">
        <f>J84</f>
        <v/>
      </c>
      <c r="K90" s="95">
        <f>K84</f>
        <v/>
      </c>
      <c r="L90" s="95">
        <f>L84</f>
        <v/>
      </c>
      <c r="M90" s="95">
        <f>M84</f>
        <v/>
      </c>
      <c r="N90" s="95">
        <f>N84</f>
        <v/>
      </c>
      <c r="O90" s="95">
        <f>O84</f>
        <v/>
      </c>
      <c r="P90" s="95">
        <f>P84</f>
        <v/>
      </c>
      <c r="Q90" s="95">
        <f>Q84</f>
        <v/>
      </c>
      <c r="R90" s="95">
        <f>R84</f>
        <v/>
      </c>
      <c r="S90" s="95">
        <f>S84</f>
        <v/>
      </c>
      <c r="T90" s="95">
        <f>T84</f>
        <v/>
      </c>
      <c r="U90" s="95">
        <f>U84</f>
        <v/>
      </c>
      <c r="V90" s="95">
        <f>V84</f>
        <v/>
      </c>
      <c r="W90" s="95">
        <f>W84</f>
        <v/>
      </c>
      <c r="X90" s="95">
        <f>X84</f>
        <v/>
      </c>
      <c r="Y90" s="95">
        <f>Y84</f>
        <v/>
      </c>
      <c r="Z90" s="95">
        <f>Z84</f>
        <v/>
      </c>
      <c r="AA90" s="95">
        <f>AA84</f>
        <v/>
      </c>
      <c r="AB90" s="95">
        <f>AB84</f>
        <v/>
      </c>
      <c r="AC90" s="95">
        <f>AC84</f>
        <v/>
      </c>
      <c r="AD90" s="95">
        <f>AD84</f>
        <v/>
      </c>
      <c r="AE90" s="95">
        <f>AE84</f>
        <v/>
      </c>
      <c r="AF90" s="95">
        <f>AF84</f>
        <v/>
      </c>
      <c r="AG90" s="95">
        <f>AG84</f>
        <v/>
      </c>
      <c r="AH90" s="95">
        <f>AH84</f>
        <v/>
      </c>
      <c r="AI90" s="95">
        <f>AI84</f>
        <v/>
      </c>
      <c r="AJ90" s="533" t="inlineStr">
        <is>
          <t>Consumption</t>
        </is>
      </c>
    </row>
    <row r="91">
      <c r="A91" s="516" t="n"/>
      <c r="B91" s="516" t="n"/>
      <c r="C91" s="523" t="n"/>
      <c r="D91" s="524" t="n"/>
      <c r="E91" s="96" t="inlineStr">
        <is>
          <t>Thu</t>
        </is>
      </c>
      <c r="F91" s="96" t="inlineStr">
        <is>
          <t>Fri</t>
        </is>
      </c>
      <c r="G91" s="96" t="inlineStr">
        <is>
          <t>Sat</t>
        </is>
      </c>
      <c r="H91" s="96" t="inlineStr">
        <is>
          <t>Sun</t>
        </is>
      </c>
      <c r="I91" s="96" t="inlineStr">
        <is>
          <t>Mon</t>
        </is>
      </c>
      <c r="J91" s="96" t="inlineStr">
        <is>
          <t>Tue</t>
        </is>
      </c>
      <c r="K91" s="96" t="inlineStr">
        <is>
          <t>Wed</t>
        </is>
      </c>
      <c r="L91" s="96" t="inlineStr">
        <is>
          <t>Thu</t>
        </is>
      </c>
      <c r="M91" s="96" t="inlineStr">
        <is>
          <t>Fri</t>
        </is>
      </c>
      <c r="N91" s="96" t="inlineStr">
        <is>
          <t>Sat</t>
        </is>
      </c>
      <c r="O91" s="96" t="inlineStr">
        <is>
          <t>Sun</t>
        </is>
      </c>
      <c r="P91" s="96" t="inlineStr">
        <is>
          <t>Mon</t>
        </is>
      </c>
      <c r="Q91" s="96" t="inlineStr">
        <is>
          <t>Tue</t>
        </is>
      </c>
      <c r="R91" s="96" t="inlineStr">
        <is>
          <t>Wed</t>
        </is>
      </c>
      <c r="S91" s="96" t="inlineStr">
        <is>
          <t>Thu</t>
        </is>
      </c>
      <c r="T91" s="96" t="inlineStr">
        <is>
          <t>Fri</t>
        </is>
      </c>
      <c r="U91" s="96" t="inlineStr">
        <is>
          <t>Sat</t>
        </is>
      </c>
      <c r="V91" s="96" t="inlineStr">
        <is>
          <t>Sun</t>
        </is>
      </c>
      <c r="W91" s="96" t="inlineStr">
        <is>
          <t>Mon</t>
        </is>
      </c>
      <c r="X91" s="96" t="inlineStr">
        <is>
          <t>Tue</t>
        </is>
      </c>
      <c r="Y91" s="96" t="inlineStr">
        <is>
          <t>Wed</t>
        </is>
      </c>
      <c r="Z91" s="96" t="inlineStr">
        <is>
          <t>Thu</t>
        </is>
      </c>
      <c r="AA91" s="96" t="inlineStr">
        <is>
          <t>Fri</t>
        </is>
      </c>
      <c r="AB91" s="96" t="inlineStr">
        <is>
          <t>Sat</t>
        </is>
      </c>
      <c r="AC91" s="96" t="inlineStr">
        <is>
          <t>Sun</t>
        </is>
      </c>
      <c r="AD91" s="96" t="inlineStr">
        <is>
          <t>Mon</t>
        </is>
      </c>
      <c r="AE91" s="96" t="inlineStr">
        <is>
          <t>Tue</t>
        </is>
      </c>
      <c r="AF91" s="96" t="inlineStr">
        <is>
          <t>Wed</t>
        </is>
      </c>
      <c r="AG91" s="96" t="inlineStr">
        <is>
          <t>Thu</t>
        </is>
      </c>
      <c r="AH91" s="96" t="inlineStr">
        <is>
          <t>Fri</t>
        </is>
      </c>
      <c r="AI91" s="96" t="inlineStr">
        <is>
          <t>Sat</t>
        </is>
      </c>
      <c r="AJ91" s="516" t="n"/>
    </row>
    <row r="92">
      <c r="A92" s="516" t="n"/>
      <c r="B92" s="516" t="n"/>
      <c r="C92" s="523" t="n"/>
      <c r="D92" s="524" t="n"/>
      <c r="E92" s="97" t="inlineStr">
        <is>
          <t>Time</t>
        </is>
      </c>
      <c r="F92" s="97" t="inlineStr">
        <is>
          <t>Time</t>
        </is>
      </c>
      <c r="G92" s="97" t="inlineStr">
        <is>
          <t>Time</t>
        </is>
      </c>
      <c r="H92" s="97" t="inlineStr">
        <is>
          <t>Time</t>
        </is>
      </c>
      <c r="I92" s="97" t="inlineStr">
        <is>
          <t>Time</t>
        </is>
      </c>
      <c r="J92" s="97" t="inlineStr">
        <is>
          <t>Time</t>
        </is>
      </c>
      <c r="K92" s="97" t="inlineStr">
        <is>
          <t>Time</t>
        </is>
      </c>
      <c r="L92" s="97" t="inlineStr">
        <is>
          <t>Time</t>
        </is>
      </c>
      <c r="M92" s="97" t="inlineStr">
        <is>
          <t>Time</t>
        </is>
      </c>
      <c r="N92" s="97" t="inlineStr">
        <is>
          <t>Time</t>
        </is>
      </c>
      <c r="O92" s="97" t="inlineStr">
        <is>
          <t>Time</t>
        </is>
      </c>
      <c r="P92" s="97" t="inlineStr">
        <is>
          <t>Time</t>
        </is>
      </c>
      <c r="Q92" s="97" t="inlineStr">
        <is>
          <t>Time</t>
        </is>
      </c>
      <c r="R92" s="97" t="inlineStr">
        <is>
          <t>Time</t>
        </is>
      </c>
      <c r="S92" s="97" t="inlineStr">
        <is>
          <t>Time</t>
        </is>
      </c>
      <c r="T92" s="97" t="inlineStr">
        <is>
          <t>Time</t>
        </is>
      </c>
      <c r="U92" s="97" t="inlineStr">
        <is>
          <t>Time</t>
        </is>
      </c>
      <c r="V92" s="97" t="inlineStr">
        <is>
          <t>Time</t>
        </is>
      </c>
      <c r="W92" s="97" t="inlineStr">
        <is>
          <t>Time</t>
        </is>
      </c>
      <c r="X92" s="97" t="inlineStr">
        <is>
          <t>Time</t>
        </is>
      </c>
      <c r="Y92" s="97" t="inlineStr">
        <is>
          <t>Time</t>
        </is>
      </c>
      <c r="Z92" s="97" t="inlineStr">
        <is>
          <t>Time</t>
        </is>
      </c>
      <c r="AA92" s="97" t="inlineStr">
        <is>
          <t>Time</t>
        </is>
      </c>
      <c r="AB92" s="97" t="inlineStr">
        <is>
          <t>Time</t>
        </is>
      </c>
      <c r="AC92" s="97" t="inlineStr">
        <is>
          <t>Time</t>
        </is>
      </c>
      <c r="AD92" s="97" t="inlineStr">
        <is>
          <t>Time</t>
        </is>
      </c>
      <c r="AE92" s="97" t="inlineStr">
        <is>
          <t>Time</t>
        </is>
      </c>
      <c r="AF92" s="97" t="inlineStr">
        <is>
          <t>Time</t>
        </is>
      </c>
      <c r="AG92" s="97" t="inlineStr">
        <is>
          <t>Time</t>
        </is>
      </c>
      <c r="AH92" s="97" t="inlineStr">
        <is>
          <t>Time</t>
        </is>
      </c>
      <c r="AI92" s="97" t="inlineStr">
        <is>
          <t>Time</t>
        </is>
      </c>
      <c r="AJ92" s="516" t="n"/>
    </row>
    <row r="93">
      <c r="A93" s="517" t="n"/>
      <c r="B93" s="517" t="n"/>
      <c r="C93" s="525" t="n"/>
      <c r="D93" s="526" t="n"/>
      <c r="E93" s="98" t="n">
        <v>0.3333333333333333</v>
      </c>
      <c r="F93" s="98" t="n">
        <v>0.3333333333333333</v>
      </c>
      <c r="G93" s="98" t="n">
        <v>0.3333333333333333</v>
      </c>
      <c r="H93" s="98" t="n">
        <v>0.3333333333333333</v>
      </c>
      <c r="I93" s="98" t="n">
        <v>0.3333333333333333</v>
      </c>
      <c r="J93" s="98" t="n">
        <v>0.3333333333333333</v>
      </c>
      <c r="K93" s="98" t="n">
        <v>0.3333333333333333</v>
      </c>
      <c r="L93" s="98" t="n">
        <v>0.3333333333333333</v>
      </c>
      <c r="M93" s="98" t="n">
        <v>0.3333333333333333</v>
      </c>
      <c r="N93" s="98" t="n">
        <v>0.3333333333333333</v>
      </c>
      <c r="O93" s="98" t="n">
        <v>0.3333333333333333</v>
      </c>
      <c r="P93" s="98" t="n">
        <v>0.3333333333333333</v>
      </c>
      <c r="Q93" s="98" t="n">
        <v>0.3333333333333333</v>
      </c>
      <c r="R93" s="98" t="n">
        <v>0.3333333333333333</v>
      </c>
      <c r="S93" s="98" t="n">
        <v>0.3333333333333333</v>
      </c>
      <c r="T93" s="98" t="n">
        <v>0.3333333333333333</v>
      </c>
      <c r="U93" s="98" t="n">
        <v>0.3333333333333333</v>
      </c>
      <c r="V93" s="98" t="n">
        <v>0.3333333333333333</v>
      </c>
      <c r="W93" s="98" t="n">
        <v>0.3333333333333333</v>
      </c>
      <c r="X93" s="98" t="n">
        <v>0.3333333333333333</v>
      </c>
      <c r="Y93" s="98" t="n">
        <v>0.3333333333333333</v>
      </c>
      <c r="Z93" s="98" t="n">
        <v>0.3333333333333333</v>
      </c>
      <c r="AA93" s="98" t="n">
        <v>0.3333333333333333</v>
      </c>
      <c r="AB93" s="98" t="n">
        <v>0.3333333333333333</v>
      </c>
      <c r="AC93" s="98" t="n">
        <v>0.3333333333333333</v>
      </c>
      <c r="AD93" s="98" t="n">
        <v>0.3333333333333333</v>
      </c>
      <c r="AE93" s="98" t="n">
        <v>0.3333333333333333</v>
      </c>
      <c r="AF93" s="98" t="n">
        <v>0.3333333333333333</v>
      </c>
      <c r="AG93" s="98" t="n">
        <v>0.3333333333333333</v>
      </c>
      <c r="AH93" s="98" t="n">
        <v>0.3333333333333333</v>
      </c>
      <c r="AI93" s="98" t="n">
        <v>0.3333333333333333</v>
      </c>
      <c r="AJ93" s="517" t="n"/>
    </row>
    <row r="94">
      <c r="A94" s="503" t="n">
        <v>1</v>
      </c>
      <c r="B94" s="218" t="inlineStr">
        <is>
          <t>Basement:-2</t>
        </is>
      </c>
      <c r="C94" s="503" t="inlineStr">
        <is>
          <t>Liberty-170</t>
        </is>
      </c>
      <c r="D94" s="501" t="n"/>
      <c r="E94" s="20">
        <f>E88-D88</f>
        <v/>
      </c>
      <c r="F94" s="20">
        <f>F88-E88</f>
        <v/>
      </c>
      <c r="G94" s="20">
        <f>G88-F88</f>
        <v/>
      </c>
      <c r="H94" s="20">
        <f>H88-G88</f>
        <v/>
      </c>
      <c r="I94" s="20">
        <f>I88-H88</f>
        <v/>
      </c>
      <c r="J94" s="20">
        <f>J88-I88</f>
        <v/>
      </c>
      <c r="K94" s="20">
        <f>K88-J88</f>
        <v/>
      </c>
      <c r="L94" s="20">
        <f>L88-K88</f>
        <v/>
      </c>
      <c r="M94" s="20">
        <f>M88-L88</f>
        <v/>
      </c>
      <c r="N94" s="20">
        <f>N88-M88</f>
        <v/>
      </c>
      <c r="O94" s="20">
        <f>O88-N88</f>
        <v/>
      </c>
      <c r="P94" s="20">
        <f>P88-O88</f>
        <v/>
      </c>
      <c r="Q94" s="20">
        <f>Q88-P88</f>
        <v/>
      </c>
      <c r="R94" s="20">
        <f>R88-Q88</f>
        <v/>
      </c>
      <c r="S94" s="20">
        <f>S88-R88</f>
        <v/>
      </c>
      <c r="T94" s="20">
        <f>T88-S88</f>
        <v/>
      </c>
      <c r="U94" s="20">
        <f>U88-T88</f>
        <v/>
      </c>
      <c r="V94" s="20">
        <f>V88-U88</f>
        <v/>
      </c>
      <c r="W94" s="20">
        <f>W88-V88</f>
        <v/>
      </c>
      <c r="X94" s="20">
        <f>X88-W88</f>
        <v/>
      </c>
      <c r="Y94" s="20">
        <f>Y88-X88</f>
        <v/>
      </c>
      <c r="Z94" s="20">
        <f>Z88-Y88</f>
        <v/>
      </c>
      <c r="AA94" s="20">
        <f>AA88-Z88</f>
        <v/>
      </c>
      <c r="AB94" s="20">
        <f>AB88-AA88</f>
        <v/>
      </c>
      <c r="AC94" s="20">
        <f>AC88-AB88</f>
        <v/>
      </c>
      <c r="AD94" s="20">
        <f>AD88-AC88</f>
        <v/>
      </c>
      <c r="AE94" s="20">
        <f>AE88-AD88</f>
        <v/>
      </c>
      <c r="AF94" s="20">
        <f>AF88-AE88</f>
        <v/>
      </c>
      <c r="AG94" s="20">
        <f>AG88-AF88</f>
        <v/>
      </c>
      <c r="AH94" s="20">
        <f>AH88-AG88</f>
        <v/>
      </c>
      <c r="AI94" s="20" t="n"/>
      <c r="AJ94" s="20">
        <f>SUM(E94:AH94)</f>
        <v/>
      </c>
      <c r="AK94" s="222" t="n"/>
      <c r="AL94" s="222" t="n"/>
      <c r="AM94" s="222" t="n"/>
      <c r="AN94" s="222" t="n"/>
      <c r="AO94" s="222" t="n"/>
      <c r="AP94" s="222" t="n"/>
      <c r="AQ94" s="222" t="n"/>
      <c r="AR94" s="222" t="n"/>
      <c r="AS94" s="222" t="n"/>
      <c r="AT94" s="222" t="n"/>
      <c r="AU94" s="222" t="n"/>
      <c r="AV94" s="222" t="n"/>
      <c r="AW94" s="222" t="n"/>
      <c r="AX94" s="222" t="n"/>
      <c r="AY94" s="222" t="n"/>
      <c r="AZ94" s="222" t="n"/>
      <c r="BA94" s="222" t="n"/>
      <c r="BB94" s="222" t="n"/>
      <c r="BC94" s="222" t="n"/>
      <c r="BD94" s="222" t="n"/>
      <c r="BE94" s="222" t="n"/>
      <c r="BF94" s="222" t="n"/>
      <c r="BG94" s="222" t="n"/>
      <c r="BH94" s="222" t="n"/>
      <c r="BI94" s="222" t="n"/>
      <c r="BJ94" s="222" t="n"/>
      <c r="BK94" s="222" t="n"/>
      <c r="BL94" s="222" t="n"/>
      <c r="BM94" s="222" t="n"/>
    </row>
  </sheetData>
  <mergeCells count="59">
    <mergeCell ref="C77:D77"/>
    <mergeCell ref="AJ40:AJ43"/>
    <mergeCell ref="D84:D87"/>
    <mergeCell ref="C62:D62"/>
    <mergeCell ref="C68:D68"/>
    <mergeCell ref="AJ90:AJ93"/>
    <mergeCell ref="C40:D43"/>
    <mergeCell ref="C58:D58"/>
    <mergeCell ref="C45:D45"/>
    <mergeCell ref="AJ2:AJ5"/>
    <mergeCell ref="C74:D74"/>
    <mergeCell ref="C64:D64"/>
    <mergeCell ref="B2:B5"/>
    <mergeCell ref="C79:D79"/>
    <mergeCell ref="B38:D38"/>
    <mergeCell ref="D2:D5"/>
    <mergeCell ref="C90:D93"/>
    <mergeCell ref="A84:A87"/>
    <mergeCell ref="A90:A93"/>
    <mergeCell ref="C84:C87"/>
    <mergeCell ref="C73:D73"/>
    <mergeCell ref="C47:D47"/>
    <mergeCell ref="C54:D54"/>
    <mergeCell ref="A83:D83"/>
    <mergeCell ref="C94:D94"/>
    <mergeCell ref="C65:D65"/>
    <mergeCell ref="C55:D55"/>
    <mergeCell ref="C50:D50"/>
    <mergeCell ref="C44:D44"/>
    <mergeCell ref="C75:D75"/>
    <mergeCell ref="C56:D56"/>
    <mergeCell ref="A40:A43"/>
    <mergeCell ref="C59:D59"/>
    <mergeCell ref="B84:B87"/>
    <mergeCell ref="C46:D46"/>
    <mergeCell ref="A22:AJ22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E83:AI83"/>
    <mergeCell ref="C48:D48"/>
    <mergeCell ref="A31:AJ31"/>
    <mergeCell ref="C72:D72"/>
    <mergeCell ref="C67:D67"/>
    <mergeCell ref="C57:D57"/>
    <mergeCell ref="B90:B93"/>
    <mergeCell ref="C66:D66"/>
    <mergeCell ref="C53:D53"/>
    <mergeCell ref="B39:D39"/>
    <mergeCell ref="C78:D78"/>
    <mergeCell ref="C69:D69"/>
    <mergeCell ref="C49:D49"/>
    <mergeCell ref="A1:AJ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N94"/>
  <sheetViews>
    <sheetView topLeftCell="N1" workbookViewId="0">
      <selection activeCell="T19" sqref="T19"/>
    </sheetView>
  </sheetViews>
  <sheetFormatPr baseColWidth="8" defaultColWidth="34" defaultRowHeight="14.5"/>
  <cols>
    <col width="14" customWidth="1" style="143" min="1" max="1"/>
    <col width="27" bestFit="1" customWidth="1" style="143" min="2" max="2"/>
    <col width="32" customWidth="1" style="143" min="3" max="3"/>
    <col width="20" customWidth="1" style="143" min="4" max="4"/>
    <col width="34" customWidth="1" style="143" min="5" max="5"/>
    <col width="23" customWidth="1" style="488" min="6" max="35"/>
    <col width="18" customWidth="1" style="488" min="36" max="37"/>
    <col width="14" customWidth="1" style="488" min="38" max="66"/>
    <col width="34" customWidth="1" style="143" min="67" max="67"/>
    <col width="34" customWidth="1" style="143" min="68" max="16384"/>
  </cols>
  <sheetData>
    <row r="1" ht="26.25" customHeight="1" s="488">
      <c r="A1" s="598" t="inlineStr">
        <is>
          <t>DEC- 2025</t>
        </is>
      </c>
      <c r="B1" s="505" t="n"/>
      <c r="C1" s="505" t="n"/>
      <c r="D1" s="505" t="n"/>
      <c r="E1" s="505" t="n"/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505" t="n"/>
      <c r="AJ1" s="505" t="n"/>
      <c r="AK1" s="505" t="n"/>
      <c r="AL1" s="505" t="n"/>
      <c r="AM1" s="505" t="n"/>
      <c r="AN1" s="505" t="n"/>
      <c r="AO1" s="505" t="n"/>
      <c r="AP1" s="505" t="n"/>
      <c r="AQ1" s="505" t="n"/>
      <c r="AR1" s="505" t="n"/>
      <c r="AS1" s="505" t="n"/>
      <c r="AT1" s="505" t="n"/>
      <c r="AU1" s="505" t="n"/>
      <c r="AV1" s="505" t="n"/>
      <c r="AW1" s="505" t="n"/>
      <c r="AX1" s="505" t="n"/>
      <c r="AY1" s="505" t="n"/>
      <c r="AZ1" s="505" t="n"/>
      <c r="BA1" s="505" t="n"/>
      <c r="BB1" s="505" t="n"/>
      <c r="BC1" s="505" t="n"/>
      <c r="BD1" s="505" t="n"/>
      <c r="BE1" s="505" t="n"/>
      <c r="BF1" s="505" t="n"/>
      <c r="BG1" s="505" t="n"/>
      <c r="BH1" s="505" t="n"/>
      <c r="BI1" s="505" t="n"/>
      <c r="BJ1" s="505" t="n"/>
      <c r="BK1" s="505" t="n"/>
      <c r="BL1" s="505" t="n"/>
      <c r="BM1" s="506" t="n"/>
      <c r="BN1" s="223" t="n"/>
    </row>
    <row r="2">
      <c r="A2" s="593" t="inlineStr">
        <is>
          <t>Sr.No</t>
        </is>
      </c>
      <c r="B2" s="593" t="inlineStr">
        <is>
          <t>Location</t>
        </is>
      </c>
      <c r="C2" s="580" t="inlineStr">
        <is>
          <t>Meter</t>
        </is>
      </c>
      <c r="D2" s="585" t="inlineStr">
        <is>
          <t>Previous Reading</t>
        </is>
      </c>
      <c r="E2" s="224" t="n">
        <v>45992</v>
      </c>
      <c r="F2" s="224" t="n">
        <v>45993</v>
      </c>
      <c r="G2" s="224" t="n">
        <v>45994</v>
      </c>
      <c r="H2" s="224" t="n">
        <v>45995</v>
      </c>
      <c r="I2" s="224" t="n">
        <v>45996</v>
      </c>
      <c r="J2" s="224" t="n">
        <v>45997</v>
      </c>
      <c r="K2" s="224" t="n">
        <v>45998</v>
      </c>
      <c r="L2" s="224" t="n">
        <v>45999</v>
      </c>
      <c r="M2" s="224" t="n">
        <v>46000</v>
      </c>
      <c r="N2" s="224" t="n">
        <v>46001</v>
      </c>
      <c r="O2" s="224" t="n">
        <v>46002</v>
      </c>
      <c r="P2" s="224" t="n">
        <v>46003</v>
      </c>
      <c r="Q2" s="224" t="n">
        <v>46004</v>
      </c>
      <c r="R2" s="224" t="n">
        <v>46005</v>
      </c>
      <c r="S2" s="224" t="n">
        <v>46006</v>
      </c>
      <c r="T2" s="224" t="n">
        <v>46007</v>
      </c>
      <c r="U2" s="224" t="n">
        <v>46008</v>
      </c>
      <c r="V2" s="224" t="n">
        <v>46009</v>
      </c>
      <c r="W2" s="224" t="n">
        <v>46010</v>
      </c>
      <c r="X2" s="224" t="n">
        <v>46011</v>
      </c>
      <c r="Y2" s="224" t="n">
        <v>46012</v>
      </c>
      <c r="Z2" s="224" t="n">
        <v>46013</v>
      </c>
      <c r="AA2" s="224" t="n">
        <v>46014</v>
      </c>
      <c r="AB2" s="224" t="n">
        <v>46015</v>
      </c>
      <c r="AC2" s="224" t="n">
        <v>46016</v>
      </c>
      <c r="AD2" s="224" t="n">
        <v>46017</v>
      </c>
      <c r="AE2" s="224" t="n">
        <v>46018</v>
      </c>
      <c r="AF2" s="224" t="n">
        <v>46019</v>
      </c>
      <c r="AG2" s="224" t="n">
        <v>46020</v>
      </c>
      <c r="AH2" s="224" t="n">
        <v>46021</v>
      </c>
      <c r="AI2" s="224" t="n">
        <v>46022</v>
      </c>
      <c r="AJ2" s="590" t="inlineStr">
        <is>
          <t>Consumption</t>
        </is>
      </c>
    </row>
    <row r="3">
      <c r="A3" s="509" t="n"/>
      <c r="B3" s="509" t="n"/>
      <c r="C3" s="509" t="n"/>
      <c r="D3" s="509" t="n"/>
      <c r="E3" s="225" t="inlineStr">
        <is>
          <t>Mon</t>
        </is>
      </c>
      <c r="F3" s="225" t="inlineStr">
        <is>
          <t>Tue</t>
        </is>
      </c>
      <c r="G3" s="225" t="inlineStr">
        <is>
          <t>Wed</t>
        </is>
      </c>
      <c r="H3" s="225" t="inlineStr">
        <is>
          <t>Thu</t>
        </is>
      </c>
      <c r="I3" s="225" t="inlineStr">
        <is>
          <t>Fri</t>
        </is>
      </c>
      <c r="J3" s="225" t="inlineStr">
        <is>
          <t>Sat</t>
        </is>
      </c>
      <c r="K3" s="225" t="inlineStr">
        <is>
          <t>Sun</t>
        </is>
      </c>
      <c r="L3" s="225" t="inlineStr">
        <is>
          <t>Mon</t>
        </is>
      </c>
      <c r="M3" s="225" t="inlineStr">
        <is>
          <t>Tue</t>
        </is>
      </c>
      <c r="N3" s="225" t="inlineStr">
        <is>
          <t>Wed</t>
        </is>
      </c>
      <c r="O3" s="225" t="inlineStr">
        <is>
          <t>Thu</t>
        </is>
      </c>
      <c r="P3" s="225" t="inlineStr">
        <is>
          <t>Fri</t>
        </is>
      </c>
      <c r="Q3" s="225" t="inlineStr">
        <is>
          <t>Sat</t>
        </is>
      </c>
      <c r="R3" s="225" t="inlineStr">
        <is>
          <t>Sun</t>
        </is>
      </c>
      <c r="S3" s="225" t="inlineStr">
        <is>
          <t>Mon</t>
        </is>
      </c>
      <c r="T3" s="225" t="inlineStr">
        <is>
          <t>Tue</t>
        </is>
      </c>
      <c r="U3" s="225" t="inlineStr">
        <is>
          <t>Wed</t>
        </is>
      </c>
      <c r="V3" s="225" t="inlineStr">
        <is>
          <t>Thu</t>
        </is>
      </c>
      <c r="W3" s="225" t="inlineStr">
        <is>
          <t>Fri</t>
        </is>
      </c>
      <c r="X3" s="225" t="inlineStr">
        <is>
          <t>Sat</t>
        </is>
      </c>
      <c r="Y3" s="225" t="inlineStr">
        <is>
          <t>Sun</t>
        </is>
      </c>
      <c r="Z3" s="225" t="inlineStr">
        <is>
          <t>Mon</t>
        </is>
      </c>
      <c r="AA3" s="225" t="inlineStr">
        <is>
          <t>Tue</t>
        </is>
      </c>
      <c r="AB3" s="225" t="inlineStr">
        <is>
          <t>Wed</t>
        </is>
      </c>
      <c r="AC3" s="225" t="inlineStr">
        <is>
          <t>Thu</t>
        </is>
      </c>
      <c r="AD3" s="225" t="inlineStr">
        <is>
          <t>Fri</t>
        </is>
      </c>
      <c r="AE3" s="225" t="inlineStr">
        <is>
          <t>Sat</t>
        </is>
      </c>
      <c r="AF3" s="225" t="inlineStr">
        <is>
          <t>Sun</t>
        </is>
      </c>
      <c r="AG3" s="225" t="inlineStr">
        <is>
          <t>Mon</t>
        </is>
      </c>
      <c r="AH3" s="225" t="inlineStr">
        <is>
          <t>Tue</t>
        </is>
      </c>
      <c r="AI3" s="225" t="inlineStr">
        <is>
          <t>Wed</t>
        </is>
      </c>
      <c r="AJ3" s="509" t="n"/>
    </row>
    <row r="4">
      <c r="A4" s="509" t="n"/>
      <c r="B4" s="509" t="n"/>
      <c r="C4" s="509" t="n"/>
      <c r="D4" s="509" t="n"/>
      <c r="E4" s="226" t="inlineStr">
        <is>
          <t>Time</t>
        </is>
      </c>
      <c r="F4" s="226" t="inlineStr">
        <is>
          <t>Time</t>
        </is>
      </c>
      <c r="G4" s="226" t="inlineStr">
        <is>
          <t>Time</t>
        </is>
      </c>
      <c r="H4" s="226" t="inlineStr">
        <is>
          <t>Time</t>
        </is>
      </c>
      <c r="I4" s="226" t="inlineStr">
        <is>
          <t>Time</t>
        </is>
      </c>
      <c r="J4" s="226" t="inlineStr">
        <is>
          <t>Time</t>
        </is>
      </c>
      <c r="K4" s="226" t="inlineStr">
        <is>
          <t>Time</t>
        </is>
      </c>
      <c r="L4" s="226" t="inlineStr">
        <is>
          <t>Time</t>
        </is>
      </c>
      <c r="M4" s="226" t="inlineStr">
        <is>
          <t>Time</t>
        </is>
      </c>
      <c r="N4" s="226" t="inlineStr">
        <is>
          <t>Time</t>
        </is>
      </c>
      <c r="O4" s="226" t="inlineStr">
        <is>
          <t>Time</t>
        </is>
      </c>
      <c r="P4" s="226" t="inlineStr">
        <is>
          <t>Time</t>
        </is>
      </c>
      <c r="Q4" s="226" t="inlineStr">
        <is>
          <t>Time</t>
        </is>
      </c>
      <c r="R4" s="226" t="inlineStr">
        <is>
          <t>Time</t>
        </is>
      </c>
      <c r="S4" s="226" t="inlineStr">
        <is>
          <t>Time</t>
        </is>
      </c>
      <c r="T4" s="226" t="inlineStr">
        <is>
          <t>Time</t>
        </is>
      </c>
      <c r="U4" s="226" t="inlineStr">
        <is>
          <t>Time</t>
        </is>
      </c>
      <c r="V4" s="226" t="inlineStr">
        <is>
          <t>Time</t>
        </is>
      </c>
      <c r="W4" s="226" t="inlineStr">
        <is>
          <t>Time</t>
        </is>
      </c>
      <c r="X4" s="226" t="inlineStr">
        <is>
          <t>Time</t>
        </is>
      </c>
      <c r="Y4" s="226" t="inlineStr">
        <is>
          <t>Time</t>
        </is>
      </c>
      <c r="Z4" s="226" t="inlineStr">
        <is>
          <t>Time</t>
        </is>
      </c>
      <c r="AA4" s="226" t="inlineStr">
        <is>
          <t>Time</t>
        </is>
      </c>
      <c r="AB4" s="226" t="inlineStr">
        <is>
          <t>Time</t>
        </is>
      </c>
      <c r="AC4" s="226" t="inlineStr">
        <is>
          <t>Time</t>
        </is>
      </c>
      <c r="AD4" s="226" t="inlineStr">
        <is>
          <t>Time</t>
        </is>
      </c>
      <c r="AE4" s="226" t="inlineStr">
        <is>
          <t>Time</t>
        </is>
      </c>
      <c r="AF4" s="226" t="inlineStr">
        <is>
          <t>Time</t>
        </is>
      </c>
      <c r="AG4" s="226" t="inlineStr">
        <is>
          <t>Time</t>
        </is>
      </c>
      <c r="AH4" s="226" t="inlineStr">
        <is>
          <t>Time</t>
        </is>
      </c>
      <c r="AI4" s="226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227" t="n">
        <v>0.3333333333333333</v>
      </c>
      <c r="F5" s="227" t="n">
        <v>0.3333333333333333</v>
      </c>
      <c r="G5" s="227" t="n">
        <v>0.3333333333333333</v>
      </c>
      <c r="H5" s="227" t="n">
        <v>0.3333333333333333</v>
      </c>
      <c r="I5" s="227" t="n">
        <v>0.3333333333333333</v>
      </c>
      <c r="J5" s="227" t="n">
        <v>0.3333333333333333</v>
      </c>
      <c r="K5" s="227" t="n">
        <v>0.3333333333333333</v>
      </c>
      <c r="L5" s="227" t="n">
        <v>0.3333333333333333</v>
      </c>
      <c r="M5" s="227" t="n">
        <v>0.3333333333333333</v>
      </c>
      <c r="N5" s="227" t="n">
        <v>0.3333333333333333</v>
      </c>
      <c r="O5" s="227" t="n">
        <v>0.3333333333333333</v>
      </c>
      <c r="P5" s="227" t="n">
        <v>0.3333333333333333</v>
      </c>
      <c r="Q5" s="227" t="n">
        <v>0.3333333333333333</v>
      </c>
      <c r="R5" s="227" t="n">
        <v>0.3333333333333333</v>
      </c>
      <c r="S5" s="227" t="n">
        <v>0.3333333333333333</v>
      </c>
      <c r="T5" s="227" t="n">
        <v>0.3333333333333333</v>
      </c>
      <c r="U5" s="227" t="n">
        <v>0.3333333333333333</v>
      </c>
      <c r="V5" s="227" t="n">
        <v>0.3333333333333333</v>
      </c>
      <c r="W5" s="227" t="n">
        <v>0.3333333333333333</v>
      </c>
      <c r="X5" s="227" t="n">
        <v>0.3333333333333333</v>
      </c>
      <c r="Y5" s="227" t="n">
        <v>0.3333333333333333</v>
      </c>
      <c r="Z5" s="227" t="n">
        <v>0.3333333333333333</v>
      </c>
      <c r="AA5" s="227" t="n">
        <v>0.3333333333333333</v>
      </c>
      <c r="AB5" s="228" t="n">
        <v>0.3333333333333333</v>
      </c>
      <c r="AC5" s="227" t="n">
        <v>0.3333333333333333</v>
      </c>
      <c r="AD5" s="227" t="n">
        <v>0.3333333333333333</v>
      </c>
      <c r="AE5" s="227" t="n">
        <v>0.3333333333333333</v>
      </c>
      <c r="AF5" s="227" t="n">
        <v>0.3333333333333333</v>
      </c>
      <c r="AG5" s="227" t="n">
        <v>0.3333333333333333</v>
      </c>
      <c r="AH5" s="227" t="n">
        <v>0.3333333333333333</v>
      </c>
      <c r="AI5" s="227" t="n">
        <v>0.3333333333333333</v>
      </c>
      <c r="AJ5" s="510" t="n"/>
    </row>
    <row r="6">
      <c r="A6" s="229" t="n">
        <v>1</v>
      </c>
      <c r="B6" s="583" t="inlineStr">
        <is>
          <t>3F</t>
        </is>
      </c>
      <c r="C6" s="139" t="inlineStr">
        <is>
          <t>SL No 540430038840 (EB Unit)</t>
        </is>
      </c>
      <c r="D6" s="231" t="n">
        <v>160014</v>
      </c>
      <c r="E6" s="229" t="n"/>
      <c r="F6" s="229" t="n"/>
      <c r="G6" s="229" t="n"/>
      <c r="H6" s="229" t="n"/>
      <c r="I6" s="229" t="n"/>
      <c r="J6" s="229" t="n"/>
      <c r="K6" s="229" t="n"/>
      <c r="L6" s="229" t="n"/>
      <c r="M6" s="229" t="n"/>
      <c r="N6" s="229" t="n"/>
      <c r="O6" s="232" t="n"/>
      <c r="P6" s="233" t="n"/>
      <c r="Q6" s="229" t="n"/>
      <c r="R6" s="234" t="n"/>
      <c r="S6" s="583" t="n"/>
      <c r="T6" s="583" t="n"/>
      <c r="U6" s="583" t="n"/>
      <c r="V6" s="235" t="n"/>
      <c r="W6" s="583" t="n"/>
      <c r="X6" s="583" t="n"/>
      <c r="Y6" s="583" t="n"/>
      <c r="Z6" s="583" t="n"/>
      <c r="AA6" s="232" t="n"/>
      <c r="AB6" s="232" t="n"/>
      <c r="AC6" s="232" t="n"/>
      <c r="AD6" s="583" t="n"/>
      <c r="AE6" s="583" t="n"/>
      <c r="AF6" s="583" t="n"/>
      <c r="AG6" s="229" t="n"/>
      <c r="AH6" s="236" t="n"/>
      <c r="AI6" s="236" t="n">
        <v>167218</v>
      </c>
      <c r="AJ6" s="237" t="n">
        <v>7204</v>
      </c>
    </row>
    <row r="7">
      <c r="A7" s="238" t="n"/>
      <c r="B7" s="238" t="n"/>
      <c r="C7" s="140" t="inlineStr">
        <is>
          <t>DG</t>
        </is>
      </c>
      <c r="D7" s="239" t="n">
        <v>4279</v>
      </c>
      <c r="E7" s="240" t="n"/>
      <c r="F7" s="240" t="n"/>
      <c r="G7" s="240" t="n"/>
      <c r="H7" s="240" t="n"/>
      <c r="I7" s="240" t="n"/>
      <c r="J7" s="240" t="n"/>
      <c r="K7" s="240" t="n"/>
      <c r="L7" s="240" t="n"/>
      <c r="M7" s="240" t="n"/>
      <c r="N7" s="238" t="n"/>
      <c r="O7" s="238" t="n"/>
      <c r="P7" s="238" t="n"/>
      <c r="Q7" s="238" t="n"/>
      <c r="R7" s="238" t="n"/>
      <c r="S7" s="238" t="n"/>
      <c r="T7" s="238" t="n"/>
      <c r="U7" s="238" t="n"/>
      <c r="V7" s="238" t="n"/>
      <c r="W7" s="238" t="n"/>
      <c r="X7" s="238" t="n"/>
      <c r="Y7" s="238" t="n"/>
      <c r="Z7" s="238" t="n"/>
      <c r="AA7" s="238" t="n"/>
      <c r="AB7" s="238" t="n"/>
      <c r="AC7" s="238" t="n"/>
      <c r="AD7" s="238" t="n"/>
      <c r="AE7" s="238" t="n"/>
      <c r="AF7" s="238" t="n"/>
      <c r="AG7" s="238" t="n"/>
      <c r="AH7" s="240" t="n"/>
      <c r="AI7" s="291" t="n">
        <v>4281</v>
      </c>
      <c r="AJ7" s="237">
        <f>AH7-D7</f>
        <v/>
      </c>
    </row>
    <row r="8">
      <c r="A8" s="583" t="n">
        <v>2</v>
      </c>
      <c r="B8" s="583" t="inlineStr">
        <is>
          <t>3F</t>
        </is>
      </c>
      <c r="C8" s="141" t="inlineStr">
        <is>
          <t>SL No 540430038845 (EB Unit)</t>
        </is>
      </c>
      <c r="D8" s="241" t="n">
        <v>1956</v>
      </c>
      <c r="E8" s="232" t="n"/>
      <c r="F8" s="232" t="n"/>
      <c r="G8" s="232" t="n"/>
      <c r="H8" s="232" t="n"/>
      <c r="I8" s="232" t="n"/>
      <c r="J8" s="583" t="n"/>
      <c r="K8" s="583" t="n"/>
      <c r="L8" s="583" t="n"/>
      <c r="M8" s="583" t="n"/>
      <c r="N8" s="583" t="n"/>
      <c r="O8" s="583" t="n"/>
      <c r="P8" s="583" t="n"/>
      <c r="Q8" s="583" t="n"/>
      <c r="R8" s="583" t="n"/>
      <c r="S8" s="583" t="n"/>
      <c r="T8" s="583" t="n"/>
      <c r="U8" s="583" t="n"/>
      <c r="V8" s="583" t="n"/>
      <c r="W8" s="583" t="n"/>
      <c r="X8" s="583" t="n"/>
      <c r="Y8" s="583" t="n"/>
      <c r="Z8" s="583" t="n"/>
      <c r="AA8" s="583" t="n"/>
      <c r="AB8" s="583" t="n"/>
      <c r="AC8" s="583" t="n"/>
      <c r="AD8" s="583" t="n"/>
      <c r="AE8" s="583" t="n"/>
      <c r="AF8" s="583" t="n"/>
      <c r="AG8" s="583" t="n"/>
      <c r="AH8" s="232" t="n"/>
      <c r="AI8" s="232" t="n">
        <v>1956</v>
      </c>
      <c r="AJ8" s="237">
        <f>AH8-D8</f>
        <v/>
      </c>
    </row>
    <row r="9">
      <c r="A9" s="583" t="n"/>
      <c r="B9" s="583" t="n"/>
      <c r="C9" s="140" t="inlineStr">
        <is>
          <t>DG</t>
        </is>
      </c>
      <c r="D9" s="241" t="n">
        <v>28.6</v>
      </c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583" t="n"/>
      <c r="O9" s="583" t="n"/>
      <c r="P9" s="583" t="n"/>
      <c r="Q9" s="583" t="n"/>
      <c r="R9" s="583" t="n"/>
      <c r="S9" s="583" t="n"/>
      <c r="T9" s="583" t="n"/>
      <c r="U9" s="583" t="n"/>
      <c r="V9" s="583" t="n"/>
      <c r="W9" s="583" t="n"/>
      <c r="X9" s="583" t="n"/>
      <c r="Y9" s="583" t="n"/>
      <c r="Z9" s="583" t="n"/>
      <c r="AA9" s="583" t="n"/>
      <c r="AB9" s="583" t="n"/>
      <c r="AC9" s="583" t="n"/>
      <c r="AD9" s="583" t="n"/>
      <c r="AE9" s="583" t="n"/>
      <c r="AF9" s="583" t="n"/>
      <c r="AG9" s="583" t="n"/>
      <c r="AH9" s="232" t="n"/>
      <c r="AI9" s="232" t="n">
        <v>28.6</v>
      </c>
      <c r="AJ9" s="237">
        <f>AH9-D9</f>
        <v/>
      </c>
    </row>
    <row r="10">
      <c r="A10" s="583" t="n">
        <v>3</v>
      </c>
      <c r="B10" s="583" t="inlineStr">
        <is>
          <t>3F</t>
        </is>
      </c>
      <c r="C10" s="141" t="inlineStr">
        <is>
          <t>SL No 540430038844 (EB Unit)</t>
        </is>
      </c>
      <c r="D10" s="239" t="n">
        <v>232941</v>
      </c>
      <c r="E10" s="583" t="n"/>
      <c r="F10" s="583" t="n"/>
      <c r="G10" s="583" t="n"/>
      <c r="H10" s="583" t="n"/>
      <c r="I10" s="583" t="n"/>
      <c r="J10" s="583" t="n"/>
      <c r="K10" s="583" t="n"/>
      <c r="L10" s="583" t="n"/>
      <c r="M10" s="583" t="n"/>
      <c r="N10" s="583" t="n"/>
      <c r="O10" s="583" t="n"/>
      <c r="P10" s="583" t="n"/>
      <c r="Q10" s="583" t="n"/>
      <c r="R10" s="583" t="n"/>
      <c r="S10" s="583" t="n"/>
      <c r="T10" s="583" t="n"/>
      <c r="U10" s="583" t="n"/>
      <c r="V10" s="583" t="n"/>
      <c r="W10" s="583" t="n"/>
      <c r="X10" s="583" t="n"/>
      <c r="Y10" s="583" t="n"/>
      <c r="Z10" s="583" t="n"/>
      <c r="AA10" s="232" t="n"/>
      <c r="AB10" s="232" t="n"/>
      <c r="AC10" s="232" t="n"/>
      <c r="AD10" s="583" t="n"/>
      <c r="AE10" s="238" t="n"/>
      <c r="AF10" s="238" t="n"/>
      <c r="AG10" s="238" t="n"/>
      <c r="AH10" s="240" t="n"/>
      <c r="AI10" s="240" t="n">
        <v>243129</v>
      </c>
      <c r="AJ10" s="237" t="n">
        <v>10188</v>
      </c>
    </row>
    <row r="11">
      <c r="A11" s="583" t="n"/>
      <c r="B11" s="583" t="n"/>
      <c r="C11" s="140" t="inlineStr">
        <is>
          <t>DG</t>
        </is>
      </c>
      <c r="D11" s="241" t="n">
        <v>6406</v>
      </c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583" t="n"/>
      <c r="O11" s="583" t="n"/>
      <c r="P11" s="583" t="n"/>
      <c r="Q11" s="583" t="n"/>
      <c r="R11" s="583" t="n"/>
      <c r="S11" s="583" t="n"/>
      <c r="T11" s="583" t="n"/>
      <c r="U11" s="583" t="n"/>
      <c r="V11" s="583" t="n"/>
      <c r="W11" s="583" t="n"/>
      <c r="X11" s="583" t="n"/>
      <c r="Y11" s="583" t="n"/>
      <c r="Z11" s="583" t="n"/>
      <c r="AA11" s="583" t="n"/>
      <c r="AB11" s="583" t="n"/>
      <c r="AC11" s="583" t="n"/>
      <c r="AD11" s="583" t="n"/>
      <c r="AE11" s="583" t="n"/>
      <c r="AF11" s="583" t="n"/>
      <c r="AG11" s="583" t="n"/>
      <c r="AH11" s="232" t="n"/>
      <c r="AI11" s="293" t="n">
        <v>6407</v>
      </c>
      <c r="AJ11" s="237">
        <f>AH11-D11</f>
        <v/>
      </c>
    </row>
    <row r="12">
      <c r="A12" s="583" t="n">
        <v>4</v>
      </c>
      <c r="B12" s="583" t="inlineStr">
        <is>
          <t>3F</t>
        </is>
      </c>
      <c r="C12" s="141" t="inlineStr">
        <is>
          <t>SL No 540430038821 (EB Unit)</t>
        </is>
      </c>
      <c r="D12" s="241" t="n">
        <v>0</v>
      </c>
      <c r="E12" s="232" t="n"/>
      <c r="F12" s="232" t="n"/>
      <c r="G12" s="232" t="n"/>
      <c r="H12" s="232" t="n"/>
      <c r="I12" s="232" t="n"/>
      <c r="J12" s="583" t="n"/>
      <c r="K12" s="583" t="n"/>
      <c r="L12" s="583" t="n"/>
      <c r="M12" s="583" t="n"/>
      <c r="N12" s="583" t="n"/>
      <c r="O12" s="583" t="n"/>
      <c r="P12" s="583" t="n"/>
      <c r="Q12" s="583" t="n"/>
      <c r="R12" s="583" t="n"/>
      <c r="S12" s="583" t="n"/>
      <c r="T12" s="583" t="n"/>
      <c r="U12" s="583" t="n"/>
      <c r="V12" s="583" t="n"/>
      <c r="W12" s="583" t="n"/>
      <c r="X12" s="583" t="n"/>
      <c r="Y12" s="583" t="n"/>
      <c r="Z12" s="583" t="n"/>
      <c r="AA12" s="583" t="n"/>
      <c r="AB12" s="583" t="n"/>
      <c r="AC12" s="583" t="n"/>
      <c r="AD12" s="583" t="n"/>
      <c r="AE12" s="583" t="n"/>
      <c r="AF12" s="583" t="n"/>
      <c r="AG12" s="583" t="n"/>
      <c r="AH12" s="232" t="n"/>
      <c r="AI12" s="232" t="n">
        <v>0</v>
      </c>
      <c r="AJ12" s="237">
        <f>AH12-D12</f>
        <v/>
      </c>
    </row>
    <row r="13">
      <c r="A13" s="583" t="n"/>
      <c r="B13" s="583" t="n"/>
      <c r="C13" s="140" t="inlineStr">
        <is>
          <t>DG</t>
        </is>
      </c>
      <c r="D13" s="242" t="n">
        <v>0</v>
      </c>
      <c r="E13" s="243" t="n"/>
      <c r="F13" s="243" t="n"/>
      <c r="G13" s="243" t="n"/>
      <c r="H13" s="243" t="n"/>
      <c r="I13" s="243" t="n"/>
      <c r="J13" s="583" t="n"/>
      <c r="K13" s="583" t="n"/>
      <c r="L13" s="583" t="n"/>
      <c r="M13" s="583" t="n"/>
      <c r="N13" s="583" t="n"/>
      <c r="O13" s="583" t="n"/>
      <c r="P13" s="583" t="n"/>
      <c r="Q13" s="583" t="n"/>
      <c r="R13" s="583" t="n"/>
      <c r="S13" s="583" t="n"/>
      <c r="T13" s="583" t="n"/>
      <c r="U13" s="583" t="n"/>
      <c r="V13" s="583" t="n"/>
      <c r="W13" s="583" t="n"/>
      <c r="X13" s="583" t="n"/>
      <c r="Y13" s="583" t="n"/>
      <c r="Z13" s="583" t="n"/>
      <c r="AA13" s="583" t="n"/>
      <c r="AB13" s="583" t="n"/>
      <c r="AC13" s="583" t="n"/>
      <c r="AD13" s="583" t="n"/>
      <c r="AE13" s="583" t="n"/>
      <c r="AF13" s="583" t="n"/>
      <c r="AG13" s="583" t="n"/>
      <c r="AH13" s="232" t="n"/>
      <c r="AI13" s="232" t="n">
        <v>0</v>
      </c>
      <c r="AJ13" s="237">
        <f>AH13-D13</f>
        <v/>
      </c>
    </row>
    <row r="14">
      <c r="A14" s="583" t="n">
        <v>5</v>
      </c>
      <c r="B14" s="583" t="inlineStr">
        <is>
          <t>3F</t>
        </is>
      </c>
      <c r="C14" s="213" t="inlineStr">
        <is>
          <t>SL No 540430038849 (EB Unit)</t>
        </is>
      </c>
      <c r="D14" s="244" t="n">
        <v>117671</v>
      </c>
      <c r="E14" s="234" t="n"/>
      <c r="F14" s="583" t="n"/>
      <c r="G14" s="583" t="n"/>
      <c r="H14" s="583" t="n"/>
      <c r="I14" s="583" t="n"/>
      <c r="J14" s="583" t="n"/>
      <c r="K14" s="583" t="n"/>
      <c r="L14" s="583" t="n"/>
      <c r="M14" s="583" t="n"/>
      <c r="N14" s="583" t="n"/>
      <c r="O14" s="583" t="n"/>
      <c r="P14" s="583" t="n"/>
      <c r="Q14" s="583" t="n"/>
      <c r="R14" s="583" t="n"/>
      <c r="S14" s="583" t="n"/>
      <c r="T14" s="583" t="n"/>
      <c r="U14" s="245" t="n"/>
      <c r="V14" s="583" t="n"/>
      <c r="W14" s="583" t="n"/>
      <c r="X14" s="583" t="n"/>
      <c r="Y14" s="583" t="n"/>
      <c r="Z14" s="583" t="n"/>
      <c r="AA14" s="232" t="n"/>
      <c r="AB14" s="232" t="n"/>
      <c r="AC14" s="232" t="n"/>
      <c r="AD14" s="583" t="n"/>
      <c r="AE14" s="245" t="n"/>
      <c r="AF14" s="245" t="n"/>
      <c r="AG14" s="245" t="n"/>
      <c r="AH14" s="246" t="n"/>
      <c r="AI14" s="246" t="n">
        <v>124335</v>
      </c>
      <c r="AJ14" s="237">
        <f>AH14-D14</f>
        <v/>
      </c>
    </row>
    <row r="15">
      <c r="A15" s="583" t="n"/>
      <c r="B15" s="583" t="n"/>
      <c r="C15" s="214" t="inlineStr">
        <is>
          <t>DG</t>
        </is>
      </c>
      <c r="D15" s="244" t="n">
        <v>3277</v>
      </c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7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8" t="n"/>
      <c r="AH15" s="243" t="n"/>
      <c r="AI15" s="294" t="n">
        <v>3278</v>
      </c>
      <c r="AJ15" s="237">
        <f>AH15-D15</f>
        <v/>
      </c>
    </row>
    <row r="16">
      <c r="A16" s="583" t="n">
        <v>6</v>
      </c>
      <c r="B16" s="583" t="inlineStr">
        <is>
          <t>3F</t>
        </is>
      </c>
      <c r="C16" s="213" t="inlineStr">
        <is>
          <t>SL No 540430038646 (EB Unit)</t>
        </is>
      </c>
      <c r="D16" s="244" t="n">
        <v>135314</v>
      </c>
      <c r="E16" s="249" t="n"/>
      <c r="F16" s="232" t="n"/>
      <c r="G16" s="229" t="n"/>
      <c r="H16" s="234" t="n"/>
      <c r="I16" s="583" t="n"/>
      <c r="J16" s="583" t="n"/>
      <c r="K16" s="232" t="n"/>
      <c r="L16" s="250" t="n"/>
      <c r="M16" s="233" t="n"/>
      <c r="N16" s="233" t="n"/>
      <c r="O16" s="233" t="n"/>
      <c r="P16" s="233" t="n"/>
      <c r="Q16" s="251" t="n"/>
      <c r="R16" s="233" t="n"/>
      <c r="S16" s="234" t="n"/>
      <c r="T16" s="583" t="n"/>
      <c r="U16" s="583" t="n"/>
      <c r="V16" s="583" t="n"/>
      <c r="W16" s="583" t="n"/>
      <c r="X16" s="583" t="n"/>
      <c r="Y16" s="583" t="n"/>
      <c r="Z16" s="583" t="n"/>
      <c r="AA16" s="232" t="n"/>
      <c r="AB16" s="232" t="n"/>
      <c r="AC16" s="232" t="n"/>
      <c r="AD16" s="232" t="n"/>
      <c r="AE16" s="229" t="n"/>
      <c r="AF16" s="229" t="n"/>
      <c r="AG16" s="229" t="n"/>
      <c r="AH16" s="236" t="n"/>
      <c r="AI16" s="236" t="n">
        <v>141339</v>
      </c>
      <c r="AJ16" s="237" t="n">
        <v>6664</v>
      </c>
    </row>
    <row r="17">
      <c r="A17" s="583" t="n"/>
      <c r="B17" s="583" t="n"/>
      <c r="C17" s="214" t="inlineStr">
        <is>
          <t>DG</t>
        </is>
      </c>
      <c r="D17" s="244" t="n">
        <v>4262</v>
      </c>
      <c r="E17" s="252" t="n"/>
      <c r="F17" s="252" t="n"/>
      <c r="G17" s="252" t="n"/>
      <c r="H17" s="252" t="n"/>
      <c r="I17" s="252" t="n"/>
      <c r="J17" s="252" t="n"/>
      <c r="K17" s="252" t="n"/>
      <c r="L17" s="252" t="n"/>
      <c r="M17" s="252" t="n"/>
      <c r="N17" s="252" t="n"/>
      <c r="O17" s="252" t="n"/>
      <c r="P17" s="252" t="n"/>
      <c r="Q17" s="252" t="n"/>
      <c r="R17" s="252" t="n"/>
      <c r="S17" s="252" t="n"/>
      <c r="T17" s="252" t="n"/>
      <c r="U17" s="252" t="n"/>
      <c r="V17" s="252" t="n"/>
      <c r="W17" s="252" t="n"/>
      <c r="X17" s="252" t="n"/>
      <c r="Y17" s="252" t="n"/>
      <c r="Z17" s="252" t="n"/>
      <c r="AA17" s="252" t="n"/>
      <c r="AB17" s="252" t="n"/>
      <c r="AC17" s="252" t="n"/>
      <c r="AD17" s="252" t="n"/>
      <c r="AE17" s="252" t="n"/>
      <c r="AF17" s="252" t="n"/>
      <c r="AG17" s="252" t="n"/>
      <c r="AH17" s="253" t="n"/>
      <c r="AI17" s="295" t="n">
        <v>4262</v>
      </c>
      <c r="AJ17" s="237">
        <f>AH17-D17</f>
        <v/>
      </c>
    </row>
    <row r="18">
      <c r="A18" s="583" t="n">
        <v>7</v>
      </c>
      <c r="B18" s="583" t="inlineStr">
        <is>
          <t>3F</t>
        </is>
      </c>
      <c r="C18" s="141" t="inlineStr">
        <is>
          <t>SL No 540430038843 (EB Unit)</t>
        </is>
      </c>
      <c r="D18" s="239" t="n">
        <v>442589</v>
      </c>
      <c r="E18" s="583" t="n"/>
      <c r="F18" s="583" t="n"/>
      <c r="G18" s="583" t="n"/>
      <c r="H18" s="583" t="n"/>
      <c r="I18" s="583" t="n"/>
      <c r="J18" s="583" t="n"/>
      <c r="K18" s="583" t="n"/>
      <c r="L18" s="583" t="n"/>
      <c r="M18" s="583" t="n"/>
      <c r="N18" s="254" t="n"/>
      <c r="O18" s="583" t="n"/>
      <c r="P18" s="583" t="n"/>
      <c r="Q18" s="583" t="n"/>
      <c r="R18" s="238" t="n"/>
      <c r="S18" s="254" t="n"/>
      <c r="T18" s="583" t="n"/>
      <c r="U18" s="583" t="n"/>
      <c r="V18" s="583" t="n"/>
      <c r="W18" s="583" t="n"/>
      <c r="X18" s="245" t="n"/>
      <c r="Y18" s="583" t="n"/>
      <c r="Z18" s="583" t="n"/>
      <c r="AA18" s="232" t="n"/>
      <c r="AB18" s="232" t="n"/>
      <c r="AC18" s="232" t="n"/>
      <c r="AD18" s="232" t="n"/>
      <c r="AE18" s="229" t="n"/>
      <c r="AF18" s="255" t="n"/>
      <c r="AG18" s="238" t="n"/>
      <c r="AH18" s="240" t="n"/>
      <c r="AI18" s="240" t="n">
        <v>464366</v>
      </c>
      <c r="AJ18" s="237" t="n">
        <v>21777</v>
      </c>
    </row>
    <row r="19">
      <c r="A19" s="583" t="n"/>
      <c r="B19" s="583" t="n"/>
      <c r="C19" s="140" t="inlineStr">
        <is>
          <t>DG</t>
        </is>
      </c>
      <c r="D19" s="241" t="n">
        <v>11604</v>
      </c>
      <c r="E19" s="583" t="n"/>
      <c r="F19" s="583" t="n"/>
      <c r="G19" s="583" t="n"/>
      <c r="H19" s="583" t="n"/>
      <c r="I19" s="583" t="n"/>
      <c r="J19" s="583" t="n"/>
      <c r="K19" s="583" t="n"/>
      <c r="L19" s="583" t="n"/>
      <c r="M19" s="583" t="n"/>
      <c r="N19" s="583" t="n"/>
      <c r="O19" s="583" t="n"/>
      <c r="P19" s="583" t="n"/>
      <c r="Q19" s="583" t="n"/>
      <c r="R19" s="583" t="n"/>
      <c r="S19" s="583" t="n"/>
      <c r="T19" s="583" t="n"/>
      <c r="U19" s="583" t="n"/>
      <c r="V19" s="583" t="n"/>
      <c r="W19" s="583" t="n"/>
      <c r="X19" s="583" t="n"/>
      <c r="Y19" s="583" t="n"/>
      <c r="Z19" s="583" t="n"/>
      <c r="AA19" s="583" t="n"/>
      <c r="AB19" s="583" t="n"/>
      <c r="AC19" s="583" t="n"/>
      <c r="AD19" s="583" t="n"/>
      <c r="AE19" s="583" t="n"/>
      <c r="AF19" s="583" t="n"/>
      <c r="AG19" s="583" t="n"/>
      <c r="AH19" s="232" t="n"/>
      <c r="AI19" s="293" t="n">
        <v>11607</v>
      </c>
      <c r="AJ19" s="237">
        <f>AH19-D19</f>
        <v/>
      </c>
    </row>
    <row r="20">
      <c r="A20" s="583" t="n">
        <v>8</v>
      </c>
      <c r="B20" s="583" t="inlineStr">
        <is>
          <t>3F</t>
        </is>
      </c>
      <c r="C20" s="141" t="inlineStr">
        <is>
          <t>SL No 540430038848 (EB Unit)</t>
        </is>
      </c>
      <c r="D20" s="239" t="n">
        <v>87969</v>
      </c>
      <c r="E20" s="583" t="n"/>
      <c r="F20" s="583" t="n"/>
      <c r="G20" s="583" t="n"/>
      <c r="H20" s="583" t="n"/>
      <c r="I20" s="583" t="n"/>
      <c r="J20" s="583" t="n"/>
      <c r="K20" s="583" t="n"/>
      <c r="L20" s="583" t="n"/>
      <c r="M20" s="583" t="n"/>
      <c r="N20" s="583" t="n"/>
      <c r="O20" s="583" t="n"/>
      <c r="P20" s="583" t="n"/>
      <c r="Q20" s="583" t="n"/>
      <c r="R20" s="583" t="n"/>
      <c r="S20" s="583" t="n"/>
      <c r="T20" s="583" t="n"/>
      <c r="U20" s="583" t="n"/>
      <c r="V20" s="583" t="n"/>
      <c r="W20" s="583" t="n"/>
      <c r="X20" s="583" t="n"/>
      <c r="Y20" s="583" t="n"/>
      <c r="Z20" s="583" t="n"/>
      <c r="AA20" s="238" t="n"/>
      <c r="AB20" s="238" t="n"/>
      <c r="AC20" s="583" t="n"/>
      <c r="AD20" s="583" t="n"/>
      <c r="AE20" s="238" t="n"/>
      <c r="AF20" s="238" t="n"/>
      <c r="AG20" s="238" t="n"/>
      <c r="AH20" s="240" t="n"/>
      <c r="AI20" s="240" t="n">
        <v>91210</v>
      </c>
      <c r="AJ20" s="237" t="n">
        <v>3241</v>
      </c>
    </row>
    <row r="21">
      <c r="A21" s="583" t="n"/>
      <c r="B21" s="583" t="n"/>
      <c r="C21" s="140" t="inlineStr">
        <is>
          <t>DG</t>
        </is>
      </c>
      <c r="D21" s="241" t="n">
        <v>2212</v>
      </c>
      <c r="E21" s="583" t="n"/>
      <c r="F21" s="583" t="n"/>
      <c r="G21" s="583" t="n"/>
      <c r="H21" s="583" t="n"/>
      <c r="I21" s="583" t="n"/>
      <c r="J21" s="583" t="n"/>
      <c r="K21" s="583" t="n"/>
      <c r="L21" s="583" t="n"/>
      <c r="M21" s="583" t="n"/>
      <c r="N21" s="583" t="n"/>
      <c r="O21" s="583" t="n"/>
      <c r="P21" s="583" t="n"/>
      <c r="Q21" s="583" t="n"/>
      <c r="R21" s="583" t="n"/>
      <c r="S21" s="583" t="n"/>
      <c r="T21" s="583" t="n"/>
      <c r="U21" s="583" t="n"/>
      <c r="V21" s="583" t="n"/>
      <c r="W21" s="583" t="n"/>
      <c r="X21" s="583" t="n"/>
      <c r="Y21" s="583" t="n"/>
      <c r="Z21" s="583" t="n"/>
      <c r="AA21" s="583" t="n"/>
      <c r="AB21" s="583" t="n"/>
      <c r="AC21" s="583" t="n"/>
      <c r="AD21" s="583" t="n"/>
      <c r="AE21" s="583" t="n"/>
      <c r="AF21" s="583" t="n"/>
      <c r="AG21" s="583" t="n"/>
      <c r="AH21" s="232" t="n"/>
      <c r="AI21" s="293" t="n">
        <v>2213</v>
      </c>
      <c r="AJ21" s="237">
        <f>AH21-D21</f>
        <v/>
      </c>
    </row>
    <row r="22" ht="14.5" customHeight="1" s="488">
      <c r="A22" s="583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20" t="n"/>
      <c r="AJ22" s="501" t="n"/>
      <c r="AN22" s="292" t="n"/>
    </row>
    <row r="23">
      <c r="A23" s="583" t="n">
        <v>1</v>
      </c>
      <c r="B23" s="583" t="inlineStr">
        <is>
          <t>3F</t>
        </is>
      </c>
      <c r="C23" s="141" t="inlineStr">
        <is>
          <t>AHU1</t>
        </is>
      </c>
      <c r="D23" s="239" t="n">
        <v>43073</v>
      </c>
      <c r="E23" s="583" t="n"/>
      <c r="F23" s="583" t="n"/>
      <c r="G23" s="583" t="n"/>
      <c r="H23" s="583" t="n"/>
      <c r="I23" s="583" t="n"/>
      <c r="J23" s="583" t="n"/>
      <c r="K23" s="583" t="n"/>
      <c r="L23" s="583" t="n"/>
      <c r="M23" s="583" t="n"/>
      <c r="N23" s="583" t="n"/>
      <c r="O23" s="583" t="n"/>
      <c r="P23" s="583" t="n"/>
      <c r="Q23" s="583" t="n"/>
      <c r="R23" s="583" t="n"/>
      <c r="S23" s="583" t="n"/>
      <c r="T23" s="583" t="n"/>
      <c r="U23" s="583" t="n"/>
      <c r="V23" s="583" t="n"/>
      <c r="W23" s="583" t="n"/>
      <c r="X23" s="583" t="n"/>
      <c r="Y23" s="583" t="n"/>
      <c r="Z23" s="583" t="n"/>
      <c r="AA23" s="583" t="n"/>
      <c r="AB23" s="583" t="n"/>
      <c r="AC23" s="583" t="n"/>
      <c r="AD23" s="583" t="n"/>
      <c r="AE23" s="583" t="n"/>
      <c r="AF23" s="583" t="n"/>
      <c r="AG23" s="583" t="n"/>
      <c r="AH23" s="240" t="n"/>
      <c r="AI23" s="240" t="n">
        <v>45884</v>
      </c>
      <c r="AJ23" s="237" t="n">
        <v>2811</v>
      </c>
    </row>
    <row r="24">
      <c r="A24" s="583" t="n"/>
      <c r="B24" s="583" t="n"/>
      <c r="C24" s="142" t="inlineStr">
        <is>
          <t>DG</t>
        </is>
      </c>
      <c r="D24" s="241" t="n">
        <v>1921</v>
      </c>
      <c r="E24" s="583" t="n"/>
      <c r="F24" s="583" t="n"/>
      <c r="G24" s="583" t="n"/>
      <c r="H24" s="583" t="n"/>
      <c r="I24" s="583" t="n"/>
      <c r="J24" s="583" t="n"/>
      <c r="K24" s="583" t="n"/>
      <c r="L24" s="583" t="n"/>
      <c r="M24" s="583" t="n"/>
      <c r="N24" s="583" t="n"/>
      <c r="O24" s="583" t="n"/>
      <c r="P24" s="583" t="n"/>
      <c r="Q24" s="583" t="n"/>
      <c r="R24" s="583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583" t="n"/>
      <c r="AG24" s="583" t="n"/>
      <c r="AH24" s="232" t="n"/>
      <c r="AI24" s="232" t="n">
        <v>1921</v>
      </c>
      <c r="AJ24" s="237">
        <f>AH24-D24</f>
        <v/>
      </c>
    </row>
    <row r="25">
      <c r="A25" s="583" t="n">
        <v>2</v>
      </c>
      <c r="B25" s="583" t="inlineStr">
        <is>
          <t>3F</t>
        </is>
      </c>
      <c r="C25" s="141" t="inlineStr">
        <is>
          <t>AHU2</t>
        </is>
      </c>
      <c r="D25" s="239" t="n">
        <v>47109</v>
      </c>
      <c r="E25" s="583" t="n"/>
      <c r="F25" s="583" t="n"/>
      <c r="G25" s="583" t="n"/>
      <c r="H25" s="583" t="n"/>
      <c r="I25" s="583" t="n"/>
      <c r="J25" s="583" t="n"/>
      <c r="K25" s="583" t="n"/>
      <c r="L25" s="583" t="n"/>
      <c r="M25" s="583" t="n"/>
      <c r="N25" s="583" t="n"/>
      <c r="O25" s="583" t="n"/>
      <c r="P25" s="583" t="n"/>
      <c r="Q25" s="583" t="n"/>
      <c r="R25" s="583" t="n"/>
      <c r="S25" s="583" t="n"/>
      <c r="T25" s="583" t="n"/>
      <c r="U25" s="583" t="n"/>
      <c r="V25" s="583" t="n"/>
      <c r="W25" s="583" t="n"/>
      <c r="X25" s="583" t="n"/>
      <c r="Y25" s="583" t="n"/>
      <c r="Z25" s="583" t="n"/>
      <c r="AA25" s="583" t="n"/>
      <c r="AB25" s="583" t="n"/>
      <c r="AC25" s="583" t="n"/>
      <c r="AD25" s="583" t="n"/>
      <c r="AE25" s="583" t="n"/>
      <c r="AF25" s="583" t="n"/>
      <c r="AG25" s="583" t="n"/>
      <c r="AH25" s="240" t="n"/>
      <c r="AI25" s="240" t="n">
        <v>49831</v>
      </c>
      <c r="AJ25" s="237" t="n">
        <v>2722</v>
      </c>
    </row>
    <row r="26">
      <c r="A26" s="583" t="n"/>
      <c r="B26" s="583" t="n"/>
      <c r="C26" s="142" t="inlineStr">
        <is>
          <t>DG</t>
        </is>
      </c>
      <c r="D26" s="241" t="n">
        <v>1909</v>
      </c>
      <c r="E26" s="583" t="n"/>
      <c r="F26" s="583" t="n"/>
      <c r="G26" s="583" t="n"/>
      <c r="H26" s="583" t="n"/>
      <c r="I26" s="583" t="n"/>
      <c r="J26" s="583" t="n"/>
      <c r="K26" s="583" t="n"/>
      <c r="L26" s="583" t="n"/>
      <c r="M26" s="583" t="n"/>
      <c r="N26" s="583" t="n"/>
      <c r="O26" s="583" t="n"/>
      <c r="P26" s="583" t="n"/>
      <c r="Q26" s="583" t="n"/>
      <c r="R26" s="583" t="n"/>
      <c r="S26" s="583" t="n"/>
      <c r="T26" s="583" t="n"/>
      <c r="U26" s="583" t="n"/>
      <c r="V26" s="583" t="n"/>
      <c r="W26" s="583" t="n"/>
      <c r="X26" s="583" t="n"/>
      <c r="Y26" s="583" t="n"/>
      <c r="Z26" s="583" t="n"/>
      <c r="AA26" s="583" t="n"/>
      <c r="AB26" s="583" t="n"/>
      <c r="AC26" s="583" t="n"/>
      <c r="AD26" s="583" t="n"/>
      <c r="AE26" s="583" t="n"/>
      <c r="AF26" s="583" t="n"/>
      <c r="AG26" s="583" t="n"/>
      <c r="AH26" s="232" t="n"/>
      <c r="AI26" s="232" t="n">
        <v>1909</v>
      </c>
      <c r="AJ26" s="237">
        <f>AH26-D26</f>
        <v/>
      </c>
    </row>
    <row r="27">
      <c r="A27" s="583" t="n">
        <v>3</v>
      </c>
      <c r="B27" s="583" t="inlineStr">
        <is>
          <t>3F</t>
        </is>
      </c>
      <c r="C27" s="141" t="inlineStr">
        <is>
          <t>AHU3</t>
        </is>
      </c>
      <c r="D27" s="241" t="n">
        <v>55482</v>
      </c>
      <c r="E27" s="583" t="n"/>
      <c r="F27" s="583" t="n"/>
      <c r="G27" s="583" t="n"/>
      <c r="H27" s="583" t="n"/>
      <c r="I27" s="583" t="n"/>
      <c r="J27" s="583" t="n"/>
      <c r="K27" s="583" t="n"/>
      <c r="L27" s="583" t="n"/>
      <c r="M27" s="583" t="n"/>
      <c r="N27" s="583" t="n"/>
      <c r="O27" s="583" t="n"/>
      <c r="P27" s="583" t="n"/>
      <c r="Q27" s="583" t="n"/>
      <c r="R27" s="583" t="n"/>
      <c r="S27" s="583" t="n"/>
      <c r="T27" s="583" t="n"/>
      <c r="U27" s="583" t="n"/>
      <c r="V27" s="583" t="n"/>
      <c r="W27" s="583" t="n"/>
      <c r="X27" s="583" t="n"/>
      <c r="Y27" s="583" t="n"/>
      <c r="Z27" s="583" t="n"/>
      <c r="AA27" s="583" t="n"/>
      <c r="AB27" s="583" t="n"/>
      <c r="AC27" s="583" t="n"/>
      <c r="AD27" s="583" t="n"/>
      <c r="AE27" s="583" t="n"/>
      <c r="AF27" s="583" t="n"/>
      <c r="AG27" s="583" t="n"/>
      <c r="AH27" s="232" t="n"/>
      <c r="AI27" s="232" t="n">
        <v>61348</v>
      </c>
      <c r="AJ27" s="237" t="n">
        <v>5866</v>
      </c>
    </row>
    <row r="28">
      <c r="A28" s="583" t="n"/>
      <c r="B28" s="583" t="n"/>
      <c r="C28" s="142" t="inlineStr">
        <is>
          <t>DG</t>
        </is>
      </c>
      <c r="D28" s="241" t="n">
        <v>2065</v>
      </c>
      <c r="E28" s="583" t="n"/>
      <c r="F28" s="583" t="n"/>
      <c r="G28" s="583" t="n"/>
      <c r="H28" s="583" t="n"/>
      <c r="I28" s="583" t="n"/>
      <c r="J28" s="583" t="n"/>
      <c r="K28" s="583" t="n"/>
      <c r="L28" s="583" t="n"/>
      <c r="M28" s="583" t="n"/>
      <c r="N28" s="583" t="n"/>
      <c r="O28" s="583" t="n"/>
      <c r="P28" s="583" t="n"/>
      <c r="Q28" s="583" t="n"/>
      <c r="R28" s="583" t="n"/>
      <c r="S28" s="583" t="n"/>
      <c r="T28" s="583" t="n"/>
      <c r="U28" s="583" t="n"/>
      <c r="V28" s="583" t="n"/>
      <c r="W28" s="583" t="n"/>
      <c r="X28" s="583" t="n"/>
      <c r="Y28" s="583" t="n"/>
      <c r="Z28" s="583" t="n"/>
      <c r="AA28" s="583" t="n"/>
      <c r="AB28" s="583" t="n"/>
      <c r="AC28" s="583" t="n"/>
      <c r="AD28" s="583" t="n"/>
      <c r="AE28" s="583" t="n"/>
      <c r="AF28" s="583" t="n"/>
      <c r="AG28" s="583" t="n"/>
      <c r="AH28" s="232" t="n"/>
      <c r="AI28" s="232" t="n">
        <v>2065</v>
      </c>
      <c r="AJ28" s="237">
        <f>AH28-D28</f>
        <v/>
      </c>
    </row>
    <row r="29">
      <c r="A29" s="583" t="n">
        <v>4</v>
      </c>
      <c r="B29" s="583" t="inlineStr">
        <is>
          <t>3F</t>
        </is>
      </c>
      <c r="C29" s="141" t="inlineStr">
        <is>
          <t>AHU4</t>
        </is>
      </c>
      <c r="D29" s="239" t="n">
        <v>39556</v>
      </c>
      <c r="E29" s="583" t="n"/>
      <c r="F29" s="583" t="n"/>
      <c r="G29" s="583" t="n"/>
      <c r="H29" s="583" t="n"/>
      <c r="I29" s="583" t="n"/>
      <c r="J29" s="583" t="n"/>
      <c r="K29" s="583" t="n"/>
      <c r="L29" s="583" t="n"/>
      <c r="M29" s="583" t="n"/>
      <c r="N29" s="583" t="n"/>
      <c r="O29" s="583" t="n"/>
      <c r="P29" s="583" t="n"/>
      <c r="Q29" s="583" t="n"/>
      <c r="R29" s="583" t="n"/>
      <c r="S29" s="583" t="n"/>
      <c r="T29" s="583" t="n"/>
      <c r="U29" s="583" t="n"/>
      <c r="V29" s="583" t="n"/>
      <c r="W29" s="583" t="n"/>
      <c r="X29" s="583" t="n"/>
      <c r="Y29" s="583" t="n"/>
      <c r="Z29" s="583" t="n"/>
      <c r="AA29" s="583" t="n"/>
      <c r="AB29" s="583" t="n"/>
      <c r="AC29" s="583" t="n"/>
      <c r="AD29" s="583" t="n"/>
      <c r="AE29" s="583" t="n"/>
      <c r="AF29" s="583" t="n"/>
      <c r="AG29" s="583" t="n"/>
      <c r="AH29" s="240" t="n"/>
      <c r="AI29" s="240" t="n">
        <v>41608</v>
      </c>
      <c r="AJ29" s="237" t="n">
        <v>2052</v>
      </c>
    </row>
    <row r="30">
      <c r="A30" s="583" t="n"/>
      <c r="B30" s="583" t="n"/>
      <c r="C30" s="142" t="inlineStr">
        <is>
          <t>DG</t>
        </is>
      </c>
      <c r="D30" s="241" t="n">
        <v>1786</v>
      </c>
      <c r="E30" s="583" t="n"/>
      <c r="F30" s="583" t="n"/>
      <c r="G30" s="583" t="n"/>
      <c r="H30" s="583" t="n"/>
      <c r="I30" s="583" t="n"/>
      <c r="J30" s="583" t="n"/>
      <c r="K30" s="583" t="n"/>
      <c r="L30" s="583" t="n"/>
      <c r="M30" s="583" t="n"/>
      <c r="N30" s="583" t="n"/>
      <c r="O30" s="583" t="n"/>
      <c r="P30" s="583" t="n"/>
      <c r="Q30" s="583" t="n"/>
      <c r="R30" s="583" t="n"/>
      <c r="S30" s="583" t="n"/>
      <c r="T30" s="583" t="n"/>
      <c r="U30" s="583" t="n"/>
      <c r="V30" s="583" t="n"/>
      <c r="W30" s="583" t="n"/>
      <c r="X30" s="583" t="n"/>
      <c r="Y30" s="583" t="n"/>
      <c r="Z30" s="583" t="n"/>
      <c r="AA30" s="583" t="n"/>
      <c r="AB30" s="583" t="n"/>
      <c r="AC30" s="583" t="n"/>
      <c r="AD30" s="583" t="n"/>
      <c r="AE30" s="583" t="n"/>
      <c r="AF30" s="583" t="n"/>
      <c r="AG30" s="583" t="n"/>
      <c r="AH30" s="232" t="n"/>
      <c r="AI30" s="232" t="n">
        <v>1786</v>
      </c>
      <c r="AJ30" s="237">
        <f>AH30-D30</f>
        <v/>
      </c>
    </row>
    <row r="31" ht="14.5" customHeight="1" s="488">
      <c r="A31" s="583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20" t="n"/>
      <c r="AJ31" s="501" t="n"/>
    </row>
    <row r="32">
      <c r="A32" s="583" t="n">
        <v>1</v>
      </c>
      <c r="B32" s="583" t="inlineStr">
        <is>
          <t>3F</t>
        </is>
      </c>
      <c r="C32" s="141" t="inlineStr">
        <is>
          <t>AHU1 - BTU</t>
        </is>
      </c>
      <c r="D32" s="256" t="n">
        <v>381319</v>
      </c>
      <c r="E32" s="257" t="n"/>
      <c r="F32" s="258" t="n"/>
      <c r="G32" s="258" t="n"/>
      <c r="H32" s="258" t="n"/>
      <c r="I32" s="257" t="n"/>
      <c r="J32" s="258" t="n"/>
      <c r="K32" s="258" t="n"/>
      <c r="L32" s="258" t="n"/>
      <c r="M32" s="257" t="n"/>
      <c r="N32" s="258" t="n"/>
      <c r="O32" s="258" t="n"/>
      <c r="P32" s="258" t="n"/>
      <c r="Q32" s="257" t="n"/>
      <c r="R32" s="258" t="n"/>
      <c r="S32" s="258" t="n"/>
      <c r="T32" s="258" t="n"/>
      <c r="U32" s="257" t="n"/>
      <c r="V32" s="258" t="n"/>
      <c r="W32" s="258" t="n"/>
      <c r="X32" s="258" t="n"/>
      <c r="Y32" s="257" t="n"/>
      <c r="Z32" s="258" t="n"/>
      <c r="AA32" s="258" t="n"/>
      <c r="AB32" s="258" t="n"/>
      <c r="AC32" s="257" t="n"/>
      <c r="AD32" s="258" t="n"/>
      <c r="AE32" s="258" t="n"/>
      <c r="AF32" s="258" t="n"/>
      <c r="AG32" s="257" t="n"/>
      <c r="AH32" s="259" t="n"/>
      <c r="AI32" s="259" t="n">
        <v>388786</v>
      </c>
      <c r="AJ32" s="237" t="n">
        <v>7467</v>
      </c>
    </row>
    <row r="33">
      <c r="A33" s="583" t="n">
        <v>2</v>
      </c>
      <c r="B33" s="583" t="inlineStr">
        <is>
          <t>3F</t>
        </is>
      </c>
      <c r="C33" s="141" t="inlineStr">
        <is>
          <t>AHU2 - BTU</t>
        </is>
      </c>
      <c r="D33" s="256" t="n">
        <v>358128</v>
      </c>
      <c r="E33" s="258" t="n"/>
      <c r="F33" s="258" t="n"/>
      <c r="G33" s="258" t="n"/>
      <c r="H33" s="258" t="n"/>
      <c r="I33" s="258" t="n"/>
      <c r="J33" s="258" t="n"/>
      <c r="K33" s="258" t="n"/>
      <c r="L33" s="258" t="n"/>
      <c r="M33" s="258" t="n"/>
      <c r="N33" s="25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8" t="n"/>
      <c r="Y33" s="258" t="n"/>
      <c r="Z33" s="258" t="n"/>
      <c r="AA33" s="258" t="n"/>
      <c r="AB33" s="258" t="n"/>
      <c r="AC33" s="258" t="n"/>
      <c r="AD33" s="258" t="n"/>
      <c r="AE33" s="258" t="n"/>
      <c r="AF33" s="258" t="n"/>
      <c r="AG33" s="258" t="n"/>
      <c r="AH33" s="259" t="n"/>
      <c r="AI33" s="259" t="n">
        <v>364801</v>
      </c>
      <c r="AJ33" s="237" t="n">
        <v>6673</v>
      </c>
    </row>
    <row r="34">
      <c r="A34" s="583" t="n">
        <v>3</v>
      </c>
      <c r="B34" s="583" t="inlineStr">
        <is>
          <t>3F</t>
        </is>
      </c>
      <c r="C34" s="141" t="inlineStr">
        <is>
          <t>AHU3 - BTU</t>
        </is>
      </c>
      <c r="D34" s="256" t="n">
        <v>379512</v>
      </c>
      <c r="E34" s="258" t="n"/>
      <c r="F34" s="258" t="n"/>
      <c r="G34" s="258" t="n"/>
      <c r="H34" s="258" t="n"/>
      <c r="I34" s="258" t="n"/>
      <c r="J34" s="258" t="n"/>
      <c r="K34" s="258" t="n"/>
      <c r="L34" s="258" t="n"/>
      <c r="M34" s="258" t="n"/>
      <c r="N34" s="25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8" t="n"/>
      <c r="Y34" s="258" t="n"/>
      <c r="Z34" s="258" t="n"/>
      <c r="AA34" s="258" t="n"/>
      <c r="AB34" s="258" t="n"/>
      <c r="AC34" s="258" t="n"/>
      <c r="AD34" s="258" t="n"/>
      <c r="AE34" s="258" t="n"/>
      <c r="AF34" s="258" t="n"/>
      <c r="AG34" s="258" t="n"/>
      <c r="AH34" s="259" t="n"/>
      <c r="AI34" s="259" t="n">
        <v>391409</v>
      </c>
      <c r="AJ34" s="237" t="n">
        <v>11897</v>
      </c>
    </row>
    <row r="35">
      <c r="A35" s="583" t="n">
        <v>4</v>
      </c>
      <c r="B35" s="583" t="inlineStr">
        <is>
          <t>3F</t>
        </is>
      </c>
      <c r="C35" s="141" t="inlineStr">
        <is>
          <t>AHU4 - BTU</t>
        </is>
      </c>
      <c r="D35" s="256" t="n">
        <v>412336</v>
      </c>
      <c r="E35" s="258" t="n"/>
      <c r="F35" s="258" t="n"/>
      <c r="G35" s="258" t="n"/>
      <c r="H35" s="258" t="n"/>
      <c r="I35" s="258" t="n"/>
      <c r="J35" s="258" t="n"/>
      <c r="K35" s="258" t="n"/>
      <c r="L35" s="258" t="n"/>
      <c r="M35" s="258" t="n"/>
      <c r="N35" s="258" t="n"/>
      <c r="O35" s="258" t="n"/>
      <c r="P35" s="260" t="n"/>
      <c r="Q35" s="258" t="n"/>
      <c r="R35" s="258" t="n"/>
      <c r="S35" s="258" t="n"/>
      <c r="T35" s="258" t="n"/>
      <c r="U35" s="258" t="n"/>
      <c r="V35" s="258" t="n"/>
      <c r="W35" s="258" t="n"/>
      <c r="X35" s="258" t="n"/>
      <c r="Y35" s="258" t="n"/>
      <c r="Z35" s="258" t="n"/>
      <c r="AA35" s="258" t="n"/>
      <c r="AB35" s="258" t="n"/>
      <c r="AC35" s="258" t="n"/>
      <c r="AD35" s="258" t="n"/>
      <c r="AE35" s="258" t="n"/>
      <c r="AF35" s="258" t="n"/>
      <c r="AG35" s="258" t="n"/>
      <c r="AH35" s="259" t="n"/>
      <c r="AI35" s="259" t="n">
        <v>421615</v>
      </c>
      <c r="AJ35" s="237" t="n">
        <v>9279</v>
      </c>
    </row>
    <row r="36">
      <c r="E36" s="261" t="n"/>
      <c r="AC36" s="262" t="n"/>
      <c r="AJ36" s="263">
        <f>SUM(AJ32:AJ35)</f>
        <v/>
      </c>
      <c r="AK36" s="143">
        <f>AJ36*40%</f>
        <v/>
      </c>
    </row>
    <row r="37">
      <c r="A37" s="264" t="n"/>
      <c r="B37" s="265" t="n"/>
      <c r="C37" s="144" t="n"/>
      <c r="D37" s="266" t="n"/>
      <c r="E37" s="264" t="n"/>
      <c r="F37" s="264" t="n"/>
      <c r="G37" s="264" t="n"/>
      <c r="H37" s="264" t="n"/>
      <c r="I37" s="264" t="n"/>
      <c r="J37" s="264" t="n"/>
      <c r="K37" s="264" t="n"/>
      <c r="L37" s="264" t="n"/>
      <c r="M37" s="264" t="n"/>
      <c r="N37" s="264" t="n"/>
      <c r="O37" s="264" t="n"/>
      <c r="P37" s="264" t="n"/>
      <c r="Q37" s="264" t="n"/>
      <c r="R37" s="264" t="n"/>
      <c r="S37" s="264" t="n"/>
      <c r="T37" s="264" t="n"/>
      <c r="U37" s="264" t="n"/>
      <c r="V37" s="264" t="n"/>
      <c r="W37" s="264" t="n"/>
      <c r="X37" s="264" t="n"/>
      <c r="Y37" s="264" t="n"/>
      <c r="Z37" s="264" t="n"/>
      <c r="AA37" s="264" t="n"/>
      <c r="AB37" s="264" t="n"/>
      <c r="AC37" s="264" t="n"/>
      <c r="AD37" s="264" t="n"/>
      <c r="AE37" s="264" t="n"/>
      <c r="AF37" s="264" t="n"/>
      <c r="AG37" s="264" t="n"/>
      <c r="AH37" s="264" t="n"/>
      <c r="AI37" s="264" t="n"/>
      <c r="AJ37" s="264" t="n"/>
    </row>
    <row r="38" ht="14.5" customHeight="1" s="488">
      <c r="A38" s="267" t="n"/>
      <c r="B38" s="595" t="inlineStr">
        <is>
          <t xml:space="preserve"> Daily Energy Report</t>
        </is>
      </c>
      <c r="C38" s="520" t="n"/>
      <c r="D38" s="501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  <c r="Y38" s="267" t="n"/>
      <c r="Z38" s="267" t="n"/>
      <c r="AA38" s="267" t="n"/>
      <c r="AB38" s="267" t="n"/>
      <c r="AC38" s="267" t="n"/>
      <c r="AD38" s="267" t="n"/>
      <c r="AE38" s="267" t="n"/>
      <c r="AF38" s="267" t="n"/>
      <c r="AG38" s="267" t="n"/>
      <c r="AH38" s="267" t="n"/>
      <c r="AI38" s="267" t="n"/>
      <c r="AJ38" s="267" t="n"/>
    </row>
    <row r="39" ht="14.5" customHeight="1" s="488">
      <c r="A39" s="268" t="n"/>
      <c r="B39" s="599" t="inlineStr">
        <is>
          <t>Electricity Consumption</t>
        </is>
      </c>
      <c r="C39" s="520" t="n"/>
      <c r="D39" s="501" t="n"/>
      <c r="E39" s="268" t="n"/>
      <c r="F39" s="268" t="n"/>
      <c r="G39" s="268" t="n"/>
      <c r="H39" s="268" t="n"/>
      <c r="I39" s="268" t="n"/>
      <c r="J39" s="268" t="n"/>
      <c r="K39" s="268" t="n"/>
      <c r="L39" s="268" t="n"/>
      <c r="M39" s="268" t="n"/>
      <c r="N39" s="268" t="n"/>
      <c r="O39" s="268" t="n"/>
      <c r="P39" s="268" t="n"/>
      <c r="Q39" s="268" t="n"/>
      <c r="R39" s="268" t="n"/>
      <c r="S39" s="268" t="n"/>
      <c r="T39" s="268" t="n"/>
      <c r="U39" s="268" t="n"/>
      <c r="V39" s="268" t="n"/>
      <c r="W39" s="268" t="n"/>
      <c r="X39" s="268" t="n"/>
      <c r="Y39" s="268" t="n"/>
      <c r="Z39" s="268" t="n"/>
      <c r="AA39" s="268" t="n"/>
      <c r="AB39" s="268" t="n"/>
      <c r="AC39" s="268" t="n"/>
      <c r="AD39" s="268" t="n"/>
      <c r="AE39" s="268" t="n"/>
      <c r="AF39" s="268" t="n"/>
      <c r="AG39" s="268" t="n"/>
      <c r="AH39" s="268" t="n"/>
      <c r="AI39" s="268" t="n"/>
      <c r="AJ39" s="268" t="n"/>
    </row>
    <row r="40">
      <c r="A40" s="584" t="inlineStr">
        <is>
          <t>Sr.No</t>
        </is>
      </c>
      <c r="B40" s="584" t="inlineStr">
        <is>
          <t>Location</t>
        </is>
      </c>
      <c r="C40" s="584" t="inlineStr">
        <is>
          <t>Meter</t>
        </is>
      </c>
      <c r="D40" s="522" t="n"/>
      <c r="E40" s="269">
        <f>E2</f>
        <v/>
      </c>
      <c r="F40" s="269">
        <f>F2</f>
        <v/>
      </c>
      <c r="G40" s="269">
        <f>G2</f>
        <v/>
      </c>
      <c r="H40" s="269">
        <f>H2</f>
        <v/>
      </c>
      <c r="I40" s="269">
        <f>I2</f>
        <v/>
      </c>
      <c r="J40" s="269">
        <f>J2</f>
        <v/>
      </c>
      <c r="K40" s="269">
        <f>K2</f>
        <v/>
      </c>
      <c r="L40" s="269">
        <f>L2</f>
        <v/>
      </c>
      <c r="M40" s="269">
        <f>M2</f>
        <v/>
      </c>
      <c r="N40" s="269">
        <f>N2</f>
        <v/>
      </c>
      <c r="O40" s="269">
        <f>O2</f>
        <v/>
      </c>
      <c r="P40" s="269">
        <f>P2</f>
        <v/>
      </c>
      <c r="Q40" s="269">
        <f>Q2</f>
        <v/>
      </c>
      <c r="R40" s="269">
        <f>R2</f>
        <v/>
      </c>
      <c r="S40" s="269">
        <f>S2</f>
        <v/>
      </c>
      <c r="T40" s="269">
        <f>T2</f>
        <v/>
      </c>
      <c r="U40" s="269">
        <f>U2</f>
        <v/>
      </c>
      <c r="V40" s="269">
        <f>V2</f>
        <v/>
      </c>
      <c r="W40" s="269">
        <f>W2</f>
        <v/>
      </c>
      <c r="X40" s="269">
        <f>X2</f>
        <v/>
      </c>
      <c r="Y40" s="269">
        <f>Y2</f>
        <v/>
      </c>
      <c r="Z40" s="269">
        <f>Z2</f>
        <v/>
      </c>
      <c r="AA40" s="269">
        <f>AA2</f>
        <v/>
      </c>
      <c r="AB40" s="269">
        <f>AB2</f>
        <v/>
      </c>
      <c r="AC40" s="269">
        <f>AC2</f>
        <v/>
      </c>
      <c r="AD40" s="269">
        <f>AD2</f>
        <v/>
      </c>
      <c r="AE40" s="269">
        <f>AE2</f>
        <v/>
      </c>
      <c r="AF40" s="269">
        <f>AF2</f>
        <v/>
      </c>
      <c r="AG40" s="269">
        <f>AG2</f>
        <v/>
      </c>
      <c r="AH40" s="269">
        <f>AH2</f>
        <v/>
      </c>
      <c r="AI40" s="224" t="n">
        <v>46022</v>
      </c>
      <c r="AJ40" s="584" t="inlineStr">
        <is>
          <t>Consumption</t>
        </is>
      </c>
    </row>
    <row r="41">
      <c r="A41" s="516" t="n"/>
      <c r="B41" s="516" t="n"/>
      <c r="C41" s="523" t="n"/>
      <c r="D41" s="524" t="n"/>
      <c r="E41" s="225" t="inlineStr">
        <is>
          <t>Mon</t>
        </is>
      </c>
      <c r="F41" s="225" t="inlineStr">
        <is>
          <t>Tue</t>
        </is>
      </c>
      <c r="G41" s="225" t="inlineStr">
        <is>
          <t>Wed</t>
        </is>
      </c>
      <c r="H41" s="225" t="inlineStr">
        <is>
          <t>Thu</t>
        </is>
      </c>
      <c r="I41" s="225" t="inlineStr">
        <is>
          <t>Fri</t>
        </is>
      </c>
      <c r="J41" s="225" t="inlineStr">
        <is>
          <t>Sat</t>
        </is>
      </c>
      <c r="K41" s="225" t="inlineStr">
        <is>
          <t>Sun</t>
        </is>
      </c>
      <c r="L41" s="225" t="inlineStr">
        <is>
          <t>Mon</t>
        </is>
      </c>
      <c r="M41" s="225" t="inlineStr">
        <is>
          <t>Tue</t>
        </is>
      </c>
      <c r="N41" s="225" t="inlineStr">
        <is>
          <t>Wed</t>
        </is>
      </c>
      <c r="O41" s="225" t="inlineStr">
        <is>
          <t>Thu</t>
        </is>
      </c>
      <c r="P41" s="225" t="inlineStr">
        <is>
          <t>Fri</t>
        </is>
      </c>
      <c r="Q41" s="225" t="inlineStr">
        <is>
          <t>Sat</t>
        </is>
      </c>
      <c r="R41" s="225" t="inlineStr">
        <is>
          <t>Sun</t>
        </is>
      </c>
      <c r="S41" s="225" t="inlineStr">
        <is>
          <t>Mon</t>
        </is>
      </c>
      <c r="T41" s="225" t="inlineStr">
        <is>
          <t>Tue</t>
        </is>
      </c>
      <c r="U41" s="225" t="inlineStr">
        <is>
          <t>Wed</t>
        </is>
      </c>
      <c r="V41" s="225" t="inlineStr">
        <is>
          <t>Thu</t>
        </is>
      </c>
      <c r="W41" s="225" t="inlineStr">
        <is>
          <t>Fri</t>
        </is>
      </c>
      <c r="X41" s="225" t="inlineStr">
        <is>
          <t>Sat</t>
        </is>
      </c>
      <c r="Y41" s="225" t="inlineStr">
        <is>
          <t>Sun</t>
        </is>
      </c>
      <c r="Z41" s="225" t="inlineStr">
        <is>
          <t>Mon</t>
        </is>
      </c>
      <c r="AA41" s="225" t="inlineStr">
        <is>
          <t>Tue</t>
        </is>
      </c>
      <c r="AB41" s="225" t="inlineStr">
        <is>
          <t>Wed</t>
        </is>
      </c>
      <c r="AC41" s="225" t="inlineStr">
        <is>
          <t>Thu</t>
        </is>
      </c>
      <c r="AD41" s="225" t="inlineStr">
        <is>
          <t>Fri</t>
        </is>
      </c>
      <c r="AE41" s="225" t="inlineStr">
        <is>
          <t>Sat</t>
        </is>
      </c>
      <c r="AF41" s="225" t="inlineStr">
        <is>
          <t>Sun</t>
        </is>
      </c>
      <c r="AG41" s="225" t="inlineStr">
        <is>
          <t>Mon</t>
        </is>
      </c>
      <c r="AH41" s="225" t="inlineStr">
        <is>
          <t>Tue</t>
        </is>
      </c>
      <c r="AI41" s="225" t="inlineStr">
        <is>
          <t>Wed</t>
        </is>
      </c>
      <c r="AJ41" s="516" t="n"/>
    </row>
    <row r="42">
      <c r="A42" s="516" t="n"/>
      <c r="B42" s="516" t="n"/>
      <c r="C42" s="523" t="n"/>
      <c r="D42" s="524" t="n"/>
      <c r="E42" s="270" t="inlineStr">
        <is>
          <t>Time</t>
        </is>
      </c>
      <c r="F42" s="270" t="inlineStr">
        <is>
          <t>Time</t>
        </is>
      </c>
      <c r="G42" s="270" t="inlineStr">
        <is>
          <t>Time</t>
        </is>
      </c>
      <c r="H42" s="270" t="inlineStr">
        <is>
          <t>Time</t>
        </is>
      </c>
      <c r="I42" s="270" t="inlineStr">
        <is>
          <t>Time</t>
        </is>
      </c>
      <c r="J42" s="270" t="inlineStr">
        <is>
          <t>Time</t>
        </is>
      </c>
      <c r="K42" s="270" t="inlineStr">
        <is>
          <t>Time</t>
        </is>
      </c>
      <c r="L42" s="270" t="inlineStr">
        <is>
          <t>Time</t>
        </is>
      </c>
      <c r="M42" s="270" t="inlineStr">
        <is>
          <t>Time</t>
        </is>
      </c>
      <c r="N42" s="270" t="inlineStr">
        <is>
          <t>Time</t>
        </is>
      </c>
      <c r="O42" s="270" t="inlineStr">
        <is>
          <t>Time</t>
        </is>
      </c>
      <c r="P42" s="270" t="inlineStr">
        <is>
          <t>Time</t>
        </is>
      </c>
      <c r="Q42" s="270" t="inlineStr">
        <is>
          <t>Time</t>
        </is>
      </c>
      <c r="R42" s="270" t="inlineStr">
        <is>
          <t>Time</t>
        </is>
      </c>
      <c r="S42" s="270" t="inlineStr">
        <is>
          <t>Time</t>
        </is>
      </c>
      <c r="T42" s="270" t="inlineStr">
        <is>
          <t>Time</t>
        </is>
      </c>
      <c r="U42" s="270" t="inlineStr">
        <is>
          <t>Time</t>
        </is>
      </c>
      <c r="V42" s="270" t="inlineStr">
        <is>
          <t>Time</t>
        </is>
      </c>
      <c r="W42" s="270" t="inlineStr">
        <is>
          <t>Time</t>
        </is>
      </c>
      <c r="X42" s="270" t="inlineStr">
        <is>
          <t>Time</t>
        </is>
      </c>
      <c r="Y42" s="270" t="inlineStr">
        <is>
          <t>Time</t>
        </is>
      </c>
      <c r="Z42" s="270" t="inlineStr">
        <is>
          <t>Time</t>
        </is>
      </c>
      <c r="AA42" s="270" t="inlineStr">
        <is>
          <t>Time</t>
        </is>
      </c>
      <c r="AB42" s="270" t="inlineStr">
        <is>
          <t>Time</t>
        </is>
      </c>
      <c r="AC42" s="270" t="inlineStr">
        <is>
          <t>Time</t>
        </is>
      </c>
      <c r="AD42" s="270" t="inlineStr">
        <is>
          <t>Time</t>
        </is>
      </c>
      <c r="AE42" s="270" t="inlineStr">
        <is>
          <t>Time</t>
        </is>
      </c>
      <c r="AF42" s="270" t="inlineStr">
        <is>
          <t>Time</t>
        </is>
      </c>
      <c r="AG42" s="270" t="inlineStr">
        <is>
          <t>Time</t>
        </is>
      </c>
      <c r="AH42" s="269">
        <f>AH4</f>
        <v/>
      </c>
      <c r="AI42" s="226" t="inlineStr">
        <is>
          <t>Time</t>
        </is>
      </c>
      <c r="AJ42" s="516" t="n"/>
    </row>
    <row r="43">
      <c r="A43" s="517" t="n"/>
      <c r="B43" s="517" t="n"/>
      <c r="C43" s="525" t="n"/>
      <c r="D43" s="526" t="n"/>
      <c r="E43" s="271" t="n">
        <v>0.3333333333333333</v>
      </c>
      <c r="F43" s="271" t="n">
        <v>0.3333333333333333</v>
      </c>
      <c r="G43" s="271" t="n">
        <v>0.3333333333333333</v>
      </c>
      <c r="H43" s="271" t="n">
        <v>0.3333333333333333</v>
      </c>
      <c r="I43" s="271" t="n">
        <v>0.3333333333333333</v>
      </c>
      <c r="J43" s="271" t="n">
        <v>0.3333333333333333</v>
      </c>
      <c r="K43" s="271" t="n">
        <v>0.3333333333333333</v>
      </c>
      <c r="L43" s="271" t="n">
        <v>0.3333333333333333</v>
      </c>
      <c r="M43" s="271" t="n">
        <v>0.3333333333333333</v>
      </c>
      <c r="N43" s="271" t="n">
        <v>0.3333333333333333</v>
      </c>
      <c r="O43" s="271" t="n">
        <v>0.3333333333333333</v>
      </c>
      <c r="P43" s="271" t="n">
        <v>0.3333333333333333</v>
      </c>
      <c r="Q43" s="271" t="n">
        <v>0.3333333333333333</v>
      </c>
      <c r="R43" s="271" t="n">
        <v>0.3333333333333333</v>
      </c>
      <c r="S43" s="271" t="n">
        <v>0.3333333333333333</v>
      </c>
      <c r="T43" s="271" t="n">
        <v>0.3333333333333333</v>
      </c>
      <c r="U43" s="271" t="n">
        <v>0.3333333333333333</v>
      </c>
      <c r="V43" s="271" t="n">
        <v>0.3333333333333333</v>
      </c>
      <c r="W43" s="271" t="n">
        <v>0.3333333333333333</v>
      </c>
      <c r="X43" s="271" t="n">
        <v>0.3333333333333333</v>
      </c>
      <c r="Y43" s="271" t="n">
        <v>0.3333333333333333</v>
      </c>
      <c r="Z43" s="271" t="n">
        <v>0.3333333333333333</v>
      </c>
      <c r="AA43" s="271" t="n">
        <v>0.3333333333333333</v>
      </c>
      <c r="AB43" s="271" t="n">
        <v>0.3333333333333333</v>
      </c>
      <c r="AC43" s="271" t="n">
        <v>0.3333333333333333</v>
      </c>
      <c r="AD43" s="271" t="n">
        <v>0.3333333333333333</v>
      </c>
      <c r="AE43" s="271" t="n">
        <v>0.3333333333333333</v>
      </c>
      <c r="AF43" s="271" t="n">
        <v>0.3333333333333333</v>
      </c>
      <c r="AG43" s="271" t="n">
        <v>0.3333333333333333</v>
      </c>
      <c r="AH43" s="271" t="n">
        <v>0.3333333333333333</v>
      </c>
      <c r="AI43" s="227" t="n">
        <v>0.3333333333333333</v>
      </c>
      <c r="AJ43" s="517" t="n"/>
    </row>
    <row r="44" ht="13.5" customHeight="1" s="488">
      <c r="A44" s="583" t="n">
        <v>1</v>
      </c>
      <c r="B44" s="583" t="inlineStr">
        <is>
          <t>3F</t>
        </is>
      </c>
      <c r="C44" s="583" t="inlineStr">
        <is>
          <t>SL No 540430038840 (EB Unit)</t>
        </is>
      </c>
      <c r="D44" s="501" t="n"/>
      <c r="E44" s="272">
        <f>E6-D6</f>
        <v/>
      </c>
      <c r="F44" s="272">
        <f>F6-E6</f>
        <v/>
      </c>
      <c r="G44" s="272">
        <f>G6-F6</f>
        <v/>
      </c>
      <c r="H44" s="272">
        <f>H6-G6</f>
        <v/>
      </c>
      <c r="I44" s="272">
        <f>I6-H6</f>
        <v/>
      </c>
      <c r="J44" s="272">
        <f>J6-I6</f>
        <v/>
      </c>
      <c r="K44" s="272">
        <f>K6-J6</f>
        <v/>
      </c>
      <c r="L44" s="272">
        <f>L6-K6</f>
        <v/>
      </c>
      <c r="M44" s="272">
        <f>M6-L6</f>
        <v/>
      </c>
      <c r="N44" s="272">
        <f>N6-M6</f>
        <v/>
      </c>
      <c r="O44" s="272">
        <f>O6-N6</f>
        <v/>
      </c>
      <c r="P44" s="272">
        <f>P6-O6</f>
        <v/>
      </c>
      <c r="Q44" s="272">
        <f>Q6-P6</f>
        <v/>
      </c>
      <c r="R44" s="272">
        <f>R6-Q6</f>
        <v/>
      </c>
      <c r="S44" s="272">
        <f>S6-R6</f>
        <v/>
      </c>
      <c r="T44" s="272">
        <f>T6-S6</f>
        <v/>
      </c>
      <c r="U44" s="272">
        <f>U6-T6</f>
        <v/>
      </c>
      <c r="V44" s="272">
        <f>V6-U6</f>
        <v/>
      </c>
      <c r="W44" s="272">
        <f>W6-V6</f>
        <v/>
      </c>
      <c r="X44" s="272">
        <f>X6-W6</f>
        <v/>
      </c>
      <c r="Y44" s="272">
        <f>Y6-X6</f>
        <v/>
      </c>
      <c r="Z44" s="272">
        <f>Z6-Y6</f>
        <v/>
      </c>
      <c r="AA44" s="272">
        <f>AA6-Z6</f>
        <v/>
      </c>
      <c r="AB44" s="272">
        <f>AB6-AA6</f>
        <v/>
      </c>
      <c r="AC44" s="272">
        <f>AC6-AB6</f>
        <v/>
      </c>
      <c r="AD44" s="272">
        <f>AD6-AC6</f>
        <v/>
      </c>
      <c r="AE44" s="272">
        <f>AE6-AD6</f>
        <v/>
      </c>
      <c r="AF44" s="272">
        <f>AF6-AE6</f>
        <v/>
      </c>
      <c r="AG44" s="272">
        <f>AG6-AF6</f>
        <v/>
      </c>
      <c r="AH44" s="272">
        <f>AH6-AG6</f>
        <v/>
      </c>
      <c r="AI44" s="272">
        <f>AI6-D6</f>
        <v/>
      </c>
      <c r="AJ44" s="273">
        <f>SUM(E44:AI44)</f>
        <v/>
      </c>
    </row>
    <row r="45" ht="13.5" customHeight="1" s="488">
      <c r="A45" s="583" t="n"/>
      <c r="B45" s="583" t="n"/>
      <c r="C45" s="589" t="inlineStr">
        <is>
          <t>DG</t>
        </is>
      </c>
      <c r="D45" s="501" t="n"/>
      <c r="E45" s="272">
        <f>E7-D7</f>
        <v/>
      </c>
      <c r="F45" s="272">
        <f>F7-E7</f>
        <v/>
      </c>
      <c r="G45" s="272">
        <f>G7-F7</f>
        <v/>
      </c>
      <c r="H45" s="272">
        <f>H7-G7</f>
        <v/>
      </c>
      <c r="I45" s="272">
        <f>I7-H7</f>
        <v/>
      </c>
      <c r="J45" s="272">
        <f>J7-I7</f>
        <v/>
      </c>
      <c r="K45" s="272">
        <f>K7-J7</f>
        <v/>
      </c>
      <c r="L45" s="272">
        <f>L7-K7</f>
        <v/>
      </c>
      <c r="M45" s="272">
        <f>M7-L7</f>
        <v/>
      </c>
      <c r="N45" s="272">
        <f>N7-M7</f>
        <v/>
      </c>
      <c r="O45" s="272">
        <f>O7-N7</f>
        <v/>
      </c>
      <c r="P45" s="272">
        <f>P7-O7</f>
        <v/>
      </c>
      <c r="Q45" s="272">
        <f>Q7-P7</f>
        <v/>
      </c>
      <c r="R45" s="272">
        <f>R7-Q7</f>
        <v/>
      </c>
      <c r="S45" s="272">
        <f>S7-R7</f>
        <v/>
      </c>
      <c r="T45" s="272">
        <f>T7-S7</f>
        <v/>
      </c>
      <c r="U45" s="272">
        <f>U7-T7</f>
        <v/>
      </c>
      <c r="V45" s="272">
        <f>V7-U7</f>
        <v/>
      </c>
      <c r="W45" s="272">
        <f>W7-V7</f>
        <v/>
      </c>
      <c r="X45" s="272">
        <f>X7-W7</f>
        <v/>
      </c>
      <c r="Y45" s="272">
        <f>Y7-X7</f>
        <v/>
      </c>
      <c r="Z45" s="272">
        <f>Z7-Y7</f>
        <v/>
      </c>
      <c r="AA45" s="272">
        <f>AA7-Z7</f>
        <v/>
      </c>
      <c r="AB45" s="272">
        <f>AB7-AA7</f>
        <v/>
      </c>
      <c r="AC45" s="272">
        <f>AC7-AB7</f>
        <v/>
      </c>
      <c r="AD45" s="272">
        <f>AD7-AC7</f>
        <v/>
      </c>
      <c r="AE45" s="272">
        <f>AE7-AD7</f>
        <v/>
      </c>
      <c r="AF45" s="272">
        <f>AF7-AE7</f>
        <v/>
      </c>
      <c r="AG45" s="272">
        <f>AG7-AF7</f>
        <v/>
      </c>
      <c r="AH45" s="272">
        <f>AH7-AG7</f>
        <v/>
      </c>
      <c r="AI45" s="272">
        <f>AI7-D7</f>
        <v/>
      </c>
      <c r="AJ45" s="273">
        <f>SUM(E45:AI45)</f>
        <v/>
      </c>
    </row>
    <row r="46" ht="13.5" customHeight="1" s="488">
      <c r="A46" s="583" t="n">
        <v>2</v>
      </c>
      <c r="B46" s="583" t="inlineStr">
        <is>
          <t>3F</t>
        </is>
      </c>
      <c r="C46" s="583" t="inlineStr">
        <is>
          <t>SL No 540430038845 (EB Unit)</t>
        </is>
      </c>
      <c r="D46" s="501" t="n"/>
      <c r="E46" s="272">
        <f>E8-D8</f>
        <v/>
      </c>
      <c r="F46" s="272">
        <f>F8-E8</f>
        <v/>
      </c>
      <c r="G46" s="272">
        <f>G8-F8</f>
        <v/>
      </c>
      <c r="H46" s="272">
        <f>H8-G8</f>
        <v/>
      </c>
      <c r="I46" s="272">
        <f>I8-H8</f>
        <v/>
      </c>
      <c r="J46" s="272">
        <f>J8-I8</f>
        <v/>
      </c>
      <c r="K46" s="272">
        <f>K8-J8</f>
        <v/>
      </c>
      <c r="L46" s="272">
        <f>L8-K8</f>
        <v/>
      </c>
      <c r="M46" s="272">
        <f>M8-L8</f>
        <v/>
      </c>
      <c r="N46" s="272">
        <f>N8-M8</f>
        <v/>
      </c>
      <c r="O46" s="272">
        <f>O8-N8</f>
        <v/>
      </c>
      <c r="P46" s="272">
        <f>P8-O8</f>
        <v/>
      </c>
      <c r="Q46" s="272">
        <f>Q8-P8</f>
        <v/>
      </c>
      <c r="R46" s="272">
        <f>R8-Q8</f>
        <v/>
      </c>
      <c r="S46" s="272">
        <f>S8-R8</f>
        <v/>
      </c>
      <c r="T46" s="272">
        <f>T8-S8</f>
        <v/>
      </c>
      <c r="U46" s="272">
        <f>U8-T8</f>
        <v/>
      </c>
      <c r="V46" s="272">
        <f>V8-U8</f>
        <v/>
      </c>
      <c r="W46" s="272">
        <f>W8-V8</f>
        <v/>
      </c>
      <c r="X46" s="272">
        <f>X8-W8</f>
        <v/>
      </c>
      <c r="Y46" s="272">
        <f>Y8-X8</f>
        <v/>
      </c>
      <c r="Z46" s="272">
        <f>Z8-Y8</f>
        <v/>
      </c>
      <c r="AA46" s="272">
        <f>AA8-Z8</f>
        <v/>
      </c>
      <c r="AB46" s="272">
        <f>AB8-AA8</f>
        <v/>
      </c>
      <c r="AC46" s="272">
        <f>AC8-AB8</f>
        <v/>
      </c>
      <c r="AD46" s="272">
        <f>AD8-AC8</f>
        <v/>
      </c>
      <c r="AE46" s="272">
        <f>AE8-AD8</f>
        <v/>
      </c>
      <c r="AF46" s="272">
        <f>AF8-AE8</f>
        <v/>
      </c>
      <c r="AG46" s="272">
        <f>AG8-AF8</f>
        <v/>
      </c>
      <c r="AH46" s="272">
        <f>AH8-AG8</f>
        <v/>
      </c>
      <c r="AI46" s="272">
        <f>AI8-D8</f>
        <v/>
      </c>
      <c r="AJ46" s="273">
        <f>SUM(E46:AI46)</f>
        <v/>
      </c>
    </row>
    <row r="47" ht="13.5" customHeight="1" s="488">
      <c r="A47" s="583" t="n"/>
      <c r="B47" s="583" t="n"/>
      <c r="C47" s="589" t="inlineStr">
        <is>
          <t>DG</t>
        </is>
      </c>
      <c r="D47" s="501" t="n"/>
      <c r="E47" s="272">
        <f>E9-D9</f>
        <v/>
      </c>
      <c r="F47" s="272">
        <f>F9-E9</f>
        <v/>
      </c>
      <c r="G47" s="272">
        <f>G9-F9</f>
        <v/>
      </c>
      <c r="H47" s="272">
        <f>H9-G9</f>
        <v/>
      </c>
      <c r="I47" s="272">
        <f>I9-H9</f>
        <v/>
      </c>
      <c r="J47" s="272">
        <f>J9-I9</f>
        <v/>
      </c>
      <c r="K47" s="272">
        <f>K9-J9</f>
        <v/>
      </c>
      <c r="L47" s="272">
        <f>L9-K9</f>
        <v/>
      </c>
      <c r="M47" s="272">
        <f>M9-L9</f>
        <v/>
      </c>
      <c r="N47" s="272">
        <f>N9-M9</f>
        <v/>
      </c>
      <c r="O47" s="272">
        <f>O9-N9</f>
        <v/>
      </c>
      <c r="P47" s="272">
        <f>P9-O9</f>
        <v/>
      </c>
      <c r="Q47" s="272">
        <f>Q9-P9</f>
        <v/>
      </c>
      <c r="R47" s="272">
        <f>R9-Q9</f>
        <v/>
      </c>
      <c r="S47" s="272">
        <f>S9-R9</f>
        <v/>
      </c>
      <c r="T47" s="272">
        <f>T9-S9</f>
        <v/>
      </c>
      <c r="U47" s="272">
        <f>U9-T9</f>
        <v/>
      </c>
      <c r="V47" s="272">
        <f>V9-U9</f>
        <v/>
      </c>
      <c r="W47" s="272">
        <f>W9-V9</f>
        <v/>
      </c>
      <c r="X47" s="272">
        <f>X9-W9</f>
        <v/>
      </c>
      <c r="Y47" s="272">
        <f>Y9-X9</f>
        <v/>
      </c>
      <c r="Z47" s="272">
        <f>Z9-Y9</f>
        <v/>
      </c>
      <c r="AA47" s="272">
        <f>AA9-Z9</f>
        <v/>
      </c>
      <c r="AB47" s="272">
        <f>AB9-AA9</f>
        <v/>
      </c>
      <c r="AC47" s="272">
        <f>AC9-AB9</f>
        <v/>
      </c>
      <c r="AD47" s="272">
        <f>AD9-AC9</f>
        <v/>
      </c>
      <c r="AE47" s="272">
        <f>AE9-AD9</f>
        <v/>
      </c>
      <c r="AF47" s="272">
        <f>AF9-AE9</f>
        <v/>
      </c>
      <c r="AG47" s="272">
        <f>AG9-AF9</f>
        <v/>
      </c>
      <c r="AH47" s="272">
        <f>AH9-AG9</f>
        <v/>
      </c>
      <c r="AI47" s="272">
        <f>AI9-D9</f>
        <v/>
      </c>
      <c r="AJ47" s="273">
        <f>SUM(E47:AI47)</f>
        <v/>
      </c>
    </row>
    <row r="48" ht="13.5" customHeight="1" s="488">
      <c r="A48" s="583" t="n">
        <v>3</v>
      </c>
      <c r="B48" s="583" t="inlineStr">
        <is>
          <t>3F</t>
        </is>
      </c>
      <c r="C48" s="583" t="inlineStr">
        <is>
          <t>SL No 540430038844 (EB Unit)</t>
        </is>
      </c>
      <c r="D48" s="501" t="n"/>
      <c r="E48" s="272">
        <f>E10-D10</f>
        <v/>
      </c>
      <c r="F48" s="272">
        <f>F10-E10</f>
        <v/>
      </c>
      <c r="G48" s="272">
        <f>G10-F10</f>
        <v/>
      </c>
      <c r="H48" s="272">
        <f>H10-G10</f>
        <v/>
      </c>
      <c r="I48" s="272">
        <f>I10-H10</f>
        <v/>
      </c>
      <c r="J48" s="272">
        <f>J10-I10</f>
        <v/>
      </c>
      <c r="K48" s="272">
        <f>K10-J10</f>
        <v/>
      </c>
      <c r="L48" s="272">
        <f>L10-K10</f>
        <v/>
      </c>
      <c r="M48" s="272">
        <f>M10-L10</f>
        <v/>
      </c>
      <c r="N48" s="272">
        <f>N10-M10</f>
        <v/>
      </c>
      <c r="O48" s="272">
        <f>O10-N10</f>
        <v/>
      </c>
      <c r="P48" s="272">
        <f>P10-O10</f>
        <v/>
      </c>
      <c r="Q48" s="272">
        <f>Q10-P10</f>
        <v/>
      </c>
      <c r="R48" s="272">
        <f>R10-Q10</f>
        <v/>
      </c>
      <c r="S48" s="272">
        <f>S10-R10</f>
        <v/>
      </c>
      <c r="T48" s="272">
        <f>T10-S10</f>
        <v/>
      </c>
      <c r="U48" s="272">
        <f>U10-T10</f>
        <v/>
      </c>
      <c r="V48" s="272">
        <f>V10-U10</f>
        <v/>
      </c>
      <c r="W48" s="272">
        <f>W10-V10</f>
        <v/>
      </c>
      <c r="X48" s="272">
        <f>X10-W10</f>
        <v/>
      </c>
      <c r="Y48" s="272">
        <f>Y10-X10</f>
        <v/>
      </c>
      <c r="Z48" s="272">
        <f>Z10-Y10</f>
        <v/>
      </c>
      <c r="AA48" s="272">
        <f>AA10-Z10</f>
        <v/>
      </c>
      <c r="AB48" s="272">
        <f>AB10-AA10</f>
        <v/>
      </c>
      <c r="AC48" s="272">
        <f>AC10-AB10</f>
        <v/>
      </c>
      <c r="AD48" s="272">
        <f>AD10-AC10</f>
        <v/>
      </c>
      <c r="AE48" s="272">
        <f>AE10-AD10</f>
        <v/>
      </c>
      <c r="AF48" s="272">
        <f>AF10-AE10</f>
        <v/>
      </c>
      <c r="AG48" s="272">
        <f>AG10-AF10</f>
        <v/>
      </c>
      <c r="AH48" s="272">
        <f>AH10-AG10</f>
        <v/>
      </c>
      <c r="AI48" s="272">
        <f>AI10-D10</f>
        <v/>
      </c>
      <c r="AJ48" s="273">
        <f>SUM(E48:AI48)</f>
        <v/>
      </c>
    </row>
    <row r="49" ht="13.5" customHeight="1" s="488">
      <c r="A49" s="583" t="n"/>
      <c r="B49" s="583" t="n"/>
      <c r="C49" s="589" t="inlineStr">
        <is>
          <t>DG</t>
        </is>
      </c>
      <c r="D49" s="501" t="n"/>
      <c r="E49" s="272">
        <f>E11-D11</f>
        <v/>
      </c>
      <c r="F49" s="272">
        <f>F11-E11</f>
        <v/>
      </c>
      <c r="G49" s="272">
        <f>G11-F11</f>
        <v/>
      </c>
      <c r="H49" s="272">
        <f>H11-G11</f>
        <v/>
      </c>
      <c r="I49" s="272">
        <f>I11-H11</f>
        <v/>
      </c>
      <c r="J49" s="272">
        <f>J11-I11</f>
        <v/>
      </c>
      <c r="K49" s="272">
        <f>K11-J11</f>
        <v/>
      </c>
      <c r="L49" s="272">
        <f>L11-K11</f>
        <v/>
      </c>
      <c r="M49" s="272">
        <f>M11-L11</f>
        <v/>
      </c>
      <c r="N49" s="272">
        <f>N11-M11</f>
        <v/>
      </c>
      <c r="O49" s="272">
        <f>O11-N11</f>
        <v/>
      </c>
      <c r="P49" s="272">
        <f>P11-O11</f>
        <v/>
      </c>
      <c r="Q49" s="272">
        <f>Q11-P11</f>
        <v/>
      </c>
      <c r="R49" s="272">
        <f>R11-Q11</f>
        <v/>
      </c>
      <c r="S49" s="272">
        <f>S11-R11</f>
        <v/>
      </c>
      <c r="T49" s="272">
        <f>T11-S11</f>
        <v/>
      </c>
      <c r="U49" s="272">
        <f>U11-T11</f>
        <v/>
      </c>
      <c r="V49" s="272">
        <f>V11-U11</f>
        <v/>
      </c>
      <c r="W49" s="272">
        <f>W11-V11</f>
        <v/>
      </c>
      <c r="X49" s="272">
        <f>X11-W11</f>
        <v/>
      </c>
      <c r="Y49" s="272">
        <f>Y11-X11</f>
        <v/>
      </c>
      <c r="Z49" s="272">
        <f>Z11-Y11</f>
        <v/>
      </c>
      <c r="AA49" s="272">
        <f>AA11-Z11</f>
        <v/>
      </c>
      <c r="AB49" s="272">
        <f>AB11-AA11</f>
        <v/>
      </c>
      <c r="AC49" s="272">
        <f>AC11-AB11</f>
        <v/>
      </c>
      <c r="AD49" s="272">
        <f>AD11-AC11</f>
        <v/>
      </c>
      <c r="AE49" s="272">
        <f>AE11-AD11</f>
        <v/>
      </c>
      <c r="AF49" s="272">
        <f>AF11-AE11</f>
        <v/>
      </c>
      <c r="AG49" s="272">
        <f>AG11-AF11</f>
        <v/>
      </c>
      <c r="AH49" s="272">
        <f>AH11-AG11</f>
        <v/>
      </c>
      <c r="AI49" s="272">
        <f>AI11-D11</f>
        <v/>
      </c>
      <c r="AJ49" s="273">
        <f>SUM(E49:AI49)</f>
        <v/>
      </c>
    </row>
    <row r="50" ht="13.5" customHeight="1" s="488">
      <c r="A50" s="583" t="n">
        <v>4</v>
      </c>
      <c r="B50" s="583" t="inlineStr">
        <is>
          <t>3F</t>
        </is>
      </c>
      <c r="C50" s="583" t="inlineStr">
        <is>
          <t>SL No 540430038821 (EB Unit)</t>
        </is>
      </c>
      <c r="D50" s="501" t="n"/>
      <c r="E50" s="272">
        <f>E12-D12</f>
        <v/>
      </c>
      <c r="F50" s="272">
        <f>F12-E12</f>
        <v/>
      </c>
      <c r="G50" s="272">
        <f>G12-F12</f>
        <v/>
      </c>
      <c r="H50" s="272">
        <f>H12-G12</f>
        <v/>
      </c>
      <c r="I50" s="272">
        <f>I12-H12</f>
        <v/>
      </c>
      <c r="J50" s="272">
        <f>J12-I12</f>
        <v/>
      </c>
      <c r="K50" s="272">
        <f>K12-J12</f>
        <v/>
      </c>
      <c r="L50" s="272">
        <f>L12-K12</f>
        <v/>
      </c>
      <c r="M50" s="272">
        <f>M12-L12</f>
        <v/>
      </c>
      <c r="N50" s="272">
        <f>N12-M12</f>
        <v/>
      </c>
      <c r="O50" s="272">
        <f>O12-N12</f>
        <v/>
      </c>
      <c r="P50" s="272">
        <f>P12-O12</f>
        <v/>
      </c>
      <c r="Q50" s="272">
        <f>Q12-P12</f>
        <v/>
      </c>
      <c r="R50" s="272">
        <f>R12-Q12</f>
        <v/>
      </c>
      <c r="S50" s="272">
        <f>S12-R12</f>
        <v/>
      </c>
      <c r="T50" s="272">
        <f>T12-S12</f>
        <v/>
      </c>
      <c r="U50" s="272">
        <f>U12-T12</f>
        <v/>
      </c>
      <c r="V50" s="272">
        <f>V12-U12</f>
        <v/>
      </c>
      <c r="W50" s="272">
        <f>W12-V12</f>
        <v/>
      </c>
      <c r="X50" s="272">
        <f>X12-W12</f>
        <v/>
      </c>
      <c r="Y50" s="272">
        <f>Y12-X12</f>
        <v/>
      </c>
      <c r="Z50" s="272">
        <f>Z12-Y12</f>
        <v/>
      </c>
      <c r="AA50" s="272">
        <f>AA12-Z12</f>
        <v/>
      </c>
      <c r="AB50" s="272">
        <f>AB12-AA12</f>
        <v/>
      </c>
      <c r="AC50" s="272">
        <f>AC12-AB12</f>
        <v/>
      </c>
      <c r="AD50" s="272">
        <f>AD12-AC12</f>
        <v/>
      </c>
      <c r="AE50" s="272">
        <f>AE12-AD12</f>
        <v/>
      </c>
      <c r="AF50" s="272">
        <f>AF12-AE12</f>
        <v/>
      </c>
      <c r="AG50" s="272">
        <f>AG12-AF12</f>
        <v/>
      </c>
      <c r="AH50" s="272">
        <f>AH12-AG12</f>
        <v/>
      </c>
      <c r="AI50" s="272">
        <f>AI12-D12</f>
        <v/>
      </c>
      <c r="AJ50" s="273">
        <f>SUM(E50:AI50)</f>
        <v/>
      </c>
    </row>
    <row r="51" ht="13.5" customHeight="1" s="488">
      <c r="A51" s="583" t="n"/>
      <c r="B51" s="583" t="n"/>
      <c r="C51" s="589" t="inlineStr">
        <is>
          <t>DG</t>
        </is>
      </c>
      <c r="D51" s="501" t="n"/>
      <c r="E51" s="272">
        <f>E13-D13</f>
        <v/>
      </c>
      <c r="F51" s="272">
        <f>F13-E13</f>
        <v/>
      </c>
      <c r="G51" s="272">
        <f>G13-F13</f>
        <v/>
      </c>
      <c r="H51" s="272">
        <f>H13-G13</f>
        <v/>
      </c>
      <c r="I51" s="272">
        <f>I13-H13</f>
        <v/>
      </c>
      <c r="J51" s="272">
        <f>J13-I13</f>
        <v/>
      </c>
      <c r="K51" s="272">
        <f>K13-J13</f>
        <v/>
      </c>
      <c r="L51" s="272">
        <f>L13-K13</f>
        <v/>
      </c>
      <c r="M51" s="272">
        <f>M13-L13</f>
        <v/>
      </c>
      <c r="N51" s="272">
        <f>N13-M13</f>
        <v/>
      </c>
      <c r="O51" s="272">
        <f>O13-N13</f>
        <v/>
      </c>
      <c r="P51" s="272">
        <f>P13-O13</f>
        <v/>
      </c>
      <c r="Q51" s="272">
        <f>Q13-P13</f>
        <v/>
      </c>
      <c r="R51" s="272">
        <f>R13-Q13</f>
        <v/>
      </c>
      <c r="S51" s="272">
        <f>S13-R13</f>
        <v/>
      </c>
      <c r="T51" s="272">
        <f>T13-S13</f>
        <v/>
      </c>
      <c r="U51" s="272">
        <f>U13-T13</f>
        <v/>
      </c>
      <c r="V51" s="272">
        <f>V13-U13</f>
        <v/>
      </c>
      <c r="W51" s="272">
        <f>W13-V13</f>
        <v/>
      </c>
      <c r="X51" s="272">
        <f>X13-W13</f>
        <v/>
      </c>
      <c r="Y51" s="272">
        <f>Y13-X13</f>
        <v/>
      </c>
      <c r="Z51" s="272">
        <f>Z13-Y13</f>
        <v/>
      </c>
      <c r="AA51" s="272">
        <f>AA13-Z13</f>
        <v/>
      </c>
      <c r="AB51" s="272">
        <f>AB13-AA13</f>
        <v/>
      </c>
      <c r="AC51" s="272">
        <f>AC13-AB13</f>
        <v/>
      </c>
      <c r="AD51" s="272">
        <f>AD13-AC13</f>
        <v/>
      </c>
      <c r="AE51" s="272">
        <f>AE13-AD13</f>
        <v/>
      </c>
      <c r="AF51" s="272">
        <f>AF13-AE13</f>
        <v/>
      </c>
      <c r="AG51" s="272">
        <f>AG13-AF13</f>
        <v/>
      </c>
      <c r="AH51" s="272">
        <f>AH13-AG13</f>
        <v/>
      </c>
      <c r="AI51" s="272">
        <f>AI13-D13</f>
        <v/>
      </c>
      <c r="AJ51" s="273">
        <f>SUM(E51:AI51)</f>
        <v/>
      </c>
    </row>
    <row r="52" ht="13.5" customHeight="1" s="488">
      <c r="A52" s="583" t="n">
        <v>5</v>
      </c>
      <c r="B52" s="583" t="inlineStr">
        <is>
          <t>3F</t>
        </is>
      </c>
      <c r="C52" s="583" t="inlineStr">
        <is>
          <t>SL No 540430038849 (EB Unit)</t>
        </is>
      </c>
      <c r="D52" s="501" t="n"/>
      <c r="E52" s="272">
        <f>E14-D14</f>
        <v/>
      </c>
      <c r="F52" s="272">
        <f>F14-E14</f>
        <v/>
      </c>
      <c r="G52" s="272">
        <f>G14-F14</f>
        <v/>
      </c>
      <c r="H52" s="272">
        <f>H14-G14</f>
        <v/>
      </c>
      <c r="I52" s="272">
        <f>I14-H14</f>
        <v/>
      </c>
      <c r="J52" s="272">
        <f>J14-I14</f>
        <v/>
      </c>
      <c r="K52" s="272">
        <f>K14-J14</f>
        <v/>
      </c>
      <c r="L52" s="272">
        <f>L14-K14</f>
        <v/>
      </c>
      <c r="M52" s="272">
        <f>M14-L14</f>
        <v/>
      </c>
      <c r="N52" s="272">
        <f>N14-M14</f>
        <v/>
      </c>
      <c r="O52" s="272">
        <f>O14-N14</f>
        <v/>
      </c>
      <c r="P52" s="272">
        <f>P14-O14</f>
        <v/>
      </c>
      <c r="Q52" s="272">
        <f>Q14-P14</f>
        <v/>
      </c>
      <c r="R52" s="272">
        <f>R14-Q14</f>
        <v/>
      </c>
      <c r="S52" s="272">
        <f>S14-R14</f>
        <v/>
      </c>
      <c r="T52" s="272">
        <f>T14-S14</f>
        <v/>
      </c>
      <c r="U52" s="272">
        <f>U14-T14</f>
        <v/>
      </c>
      <c r="V52" s="272">
        <f>V14-U14</f>
        <v/>
      </c>
      <c r="W52" s="272">
        <f>W14-V14</f>
        <v/>
      </c>
      <c r="X52" s="272">
        <f>X14-W14</f>
        <v/>
      </c>
      <c r="Y52" s="272">
        <f>Y14-X14</f>
        <v/>
      </c>
      <c r="Z52" s="272">
        <f>Z14-Y14</f>
        <v/>
      </c>
      <c r="AA52" s="272">
        <f>AA14-Z14</f>
        <v/>
      </c>
      <c r="AB52" s="272">
        <f>AB14-AA14</f>
        <v/>
      </c>
      <c r="AC52" s="272">
        <f>AC14-AB14</f>
        <v/>
      </c>
      <c r="AD52" s="272">
        <f>AD14-AC14</f>
        <v/>
      </c>
      <c r="AE52" s="272">
        <f>AE14-AD14</f>
        <v/>
      </c>
      <c r="AF52" s="272">
        <f>AF14-AE14</f>
        <v/>
      </c>
      <c r="AG52" s="272">
        <f>AG14-AF14</f>
        <v/>
      </c>
      <c r="AH52" s="272">
        <f>AH14-AG14</f>
        <v/>
      </c>
      <c r="AI52" s="272">
        <f>AI14-D14</f>
        <v/>
      </c>
      <c r="AJ52" s="273">
        <f>SUM(E52:AI52)</f>
        <v/>
      </c>
    </row>
    <row r="53" ht="13.5" customHeight="1" s="488">
      <c r="A53" s="583" t="n"/>
      <c r="B53" s="583" t="n"/>
      <c r="C53" s="589" t="inlineStr">
        <is>
          <t>DG</t>
        </is>
      </c>
      <c r="D53" s="501" t="n"/>
      <c r="E53" s="272">
        <f>E15-D15</f>
        <v/>
      </c>
      <c r="F53" s="272">
        <f>F15-E15</f>
        <v/>
      </c>
      <c r="G53" s="272">
        <f>G15-F15</f>
        <v/>
      </c>
      <c r="H53" s="272">
        <f>H15-G15</f>
        <v/>
      </c>
      <c r="I53" s="272">
        <f>I15-H15</f>
        <v/>
      </c>
      <c r="J53" s="272">
        <f>J15-I15</f>
        <v/>
      </c>
      <c r="K53" s="272">
        <f>K15-J15</f>
        <v/>
      </c>
      <c r="L53" s="272">
        <f>L15-K15</f>
        <v/>
      </c>
      <c r="M53" s="272">
        <f>M15-L15</f>
        <v/>
      </c>
      <c r="N53" s="272">
        <f>N15-M15</f>
        <v/>
      </c>
      <c r="O53" s="272">
        <f>O15-N15</f>
        <v/>
      </c>
      <c r="P53" s="272">
        <f>P15-O15</f>
        <v/>
      </c>
      <c r="Q53" s="272">
        <f>Q15-P15</f>
        <v/>
      </c>
      <c r="R53" s="272">
        <f>R15-Q15</f>
        <v/>
      </c>
      <c r="S53" s="272">
        <f>S15-R15</f>
        <v/>
      </c>
      <c r="T53" s="272">
        <f>T15-S15</f>
        <v/>
      </c>
      <c r="U53" s="272">
        <f>U15-T15</f>
        <v/>
      </c>
      <c r="V53" s="272">
        <f>V15-U15</f>
        <v/>
      </c>
      <c r="W53" s="272">
        <f>W15-V15</f>
        <v/>
      </c>
      <c r="X53" s="272">
        <f>X15-W15</f>
        <v/>
      </c>
      <c r="Y53" s="272">
        <f>Y15-X15</f>
        <v/>
      </c>
      <c r="Z53" s="272">
        <f>Z15-Y15</f>
        <v/>
      </c>
      <c r="AA53" s="272">
        <f>AA15-Z15</f>
        <v/>
      </c>
      <c r="AB53" s="272">
        <f>AB15-AA15</f>
        <v/>
      </c>
      <c r="AC53" s="272">
        <f>AC15-AB15</f>
        <v/>
      </c>
      <c r="AD53" s="272">
        <f>AD15-AC15</f>
        <v/>
      </c>
      <c r="AE53" s="272">
        <f>AE15-AD15</f>
        <v/>
      </c>
      <c r="AF53" s="272">
        <f>AF15-AE15</f>
        <v/>
      </c>
      <c r="AG53" s="272">
        <f>AG15-AF15</f>
        <v/>
      </c>
      <c r="AH53" s="272">
        <f>AH15-AG15</f>
        <v/>
      </c>
      <c r="AI53" s="272">
        <f>AI15-D15</f>
        <v/>
      </c>
      <c r="AJ53" s="273">
        <f>SUM(E53:AI53)</f>
        <v/>
      </c>
    </row>
    <row r="54" ht="13.5" customHeight="1" s="488">
      <c r="A54" s="583" t="n">
        <v>6</v>
      </c>
      <c r="B54" s="583" t="inlineStr">
        <is>
          <t>3F</t>
        </is>
      </c>
      <c r="C54" s="583" t="inlineStr">
        <is>
          <t>SL No 540430038696 (EB Unit)</t>
        </is>
      </c>
      <c r="D54" s="501" t="n"/>
      <c r="E54" s="272">
        <f>E16-D16</f>
        <v/>
      </c>
      <c r="F54" s="272">
        <f>F16-E16</f>
        <v/>
      </c>
      <c r="G54" s="272">
        <f>G16-F16</f>
        <v/>
      </c>
      <c r="H54" s="272">
        <f>H16-G16</f>
        <v/>
      </c>
      <c r="I54" s="272">
        <f>I16-H16</f>
        <v/>
      </c>
      <c r="J54" s="272">
        <f>J16-I16</f>
        <v/>
      </c>
      <c r="K54" s="272">
        <f>K16-J16</f>
        <v/>
      </c>
      <c r="L54" s="272">
        <f>L16-K16</f>
        <v/>
      </c>
      <c r="M54" s="272">
        <f>M16-L16</f>
        <v/>
      </c>
      <c r="N54" s="272">
        <f>N16-M16</f>
        <v/>
      </c>
      <c r="O54" s="272">
        <f>O16-N16</f>
        <v/>
      </c>
      <c r="P54" s="272">
        <f>P16-O16</f>
        <v/>
      </c>
      <c r="Q54" s="272">
        <f>Q16-P16</f>
        <v/>
      </c>
      <c r="R54" s="272">
        <f>R16-Q16</f>
        <v/>
      </c>
      <c r="S54" s="272">
        <f>S16-R16</f>
        <v/>
      </c>
      <c r="T54" s="272">
        <f>T16-S16</f>
        <v/>
      </c>
      <c r="U54" s="272">
        <f>U16-T16</f>
        <v/>
      </c>
      <c r="V54" s="272">
        <f>V16-U16</f>
        <v/>
      </c>
      <c r="W54" s="272">
        <f>W16-V16</f>
        <v/>
      </c>
      <c r="X54" s="272">
        <f>X16-W16</f>
        <v/>
      </c>
      <c r="Y54" s="272">
        <f>Y16-X16</f>
        <v/>
      </c>
      <c r="Z54" s="272">
        <f>Z16-Y16</f>
        <v/>
      </c>
      <c r="AA54" s="272">
        <f>AA16-Z16</f>
        <v/>
      </c>
      <c r="AB54" s="272">
        <f>AB16-AA16</f>
        <v/>
      </c>
      <c r="AC54" s="272">
        <f>AC16-AB16</f>
        <v/>
      </c>
      <c r="AD54" s="272">
        <f>AD16-AC16</f>
        <v/>
      </c>
      <c r="AE54" s="272">
        <f>AE16-AD16</f>
        <v/>
      </c>
      <c r="AF54" s="272">
        <f>AF16-AE16</f>
        <v/>
      </c>
      <c r="AG54" s="272">
        <f>AG16-AF16</f>
        <v/>
      </c>
      <c r="AH54" s="272">
        <f>AH16-AG16</f>
        <v/>
      </c>
      <c r="AI54" s="272">
        <f>AI16-D16</f>
        <v/>
      </c>
      <c r="AJ54" s="273">
        <f>SUM(E54:AI54)</f>
        <v/>
      </c>
    </row>
    <row r="55" ht="13.5" customHeight="1" s="488">
      <c r="A55" s="583" t="n"/>
      <c r="B55" s="583" t="n"/>
      <c r="C55" s="589" t="inlineStr">
        <is>
          <t>DG</t>
        </is>
      </c>
      <c r="D55" s="501" t="n"/>
      <c r="E55" s="272">
        <f>E17-D17</f>
        <v/>
      </c>
      <c r="F55" s="272">
        <f>F17-E17</f>
        <v/>
      </c>
      <c r="G55" s="272">
        <f>G17-F17</f>
        <v/>
      </c>
      <c r="H55" s="272">
        <f>H17-G17</f>
        <v/>
      </c>
      <c r="I55" s="272">
        <f>I17-H17</f>
        <v/>
      </c>
      <c r="J55" s="272">
        <f>J17-I17</f>
        <v/>
      </c>
      <c r="K55" s="272">
        <f>K17-J17</f>
        <v/>
      </c>
      <c r="L55" s="272">
        <f>L17-K17</f>
        <v/>
      </c>
      <c r="M55" s="272">
        <f>M17-L17</f>
        <v/>
      </c>
      <c r="N55" s="272">
        <f>N17-M17</f>
        <v/>
      </c>
      <c r="O55" s="272">
        <f>O17-N17</f>
        <v/>
      </c>
      <c r="P55" s="272">
        <f>P17-O17</f>
        <v/>
      </c>
      <c r="Q55" s="272">
        <f>Q17-P17</f>
        <v/>
      </c>
      <c r="R55" s="272">
        <f>R17-Q17</f>
        <v/>
      </c>
      <c r="S55" s="272">
        <f>S17-R17</f>
        <v/>
      </c>
      <c r="T55" s="272">
        <f>T17-S17</f>
        <v/>
      </c>
      <c r="U55" s="272">
        <f>U17-T17</f>
        <v/>
      </c>
      <c r="V55" s="272">
        <f>V17-U17</f>
        <v/>
      </c>
      <c r="W55" s="272">
        <f>W17-V17</f>
        <v/>
      </c>
      <c r="X55" s="272">
        <f>X17-W17</f>
        <v/>
      </c>
      <c r="Y55" s="272">
        <f>Y17-X17</f>
        <v/>
      </c>
      <c r="Z55" s="272">
        <f>Z17-Y17</f>
        <v/>
      </c>
      <c r="AA55" s="272">
        <f>AA17-Z17</f>
        <v/>
      </c>
      <c r="AB55" s="272">
        <f>AB17-AA17</f>
        <v/>
      </c>
      <c r="AC55" s="272">
        <f>AC17-AB17</f>
        <v/>
      </c>
      <c r="AD55" s="272">
        <f>AD17-AC17</f>
        <v/>
      </c>
      <c r="AE55" s="272">
        <f>AE17-AD17</f>
        <v/>
      </c>
      <c r="AF55" s="272">
        <f>AF17-AE17</f>
        <v/>
      </c>
      <c r="AG55" s="272">
        <f>AG17-AF17</f>
        <v/>
      </c>
      <c r="AH55" s="272">
        <f>AH17-AG17</f>
        <v/>
      </c>
      <c r="AI55" s="272">
        <f>AI17-D17</f>
        <v/>
      </c>
      <c r="AJ55" s="273">
        <f>SUM(E55:AI55)</f>
        <v/>
      </c>
    </row>
    <row r="56" ht="13.5" customHeight="1" s="488">
      <c r="A56" s="583" t="n">
        <v>7</v>
      </c>
      <c r="B56" s="583" t="inlineStr">
        <is>
          <t>3F</t>
        </is>
      </c>
      <c r="C56" s="583" t="inlineStr">
        <is>
          <t>SL No 540430038843 (EB Unit)</t>
        </is>
      </c>
      <c r="D56" s="501" t="n"/>
      <c r="E56" s="272">
        <f>E18-D18</f>
        <v/>
      </c>
      <c r="F56" s="272">
        <f>F18-E18</f>
        <v/>
      </c>
      <c r="G56" s="272">
        <f>G18-F18</f>
        <v/>
      </c>
      <c r="H56" s="272">
        <f>H18-G18</f>
        <v/>
      </c>
      <c r="I56" s="272">
        <f>I18-H18</f>
        <v/>
      </c>
      <c r="J56" s="272">
        <f>J18-I18</f>
        <v/>
      </c>
      <c r="K56" s="272">
        <f>K18-J18</f>
        <v/>
      </c>
      <c r="L56" s="272">
        <f>L18-K18</f>
        <v/>
      </c>
      <c r="M56" s="272">
        <f>M18-L18</f>
        <v/>
      </c>
      <c r="N56" s="272">
        <f>N18-M18</f>
        <v/>
      </c>
      <c r="O56" s="272">
        <f>O18-N18</f>
        <v/>
      </c>
      <c r="P56" s="272">
        <f>P18-O18</f>
        <v/>
      </c>
      <c r="Q56" s="272">
        <f>Q18-P18</f>
        <v/>
      </c>
      <c r="R56" s="272">
        <f>R18-Q18</f>
        <v/>
      </c>
      <c r="S56" s="272">
        <f>S18-R18</f>
        <v/>
      </c>
      <c r="T56" s="272">
        <f>T18-S18</f>
        <v/>
      </c>
      <c r="U56" s="272">
        <f>U18-T18</f>
        <v/>
      </c>
      <c r="V56" s="272">
        <f>V18-U18</f>
        <v/>
      </c>
      <c r="W56" s="272">
        <f>W18-V18</f>
        <v/>
      </c>
      <c r="X56" s="272">
        <f>X18-W18</f>
        <v/>
      </c>
      <c r="Y56" s="272">
        <f>Y18-X18</f>
        <v/>
      </c>
      <c r="Z56" s="272">
        <f>Z18-Y18</f>
        <v/>
      </c>
      <c r="AA56" s="272">
        <f>AA18-Z18</f>
        <v/>
      </c>
      <c r="AB56" s="272">
        <f>AB18-AA18</f>
        <v/>
      </c>
      <c r="AC56" s="272">
        <f>AC18-AB18</f>
        <v/>
      </c>
      <c r="AD56" s="272">
        <f>AD18-AC18</f>
        <v/>
      </c>
      <c r="AE56" s="272">
        <f>AE18-AD18</f>
        <v/>
      </c>
      <c r="AF56" s="272">
        <f>AF18-AE18</f>
        <v/>
      </c>
      <c r="AG56" s="272">
        <f>AG18-AF18</f>
        <v/>
      </c>
      <c r="AH56" s="272">
        <f>AH18-AG18</f>
        <v/>
      </c>
      <c r="AI56" s="272">
        <f>AI18-D18</f>
        <v/>
      </c>
      <c r="AJ56" s="273">
        <f>SUM(E56:AI56)</f>
        <v/>
      </c>
    </row>
    <row r="57" ht="13.5" customHeight="1" s="488">
      <c r="A57" s="583" t="n"/>
      <c r="B57" s="583" t="n"/>
      <c r="C57" s="589" t="inlineStr">
        <is>
          <t>DG</t>
        </is>
      </c>
      <c r="D57" s="501" t="n"/>
      <c r="E57" s="272">
        <f>E19-D19</f>
        <v/>
      </c>
      <c r="F57" s="272">
        <f>F19-E19</f>
        <v/>
      </c>
      <c r="G57" s="272">
        <f>G19-F19</f>
        <v/>
      </c>
      <c r="H57" s="272">
        <f>H19-G19</f>
        <v/>
      </c>
      <c r="I57" s="272">
        <f>I19-H19</f>
        <v/>
      </c>
      <c r="J57" s="272">
        <f>J19-I19</f>
        <v/>
      </c>
      <c r="K57" s="272">
        <f>K19-J19</f>
        <v/>
      </c>
      <c r="L57" s="272">
        <f>L19-K19</f>
        <v/>
      </c>
      <c r="M57" s="272">
        <f>M19-L19</f>
        <v/>
      </c>
      <c r="N57" s="272">
        <f>N19-M19</f>
        <v/>
      </c>
      <c r="O57" s="272">
        <f>O19-N19</f>
        <v/>
      </c>
      <c r="P57" s="272">
        <f>P19-O19</f>
        <v/>
      </c>
      <c r="Q57" s="272">
        <f>Q19-P19</f>
        <v/>
      </c>
      <c r="R57" s="272">
        <f>R19-Q19</f>
        <v/>
      </c>
      <c r="S57" s="272">
        <f>S19-R19</f>
        <v/>
      </c>
      <c r="T57" s="272">
        <f>T19-S19</f>
        <v/>
      </c>
      <c r="U57" s="272">
        <f>U19-T19</f>
        <v/>
      </c>
      <c r="V57" s="272">
        <f>V19-U19</f>
        <v/>
      </c>
      <c r="W57" s="272">
        <f>W19-V19</f>
        <v/>
      </c>
      <c r="X57" s="272">
        <f>X19-W19</f>
        <v/>
      </c>
      <c r="Y57" s="272">
        <f>Y19-X19</f>
        <v/>
      </c>
      <c r="Z57" s="272">
        <f>Z19-Y19</f>
        <v/>
      </c>
      <c r="AA57" s="272">
        <f>AA19-Z19</f>
        <v/>
      </c>
      <c r="AB57" s="272">
        <f>AB19-AA19</f>
        <v/>
      </c>
      <c r="AC57" s="272">
        <f>AC19-AB19</f>
        <v/>
      </c>
      <c r="AD57" s="272">
        <f>AD19-AC19</f>
        <v/>
      </c>
      <c r="AE57" s="272">
        <f>AE19-AD19</f>
        <v/>
      </c>
      <c r="AF57" s="272">
        <f>AF19-AE19</f>
        <v/>
      </c>
      <c r="AG57" s="272">
        <f>AG19-AF19</f>
        <v/>
      </c>
      <c r="AH57" s="272">
        <f>AH19-AG19</f>
        <v/>
      </c>
      <c r="AI57" s="272">
        <f>AI19-D19</f>
        <v/>
      </c>
      <c r="AJ57" s="273">
        <f>SUM(E57:AI57)</f>
        <v/>
      </c>
    </row>
    <row r="58" ht="13.5" customHeight="1" s="488">
      <c r="A58" s="583" t="n">
        <v>8</v>
      </c>
      <c r="B58" s="583" t="inlineStr">
        <is>
          <t>3F</t>
        </is>
      </c>
      <c r="C58" s="583" t="inlineStr">
        <is>
          <t>SL No 540430038848 (EB Unit)</t>
        </is>
      </c>
      <c r="D58" s="501" t="n"/>
      <c r="E58" s="272">
        <f>E20-D20</f>
        <v/>
      </c>
      <c r="F58" s="272">
        <f>F20-E20</f>
        <v/>
      </c>
      <c r="G58" s="272">
        <f>G20-F20</f>
        <v/>
      </c>
      <c r="H58" s="272">
        <f>H20-G20</f>
        <v/>
      </c>
      <c r="I58" s="272">
        <f>I20-H20</f>
        <v/>
      </c>
      <c r="J58" s="272">
        <f>J20-I20</f>
        <v/>
      </c>
      <c r="K58" s="272">
        <f>K20-J20</f>
        <v/>
      </c>
      <c r="L58" s="272">
        <f>L20-K20</f>
        <v/>
      </c>
      <c r="M58" s="272">
        <f>M20-L20</f>
        <v/>
      </c>
      <c r="N58" s="272">
        <f>N20-M20</f>
        <v/>
      </c>
      <c r="O58" s="272">
        <f>O20-N20</f>
        <v/>
      </c>
      <c r="P58" s="272">
        <f>P20-O20</f>
        <v/>
      </c>
      <c r="Q58" s="272">
        <f>Q20-P20</f>
        <v/>
      </c>
      <c r="R58" s="272">
        <f>R20-Q20</f>
        <v/>
      </c>
      <c r="S58" s="272">
        <f>S20-R20</f>
        <v/>
      </c>
      <c r="T58" s="272">
        <f>T20-S20</f>
        <v/>
      </c>
      <c r="U58" s="272">
        <f>U20-T20</f>
        <v/>
      </c>
      <c r="V58" s="272">
        <f>V20-U20</f>
        <v/>
      </c>
      <c r="W58" s="272">
        <f>W20-V20</f>
        <v/>
      </c>
      <c r="X58" s="272">
        <f>X20-W20</f>
        <v/>
      </c>
      <c r="Y58" s="272">
        <f>Y20-X20</f>
        <v/>
      </c>
      <c r="Z58" s="272">
        <f>Z20-Y20</f>
        <v/>
      </c>
      <c r="AA58" s="272">
        <f>AA20-Z20</f>
        <v/>
      </c>
      <c r="AB58" s="272">
        <f>AB20-AA20</f>
        <v/>
      </c>
      <c r="AC58" s="272">
        <f>AC20-AB20</f>
        <v/>
      </c>
      <c r="AD58" s="272">
        <f>AD20-AC20</f>
        <v/>
      </c>
      <c r="AE58" s="272">
        <f>AE20-AD20</f>
        <v/>
      </c>
      <c r="AF58" s="272">
        <f>AF20-AE20</f>
        <v/>
      </c>
      <c r="AG58" s="272">
        <f>AG20-AF20</f>
        <v/>
      </c>
      <c r="AH58" s="272">
        <f>AH20-AG20</f>
        <v/>
      </c>
      <c r="AI58" s="272">
        <f>AI20-D20</f>
        <v/>
      </c>
      <c r="AJ58" s="273">
        <f>SUM(E58:AI58)</f>
        <v/>
      </c>
    </row>
    <row r="59" ht="13.5" customHeight="1" s="488">
      <c r="A59" s="583" t="n"/>
      <c r="B59" s="583" t="n"/>
      <c r="C59" s="589" t="inlineStr">
        <is>
          <t>DG</t>
        </is>
      </c>
      <c r="D59" s="501" t="n"/>
      <c r="E59" s="272">
        <f>E21-D21</f>
        <v/>
      </c>
      <c r="F59" s="272">
        <f>F21-E21</f>
        <v/>
      </c>
      <c r="G59" s="272">
        <f>G21-F21</f>
        <v/>
      </c>
      <c r="H59" s="272">
        <f>H21-G21</f>
        <v/>
      </c>
      <c r="I59" s="272">
        <f>I21-H21</f>
        <v/>
      </c>
      <c r="J59" s="272">
        <f>J21-I21</f>
        <v/>
      </c>
      <c r="K59" s="272">
        <f>K21-J21</f>
        <v/>
      </c>
      <c r="L59" s="272">
        <f>L21-K21</f>
        <v/>
      </c>
      <c r="M59" s="272">
        <f>M21-L21</f>
        <v/>
      </c>
      <c r="N59" s="272">
        <f>N21-M21</f>
        <v/>
      </c>
      <c r="O59" s="272">
        <f>O21-N21</f>
        <v/>
      </c>
      <c r="P59" s="272">
        <f>P21-O21</f>
        <v/>
      </c>
      <c r="Q59" s="272">
        <f>Q21-P21</f>
        <v/>
      </c>
      <c r="R59" s="272">
        <f>R21-Q21</f>
        <v/>
      </c>
      <c r="S59" s="272">
        <f>S21-R21</f>
        <v/>
      </c>
      <c r="T59" s="272">
        <f>T21-S21</f>
        <v/>
      </c>
      <c r="U59" s="272">
        <f>U21-T21</f>
        <v/>
      </c>
      <c r="V59" s="272">
        <f>V21-U21</f>
        <v/>
      </c>
      <c r="W59" s="272">
        <f>W21-V21</f>
        <v/>
      </c>
      <c r="X59" s="272">
        <f>X21-W21</f>
        <v/>
      </c>
      <c r="Y59" s="272">
        <f>Y21-X21</f>
        <v/>
      </c>
      <c r="Z59" s="272">
        <f>Z21-Y21</f>
        <v/>
      </c>
      <c r="AA59" s="272">
        <f>AA21-Z21</f>
        <v/>
      </c>
      <c r="AB59" s="272">
        <f>AB21-AA21</f>
        <v/>
      </c>
      <c r="AC59" s="272">
        <f>AC21-AB21</f>
        <v/>
      </c>
      <c r="AD59" s="272">
        <f>AD21-AC21</f>
        <v/>
      </c>
      <c r="AE59" s="272">
        <f>AE21-AD21</f>
        <v/>
      </c>
      <c r="AF59" s="272">
        <f>AF21-AE21</f>
        <v/>
      </c>
      <c r="AG59" s="272">
        <f>AG21-AF21</f>
        <v/>
      </c>
      <c r="AH59" s="272">
        <f>AH21-AG21</f>
        <v/>
      </c>
      <c r="AI59" s="272">
        <f>AI21-D21</f>
        <v/>
      </c>
      <c r="AJ59" s="273">
        <f>SUM(E59:AI59)</f>
        <v/>
      </c>
    </row>
    <row r="60" ht="13.5" customHeight="1" s="488">
      <c r="A60" s="274" t="n"/>
      <c r="B60" s="274" t="n"/>
      <c r="C60" s="594" t="inlineStr">
        <is>
          <t>Total Power - EB Unit</t>
        </is>
      </c>
      <c r="D60" s="501" t="n"/>
      <c r="E60" s="275">
        <f>SUM(E58,E56,E54,E52,E50,E48,E46,E44)</f>
        <v/>
      </c>
      <c r="F60" s="275">
        <f>SUM(F58,F56,F54,F52,F50,F48,F46,F44)</f>
        <v/>
      </c>
      <c r="G60" s="275">
        <f>SUM(G58,G56,G54,G52,G50,G48,G46,G44)</f>
        <v/>
      </c>
      <c r="H60" s="275">
        <f>SUM(H58,H56,H54,H52,H50,H48,H46,H44)</f>
        <v/>
      </c>
      <c r="I60" s="275">
        <f>SUM(I58,I56,I54,I52,I50,I48,I46,I44)</f>
        <v/>
      </c>
      <c r="J60" s="275">
        <f>SUM(J58,J56,J54,J52,J50,J48,J46,J44)</f>
        <v/>
      </c>
      <c r="K60" s="275">
        <f>SUM(K58,K56,K54,K52,K50,K48,K46,K44)</f>
        <v/>
      </c>
      <c r="L60" s="275">
        <f>SUM(L58,L56,L54,L52,L50,L48,L46,L44)</f>
        <v/>
      </c>
      <c r="M60" s="275">
        <f>SUM(M58,M56,M54,M52,M50,M48,M46,M44)</f>
        <v/>
      </c>
      <c r="N60" s="275">
        <f>SUM(N58,N56,N54,N52,N50,N48,N46,N44)</f>
        <v/>
      </c>
      <c r="O60" s="275">
        <f>SUM(O58,O56,O54,O52,O50,O48,O46,O44)</f>
        <v/>
      </c>
      <c r="P60" s="275">
        <f>SUM(P58,P56,P54,P52,P50,P48,P46,P44)</f>
        <v/>
      </c>
      <c r="Q60" s="275">
        <f>SUM(Q58,Q56,Q54,Q52,Q50,Q48,Q46,Q44)</f>
        <v/>
      </c>
      <c r="R60" s="275">
        <f>SUM(R58,R56,R54,R52,R50,R48,R46,R44)</f>
        <v/>
      </c>
      <c r="S60" s="275">
        <f>SUM(S58,S56,S54,S52,S50,S48,S46,S44)</f>
        <v/>
      </c>
      <c r="T60" s="275">
        <f>SUM(T58,T56,T54,T52,T50,T48,T46,T44)</f>
        <v/>
      </c>
      <c r="U60" s="275">
        <f>SUM(U58,U56,U54,U52,U50,U48,U46,U44)</f>
        <v/>
      </c>
      <c r="V60" s="275">
        <f>SUM(V58,V56,V54,V52,V50,V48,V46,V44)</f>
        <v/>
      </c>
      <c r="W60" s="275">
        <f>SUM(W58,W56,W54,W52,W50,W48,W46,W44)</f>
        <v/>
      </c>
      <c r="X60" s="275">
        <f>SUM(X58,X56,X54,X52,X50,X48,X46,X44)</f>
        <v/>
      </c>
      <c r="Y60" s="275">
        <f>SUM(Y58,Y56,Y54,Y52,Y50,Y48,Y46,Y44)</f>
        <v/>
      </c>
      <c r="Z60" s="275">
        <f>SUM(Z58,Z56,Z54,Z52,Z50,Z48,Z46,Z44)</f>
        <v/>
      </c>
      <c r="AA60" s="275">
        <f>SUM(AA58,AA56,AA54,AA52,AA50,AA48,AA46,AA44)</f>
        <v/>
      </c>
      <c r="AB60" s="275">
        <f>SUM(AB58,AB56,AB54,AB52,AB50,AB48,AB46,AB44)</f>
        <v/>
      </c>
      <c r="AC60" s="275">
        <f>SUM(AC58,AC56,AC54,AC52,AC50,AC48,AC46,AC44)</f>
        <v/>
      </c>
      <c r="AD60" s="275">
        <f>SUM(AD58,AD56,AD54,AD52,AD50,AD48,AD46,AD44)</f>
        <v/>
      </c>
      <c r="AE60" s="275">
        <f>SUM(AE58,AE56,AE54,AE52,AE50,AE48,AE46,AE44)</f>
        <v/>
      </c>
      <c r="AF60" s="275">
        <f>SUM(AF58,AF56,AF54,AF52,AF50,AF48,AF46,AF44)</f>
        <v/>
      </c>
      <c r="AG60" s="275">
        <f>SUM(AG58,AG56,AG54,AG52,AG50,AG48,AG46,AG44)</f>
        <v/>
      </c>
      <c r="AH60" s="275">
        <f>SUM(AH58,AH56,AH54,AH52,AH50,AH48,AH46,AH44)</f>
        <v/>
      </c>
      <c r="AI60" s="275">
        <f>SUM(AI58,AI56,AI54,AI52,AI50,AI48,AI46,AI44)</f>
        <v/>
      </c>
      <c r="AJ60" s="276">
        <f>SUM(E60:AI60)</f>
        <v/>
      </c>
    </row>
    <row r="61" ht="13.5" customHeight="1" s="488">
      <c r="A61" s="274" t="n"/>
      <c r="B61" s="274" t="n"/>
      <c r="C61" s="145" t="inlineStr">
        <is>
          <t>Total Power- DG</t>
        </is>
      </c>
      <c r="D61" s="277" t="n"/>
      <c r="E61" s="275">
        <f>SUM(E45,E47,E49,E51,E53,E55,E57,E59)</f>
        <v/>
      </c>
      <c r="F61" s="275">
        <f>SUM(F45,F47,F49,F51,F53,F55,F57,F59)</f>
        <v/>
      </c>
      <c r="G61" s="275">
        <f>SUM(G45,G47,G49,G51,G53,G55,G57,G59)</f>
        <v/>
      </c>
      <c r="H61" s="275">
        <f>SUM(H45,H47,H49,H51,H53,H55,H57,H59)</f>
        <v/>
      </c>
      <c r="I61" s="275">
        <f>SUM(I45,I47,I49,I51,I53,I55,I57,I59)</f>
        <v/>
      </c>
      <c r="J61" s="275">
        <f>SUM(J45,J47,J49,J51,J53,J55,J57,J59)</f>
        <v/>
      </c>
      <c r="K61" s="275">
        <f>SUM(K45,K47,K49,K51,K53,K55,K57,K59)</f>
        <v/>
      </c>
      <c r="L61" s="275">
        <f>SUM(L45,L47,L49,L51,L53,L55,L57,L59)</f>
        <v/>
      </c>
      <c r="M61" s="275">
        <f>SUM(M45,M47,M49,M51,M53,M55,M57,M59)</f>
        <v/>
      </c>
      <c r="N61" s="275">
        <f>SUM(N45,N47,N49,N51,N53,N55,N57,N59)</f>
        <v/>
      </c>
      <c r="O61" s="275">
        <f>SUM(O45,O47,O49,O51,O53,O55,O57,O59)</f>
        <v/>
      </c>
      <c r="P61" s="275">
        <f>SUM(P45,P47,P49,P51,P53,P55,P57,P59)</f>
        <v/>
      </c>
      <c r="Q61" s="275">
        <f>SUM(Q45,Q47,Q49,Q51,Q53,Q55,Q57,Q59)</f>
        <v/>
      </c>
      <c r="R61" s="275">
        <f>SUM(R45,R47,R49,R51,R53,R55,R57,R59)</f>
        <v/>
      </c>
      <c r="S61" s="275">
        <f>SUM(S45,S47,S49,S51,S53,S55,S57,S59)</f>
        <v/>
      </c>
      <c r="T61" s="275">
        <f>SUM(T45,T47,T49,T51,T53,T55,T57,T59)</f>
        <v/>
      </c>
      <c r="U61" s="275">
        <f>SUM(U45,U47,U49,U51,U53,U55,U57,U59)</f>
        <v/>
      </c>
      <c r="V61" s="275">
        <f>SUM(V45,V47,V49,V51,V53,V55,V57,V59)</f>
        <v/>
      </c>
      <c r="W61" s="275">
        <f>SUM(W45,W47,W49,W51,W53,W55,W57,W59)</f>
        <v/>
      </c>
      <c r="X61" s="275">
        <f>SUM(X45,X47,X49,X51,X53,X55,X57,X59)</f>
        <v/>
      </c>
      <c r="Y61" s="275">
        <f>SUM(Y45,Y47,Y49,Y51,Y53,Y55,Y57,Y59)</f>
        <v/>
      </c>
      <c r="Z61" s="275">
        <f>SUM(Z45,Z47,Z49,Z51,Z53,Z55,Z57,Z59)</f>
        <v/>
      </c>
      <c r="AA61" s="275">
        <f>SUM(AA45,AA47,AA49,AA51,AA53,AA55,AA57,AA59)</f>
        <v/>
      </c>
      <c r="AB61" s="275">
        <f>SUM(AB45,AB47,AB49,AB51,AB53,AB55,AB57,AB59)</f>
        <v/>
      </c>
      <c r="AC61" s="275">
        <f>SUM(AC45,AC47,AC49,AC51,AC53,AC55,AC57,AC59)</f>
        <v/>
      </c>
      <c r="AD61" s="275">
        <f>SUM(AD45,AD47,AD49,AD51,AD53,AD55,AD57,AD59)</f>
        <v/>
      </c>
      <c r="AE61" s="275">
        <f>SUM(AE45,AE47,AE49,AE51,AE53,AE55,AE57,AE59)</f>
        <v/>
      </c>
      <c r="AF61" s="275">
        <f>SUM(AF45,AF47,AF49,AF51,AF53,AF55,AF57,AF59)</f>
        <v/>
      </c>
      <c r="AG61" s="275">
        <f>SUM(AG45,AG47,AG49,AG51,AG53,AG55,AG57,AG59)</f>
        <v/>
      </c>
      <c r="AH61" s="275">
        <f>SUM(AH45,AI47,AH49,AH51,AH53,AH55,AH57,AH59)</f>
        <v/>
      </c>
      <c r="AI61" s="275">
        <f>SUM(AI45,AI47,AI49,AI51,AI53,AI55,AI57,AI59)</f>
        <v/>
      </c>
      <c r="AJ61" s="276">
        <f>SUM(E61:AI61)</f>
        <v/>
      </c>
    </row>
    <row r="62" ht="14.5" customHeight="1" s="488">
      <c r="A62" s="595" t="n"/>
      <c r="B62" s="595" t="n"/>
      <c r="C62" s="587" t="inlineStr">
        <is>
          <t>Total Power Cumulative</t>
        </is>
      </c>
      <c r="D62" s="501" t="n"/>
      <c r="E62" s="279">
        <f>E60</f>
        <v/>
      </c>
      <c r="F62" s="279">
        <f>F60</f>
        <v/>
      </c>
      <c r="G62" s="279">
        <f>G60</f>
        <v/>
      </c>
      <c r="H62" s="279">
        <f>H60</f>
        <v/>
      </c>
      <c r="I62" s="279">
        <f>I60</f>
        <v/>
      </c>
      <c r="J62" s="279">
        <f>J60</f>
        <v/>
      </c>
      <c r="K62" s="279">
        <f>K60</f>
        <v/>
      </c>
      <c r="L62" s="279">
        <f>L60</f>
        <v/>
      </c>
      <c r="M62" s="279">
        <f>M60</f>
        <v/>
      </c>
      <c r="N62" s="279">
        <f>N60</f>
        <v/>
      </c>
      <c r="O62" s="279">
        <f>O60</f>
        <v/>
      </c>
      <c r="P62" s="279">
        <f>P60</f>
        <v/>
      </c>
      <c r="Q62" s="279">
        <f>Q60</f>
        <v/>
      </c>
      <c r="R62" s="279">
        <f>R60</f>
        <v/>
      </c>
      <c r="S62" s="279">
        <f>S60</f>
        <v/>
      </c>
      <c r="T62" s="279">
        <f>T60</f>
        <v/>
      </c>
      <c r="U62" s="279">
        <f>U60</f>
        <v/>
      </c>
      <c r="V62" s="279">
        <f>V60</f>
        <v/>
      </c>
      <c r="W62" s="279">
        <f>W60</f>
        <v/>
      </c>
      <c r="X62" s="279">
        <f>X60</f>
        <v/>
      </c>
      <c r="Y62" s="279">
        <f>Y60</f>
        <v/>
      </c>
      <c r="Z62" s="279">
        <f>Z60</f>
        <v/>
      </c>
      <c r="AA62" s="279">
        <f>AA60</f>
        <v/>
      </c>
      <c r="AB62" s="279">
        <f>AB60</f>
        <v/>
      </c>
      <c r="AC62" s="279">
        <f>AC60</f>
        <v/>
      </c>
      <c r="AD62" s="279">
        <f>AD60</f>
        <v/>
      </c>
      <c r="AE62" s="279">
        <f>AE60</f>
        <v/>
      </c>
      <c r="AF62" s="279">
        <f>AF60</f>
        <v/>
      </c>
      <c r="AG62" s="279">
        <f>AG60</f>
        <v/>
      </c>
      <c r="AH62" s="279">
        <f>AH60</f>
        <v/>
      </c>
      <c r="AI62" s="279">
        <f>AI60</f>
        <v/>
      </c>
      <c r="AJ62" s="279">
        <f>AJ60</f>
        <v/>
      </c>
    </row>
    <row r="63">
      <c r="A63" s="268" t="n"/>
      <c r="B63" s="599" t="n"/>
      <c r="C63" s="146" t="n"/>
      <c r="D63" s="281" t="n"/>
      <c r="E63" s="268" t="n"/>
      <c r="F63" s="268" t="n"/>
      <c r="G63" s="268" t="n"/>
      <c r="H63" s="268" t="n"/>
      <c r="I63" s="268" t="n"/>
      <c r="J63" s="268" t="n"/>
      <c r="K63" s="268" t="n"/>
      <c r="L63" s="268" t="n"/>
      <c r="M63" s="268" t="n"/>
      <c r="N63" s="268" t="n"/>
      <c r="O63" s="268" t="n"/>
      <c r="P63" s="268" t="n"/>
      <c r="Q63" s="268" t="n"/>
      <c r="R63" s="268" t="n"/>
      <c r="S63" s="268" t="n"/>
      <c r="T63" s="268" t="n"/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I63" s="268" t="n"/>
      <c r="AJ63" s="268" t="n"/>
    </row>
    <row r="64" ht="14.5" customHeight="1" s="488">
      <c r="A64" s="282" t="inlineStr">
        <is>
          <t>S No</t>
        </is>
      </c>
      <c r="B64" s="282" t="inlineStr">
        <is>
          <t>Location</t>
        </is>
      </c>
      <c r="C64" s="592" t="inlineStr">
        <is>
          <t>Meter</t>
        </is>
      </c>
      <c r="D64" s="501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82" t="n"/>
      <c r="N64" s="282" t="n"/>
      <c r="O64" s="282" t="n"/>
      <c r="P64" s="282" t="n"/>
      <c r="Q64" s="282" t="n"/>
      <c r="R64" s="282" t="n"/>
      <c r="S64" s="282" t="n"/>
      <c r="T64" s="282" t="n"/>
      <c r="U64" s="282" t="n"/>
      <c r="V64" s="282" t="n"/>
      <c r="W64" s="282" t="n"/>
      <c r="X64" s="282" t="n"/>
      <c r="Y64" s="282" t="n"/>
      <c r="Z64" s="282" t="n"/>
      <c r="AA64" s="282" t="n"/>
      <c r="AB64" s="282" t="n"/>
      <c r="AC64" s="282" t="n"/>
      <c r="AD64" s="282" t="n"/>
      <c r="AE64" s="282" t="n"/>
      <c r="AF64" s="282" t="n"/>
      <c r="AG64" s="282" t="n"/>
      <c r="AH64" s="282" t="n"/>
      <c r="AI64" s="282" t="n"/>
      <c r="AJ64" s="283" t="n"/>
    </row>
    <row r="65" ht="13.5" customHeight="1" s="488">
      <c r="A65" s="583" t="n">
        <v>1</v>
      </c>
      <c r="B65" s="583" t="inlineStr">
        <is>
          <t>3F</t>
        </is>
      </c>
      <c r="C65" s="597" t="inlineStr">
        <is>
          <t>AHU1</t>
        </is>
      </c>
      <c r="D65" s="501" t="n"/>
      <c r="E65" s="279">
        <f>E23-D23</f>
        <v/>
      </c>
      <c r="F65" s="279">
        <f>F23-E23</f>
        <v/>
      </c>
      <c r="G65" s="279">
        <f>G23-F23</f>
        <v/>
      </c>
      <c r="H65" s="279">
        <f>H23-G23</f>
        <v/>
      </c>
      <c r="I65" s="279">
        <f>I23-H23</f>
        <v/>
      </c>
      <c r="J65" s="279">
        <f>J23-I23</f>
        <v/>
      </c>
      <c r="K65" s="279">
        <f>K23-J23</f>
        <v/>
      </c>
      <c r="L65" s="279">
        <f>L23-K23</f>
        <v/>
      </c>
      <c r="M65" s="279">
        <f>M23-L23</f>
        <v/>
      </c>
      <c r="N65" s="279">
        <f>N23-M23</f>
        <v/>
      </c>
      <c r="O65" s="279">
        <f>O23-N23</f>
        <v/>
      </c>
      <c r="P65" s="279">
        <f>P23-O23</f>
        <v/>
      </c>
      <c r="Q65" s="279">
        <f>Q23-P23</f>
        <v/>
      </c>
      <c r="R65" s="279">
        <f>R23-Q23</f>
        <v/>
      </c>
      <c r="S65" s="279">
        <f>S23-R23</f>
        <v/>
      </c>
      <c r="T65" s="279">
        <f>T23-S23</f>
        <v/>
      </c>
      <c r="U65" s="279">
        <f>U23-T23</f>
        <v/>
      </c>
      <c r="V65" s="279">
        <f>V23-U23</f>
        <v/>
      </c>
      <c r="W65" s="279">
        <f>W23-V23</f>
        <v/>
      </c>
      <c r="X65" s="279">
        <f>X23-W23</f>
        <v/>
      </c>
      <c r="Y65" s="279">
        <f>Y23-X23</f>
        <v/>
      </c>
      <c r="Z65" s="279">
        <f>Z23-Y23</f>
        <v/>
      </c>
      <c r="AA65" s="279">
        <f>AA23-Z23</f>
        <v/>
      </c>
      <c r="AB65" s="279">
        <f>AB23-AA23</f>
        <v/>
      </c>
      <c r="AC65" s="279">
        <f>AC23-AB23</f>
        <v/>
      </c>
      <c r="AD65" s="279">
        <f>AD23-AC23</f>
        <v/>
      </c>
      <c r="AE65" s="279">
        <f>AE23-AD23</f>
        <v/>
      </c>
      <c r="AF65" s="279">
        <f>AF23-AE23</f>
        <v/>
      </c>
      <c r="AG65" s="279">
        <f>AG23-AF23</f>
        <v/>
      </c>
      <c r="AH65" s="279">
        <f>AH23-AG23</f>
        <v/>
      </c>
      <c r="AI65" s="279">
        <f>AI23-D23</f>
        <v/>
      </c>
      <c r="AJ65" s="273">
        <f>SUM(E65:AI65)</f>
        <v/>
      </c>
    </row>
    <row r="66" ht="14.25" customHeight="1" s="488">
      <c r="A66" s="583" t="n"/>
      <c r="B66" s="583" t="n"/>
      <c r="C66" s="588" t="inlineStr">
        <is>
          <t>DG</t>
        </is>
      </c>
      <c r="D66" s="501" t="n"/>
      <c r="E66" s="279">
        <f>E24-D24</f>
        <v/>
      </c>
      <c r="F66" s="279">
        <f>F24-E24</f>
        <v/>
      </c>
      <c r="G66" s="279">
        <f>G24-F24</f>
        <v/>
      </c>
      <c r="H66" s="279">
        <f>H24-G24</f>
        <v/>
      </c>
      <c r="I66" s="279">
        <f>I24-H24</f>
        <v/>
      </c>
      <c r="J66" s="279">
        <f>J24-I24</f>
        <v/>
      </c>
      <c r="K66" s="279">
        <f>K24-J24</f>
        <v/>
      </c>
      <c r="L66" s="279">
        <f>L24-K24</f>
        <v/>
      </c>
      <c r="M66" s="279">
        <f>M24-L24</f>
        <v/>
      </c>
      <c r="N66" s="279">
        <f>N24-M24</f>
        <v/>
      </c>
      <c r="O66" s="279">
        <f>O24-N24</f>
        <v/>
      </c>
      <c r="P66" s="279">
        <f>P24-O24</f>
        <v/>
      </c>
      <c r="Q66" s="279">
        <f>Q24-P24</f>
        <v/>
      </c>
      <c r="R66" s="279">
        <f>R24-Q24</f>
        <v/>
      </c>
      <c r="S66" s="279">
        <f>S24-R24</f>
        <v/>
      </c>
      <c r="T66" s="279">
        <f>T24-S24</f>
        <v/>
      </c>
      <c r="U66" s="279">
        <f>U24-T24</f>
        <v/>
      </c>
      <c r="V66" s="279">
        <f>V24-U24</f>
        <v/>
      </c>
      <c r="W66" s="279">
        <f>W24-V24</f>
        <v/>
      </c>
      <c r="X66" s="279">
        <f>X24-W24</f>
        <v/>
      </c>
      <c r="Y66" s="279">
        <f>Y24-X24</f>
        <v/>
      </c>
      <c r="Z66" s="279">
        <f>Z24-Y24</f>
        <v/>
      </c>
      <c r="AA66" s="279">
        <f>AA24-Z24</f>
        <v/>
      </c>
      <c r="AB66" s="279">
        <f>AB24-AA24</f>
        <v/>
      </c>
      <c r="AC66" s="279">
        <f>AC24-AB24</f>
        <v/>
      </c>
      <c r="AD66" s="279">
        <f>AD24-AC24</f>
        <v/>
      </c>
      <c r="AE66" s="279">
        <f>AE24-AD24</f>
        <v/>
      </c>
      <c r="AF66" s="279">
        <f>AF24-AE24</f>
        <v/>
      </c>
      <c r="AG66" s="279">
        <f>AG24-AF24</f>
        <v/>
      </c>
      <c r="AH66" s="279">
        <f>AH24-AG24</f>
        <v/>
      </c>
      <c r="AI66" s="279">
        <f>AI24-D24</f>
        <v/>
      </c>
      <c r="AJ66" s="273">
        <f>SUM(E66:AI66)</f>
        <v/>
      </c>
    </row>
    <row r="67" ht="13.5" customHeight="1" s="488">
      <c r="A67" s="583" t="n">
        <v>2</v>
      </c>
      <c r="B67" s="583" t="inlineStr">
        <is>
          <t>3F</t>
        </is>
      </c>
      <c r="C67" s="597" t="inlineStr">
        <is>
          <t>AHU2</t>
        </is>
      </c>
      <c r="D67" s="501" t="n"/>
      <c r="E67" s="279">
        <f>E25-D25</f>
        <v/>
      </c>
      <c r="F67" s="279">
        <f>F25-E25</f>
        <v/>
      </c>
      <c r="G67" s="279">
        <f>G25-F25</f>
        <v/>
      </c>
      <c r="H67" s="279">
        <f>H25-G25</f>
        <v/>
      </c>
      <c r="I67" s="279">
        <f>I25-H25</f>
        <v/>
      </c>
      <c r="J67" s="279">
        <f>J25-I25</f>
        <v/>
      </c>
      <c r="K67" s="279">
        <f>K25-J25</f>
        <v/>
      </c>
      <c r="L67" s="279">
        <f>L25-K25</f>
        <v/>
      </c>
      <c r="M67" s="279">
        <f>M25-L25</f>
        <v/>
      </c>
      <c r="N67" s="279">
        <f>N25-M25</f>
        <v/>
      </c>
      <c r="O67" s="279">
        <f>O25-N25</f>
        <v/>
      </c>
      <c r="P67" s="279">
        <f>P25-O25</f>
        <v/>
      </c>
      <c r="Q67" s="279">
        <f>Q25-P25</f>
        <v/>
      </c>
      <c r="R67" s="279">
        <f>R25-Q25</f>
        <v/>
      </c>
      <c r="S67" s="279">
        <f>S25-R25</f>
        <v/>
      </c>
      <c r="T67" s="279">
        <f>T25-S25</f>
        <v/>
      </c>
      <c r="U67" s="279">
        <f>U25-T25</f>
        <v/>
      </c>
      <c r="V67" s="279">
        <f>V25-U25</f>
        <v/>
      </c>
      <c r="W67" s="279">
        <f>W25-V25</f>
        <v/>
      </c>
      <c r="X67" s="279">
        <f>X25-W25</f>
        <v/>
      </c>
      <c r="Y67" s="279">
        <f>Y25-X25</f>
        <v/>
      </c>
      <c r="Z67" s="279">
        <f>Z25-Y25</f>
        <v/>
      </c>
      <c r="AA67" s="279">
        <f>AA25-Z25</f>
        <v/>
      </c>
      <c r="AB67" s="279">
        <f>AB25-AA25</f>
        <v/>
      </c>
      <c r="AC67" s="279">
        <f>AC25-AB25</f>
        <v/>
      </c>
      <c r="AD67" s="279">
        <f>AD25-AC25</f>
        <v/>
      </c>
      <c r="AE67" s="279">
        <f>AE25-AD25</f>
        <v/>
      </c>
      <c r="AF67" s="279">
        <f>AF25-AE25</f>
        <v/>
      </c>
      <c r="AG67" s="279">
        <f>AG25-AF25</f>
        <v/>
      </c>
      <c r="AH67" s="279">
        <f>AH25-AG25</f>
        <v/>
      </c>
      <c r="AI67" s="279">
        <f>AI25-D25</f>
        <v/>
      </c>
      <c r="AJ67" s="273">
        <f>SUM(E67:AI67)</f>
        <v/>
      </c>
    </row>
    <row r="68" ht="13.5" customHeight="1" s="488">
      <c r="A68" s="583" t="n"/>
      <c r="B68" s="583" t="n"/>
      <c r="C68" s="588" t="inlineStr">
        <is>
          <t>DG</t>
        </is>
      </c>
      <c r="D68" s="501" t="n"/>
      <c r="E68" s="279">
        <f>E26-D26</f>
        <v/>
      </c>
      <c r="F68" s="279">
        <f>F26-E26</f>
        <v/>
      </c>
      <c r="G68" s="279">
        <f>G26-F26</f>
        <v/>
      </c>
      <c r="H68" s="279">
        <f>H26-G26</f>
        <v/>
      </c>
      <c r="I68" s="279">
        <f>I26-H26</f>
        <v/>
      </c>
      <c r="J68" s="279">
        <f>J26-I26</f>
        <v/>
      </c>
      <c r="K68" s="279">
        <f>K26-J26</f>
        <v/>
      </c>
      <c r="L68" s="279">
        <f>L26-K26</f>
        <v/>
      </c>
      <c r="M68" s="279">
        <f>M26-L26</f>
        <v/>
      </c>
      <c r="N68" s="279">
        <f>N26-M26</f>
        <v/>
      </c>
      <c r="O68" s="279">
        <f>O26-N26</f>
        <v/>
      </c>
      <c r="P68" s="279">
        <f>P26-O26</f>
        <v/>
      </c>
      <c r="Q68" s="279">
        <f>Q26-P26</f>
        <v/>
      </c>
      <c r="R68" s="279">
        <f>R26-Q26</f>
        <v/>
      </c>
      <c r="S68" s="279">
        <f>S26-R26</f>
        <v/>
      </c>
      <c r="T68" s="279">
        <f>T26-S26</f>
        <v/>
      </c>
      <c r="U68" s="279">
        <f>U26-T26</f>
        <v/>
      </c>
      <c r="V68" s="279">
        <f>V26-U26</f>
        <v/>
      </c>
      <c r="W68" s="279">
        <f>W26-V26</f>
        <v/>
      </c>
      <c r="X68" s="279">
        <f>X26-W26</f>
        <v/>
      </c>
      <c r="Y68" s="279">
        <f>Y26-X26</f>
        <v/>
      </c>
      <c r="Z68" s="279">
        <f>Z26-Y26</f>
        <v/>
      </c>
      <c r="AA68" s="279">
        <f>AA26-Z26</f>
        <v/>
      </c>
      <c r="AB68" s="279">
        <f>AB26-AA26</f>
        <v/>
      </c>
      <c r="AC68" s="279">
        <f>AC26-AB26</f>
        <v/>
      </c>
      <c r="AD68" s="279">
        <f>AD26-AC26</f>
        <v/>
      </c>
      <c r="AE68" s="279">
        <f>AE26-AD26</f>
        <v/>
      </c>
      <c r="AF68" s="279">
        <f>AF26-AE26</f>
        <v/>
      </c>
      <c r="AG68" s="279">
        <f>AG26-AF26</f>
        <v/>
      </c>
      <c r="AH68" s="279">
        <f>AH26-AG26</f>
        <v/>
      </c>
      <c r="AI68" s="279">
        <f>AI26-D26</f>
        <v/>
      </c>
      <c r="AJ68" s="273">
        <f>SUM(E68:AI68)</f>
        <v/>
      </c>
      <c r="AK68" t="inlineStr">
        <is>
          <t>EB</t>
        </is>
      </c>
      <c r="AL68">
        <f>AI60</f>
        <v/>
      </c>
    </row>
    <row r="69" ht="13.5" customHeight="1" s="488">
      <c r="A69" s="583" t="n">
        <v>3</v>
      </c>
      <c r="B69" s="583" t="inlineStr">
        <is>
          <t>3F</t>
        </is>
      </c>
      <c r="C69" s="597" t="inlineStr">
        <is>
          <t>AHU3</t>
        </is>
      </c>
      <c r="D69" s="501" t="n"/>
      <c r="E69" s="279">
        <f>E27-D27</f>
        <v/>
      </c>
      <c r="F69" s="279">
        <f>F27-E27</f>
        <v/>
      </c>
      <c r="G69" s="279">
        <f>G27-F27</f>
        <v/>
      </c>
      <c r="H69" s="279">
        <f>H27-G27</f>
        <v/>
      </c>
      <c r="I69" s="279">
        <f>I27-H27</f>
        <v/>
      </c>
      <c r="J69" s="279">
        <f>J27-I27</f>
        <v/>
      </c>
      <c r="K69" s="279">
        <f>K27-J27</f>
        <v/>
      </c>
      <c r="L69" s="279">
        <f>L27-K27</f>
        <v/>
      </c>
      <c r="M69" s="279">
        <f>M27-L27</f>
        <v/>
      </c>
      <c r="N69" s="279">
        <f>N27-M27</f>
        <v/>
      </c>
      <c r="O69" s="279">
        <f>O27-N27</f>
        <v/>
      </c>
      <c r="P69" s="279">
        <f>P27-O27</f>
        <v/>
      </c>
      <c r="Q69" s="279">
        <f>Q27-P27</f>
        <v/>
      </c>
      <c r="R69" s="279">
        <f>R27-Q27</f>
        <v/>
      </c>
      <c r="S69" s="279">
        <f>S27-R27</f>
        <v/>
      </c>
      <c r="T69" s="279">
        <f>T27-S27</f>
        <v/>
      </c>
      <c r="U69" s="279">
        <f>U27-T27</f>
        <v/>
      </c>
      <c r="V69" s="279">
        <f>V27-U27</f>
        <v/>
      </c>
      <c r="W69" s="279">
        <f>W27-V27</f>
        <v/>
      </c>
      <c r="X69" s="279">
        <f>X27-W27</f>
        <v/>
      </c>
      <c r="Y69" s="279">
        <f>Y27-X27</f>
        <v/>
      </c>
      <c r="Z69" s="279">
        <f>Z27-Y27</f>
        <v/>
      </c>
      <c r="AA69" s="279">
        <f>AA27-Z27</f>
        <v/>
      </c>
      <c r="AB69" s="279">
        <f>AB27-AA27</f>
        <v/>
      </c>
      <c r="AC69" s="279">
        <f>AC27-AB27</f>
        <v/>
      </c>
      <c r="AD69" s="279">
        <f>AD27-AC27</f>
        <v/>
      </c>
      <c r="AE69" s="279">
        <f>AE27-AD27</f>
        <v/>
      </c>
      <c r="AF69" s="279">
        <f>AF27-AE27</f>
        <v/>
      </c>
      <c r="AG69" s="279">
        <f>AG27-AF27</f>
        <v/>
      </c>
      <c r="AH69" s="279">
        <f>AH27-AG27</f>
        <v/>
      </c>
      <c r="AI69" s="279">
        <f>AI27-D27</f>
        <v/>
      </c>
      <c r="AJ69" s="273">
        <f>SUM(E69:AI69)</f>
        <v/>
      </c>
      <c r="AK69" t="inlineStr">
        <is>
          <t>AHU</t>
        </is>
      </c>
      <c r="AL69">
        <f>AI73</f>
        <v/>
      </c>
    </row>
    <row r="70" ht="13.5" customHeight="1" s="488">
      <c r="A70" s="583" t="n"/>
      <c r="B70" s="583" t="n"/>
      <c r="C70" s="588" t="inlineStr">
        <is>
          <t>DG</t>
        </is>
      </c>
      <c r="D70" s="501" t="n"/>
      <c r="E70" s="279">
        <f>E28-D28</f>
        <v/>
      </c>
      <c r="F70" s="279">
        <f>F28-E28</f>
        <v/>
      </c>
      <c r="G70" s="279">
        <f>G28-F28</f>
        <v/>
      </c>
      <c r="H70" s="279">
        <f>H28-G28</f>
        <v/>
      </c>
      <c r="I70" s="279">
        <f>I28-H28</f>
        <v/>
      </c>
      <c r="J70" s="279">
        <f>J28-I28</f>
        <v/>
      </c>
      <c r="K70" s="279">
        <f>K28-J28</f>
        <v/>
      </c>
      <c r="L70" s="279">
        <f>L28-K28</f>
        <v/>
      </c>
      <c r="M70" s="279">
        <f>M28-L28</f>
        <v/>
      </c>
      <c r="N70" s="279">
        <f>N28-M28</f>
        <v/>
      </c>
      <c r="O70" s="279">
        <f>O28-N28</f>
        <v/>
      </c>
      <c r="P70" s="279">
        <f>P28-O28</f>
        <v/>
      </c>
      <c r="Q70" s="279">
        <f>Q28-P28</f>
        <v/>
      </c>
      <c r="R70" s="279">
        <f>R28-Q28</f>
        <v/>
      </c>
      <c r="S70" s="279">
        <f>S28-R28</f>
        <v/>
      </c>
      <c r="T70" s="279">
        <f>T28-S28</f>
        <v/>
      </c>
      <c r="U70" s="279">
        <f>U28-T28</f>
        <v/>
      </c>
      <c r="V70" s="279">
        <f>V28-U28</f>
        <v/>
      </c>
      <c r="W70" s="279">
        <f>W28-V28</f>
        <v/>
      </c>
      <c r="X70" s="279">
        <f>X28-W28</f>
        <v/>
      </c>
      <c r="Y70" s="279">
        <f>Y28-X28</f>
        <v/>
      </c>
      <c r="Z70" s="279">
        <f>Z28-Y28</f>
        <v/>
      </c>
      <c r="AA70" s="279">
        <f>AA28-Z28</f>
        <v/>
      </c>
      <c r="AB70" s="279">
        <f>AB28-AA28</f>
        <v/>
      </c>
      <c r="AC70" s="279">
        <f>AC28-AB28</f>
        <v/>
      </c>
      <c r="AD70" s="279">
        <f>AD28-AC28</f>
        <v/>
      </c>
      <c r="AE70" s="279">
        <f>AE28-AD28</f>
        <v/>
      </c>
      <c r="AF70" s="279">
        <f>AF28-AE28</f>
        <v/>
      </c>
      <c r="AG70" s="279">
        <f>AG28-AF28</f>
        <v/>
      </c>
      <c r="AH70" s="279">
        <f>AH28-AG28</f>
        <v/>
      </c>
      <c r="AI70" s="279">
        <f>AI28-D28</f>
        <v/>
      </c>
      <c r="AJ70" s="273">
        <f>SUM(E70:AI70)</f>
        <v/>
      </c>
      <c r="AK70" t="inlineStr">
        <is>
          <t>BTU</t>
        </is>
      </c>
      <c r="AL70">
        <f>AI79*40%</f>
        <v/>
      </c>
    </row>
    <row r="71" ht="13.5" customHeight="1" s="488">
      <c r="A71" s="583" t="n">
        <v>4</v>
      </c>
      <c r="B71" s="583" t="inlineStr">
        <is>
          <t>3F</t>
        </is>
      </c>
      <c r="C71" s="597" t="inlineStr">
        <is>
          <t>AHU4</t>
        </is>
      </c>
      <c r="D71" s="501" t="n"/>
      <c r="E71" s="279">
        <f>E29-D29</f>
        <v/>
      </c>
      <c r="F71" s="279">
        <f>F29-E29</f>
        <v/>
      </c>
      <c r="G71" s="279">
        <f>G29-F29</f>
        <v/>
      </c>
      <c r="H71" s="279">
        <f>H29-G29</f>
        <v/>
      </c>
      <c r="I71" s="279">
        <f>I29-H29</f>
        <v/>
      </c>
      <c r="J71" s="279">
        <f>J29-I29</f>
        <v/>
      </c>
      <c r="K71" s="279">
        <f>K29-J29</f>
        <v/>
      </c>
      <c r="L71" s="279">
        <f>L29-K29</f>
        <v/>
      </c>
      <c r="M71" s="279">
        <f>M29-L29</f>
        <v/>
      </c>
      <c r="N71" s="279">
        <f>N29-M29</f>
        <v/>
      </c>
      <c r="O71" s="279">
        <f>O29-N29</f>
        <v/>
      </c>
      <c r="P71" s="279">
        <f>P29-O29</f>
        <v/>
      </c>
      <c r="Q71" s="279">
        <f>Q29-P29</f>
        <v/>
      </c>
      <c r="R71" s="279">
        <f>R29-Q29</f>
        <v/>
      </c>
      <c r="S71" s="279">
        <f>S29-R29</f>
        <v/>
      </c>
      <c r="T71" s="279">
        <f>T29-S29</f>
        <v/>
      </c>
      <c r="U71" s="279">
        <f>U29-T29</f>
        <v/>
      </c>
      <c r="V71" s="279">
        <f>V29-U29</f>
        <v/>
      </c>
      <c r="W71" s="279">
        <f>W29-V29</f>
        <v/>
      </c>
      <c r="X71" s="279">
        <f>X29-W29</f>
        <v/>
      </c>
      <c r="Y71" s="279">
        <f>Y29-X29</f>
        <v/>
      </c>
      <c r="Z71" s="279">
        <f>Z29-Y29</f>
        <v/>
      </c>
      <c r="AA71" s="279">
        <f>AA29-Z29</f>
        <v/>
      </c>
      <c r="AB71" s="279">
        <f>AB29-AA29</f>
        <v/>
      </c>
      <c r="AC71" s="279">
        <f>AC29-AB29</f>
        <v/>
      </c>
      <c r="AD71" s="279">
        <f>AD29-AC29</f>
        <v/>
      </c>
      <c r="AE71" s="279">
        <f>AE29-AD29</f>
        <v/>
      </c>
      <c r="AF71" s="279">
        <f>AF29-AE29</f>
        <v/>
      </c>
      <c r="AG71" s="279">
        <f>AG29-AF29</f>
        <v/>
      </c>
      <c r="AH71" s="279">
        <f>AH29-AG29</f>
        <v/>
      </c>
      <c r="AI71" s="279">
        <f>AI29-D29</f>
        <v/>
      </c>
      <c r="AJ71" s="273">
        <f>SUM(E71:AI71)</f>
        <v/>
      </c>
      <c r="AK71" t="inlineStr">
        <is>
          <t>DG</t>
        </is>
      </c>
      <c r="AL71">
        <f>AI61+AI74</f>
        <v/>
      </c>
    </row>
    <row r="72" ht="13.5" customHeight="1" s="488">
      <c r="A72" s="583" t="n"/>
      <c r="B72" s="583" t="n"/>
      <c r="C72" s="588" t="inlineStr">
        <is>
          <t>DG</t>
        </is>
      </c>
      <c r="D72" s="501" t="n"/>
      <c r="E72" s="279">
        <f>E30-D30</f>
        <v/>
      </c>
      <c r="F72" s="279">
        <f>F30-E30</f>
        <v/>
      </c>
      <c r="G72" s="279">
        <f>G30-F30</f>
        <v/>
      </c>
      <c r="H72" s="279">
        <f>H30-G30</f>
        <v/>
      </c>
      <c r="I72" s="279">
        <f>I30-H30</f>
        <v/>
      </c>
      <c r="J72" s="279">
        <f>J30-I30</f>
        <v/>
      </c>
      <c r="K72" s="279">
        <f>K30-J30</f>
        <v/>
      </c>
      <c r="L72" s="279">
        <f>L30-K30</f>
        <v/>
      </c>
      <c r="M72" s="279">
        <f>M30-L30</f>
        <v/>
      </c>
      <c r="N72" s="279">
        <f>N30-M30</f>
        <v/>
      </c>
      <c r="O72" s="279">
        <f>O30-N30</f>
        <v/>
      </c>
      <c r="P72" s="279">
        <f>P30-O30</f>
        <v/>
      </c>
      <c r="Q72" s="279">
        <f>Q30-P30</f>
        <v/>
      </c>
      <c r="R72" s="279">
        <f>R30-Q30</f>
        <v/>
      </c>
      <c r="S72" s="279">
        <f>S30-R30</f>
        <v/>
      </c>
      <c r="T72" s="279">
        <f>T30-S30</f>
        <v/>
      </c>
      <c r="U72" s="279">
        <f>U30-T30</f>
        <v/>
      </c>
      <c r="V72" s="279">
        <f>V30-U30</f>
        <v/>
      </c>
      <c r="W72" s="279">
        <f>W30-V30</f>
        <v/>
      </c>
      <c r="X72" s="279">
        <f>X30-W30</f>
        <v/>
      </c>
      <c r="Y72" s="279">
        <f>Y30-X30</f>
        <v/>
      </c>
      <c r="Z72" s="279">
        <f>Z30-Y30</f>
        <v/>
      </c>
      <c r="AA72" s="279">
        <f>AA30-Z30</f>
        <v/>
      </c>
      <c r="AB72" s="279">
        <f>AB30-AA30</f>
        <v/>
      </c>
      <c r="AC72" s="279">
        <f>AC30-AB30</f>
        <v/>
      </c>
      <c r="AD72" s="279">
        <f>AD30-AC30</f>
        <v/>
      </c>
      <c r="AE72" s="279">
        <f>AE30-AD30</f>
        <v/>
      </c>
      <c r="AF72" s="279">
        <f>AF30-AE30</f>
        <v/>
      </c>
      <c r="AG72" s="279">
        <f>AG30-AF30</f>
        <v/>
      </c>
      <c r="AH72" s="279">
        <f>AH30-AG30</f>
        <v/>
      </c>
      <c r="AI72" s="279">
        <f>AI30-D30</f>
        <v/>
      </c>
      <c r="AJ72" s="273">
        <f>SUM(E72:AI72)</f>
        <v/>
      </c>
    </row>
    <row r="73" ht="30" customHeight="1" s="488">
      <c r="A73" s="274" t="n"/>
      <c r="B73" s="274" t="n"/>
      <c r="C73" s="594" t="inlineStr">
        <is>
          <t>Total AHU Power Consumption</t>
        </is>
      </c>
      <c r="D73" s="501" t="n"/>
      <c r="E73" s="275">
        <f>SUM(E65,E67,E69,E71)</f>
        <v/>
      </c>
      <c r="F73" s="275">
        <f>SUM(F65,F67,F69,F71)</f>
        <v/>
      </c>
      <c r="G73" s="275">
        <f>SUM(G65,G67,G69,G71)</f>
        <v/>
      </c>
      <c r="H73" s="275">
        <f>SUM(H65,H67,H69,H71)</f>
        <v/>
      </c>
      <c r="I73" s="275">
        <f>SUM(I65,I67,I69,I71)</f>
        <v/>
      </c>
      <c r="J73" s="275">
        <f>SUM(J65,J67,J69,J71)</f>
        <v/>
      </c>
      <c r="K73" s="275">
        <f>SUM(K65,K67,K69,K71)</f>
        <v/>
      </c>
      <c r="L73" s="275">
        <f>SUM(L65,L67,L69,L71)</f>
        <v/>
      </c>
      <c r="M73" s="275">
        <f>SUM(M65,M67,M69,M71)</f>
        <v/>
      </c>
      <c r="N73" s="275">
        <f>SUM(N65,N67,N69,N71)</f>
        <v/>
      </c>
      <c r="O73" s="275">
        <f>SUM(O65,O67,O69,O71)</f>
        <v/>
      </c>
      <c r="P73" s="275">
        <f>SUM(P65,P67,P69,P71)</f>
        <v/>
      </c>
      <c r="Q73" s="275">
        <f>SUM(Q65,Q67,Q69,Q71)</f>
        <v/>
      </c>
      <c r="R73" s="275">
        <f>SUM(R65,R67,R69,R71)</f>
        <v/>
      </c>
      <c r="S73" s="275">
        <f>SUM(S65,S67,S69,S71)</f>
        <v/>
      </c>
      <c r="T73" s="275">
        <f>SUM(T65,T67,T69,T71)</f>
        <v/>
      </c>
      <c r="U73" s="275">
        <f>SUM(U65,U67,U69,U71)</f>
        <v/>
      </c>
      <c r="V73" s="275">
        <f>SUM(V65,V67,V69,V71)</f>
        <v/>
      </c>
      <c r="W73" s="275">
        <f>SUM(W65,W67,W69,W71)</f>
        <v/>
      </c>
      <c r="X73" s="275">
        <f>SUM(X65,X67,X69,X71)</f>
        <v/>
      </c>
      <c r="Y73" s="275">
        <f>SUM(Y65,Y67,Y69,Y71)</f>
        <v/>
      </c>
      <c r="Z73" s="275">
        <f>SUM(Z65,Z67,Z69,Z71)</f>
        <v/>
      </c>
      <c r="AA73" s="275">
        <f>SUM(AA65,AA67,AA69,AA71)</f>
        <v/>
      </c>
      <c r="AB73" s="275">
        <f>SUM(AB65,AB67,AB69,AB71)</f>
        <v/>
      </c>
      <c r="AC73" s="275">
        <f>SUM(AC65,AC67,AC69,AC71)</f>
        <v/>
      </c>
      <c r="AD73" s="275">
        <f>SUM(AD65,AD67,AD69,AD71)</f>
        <v/>
      </c>
      <c r="AE73" s="275">
        <f>SUM(AE65,AE67,AE69,AE71)</f>
        <v/>
      </c>
      <c r="AF73" s="275">
        <f>SUM(AF65,AF67,AF69,AF71)</f>
        <v/>
      </c>
      <c r="AG73" s="275">
        <f>SUM(AG65,AG67,AG69,AG71)</f>
        <v/>
      </c>
      <c r="AH73" s="275">
        <f>SUM(AH65,AH67,AH69,AH71)</f>
        <v/>
      </c>
      <c r="AI73" s="275">
        <f>SUM(AI65,AI67,AI69,AI71)</f>
        <v/>
      </c>
      <c r="AJ73" s="276">
        <f>SUM(E73:AI73)</f>
        <v/>
      </c>
    </row>
    <row r="74" ht="24" customHeight="1" s="488">
      <c r="A74" s="274" t="n"/>
      <c r="B74" s="274" t="n"/>
      <c r="C74" s="591" t="inlineStr">
        <is>
          <t>Total AHU DG consumption</t>
        </is>
      </c>
      <c r="D74" s="501" t="n"/>
      <c r="E74" s="275">
        <f>SUM(E66,E68,E70,E72)</f>
        <v/>
      </c>
      <c r="F74" s="275">
        <f>SUM(F66,F68,F70,F72)</f>
        <v/>
      </c>
      <c r="G74" s="275">
        <f>SUM(G66,G68,G70,G72)</f>
        <v/>
      </c>
      <c r="H74" s="275">
        <f>SUM(H66,H68,H70,H72)</f>
        <v/>
      </c>
      <c r="I74" s="275">
        <f>SUM(I66,I68,I70,I72)</f>
        <v/>
      </c>
      <c r="J74" s="275">
        <f>SUM(J66,J68,J70,J72)</f>
        <v/>
      </c>
      <c r="K74" s="275">
        <f>SUM(K66,K68,K70,K72)</f>
        <v/>
      </c>
      <c r="L74" s="275">
        <f>SUM(L66,L68,L70,L72)</f>
        <v/>
      </c>
      <c r="M74" s="275">
        <f>SUM(M66,M68,M70,M72)</f>
        <v/>
      </c>
      <c r="N74" s="275">
        <f>SUM(N66,N68,N70,N72)</f>
        <v/>
      </c>
      <c r="O74" s="275">
        <f>SUM(O66,O68,O70,O72)</f>
        <v/>
      </c>
      <c r="P74" s="275">
        <f>SUM(P66,P68,P70,P72)</f>
        <v/>
      </c>
      <c r="Q74" s="275">
        <f>SUM(Q66,Q68,Q70,Q72)</f>
        <v/>
      </c>
      <c r="R74" s="275">
        <f>SUM(R66,R68,R70,R72)</f>
        <v/>
      </c>
      <c r="S74" s="275">
        <f>SUM(S66,S68,S70,S72)</f>
        <v/>
      </c>
      <c r="T74" s="275">
        <f>SUM(T66,T68,T70,T72)</f>
        <v/>
      </c>
      <c r="U74" s="275">
        <f>SUM(U66,U68,U70,U72)</f>
        <v/>
      </c>
      <c r="V74" s="275">
        <f>SUM(V66,V68,V70,V72)</f>
        <v/>
      </c>
      <c r="W74" s="275">
        <f>SUM(W66,W68,W70,W72)</f>
        <v/>
      </c>
      <c r="X74" s="275">
        <f>SUM(X66,X68,X70,X72)</f>
        <v/>
      </c>
      <c r="Y74" s="275">
        <f>SUM(Y66,Y68,Y70,Y72)</f>
        <v/>
      </c>
      <c r="Z74" s="275">
        <f>SUM(Z66,Z68,Z70,Z72)</f>
        <v/>
      </c>
      <c r="AA74" s="275">
        <f>SUM(AA66,AA68,AA70,AA72)</f>
        <v/>
      </c>
      <c r="AB74" s="275">
        <f>SUM(AB66,AB68,AB70,AB72)</f>
        <v/>
      </c>
      <c r="AC74" s="275">
        <f>SUM(AC66,AC68,AC70,AC72)</f>
        <v/>
      </c>
      <c r="AD74" s="275">
        <f>SUM(AD66,AD68,AD70,AD72)</f>
        <v/>
      </c>
      <c r="AE74" s="275">
        <f>SUM(AE66,AE68,AE70,AE72)</f>
        <v/>
      </c>
      <c r="AF74" s="275">
        <f>SUM(AF66,AF68,AF70,AF72)</f>
        <v/>
      </c>
      <c r="AG74" s="275">
        <f>SUM(AG66,AG68,AG70,AG72)</f>
        <v/>
      </c>
      <c r="AH74" s="275">
        <f>SUM(AH66,AH68,AH70,AH72)</f>
        <v/>
      </c>
      <c r="AI74" s="275">
        <f>SUM(AI66,AI68,AI70,AI72)</f>
        <v/>
      </c>
      <c r="AJ74" s="276">
        <f>SUM(E74:AI74)</f>
        <v/>
      </c>
    </row>
    <row r="75" ht="13.5" customHeight="1" s="488">
      <c r="A75" s="583" t="n">
        <v>1</v>
      </c>
      <c r="B75" s="583" t="inlineStr">
        <is>
          <t>3F</t>
        </is>
      </c>
      <c r="C75" s="583" t="inlineStr">
        <is>
          <t>AHU1 - BTU</t>
        </is>
      </c>
      <c r="D75" s="501" t="n"/>
      <c r="E75" s="279">
        <f>E32-D32</f>
        <v/>
      </c>
      <c r="F75" s="279">
        <f>F32-E32</f>
        <v/>
      </c>
      <c r="G75" s="279">
        <f>G32-F32</f>
        <v/>
      </c>
      <c r="H75" s="279">
        <f>H32-G32</f>
        <v/>
      </c>
      <c r="I75" s="279">
        <f>I32-H32</f>
        <v/>
      </c>
      <c r="J75" s="279">
        <f>J32-I32</f>
        <v/>
      </c>
      <c r="K75" s="279">
        <f>K32-J32</f>
        <v/>
      </c>
      <c r="L75" s="279">
        <f>L32-K32</f>
        <v/>
      </c>
      <c r="M75" s="279">
        <f>M32-L32</f>
        <v/>
      </c>
      <c r="N75" s="279">
        <f>N32-M32</f>
        <v/>
      </c>
      <c r="O75" s="279">
        <f>O32-N32</f>
        <v/>
      </c>
      <c r="P75" s="279">
        <f>P32-O32</f>
        <v/>
      </c>
      <c r="Q75" s="279">
        <f>Q32-P32</f>
        <v/>
      </c>
      <c r="R75" s="279">
        <f>R32-Q32</f>
        <v/>
      </c>
      <c r="S75" s="279">
        <f>S32-R32</f>
        <v/>
      </c>
      <c r="T75" s="279">
        <f>T32-S32</f>
        <v/>
      </c>
      <c r="U75" s="279">
        <f>U32-T32</f>
        <v/>
      </c>
      <c r="V75" s="279">
        <f>V32-U32</f>
        <v/>
      </c>
      <c r="W75" s="279">
        <f>W32-V32</f>
        <v/>
      </c>
      <c r="X75" s="279">
        <f>X32-W32</f>
        <v/>
      </c>
      <c r="Y75" s="279">
        <f>Y32-X32</f>
        <v/>
      </c>
      <c r="Z75" s="279">
        <f>Z32-Y32</f>
        <v/>
      </c>
      <c r="AA75" s="279">
        <f>AA32-Z32</f>
        <v/>
      </c>
      <c r="AB75" s="279">
        <f>AB32-AA32</f>
        <v/>
      </c>
      <c r="AC75" s="279">
        <f>AC32-AB32</f>
        <v/>
      </c>
      <c r="AD75" s="279">
        <f>AD32-AC32</f>
        <v/>
      </c>
      <c r="AE75" s="279">
        <f>AE32-AD32</f>
        <v/>
      </c>
      <c r="AF75" s="279">
        <f>AF32-AE32</f>
        <v/>
      </c>
      <c r="AG75" s="279">
        <f>AG32-AF32</f>
        <v/>
      </c>
      <c r="AH75" s="279">
        <f>AH32-AG32</f>
        <v/>
      </c>
      <c r="AI75" s="279">
        <f>AI32-D32</f>
        <v/>
      </c>
      <c r="AJ75" s="273">
        <f>SUM(E75:AI75)</f>
        <v/>
      </c>
    </row>
    <row r="76" ht="13.5" customHeight="1" s="488">
      <c r="A76" s="583" t="n">
        <v>2</v>
      </c>
      <c r="B76" s="583" t="inlineStr">
        <is>
          <t>3F</t>
        </is>
      </c>
      <c r="C76" s="583" t="inlineStr">
        <is>
          <t>AHU2 - BTU</t>
        </is>
      </c>
      <c r="D76" s="501" t="n"/>
      <c r="E76" s="279">
        <f>E33-D33</f>
        <v/>
      </c>
      <c r="F76" s="279">
        <f>F33-E33</f>
        <v/>
      </c>
      <c r="G76" s="279">
        <f>G33-F33</f>
        <v/>
      </c>
      <c r="H76" s="279">
        <f>H33-G33</f>
        <v/>
      </c>
      <c r="I76" s="279">
        <f>I33-H33</f>
        <v/>
      </c>
      <c r="J76" s="279">
        <f>J33-I33</f>
        <v/>
      </c>
      <c r="K76" s="279">
        <f>K33-J33</f>
        <v/>
      </c>
      <c r="L76" s="279">
        <f>L33-K33</f>
        <v/>
      </c>
      <c r="M76" s="279">
        <f>M33-L33</f>
        <v/>
      </c>
      <c r="N76" s="279">
        <f>N33-M33</f>
        <v/>
      </c>
      <c r="O76" s="279">
        <f>O33-N33</f>
        <v/>
      </c>
      <c r="P76" s="279">
        <f>P33-O33</f>
        <v/>
      </c>
      <c r="Q76" s="279">
        <f>Q33-P33</f>
        <v/>
      </c>
      <c r="R76" s="279">
        <f>R33-Q33</f>
        <v/>
      </c>
      <c r="S76" s="279">
        <f>S33-R33</f>
        <v/>
      </c>
      <c r="T76" s="279">
        <f>T33-S33</f>
        <v/>
      </c>
      <c r="U76" s="279">
        <f>U33-T33</f>
        <v/>
      </c>
      <c r="V76" s="279">
        <f>V33-U33</f>
        <v/>
      </c>
      <c r="W76" s="279">
        <f>W33-V33</f>
        <v/>
      </c>
      <c r="X76" s="279">
        <f>X33-W33</f>
        <v/>
      </c>
      <c r="Y76" s="279">
        <f>Y33-X33</f>
        <v/>
      </c>
      <c r="Z76" s="279">
        <f>Z33-Y33</f>
        <v/>
      </c>
      <c r="AA76" s="279">
        <f>AA33-Z33</f>
        <v/>
      </c>
      <c r="AB76" s="279">
        <f>AB33-AA33</f>
        <v/>
      </c>
      <c r="AC76" s="279">
        <f>AC33-AB33</f>
        <v/>
      </c>
      <c r="AD76" s="279">
        <f>AD33-AC33</f>
        <v/>
      </c>
      <c r="AE76" s="279">
        <f>AE33-AD33</f>
        <v/>
      </c>
      <c r="AF76" s="279">
        <f>AF33-AE33</f>
        <v/>
      </c>
      <c r="AG76" s="279">
        <f>AG33-AF33</f>
        <v/>
      </c>
      <c r="AH76" s="279">
        <f>AH33-AG33</f>
        <v/>
      </c>
      <c r="AI76" s="279">
        <f>AI33-D33</f>
        <v/>
      </c>
      <c r="AJ76" s="273">
        <f>SUM(E76:AI76)</f>
        <v/>
      </c>
    </row>
    <row r="77" ht="13.5" customHeight="1" s="488">
      <c r="A77" s="583" t="n">
        <v>3</v>
      </c>
      <c r="B77" s="583" t="inlineStr">
        <is>
          <t>3F</t>
        </is>
      </c>
      <c r="C77" s="583" t="inlineStr">
        <is>
          <t>AHU3 - BTU</t>
        </is>
      </c>
      <c r="D77" s="501" t="n"/>
      <c r="E77" s="279">
        <f>E34-D34</f>
        <v/>
      </c>
      <c r="F77" s="279">
        <f>F34-E34</f>
        <v/>
      </c>
      <c r="G77" s="279">
        <f>G34-F34</f>
        <v/>
      </c>
      <c r="H77" s="279">
        <f>H34-G34</f>
        <v/>
      </c>
      <c r="I77" s="279">
        <f>I34-H34</f>
        <v/>
      </c>
      <c r="J77" s="279">
        <f>J34-I34</f>
        <v/>
      </c>
      <c r="K77" s="279">
        <f>K34-J34</f>
        <v/>
      </c>
      <c r="L77" s="279">
        <f>L34-K34</f>
        <v/>
      </c>
      <c r="M77" s="279">
        <f>M34-L34</f>
        <v/>
      </c>
      <c r="N77" s="279">
        <f>N34-M34</f>
        <v/>
      </c>
      <c r="O77" s="279">
        <f>O34-N34</f>
        <v/>
      </c>
      <c r="P77" s="279">
        <f>P34-O34</f>
        <v/>
      </c>
      <c r="Q77" s="279">
        <f>Q34-P34</f>
        <v/>
      </c>
      <c r="R77" s="279">
        <f>R34-Q34</f>
        <v/>
      </c>
      <c r="S77" s="279">
        <f>S34-R34</f>
        <v/>
      </c>
      <c r="T77" s="279">
        <f>T34-S34</f>
        <v/>
      </c>
      <c r="U77" s="279">
        <f>U34-T34</f>
        <v/>
      </c>
      <c r="V77" s="279">
        <f>V34-U34</f>
        <v/>
      </c>
      <c r="W77" s="279">
        <f>W34-V34</f>
        <v/>
      </c>
      <c r="X77" s="279">
        <f>X34-W34</f>
        <v/>
      </c>
      <c r="Y77" s="279">
        <f>Y34-X34</f>
        <v/>
      </c>
      <c r="Z77" s="279">
        <f>Z34-Y34</f>
        <v/>
      </c>
      <c r="AA77" s="279">
        <f>AA34-Z34</f>
        <v/>
      </c>
      <c r="AB77" s="279">
        <f>AB34-AA34</f>
        <v/>
      </c>
      <c r="AC77" s="279">
        <f>AC34-AB34</f>
        <v/>
      </c>
      <c r="AD77" s="279">
        <f>AD34-AC34</f>
        <v/>
      </c>
      <c r="AE77" s="279">
        <f>AE34-AD34</f>
        <v/>
      </c>
      <c r="AF77" s="279">
        <f>AF34-AE34</f>
        <v/>
      </c>
      <c r="AG77" s="279">
        <f>AG34-AF34</f>
        <v/>
      </c>
      <c r="AH77" s="279">
        <f>AH34-AG34</f>
        <v/>
      </c>
      <c r="AI77" s="279">
        <f>AI34-D34</f>
        <v/>
      </c>
      <c r="AJ77" s="273">
        <f>SUM(E77:AI77)</f>
        <v/>
      </c>
    </row>
    <row r="78" ht="17.25" customHeight="1" s="488">
      <c r="A78" s="583" t="n">
        <v>4</v>
      </c>
      <c r="B78" s="583" t="inlineStr">
        <is>
          <t>3F</t>
        </is>
      </c>
      <c r="C78" s="583" t="inlineStr">
        <is>
          <t>AHU4 - BTU</t>
        </is>
      </c>
      <c r="D78" s="501" t="n"/>
      <c r="E78" s="279">
        <f>E35-D35</f>
        <v/>
      </c>
      <c r="F78" s="279">
        <f>F35-E35</f>
        <v/>
      </c>
      <c r="G78" s="279">
        <f>G35-F35</f>
        <v/>
      </c>
      <c r="H78" s="279">
        <f>H35-G35</f>
        <v/>
      </c>
      <c r="I78" s="279">
        <f>I35-H35</f>
        <v/>
      </c>
      <c r="J78" s="279">
        <f>J35-I35</f>
        <v/>
      </c>
      <c r="K78" s="279">
        <f>K35-J35</f>
        <v/>
      </c>
      <c r="L78" s="279">
        <f>L35-K35</f>
        <v/>
      </c>
      <c r="M78" s="279">
        <f>M35-L35</f>
        <v/>
      </c>
      <c r="N78" s="279">
        <f>N35-M35</f>
        <v/>
      </c>
      <c r="O78" s="279">
        <f>O35-N35</f>
        <v/>
      </c>
      <c r="P78" s="279">
        <f>P35-O35</f>
        <v/>
      </c>
      <c r="Q78" s="279">
        <f>Q35-P35</f>
        <v/>
      </c>
      <c r="R78" s="279">
        <f>R35-Q35</f>
        <v/>
      </c>
      <c r="S78" s="279">
        <f>S35-R35</f>
        <v/>
      </c>
      <c r="T78" s="279">
        <f>T35-S35</f>
        <v/>
      </c>
      <c r="U78" s="279">
        <f>U35-T35</f>
        <v/>
      </c>
      <c r="V78" s="279">
        <f>V35-U35</f>
        <v/>
      </c>
      <c r="W78" s="279">
        <f>W35-V35</f>
        <v/>
      </c>
      <c r="X78" s="279">
        <f>X35-W35</f>
        <v/>
      </c>
      <c r="Y78" s="279">
        <f>Y35-X35</f>
        <v/>
      </c>
      <c r="Z78" s="279">
        <f>Z35-Y35</f>
        <v/>
      </c>
      <c r="AA78" s="279">
        <f>AA35-Z35</f>
        <v/>
      </c>
      <c r="AB78" s="279">
        <f>AB35-AA35</f>
        <v/>
      </c>
      <c r="AC78" s="279">
        <f>AC35-AB35</f>
        <v/>
      </c>
      <c r="AD78" s="279">
        <f>AD35-AC35</f>
        <v/>
      </c>
      <c r="AE78" s="279">
        <f>AE35-AD35</f>
        <v/>
      </c>
      <c r="AF78" s="279">
        <f>AF35-AE35</f>
        <v/>
      </c>
      <c r="AG78" s="279">
        <f>AG35-AF35</f>
        <v/>
      </c>
      <c r="AH78" s="279">
        <f>AH35-AG35</f>
        <v/>
      </c>
      <c r="AI78" s="279">
        <f>AI35-D35</f>
        <v/>
      </c>
      <c r="AJ78" s="273">
        <f>SUM(E78:AI78)</f>
        <v/>
      </c>
    </row>
    <row r="79" ht="24.75" customHeight="1" s="488">
      <c r="A79" s="274" t="n"/>
      <c r="B79" s="274" t="n"/>
      <c r="C79" s="594" t="inlineStr">
        <is>
          <t>Total BTU Consumption</t>
        </is>
      </c>
      <c r="D79" s="501" t="n"/>
      <c r="E79" s="275">
        <f>SUM(E75:E78)</f>
        <v/>
      </c>
      <c r="F79" s="275">
        <f>SUM(F75:F78)</f>
        <v/>
      </c>
      <c r="G79" s="275">
        <f>SUM(G75:G78)</f>
        <v/>
      </c>
      <c r="H79" s="275">
        <f>SUM(H75:H78)</f>
        <v/>
      </c>
      <c r="I79" s="275">
        <f>SUM(I75:I78)</f>
        <v/>
      </c>
      <c r="J79" s="275">
        <f>SUM(J75:J78)</f>
        <v/>
      </c>
      <c r="K79" s="275">
        <f>SUM(K75:K78)</f>
        <v/>
      </c>
      <c r="L79" s="275">
        <f>SUM(L75:L78)</f>
        <v/>
      </c>
      <c r="M79" s="275">
        <f>SUM(M75:M78)</f>
        <v/>
      </c>
      <c r="N79" s="275">
        <f>SUM(N75:N78)</f>
        <v/>
      </c>
      <c r="O79" s="275">
        <f>SUM(O75:O78)</f>
        <v/>
      </c>
      <c r="P79" s="275">
        <f>SUM(P75:P78)</f>
        <v/>
      </c>
      <c r="Q79" s="275">
        <f>SUM(Q75:Q78)</f>
        <v/>
      </c>
      <c r="R79" s="275">
        <f>SUM(R75:R78)</f>
        <v/>
      </c>
      <c r="S79" s="275">
        <f>SUM(S75:S78)</f>
        <v/>
      </c>
      <c r="T79" s="275">
        <f>SUM(T75:T78)</f>
        <v/>
      </c>
      <c r="U79" s="275">
        <f>SUM(U75:U78)</f>
        <v/>
      </c>
      <c r="V79" s="275">
        <f>SUM(V75:V78)</f>
        <v/>
      </c>
      <c r="W79" s="275">
        <f>SUM(W75:W78)</f>
        <v/>
      </c>
      <c r="X79" s="275">
        <f>SUM(X75:X78)</f>
        <v/>
      </c>
      <c r="Y79" s="275">
        <f>SUM(Y75:Y78)</f>
        <v/>
      </c>
      <c r="Z79" s="275">
        <f>SUM(Z75:Z78)</f>
        <v/>
      </c>
      <c r="AA79" s="275">
        <f>SUM(AA75:AA78)</f>
        <v/>
      </c>
      <c r="AB79" s="275">
        <f>SUM(AB75:AB78)</f>
        <v/>
      </c>
      <c r="AC79" s="275">
        <f>SUM(AC75:AC78)</f>
        <v/>
      </c>
      <c r="AD79" s="275">
        <f>SUM(AD75:AD78)</f>
        <v/>
      </c>
      <c r="AE79" s="275">
        <f>SUM(AE75:AE78)</f>
        <v/>
      </c>
      <c r="AF79" s="275">
        <f>SUM(AF75:AF78)</f>
        <v/>
      </c>
      <c r="AG79" s="275">
        <f>SUM(AG75:AG78)</f>
        <v/>
      </c>
      <c r="AH79" s="275">
        <f>SUM(AH75:AH78)</f>
        <v/>
      </c>
      <c r="AI79" s="275">
        <f>SUM(AI75:AI78)</f>
        <v/>
      </c>
      <c r="AJ79" s="284">
        <f>SUM(E79:AI79)</f>
        <v/>
      </c>
    </row>
    <row r="83" ht="14.5" customHeight="1" s="488">
      <c r="A83" s="596" t="n"/>
      <c r="B83" s="505" t="n"/>
      <c r="C83" s="505" t="n"/>
      <c r="D83" s="506" t="n"/>
      <c r="E83" s="586" t="inlineStr">
        <is>
          <t>Nove- 2025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505" t="n"/>
      <c r="AG83" s="505" t="n"/>
      <c r="AH83" s="505" t="n"/>
      <c r="AI83" s="285" t="n"/>
    </row>
    <row r="84">
      <c r="A84" s="593" t="inlineStr">
        <is>
          <t>Sr.No</t>
        </is>
      </c>
      <c r="B84" s="593" t="inlineStr">
        <is>
          <t>Location</t>
        </is>
      </c>
      <c r="C84" s="580" t="inlineStr">
        <is>
          <t>Meter</t>
        </is>
      </c>
      <c r="D84" s="585" t="inlineStr">
        <is>
          <t>Previous Reading</t>
        </is>
      </c>
      <c r="E84" s="224" t="n">
        <v>45992</v>
      </c>
      <c r="F84" s="224" t="n">
        <v>45993</v>
      </c>
      <c r="G84" s="224" t="n">
        <v>45994</v>
      </c>
      <c r="H84" s="224" t="n">
        <v>45995</v>
      </c>
      <c r="I84" s="224" t="n">
        <v>45996</v>
      </c>
      <c r="J84" s="224" t="n">
        <v>45997</v>
      </c>
      <c r="K84" s="224" t="n">
        <v>45998</v>
      </c>
      <c r="L84" s="224" t="n">
        <v>45999</v>
      </c>
      <c r="M84" s="224" t="n">
        <v>46000</v>
      </c>
      <c r="N84" s="224" t="n">
        <v>46001</v>
      </c>
      <c r="O84" s="224" t="n">
        <v>46002</v>
      </c>
      <c r="P84" s="224" t="n">
        <v>46003</v>
      </c>
      <c r="Q84" s="224" t="n">
        <v>46004</v>
      </c>
      <c r="R84" s="224" t="n">
        <v>46005</v>
      </c>
      <c r="S84" s="224" t="n">
        <v>46006</v>
      </c>
      <c r="T84" s="224" t="n">
        <v>46007</v>
      </c>
      <c r="U84" s="224" t="n">
        <v>46008</v>
      </c>
      <c r="V84" s="224" t="n">
        <v>46009</v>
      </c>
      <c r="W84" s="224" t="n">
        <v>46010</v>
      </c>
      <c r="X84" s="224" t="n">
        <v>46011</v>
      </c>
      <c r="Y84" s="224" t="n">
        <v>46012</v>
      </c>
      <c r="Z84" s="224" t="n">
        <v>46013</v>
      </c>
      <c r="AA84" s="224" t="n">
        <v>46014</v>
      </c>
      <c r="AB84" s="224" t="n">
        <v>46015</v>
      </c>
      <c r="AC84" s="224" t="n">
        <v>46016</v>
      </c>
      <c r="AD84" s="224" t="n">
        <v>46017</v>
      </c>
      <c r="AE84" s="224" t="n">
        <v>46018</v>
      </c>
      <c r="AF84" s="224" t="n">
        <v>46019</v>
      </c>
      <c r="AG84" s="224" t="n">
        <v>46020</v>
      </c>
      <c r="AH84" s="224" t="n">
        <v>46021</v>
      </c>
      <c r="AI84" s="224" t="n">
        <v>46022</v>
      </c>
    </row>
    <row r="85">
      <c r="A85" s="509" t="n"/>
      <c r="B85" s="509" t="n"/>
      <c r="C85" s="509" t="n"/>
      <c r="D85" s="509" t="n"/>
      <c r="E85" s="225" t="inlineStr">
        <is>
          <t>Mon</t>
        </is>
      </c>
      <c r="F85" s="225" t="inlineStr">
        <is>
          <t>Tue</t>
        </is>
      </c>
      <c r="G85" s="225" t="inlineStr">
        <is>
          <t>Wed</t>
        </is>
      </c>
      <c r="H85" s="225" t="inlineStr">
        <is>
          <t>Thu</t>
        </is>
      </c>
      <c r="I85" s="225" t="inlineStr">
        <is>
          <t>Fri</t>
        </is>
      </c>
      <c r="J85" s="225" t="inlineStr">
        <is>
          <t>Sat</t>
        </is>
      </c>
      <c r="K85" s="225" t="inlineStr">
        <is>
          <t>Sun</t>
        </is>
      </c>
      <c r="L85" s="225" t="inlineStr">
        <is>
          <t>Mon</t>
        </is>
      </c>
      <c r="M85" s="225" t="inlineStr">
        <is>
          <t>Tue</t>
        </is>
      </c>
      <c r="N85" s="225" t="inlineStr">
        <is>
          <t>Wed</t>
        </is>
      </c>
      <c r="O85" s="225" t="inlineStr">
        <is>
          <t>Thu</t>
        </is>
      </c>
      <c r="P85" s="225" t="inlineStr">
        <is>
          <t>Fri</t>
        </is>
      </c>
      <c r="Q85" s="225" t="inlineStr">
        <is>
          <t>Sat</t>
        </is>
      </c>
      <c r="R85" s="225" t="inlineStr">
        <is>
          <t>Sun</t>
        </is>
      </c>
      <c r="S85" s="225" t="inlineStr">
        <is>
          <t>Mon</t>
        </is>
      </c>
      <c r="T85" s="225" t="inlineStr">
        <is>
          <t>Tue</t>
        </is>
      </c>
      <c r="U85" s="225" t="inlineStr">
        <is>
          <t>Wed</t>
        </is>
      </c>
      <c r="V85" s="225" t="inlineStr">
        <is>
          <t>Thu</t>
        </is>
      </c>
      <c r="W85" s="225" t="inlineStr">
        <is>
          <t>Fri</t>
        </is>
      </c>
      <c r="X85" s="225" t="inlineStr">
        <is>
          <t>Sat</t>
        </is>
      </c>
      <c r="Y85" s="225" t="inlineStr">
        <is>
          <t>Sun</t>
        </is>
      </c>
      <c r="Z85" s="225" t="inlineStr">
        <is>
          <t>Mon</t>
        </is>
      </c>
      <c r="AA85" s="225" t="inlineStr">
        <is>
          <t>Tue</t>
        </is>
      </c>
      <c r="AB85" s="225" t="inlineStr">
        <is>
          <t>Wed</t>
        </is>
      </c>
      <c r="AC85" s="225" t="inlineStr">
        <is>
          <t>Thu</t>
        </is>
      </c>
      <c r="AD85" s="225" t="inlineStr">
        <is>
          <t>Fri</t>
        </is>
      </c>
      <c r="AE85" s="225" t="inlineStr">
        <is>
          <t>Sat</t>
        </is>
      </c>
      <c r="AF85" s="225" t="inlineStr">
        <is>
          <t>Sun</t>
        </is>
      </c>
      <c r="AG85" s="225" t="inlineStr">
        <is>
          <t>Mon</t>
        </is>
      </c>
      <c r="AH85" s="225" t="inlineStr">
        <is>
          <t>Tue</t>
        </is>
      </c>
      <c r="AI85" s="225" t="inlineStr">
        <is>
          <t>Wed</t>
        </is>
      </c>
    </row>
    <row r="86">
      <c r="A86" s="509" t="n"/>
      <c r="B86" s="509" t="n"/>
      <c r="C86" s="509" t="n"/>
      <c r="D86" s="509" t="n"/>
      <c r="E86" s="226" t="inlineStr">
        <is>
          <t>Time</t>
        </is>
      </c>
      <c r="F86" s="226" t="inlineStr">
        <is>
          <t>Time</t>
        </is>
      </c>
      <c r="G86" s="226" t="inlineStr">
        <is>
          <t>Time</t>
        </is>
      </c>
      <c r="H86" s="226" t="inlineStr">
        <is>
          <t>Time</t>
        </is>
      </c>
      <c r="I86" s="226" t="inlineStr">
        <is>
          <t>Time</t>
        </is>
      </c>
      <c r="J86" s="226" t="inlineStr">
        <is>
          <t>Time</t>
        </is>
      </c>
      <c r="K86" s="226" t="inlineStr">
        <is>
          <t>Time</t>
        </is>
      </c>
      <c r="L86" s="226" t="inlineStr">
        <is>
          <t>Time</t>
        </is>
      </c>
      <c r="M86" s="226" t="inlineStr">
        <is>
          <t>Time</t>
        </is>
      </c>
      <c r="N86" s="226" t="inlineStr">
        <is>
          <t>Time</t>
        </is>
      </c>
      <c r="O86" s="226" t="inlineStr">
        <is>
          <t>Time</t>
        </is>
      </c>
      <c r="P86" s="226" t="inlineStr">
        <is>
          <t>Time</t>
        </is>
      </c>
      <c r="Q86" s="226" t="inlineStr">
        <is>
          <t>Time</t>
        </is>
      </c>
      <c r="R86" s="226" t="inlineStr">
        <is>
          <t>Time</t>
        </is>
      </c>
      <c r="S86" s="226" t="inlineStr">
        <is>
          <t>Time</t>
        </is>
      </c>
      <c r="T86" s="226" t="inlineStr">
        <is>
          <t>Time</t>
        </is>
      </c>
      <c r="U86" s="226" t="inlineStr">
        <is>
          <t>Time</t>
        </is>
      </c>
      <c r="V86" s="226" t="inlineStr">
        <is>
          <t>Time</t>
        </is>
      </c>
      <c r="W86" s="226" t="inlineStr">
        <is>
          <t>Time</t>
        </is>
      </c>
      <c r="X86" s="226" t="inlineStr">
        <is>
          <t>Time</t>
        </is>
      </c>
      <c r="Y86" s="226" t="inlineStr">
        <is>
          <t>Time</t>
        </is>
      </c>
      <c r="Z86" s="226" t="inlineStr">
        <is>
          <t>Time</t>
        </is>
      </c>
      <c r="AA86" s="226" t="inlineStr">
        <is>
          <t>Time</t>
        </is>
      </c>
      <c r="AB86" s="226" t="inlineStr">
        <is>
          <t>Time</t>
        </is>
      </c>
      <c r="AC86" s="226" t="inlineStr">
        <is>
          <t>Time</t>
        </is>
      </c>
      <c r="AD86" s="226" t="inlineStr">
        <is>
          <t>Time</t>
        </is>
      </c>
      <c r="AE86" s="226" t="inlineStr">
        <is>
          <t>Time</t>
        </is>
      </c>
      <c r="AF86" s="226" t="inlineStr">
        <is>
          <t>Time</t>
        </is>
      </c>
      <c r="AG86" s="226" t="inlineStr">
        <is>
          <t>Time</t>
        </is>
      </c>
      <c r="AH86" s="226" t="inlineStr">
        <is>
          <t>Time</t>
        </is>
      </c>
      <c r="AI86" s="226" t="inlineStr">
        <is>
          <t>Time</t>
        </is>
      </c>
    </row>
    <row r="87">
      <c r="A87" s="510" t="n"/>
      <c r="B87" s="510" t="n"/>
      <c r="C87" s="510" t="n"/>
      <c r="D87" s="510" t="n"/>
      <c r="E87" s="228" t="n">
        <v>0.3333333333333333</v>
      </c>
      <c r="F87" s="228" t="n">
        <v>0.3333333333333333</v>
      </c>
      <c r="G87" s="228" t="n">
        <v>0.3333333333333333</v>
      </c>
      <c r="H87" s="228" t="n">
        <v>0.3333333333333333</v>
      </c>
      <c r="I87" s="228" t="n">
        <v>0.3333333333333333</v>
      </c>
      <c r="J87" s="228" t="n">
        <v>0.3333333333333333</v>
      </c>
      <c r="K87" s="228" t="n">
        <v>0.3333333333333333</v>
      </c>
      <c r="L87" s="228" t="n">
        <v>0.3333333333333333</v>
      </c>
      <c r="M87" s="228" t="n">
        <v>0.3333333333333333</v>
      </c>
      <c r="N87" s="228" t="n">
        <v>0.3333333333333333</v>
      </c>
      <c r="O87" s="228" t="n">
        <v>0.3333333333333333</v>
      </c>
      <c r="P87" s="228" t="n">
        <v>0.3333333333333333</v>
      </c>
      <c r="Q87" s="228" t="n">
        <v>0.3333333333333333</v>
      </c>
      <c r="R87" s="228" t="n">
        <v>0.3333333333333333</v>
      </c>
      <c r="S87" s="228" t="n">
        <v>0.3333333333333333</v>
      </c>
      <c r="T87" s="228" t="n">
        <v>0.3333333333333333</v>
      </c>
      <c r="U87" s="228" t="n">
        <v>0.3333333333333333</v>
      </c>
      <c r="V87" s="228" t="n">
        <v>0.3333333333333333</v>
      </c>
      <c r="W87" s="228" t="n">
        <v>0.3333333333333333</v>
      </c>
      <c r="X87" s="228" t="n">
        <v>0.3333333333333333</v>
      </c>
      <c r="Y87" s="228" t="n">
        <v>0.3333333333333333</v>
      </c>
      <c r="Z87" s="228" t="n">
        <v>0.3333333333333333</v>
      </c>
      <c r="AA87" s="228" t="n">
        <v>0.3333333333333333</v>
      </c>
      <c r="AB87" s="228" t="n">
        <v>0.3333333333333333</v>
      </c>
      <c r="AC87" s="228" t="n">
        <v>0.3333333333333333</v>
      </c>
      <c r="AD87" s="228" t="n">
        <v>0.3333333333333333</v>
      </c>
      <c r="AE87" s="228" t="n">
        <v>0.3333333333333333</v>
      </c>
      <c r="AF87" s="228" t="n">
        <v>0.3333333333333333</v>
      </c>
      <c r="AG87" s="228" t="n">
        <v>0.3333333333333333</v>
      </c>
      <c r="AH87" s="228" t="n">
        <v>0.3333333333333333</v>
      </c>
      <c r="AI87" s="228" t="n">
        <v>0.3333333333333333</v>
      </c>
    </row>
    <row r="88" ht="12" customFormat="1" customHeight="1" s="287">
      <c r="A88" s="233" t="n">
        <v>1</v>
      </c>
      <c r="B88" s="286" t="inlineStr">
        <is>
          <t>Basement:-2</t>
        </is>
      </c>
      <c r="C88" s="286" t="inlineStr">
        <is>
          <t>Liberty-170</t>
        </is>
      </c>
      <c r="D88" s="286" t="n">
        <v>1528</v>
      </c>
      <c r="E88" s="286" t="n">
        <v>1550</v>
      </c>
      <c r="F88" s="286" t="n">
        <v>1550</v>
      </c>
      <c r="G88" s="286" t="n">
        <v>1562</v>
      </c>
      <c r="H88" s="286" t="n">
        <v>1578</v>
      </c>
      <c r="I88" s="286" t="n">
        <v>1600</v>
      </c>
      <c r="J88" s="286" t="n">
        <v>1600</v>
      </c>
      <c r="K88" s="286" t="n">
        <v>1600</v>
      </c>
      <c r="L88" s="286" t="n">
        <v>1620</v>
      </c>
      <c r="M88" s="286" t="n">
        <v>1620</v>
      </c>
      <c r="N88" s="286" t="n">
        <v>1645</v>
      </c>
      <c r="O88" s="286" t="n">
        <v>1671</v>
      </c>
      <c r="P88" s="286" t="n">
        <v>1682</v>
      </c>
      <c r="Q88" s="286" t="n">
        <v>1682</v>
      </c>
      <c r="R88" s="286" t="n">
        <v>1682</v>
      </c>
      <c r="S88" s="286" t="n">
        <v>1682</v>
      </c>
      <c r="T88" s="286" t="n">
        <v>1682</v>
      </c>
      <c r="U88" s="286" t="n">
        <v>1682</v>
      </c>
      <c r="V88" s="286" t="n">
        <v>1694</v>
      </c>
      <c r="W88" s="286" t="n">
        <v>1694</v>
      </c>
      <c r="X88" s="286" t="n">
        <v>1694</v>
      </c>
      <c r="Y88" s="286" t="n">
        <v>1694</v>
      </c>
      <c r="Z88" s="286" t="n">
        <v>1694</v>
      </c>
      <c r="AA88" s="286" t="n">
        <v>1694</v>
      </c>
      <c r="AB88" s="286" t="n">
        <v>1703</v>
      </c>
      <c r="AC88" s="286" t="n">
        <v>1703</v>
      </c>
      <c r="AD88" s="286" t="n">
        <v>1703</v>
      </c>
      <c r="AE88" s="286" t="n">
        <v>1703</v>
      </c>
      <c r="AF88" s="286" t="n">
        <v>1703</v>
      </c>
      <c r="AG88" s="286" t="n">
        <v>1703</v>
      </c>
      <c r="AH88" s="286" t="n">
        <v>1703</v>
      </c>
      <c r="AI88" s="286" t="n">
        <v>1703</v>
      </c>
    </row>
    <row r="90">
      <c r="A90" s="584" t="inlineStr">
        <is>
          <t>Sr.No</t>
        </is>
      </c>
      <c r="B90" s="584" t="inlineStr">
        <is>
          <t>Location</t>
        </is>
      </c>
      <c r="C90" s="584" t="inlineStr">
        <is>
          <t>Meter</t>
        </is>
      </c>
      <c r="D90" s="522" t="n"/>
      <c r="E90" s="269">
        <f>E84</f>
        <v/>
      </c>
      <c r="F90" s="269">
        <f>F84</f>
        <v/>
      </c>
      <c r="G90" s="269">
        <f>G84</f>
        <v/>
      </c>
      <c r="H90" s="269">
        <f>H84</f>
        <v/>
      </c>
      <c r="I90" s="269">
        <f>I84</f>
        <v/>
      </c>
      <c r="J90" s="269">
        <f>J84</f>
        <v/>
      </c>
      <c r="K90" s="269">
        <f>K84</f>
        <v/>
      </c>
      <c r="L90" s="269">
        <f>L84</f>
        <v/>
      </c>
      <c r="M90" s="269">
        <f>M84</f>
        <v/>
      </c>
      <c r="N90" s="269">
        <f>N84</f>
        <v/>
      </c>
      <c r="O90" s="269">
        <f>O84</f>
        <v/>
      </c>
      <c r="P90" s="269">
        <f>P84</f>
        <v/>
      </c>
      <c r="Q90" s="269">
        <f>Q84</f>
        <v/>
      </c>
      <c r="R90" s="269">
        <f>R84</f>
        <v/>
      </c>
      <c r="S90" s="269">
        <f>S84</f>
        <v/>
      </c>
      <c r="T90" s="269">
        <f>T84</f>
        <v/>
      </c>
      <c r="U90" s="269">
        <f>U84</f>
        <v/>
      </c>
      <c r="V90" s="269">
        <f>V84</f>
        <v/>
      </c>
      <c r="W90" s="269">
        <f>W84</f>
        <v/>
      </c>
      <c r="X90" s="269">
        <f>X84</f>
        <v/>
      </c>
      <c r="Y90" s="269">
        <f>Y84</f>
        <v/>
      </c>
      <c r="Z90" s="269">
        <f>Z84</f>
        <v/>
      </c>
      <c r="AA90" s="269">
        <f>AA84</f>
        <v/>
      </c>
      <c r="AB90" s="269">
        <f>AB84</f>
        <v/>
      </c>
      <c r="AC90" s="269">
        <f>AC84</f>
        <v/>
      </c>
      <c r="AD90" s="269">
        <f>AD84</f>
        <v/>
      </c>
      <c r="AE90" s="269">
        <f>AE84</f>
        <v/>
      </c>
      <c r="AF90" s="269">
        <f>AF84</f>
        <v/>
      </c>
      <c r="AG90" s="269">
        <f>AG84</f>
        <v/>
      </c>
      <c r="AH90" s="269">
        <f>AH84</f>
        <v/>
      </c>
      <c r="AI90" s="269">
        <f>AI84</f>
        <v/>
      </c>
      <c r="AJ90" s="584" t="inlineStr">
        <is>
          <t>Consumption</t>
        </is>
      </c>
    </row>
    <row r="91">
      <c r="A91" s="516" t="n"/>
      <c r="B91" s="516" t="n"/>
      <c r="C91" s="523" t="n"/>
      <c r="D91" s="524" t="n"/>
      <c r="E91" s="225" t="inlineStr">
        <is>
          <t>Mon</t>
        </is>
      </c>
      <c r="F91" s="225" t="inlineStr">
        <is>
          <t>Tue</t>
        </is>
      </c>
      <c r="G91" s="225" t="inlineStr">
        <is>
          <t>Wed</t>
        </is>
      </c>
      <c r="H91" s="225" t="inlineStr">
        <is>
          <t>Thu</t>
        </is>
      </c>
      <c r="I91" s="225" t="inlineStr">
        <is>
          <t>Fri</t>
        </is>
      </c>
      <c r="J91" s="225" t="inlineStr">
        <is>
          <t>Sat</t>
        </is>
      </c>
      <c r="K91" s="225" t="inlineStr">
        <is>
          <t>Sun</t>
        </is>
      </c>
      <c r="L91" s="225" t="inlineStr">
        <is>
          <t>Mon</t>
        </is>
      </c>
      <c r="M91" s="225" t="inlineStr">
        <is>
          <t>Tue</t>
        </is>
      </c>
      <c r="N91" s="225" t="inlineStr">
        <is>
          <t>Wed</t>
        </is>
      </c>
      <c r="O91" s="225" t="inlineStr">
        <is>
          <t>Thu</t>
        </is>
      </c>
      <c r="P91" s="225" t="inlineStr">
        <is>
          <t>Fri</t>
        </is>
      </c>
      <c r="Q91" s="225" t="inlineStr">
        <is>
          <t>Sat</t>
        </is>
      </c>
      <c r="R91" s="225" t="inlineStr">
        <is>
          <t>Sun</t>
        </is>
      </c>
      <c r="S91" s="225" t="inlineStr">
        <is>
          <t>Mon</t>
        </is>
      </c>
      <c r="T91" s="225" t="inlineStr">
        <is>
          <t>Tue</t>
        </is>
      </c>
      <c r="U91" s="225" t="inlineStr">
        <is>
          <t>Wed</t>
        </is>
      </c>
      <c r="V91" s="225" t="inlineStr">
        <is>
          <t>Thu</t>
        </is>
      </c>
      <c r="W91" s="225" t="inlineStr">
        <is>
          <t>Fri</t>
        </is>
      </c>
      <c r="X91" s="225" t="inlineStr">
        <is>
          <t>Sat</t>
        </is>
      </c>
      <c r="Y91" s="225" t="inlineStr">
        <is>
          <t>Sun</t>
        </is>
      </c>
      <c r="Z91" s="225" t="inlineStr">
        <is>
          <t>Mon</t>
        </is>
      </c>
      <c r="AA91" s="225" t="inlineStr">
        <is>
          <t>Tue</t>
        </is>
      </c>
      <c r="AB91" s="225" t="inlineStr">
        <is>
          <t>Wed</t>
        </is>
      </c>
      <c r="AC91" s="225" t="inlineStr">
        <is>
          <t>Thu</t>
        </is>
      </c>
      <c r="AD91" s="225" t="inlineStr">
        <is>
          <t>Fri</t>
        </is>
      </c>
      <c r="AE91" s="225" t="inlineStr">
        <is>
          <t>Sat</t>
        </is>
      </c>
      <c r="AF91" s="225" t="inlineStr">
        <is>
          <t>Sun</t>
        </is>
      </c>
      <c r="AG91" s="225" t="inlineStr">
        <is>
          <t>Mon</t>
        </is>
      </c>
      <c r="AH91" s="225" t="inlineStr">
        <is>
          <t>Tue</t>
        </is>
      </c>
      <c r="AI91" s="225" t="inlineStr">
        <is>
          <t>Wed</t>
        </is>
      </c>
      <c r="AJ91" s="516" t="n"/>
    </row>
    <row r="92">
      <c r="A92" s="516" t="n"/>
      <c r="B92" s="516" t="n"/>
      <c r="C92" s="523" t="n"/>
      <c r="D92" s="524" t="n"/>
      <c r="E92" s="270" t="inlineStr">
        <is>
          <t>Time</t>
        </is>
      </c>
      <c r="F92" s="270" t="inlineStr">
        <is>
          <t>Time</t>
        </is>
      </c>
      <c r="G92" s="270" t="inlineStr">
        <is>
          <t>Time</t>
        </is>
      </c>
      <c r="H92" s="270" t="inlineStr">
        <is>
          <t>Time</t>
        </is>
      </c>
      <c r="I92" s="270" t="inlineStr">
        <is>
          <t>Time</t>
        </is>
      </c>
      <c r="J92" s="270" t="inlineStr">
        <is>
          <t>Time</t>
        </is>
      </c>
      <c r="K92" s="270" t="inlineStr">
        <is>
          <t>Time</t>
        </is>
      </c>
      <c r="L92" s="270" t="inlineStr">
        <is>
          <t>Time</t>
        </is>
      </c>
      <c r="M92" s="270" t="inlineStr">
        <is>
          <t>Time</t>
        </is>
      </c>
      <c r="N92" s="270" t="inlineStr">
        <is>
          <t>Time</t>
        </is>
      </c>
      <c r="O92" s="270" t="inlineStr">
        <is>
          <t>Time</t>
        </is>
      </c>
      <c r="P92" s="270" t="inlineStr">
        <is>
          <t>Time</t>
        </is>
      </c>
      <c r="Q92" s="270" t="inlineStr">
        <is>
          <t>Time</t>
        </is>
      </c>
      <c r="R92" s="270" t="inlineStr">
        <is>
          <t>Time</t>
        </is>
      </c>
      <c r="S92" s="270" t="inlineStr">
        <is>
          <t>Time</t>
        </is>
      </c>
      <c r="T92" s="270" t="inlineStr">
        <is>
          <t>Time</t>
        </is>
      </c>
      <c r="U92" s="270" t="inlineStr">
        <is>
          <t>Time</t>
        </is>
      </c>
      <c r="V92" s="270" t="inlineStr">
        <is>
          <t>Time</t>
        </is>
      </c>
      <c r="W92" s="270" t="inlineStr">
        <is>
          <t>Time</t>
        </is>
      </c>
      <c r="X92" s="270" t="inlineStr">
        <is>
          <t>Time</t>
        </is>
      </c>
      <c r="Y92" s="270" t="inlineStr">
        <is>
          <t>Time</t>
        </is>
      </c>
      <c r="Z92" s="270" t="inlineStr">
        <is>
          <t>Time</t>
        </is>
      </c>
      <c r="AA92" s="270" t="inlineStr">
        <is>
          <t>Time</t>
        </is>
      </c>
      <c r="AB92" s="270" t="inlineStr">
        <is>
          <t>Time</t>
        </is>
      </c>
      <c r="AC92" s="270" t="inlineStr">
        <is>
          <t>Time</t>
        </is>
      </c>
      <c r="AD92" s="270" t="inlineStr">
        <is>
          <t>Time</t>
        </is>
      </c>
      <c r="AE92" s="270" t="inlineStr">
        <is>
          <t>Time</t>
        </is>
      </c>
      <c r="AF92" s="270" t="inlineStr">
        <is>
          <t>Time</t>
        </is>
      </c>
      <c r="AG92" s="270" t="inlineStr">
        <is>
          <t>Time</t>
        </is>
      </c>
      <c r="AH92" s="270" t="inlineStr">
        <is>
          <t>Time</t>
        </is>
      </c>
      <c r="AI92" s="270" t="inlineStr">
        <is>
          <t>Time</t>
        </is>
      </c>
      <c r="AJ92" s="516" t="n"/>
    </row>
    <row r="93">
      <c r="A93" s="517" t="n"/>
      <c r="B93" s="517" t="n"/>
      <c r="C93" s="525" t="n"/>
      <c r="D93" s="526" t="n"/>
      <c r="E93" s="271" t="n">
        <v>0.3333333333333333</v>
      </c>
      <c r="F93" s="271" t="n">
        <v>0.3333333333333333</v>
      </c>
      <c r="G93" s="271" t="n">
        <v>0.3333333333333333</v>
      </c>
      <c r="H93" s="271" t="n">
        <v>0.3333333333333333</v>
      </c>
      <c r="I93" s="271" t="n">
        <v>0.3333333333333333</v>
      </c>
      <c r="J93" s="271" t="n">
        <v>0.3333333333333333</v>
      </c>
      <c r="K93" s="271" t="n">
        <v>0.3333333333333333</v>
      </c>
      <c r="L93" s="271" t="n">
        <v>0.3333333333333333</v>
      </c>
      <c r="M93" s="271" t="n">
        <v>0.3333333333333333</v>
      </c>
      <c r="N93" s="271" t="n">
        <v>0.3333333333333333</v>
      </c>
      <c r="O93" s="271" t="n">
        <v>0.3333333333333333</v>
      </c>
      <c r="P93" s="271" t="n">
        <v>0.3333333333333333</v>
      </c>
      <c r="Q93" s="271" t="n">
        <v>0.3333333333333333</v>
      </c>
      <c r="R93" s="271" t="n">
        <v>0.3333333333333333</v>
      </c>
      <c r="S93" s="271" t="n">
        <v>0.3333333333333333</v>
      </c>
      <c r="T93" s="271" t="n">
        <v>0.3333333333333333</v>
      </c>
      <c r="U93" s="271" t="n">
        <v>0.3333333333333333</v>
      </c>
      <c r="V93" s="271" t="n">
        <v>0.3333333333333333</v>
      </c>
      <c r="W93" s="271" t="n">
        <v>0.3333333333333333</v>
      </c>
      <c r="X93" s="271" t="n">
        <v>0.3333333333333333</v>
      </c>
      <c r="Y93" s="271" t="n">
        <v>0.3333333333333333</v>
      </c>
      <c r="Z93" s="271" t="n">
        <v>0.3333333333333333</v>
      </c>
      <c r="AA93" s="271" t="n">
        <v>0.3333333333333333</v>
      </c>
      <c r="AB93" s="271" t="n">
        <v>0.3333333333333333</v>
      </c>
      <c r="AC93" s="271" t="n">
        <v>0.3333333333333333</v>
      </c>
      <c r="AD93" s="271" t="n">
        <v>0.3333333333333333</v>
      </c>
      <c r="AE93" s="271" t="n">
        <v>0.3333333333333333</v>
      </c>
      <c r="AF93" s="271" t="n">
        <v>0.3333333333333333</v>
      </c>
      <c r="AG93" s="271" t="n">
        <v>0.3333333333333333</v>
      </c>
      <c r="AH93" s="271" t="n">
        <v>0.3333333333333333</v>
      </c>
      <c r="AI93" s="271" t="n">
        <v>0.3333333333333333</v>
      </c>
      <c r="AJ93" s="517" t="n"/>
    </row>
    <row r="94" ht="14.5" customFormat="1" customHeight="1" s="290">
      <c r="A94" s="597" t="n">
        <v>1</v>
      </c>
      <c r="B94" s="289" t="inlineStr">
        <is>
          <t>Basement:-2</t>
        </is>
      </c>
      <c r="C94" s="597" t="inlineStr">
        <is>
          <t>Liberty-170</t>
        </is>
      </c>
      <c r="D94" s="501" t="n"/>
      <c r="E94" s="272">
        <f>E88-D88</f>
        <v/>
      </c>
      <c r="F94" s="272">
        <f>F88-E88</f>
        <v/>
      </c>
      <c r="G94" s="272">
        <f>G88-F88</f>
        <v/>
      </c>
      <c r="H94" s="272">
        <f>H88-G88</f>
        <v/>
      </c>
      <c r="I94" s="272">
        <f>I88-H88</f>
        <v/>
      </c>
      <c r="J94" s="272">
        <f>J88-I88</f>
        <v/>
      </c>
      <c r="K94" s="272">
        <f>K88-J88</f>
        <v/>
      </c>
      <c r="L94" s="272">
        <f>L88-K88</f>
        <v/>
      </c>
      <c r="M94" s="272">
        <f>M88-L88</f>
        <v/>
      </c>
      <c r="N94" s="272">
        <f>N88-M88</f>
        <v/>
      </c>
      <c r="O94" s="272">
        <f>O88-N88</f>
        <v/>
      </c>
      <c r="P94" s="272">
        <f>P88-O88</f>
        <v/>
      </c>
      <c r="Q94" s="272">
        <f>Q88-P88</f>
        <v/>
      </c>
      <c r="R94" s="272">
        <f>R88-Q88</f>
        <v/>
      </c>
      <c r="S94" s="272">
        <f>S88-R88</f>
        <v/>
      </c>
      <c r="T94" s="272">
        <f>T88-S88</f>
        <v/>
      </c>
      <c r="U94" s="272">
        <f>U88-T88</f>
        <v/>
      </c>
      <c r="V94" s="272">
        <f>V88-U88</f>
        <v/>
      </c>
      <c r="W94" s="272">
        <f>W88-V88</f>
        <v/>
      </c>
      <c r="X94" s="272">
        <f>X88-W88</f>
        <v/>
      </c>
      <c r="Y94" s="272">
        <f>Y88-X88</f>
        <v/>
      </c>
      <c r="Z94" s="272">
        <f>Z88-Y88</f>
        <v/>
      </c>
      <c r="AA94" s="272">
        <f>AA88-Z88</f>
        <v/>
      </c>
      <c r="AB94" s="272">
        <f>AB88-AA88</f>
        <v/>
      </c>
      <c r="AC94" s="272">
        <f>AC88-AB88</f>
        <v/>
      </c>
      <c r="AD94" s="272">
        <f>AD88-AC88</f>
        <v/>
      </c>
      <c r="AE94" s="272">
        <f>AE88-AD88</f>
        <v/>
      </c>
      <c r="AF94" s="272">
        <f>AF88-AE88</f>
        <v/>
      </c>
      <c r="AG94" s="272">
        <f>AG88-AF88</f>
        <v/>
      </c>
      <c r="AH94" s="272">
        <f>AH88-AG88</f>
        <v/>
      </c>
      <c r="AI94" s="272" t="n"/>
      <c r="AJ94" s="272">
        <f>SUM(E94:AH94)</f>
        <v/>
      </c>
    </row>
  </sheetData>
  <mergeCells count="59">
    <mergeCell ref="C77:D77"/>
    <mergeCell ref="AJ40:AJ43"/>
    <mergeCell ref="D84:D87"/>
    <mergeCell ref="E83:AH83"/>
    <mergeCell ref="C62:D62"/>
    <mergeCell ref="C68:D68"/>
    <mergeCell ref="AJ90:AJ93"/>
    <mergeCell ref="C40:D43"/>
    <mergeCell ref="C58:D58"/>
    <mergeCell ref="C45:D45"/>
    <mergeCell ref="AJ2:AJ5"/>
    <mergeCell ref="C74:D74"/>
    <mergeCell ref="B2:B5"/>
    <mergeCell ref="C79:D79"/>
    <mergeCell ref="B38:D38"/>
    <mergeCell ref="D2:D5"/>
    <mergeCell ref="C73:D73"/>
    <mergeCell ref="C90:D93"/>
    <mergeCell ref="A84:A87"/>
    <mergeCell ref="A90:A93"/>
    <mergeCell ref="C84:C87"/>
    <mergeCell ref="C64:D64"/>
    <mergeCell ref="C47:D47"/>
    <mergeCell ref="C54:D54"/>
    <mergeCell ref="A83:D83"/>
    <mergeCell ref="C94:D94"/>
    <mergeCell ref="C65:D65"/>
    <mergeCell ref="C55:D55"/>
    <mergeCell ref="C50:D50"/>
    <mergeCell ref="C44:D44"/>
    <mergeCell ref="C75:D75"/>
    <mergeCell ref="C56:D56"/>
    <mergeCell ref="A40:A43"/>
    <mergeCell ref="C59:D59"/>
    <mergeCell ref="A1:BM1"/>
    <mergeCell ref="B84:B87"/>
    <mergeCell ref="C46:D46"/>
    <mergeCell ref="A22:AJ22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31:AJ31"/>
    <mergeCell ref="C72:D72"/>
    <mergeCell ref="C67:D67"/>
    <mergeCell ref="C57:D57"/>
    <mergeCell ref="C66:D66"/>
    <mergeCell ref="C53:D53"/>
    <mergeCell ref="B39:D39"/>
    <mergeCell ref="C78:D78"/>
    <mergeCell ref="C69:D69"/>
    <mergeCell ref="C49:D49"/>
    <mergeCell ref="B90:B93"/>
  </mergeCells>
  <pageMargins left="0.7" right="0.7" top="0.75" bottom="0.75" header="0.3" footer="0.3"/>
  <pageSetup orientation="portrait" paperSize="9" verticalDpi="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94"/>
  <sheetViews>
    <sheetView topLeftCell="AD58" workbookViewId="0">
      <selection activeCell="A1" sqref="A1:D1"/>
    </sheetView>
  </sheetViews>
  <sheetFormatPr baseColWidth="8" defaultRowHeight="14.5"/>
  <cols>
    <col width="14" customWidth="1" style="488" min="1" max="1"/>
    <col width="27" bestFit="1" customWidth="1" style="488" min="2" max="2"/>
    <col width="32" customWidth="1" style="488" min="3" max="3"/>
    <col width="20" customWidth="1" style="488" min="4" max="4"/>
    <col width="34" customWidth="1" style="488" min="5" max="5"/>
    <col width="23" customWidth="1" style="488" min="6" max="34"/>
    <col width="18" customWidth="1" style="488" min="35" max="37"/>
  </cols>
  <sheetData>
    <row r="1" ht="26" customHeight="1" s="488">
      <c r="A1" s="573" t="n"/>
      <c r="B1" s="505" t="n"/>
      <c r="C1" s="505" t="n"/>
      <c r="D1" s="506" t="n"/>
      <c r="E1" s="581" t="inlineStr">
        <is>
          <t>Nov- 2025</t>
        </is>
      </c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50" t="n"/>
    </row>
    <row r="2">
      <c r="A2" s="508" t="inlineStr">
        <is>
          <t>Sr.No</t>
        </is>
      </c>
      <c r="B2" s="508" t="inlineStr">
        <is>
          <t>Location</t>
        </is>
      </c>
      <c r="C2" s="580" t="inlineStr">
        <is>
          <t>Meter</t>
        </is>
      </c>
      <c r="D2" s="562" t="inlineStr">
        <is>
          <t>Previous Reading</t>
        </is>
      </c>
      <c r="E2" s="51" t="n">
        <v>45962</v>
      </c>
      <c r="F2" s="51" t="n">
        <v>45963</v>
      </c>
      <c r="G2" s="51" t="n">
        <v>45964</v>
      </c>
      <c r="H2" s="51" t="n">
        <v>45965</v>
      </c>
      <c r="I2" s="51" t="n">
        <v>45966</v>
      </c>
      <c r="J2" s="51" t="n">
        <v>45967</v>
      </c>
      <c r="K2" s="51" t="n">
        <v>45968</v>
      </c>
      <c r="L2" s="51" t="n">
        <v>45969</v>
      </c>
      <c r="M2" s="51" t="n">
        <v>45970</v>
      </c>
      <c r="N2" s="51" t="n">
        <v>45971</v>
      </c>
      <c r="O2" s="51" t="n">
        <v>45972</v>
      </c>
      <c r="P2" s="51" t="n">
        <v>45973</v>
      </c>
      <c r="Q2" s="51" t="n">
        <v>45974</v>
      </c>
      <c r="R2" s="51" t="n">
        <v>45975</v>
      </c>
      <c r="S2" s="51" t="n">
        <v>45976</v>
      </c>
      <c r="T2" s="51" t="n">
        <v>45977</v>
      </c>
      <c r="U2" s="51" t="n">
        <v>45978</v>
      </c>
      <c r="V2" s="51" t="n">
        <v>45979</v>
      </c>
      <c r="W2" s="51" t="n">
        <v>45980</v>
      </c>
      <c r="X2" s="51" t="n">
        <v>45981</v>
      </c>
      <c r="Y2" s="51" t="n">
        <v>45982</v>
      </c>
      <c r="Z2" s="51" t="n">
        <v>45983</v>
      </c>
      <c r="AA2" s="51" t="n">
        <v>45984</v>
      </c>
      <c r="AB2" s="51" t="n">
        <v>45985</v>
      </c>
      <c r="AC2" s="51" t="n">
        <v>45986</v>
      </c>
      <c r="AD2" s="51" t="n">
        <v>45987</v>
      </c>
      <c r="AE2" s="51" t="n">
        <v>45988</v>
      </c>
      <c r="AF2" s="51" t="n">
        <v>45989</v>
      </c>
      <c r="AG2" s="51" t="n">
        <v>45990</v>
      </c>
      <c r="AH2" s="51" t="n">
        <v>45991</v>
      </c>
      <c r="AI2" s="518" t="inlineStr">
        <is>
          <t>Consumption</t>
        </is>
      </c>
    </row>
    <row r="3">
      <c r="A3" s="509" t="n"/>
      <c r="B3" s="509" t="n"/>
      <c r="C3" s="509" t="n"/>
      <c r="D3" s="509" t="n"/>
      <c r="E3" s="96" t="inlineStr">
        <is>
          <t>Wed</t>
        </is>
      </c>
      <c r="F3" s="96" t="inlineStr">
        <is>
          <t>Thu</t>
        </is>
      </c>
      <c r="G3" s="96" t="inlineStr">
        <is>
          <t>Fri</t>
        </is>
      </c>
      <c r="H3" s="96" t="inlineStr">
        <is>
          <t>Sat</t>
        </is>
      </c>
      <c r="I3" s="96" t="inlineStr">
        <is>
          <t>Sun</t>
        </is>
      </c>
      <c r="J3" s="96" t="inlineStr">
        <is>
          <t>Mon</t>
        </is>
      </c>
      <c r="K3" s="96" t="inlineStr">
        <is>
          <t>Tue</t>
        </is>
      </c>
      <c r="L3" s="96" t="inlineStr">
        <is>
          <t>Wed</t>
        </is>
      </c>
      <c r="M3" s="96" t="inlineStr">
        <is>
          <t>Thu</t>
        </is>
      </c>
      <c r="N3" s="96" t="inlineStr">
        <is>
          <t>Fri</t>
        </is>
      </c>
      <c r="O3" s="96" t="inlineStr">
        <is>
          <t>Sat</t>
        </is>
      </c>
      <c r="P3" s="96" t="inlineStr">
        <is>
          <t>Sun</t>
        </is>
      </c>
      <c r="Q3" s="96" t="inlineStr">
        <is>
          <t>Mon</t>
        </is>
      </c>
      <c r="R3" s="96" t="inlineStr">
        <is>
          <t>Tue</t>
        </is>
      </c>
      <c r="S3" s="96" t="inlineStr">
        <is>
          <t>Wed</t>
        </is>
      </c>
      <c r="T3" s="96" t="inlineStr">
        <is>
          <t>Thu</t>
        </is>
      </c>
      <c r="U3" s="96" t="inlineStr">
        <is>
          <t>Fri</t>
        </is>
      </c>
      <c r="V3" s="96" t="inlineStr">
        <is>
          <t>Sat</t>
        </is>
      </c>
      <c r="W3" s="96" t="inlineStr">
        <is>
          <t>Sun</t>
        </is>
      </c>
      <c r="X3" s="96" t="inlineStr">
        <is>
          <t>Mon</t>
        </is>
      </c>
      <c r="Y3" s="96" t="inlineStr">
        <is>
          <t>Tue</t>
        </is>
      </c>
      <c r="Z3" s="96" t="inlineStr">
        <is>
          <t>Wed</t>
        </is>
      </c>
      <c r="AA3" s="96" t="inlineStr">
        <is>
          <t>Thu</t>
        </is>
      </c>
      <c r="AB3" s="96" t="inlineStr">
        <is>
          <t>Fri</t>
        </is>
      </c>
      <c r="AC3" s="96" t="inlineStr">
        <is>
          <t>Sat</t>
        </is>
      </c>
      <c r="AD3" s="96" t="inlineStr">
        <is>
          <t>Sun</t>
        </is>
      </c>
      <c r="AE3" s="96" t="inlineStr">
        <is>
          <t>Mon</t>
        </is>
      </c>
      <c r="AF3" s="96" t="inlineStr">
        <is>
          <t>Tue</t>
        </is>
      </c>
      <c r="AG3" s="96" t="inlineStr">
        <is>
          <t>Wed</t>
        </is>
      </c>
      <c r="AH3" s="96" t="inlineStr">
        <is>
          <t>Thu</t>
        </is>
      </c>
      <c r="AI3" s="509" t="n"/>
    </row>
    <row r="4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09" t="n"/>
    </row>
    <row r="5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199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10" t="n"/>
    </row>
    <row r="6">
      <c r="A6" s="48" t="n">
        <v>1</v>
      </c>
      <c r="B6" s="561" t="inlineStr">
        <is>
          <t>3F</t>
        </is>
      </c>
      <c r="C6" s="139" t="inlineStr">
        <is>
          <t>SL No 540430038840 (EB Unit)</t>
        </is>
      </c>
      <c r="D6" s="209" t="n">
        <v>152751</v>
      </c>
      <c r="E6" s="48" t="n">
        <v>152969</v>
      </c>
      <c r="F6" s="48" t="n">
        <v>153180</v>
      </c>
      <c r="G6" s="48" t="n">
        <v>153462</v>
      </c>
      <c r="H6" s="48" t="n">
        <v>153738</v>
      </c>
      <c r="I6" s="48" t="n">
        <v>153964</v>
      </c>
      <c r="J6" s="48" t="n">
        <v>154249</v>
      </c>
      <c r="K6" s="48" t="n">
        <v>154547</v>
      </c>
      <c r="L6" s="48" t="n">
        <v>154735</v>
      </c>
      <c r="M6" s="48" t="n">
        <v>154928</v>
      </c>
      <c r="N6" s="48" t="n">
        <v>155230</v>
      </c>
      <c r="O6" s="58" t="n">
        <v>155506</v>
      </c>
      <c r="P6" s="184" t="n">
        <v>155775</v>
      </c>
      <c r="Q6" s="48" t="n">
        <v>156033</v>
      </c>
      <c r="R6" s="59" t="n">
        <v>156288</v>
      </c>
      <c r="S6" s="561" t="n">
        <v>156514</v>
      </c>
      <c r="T6" s="561" t="n">
        <v>156727</v>
      </c>
      <c r="U6" s="561" t="n">
        <v>156979</v>
      </c>
      <c r="V6" s="125" t="n">
        <v>157237</v>
      </c>
      <c r="W6" s="561" t="n">
        <v>157497</v>
      </c>
      <c r="X6" s="561" t="n">
        <v>157752</v>
      </c>
      <c r="Y6" s="561" t="n">
        <v>157997</v>
      </c>
      <c r="Z6" s="561" t="n">
        <v>158215</v>
      </c>
      <c r="AA6" s="58" t="n">
        <v>158425</v>
      </c>
      <c r="AB6" s="58" t="n">
        <v>158680</v>
      </c>
      <c r="AC6" s="58" t="n">
        <v>158934</v>
      </c>
      <c r="AD6" s="561" t="n">
        <v>159188</v>
      </c>
      <c r="AE6" s="561" t="n">
        <v>159441</v>
      </c>
      <c r="AF6" s="561" t="n">
        <v>159689</v>
      </c>
      <c r="AG6" s="48" t="n">
        <v>159902</v>
      </c>
      <c r="AH6" s="169" t="n">
        <v>160014</v>
      </c>
      <c r="AI6" s="57">
        <f>AH6-D6</f>
        <v/>
      </c>
    </row>
    <row r="7">
      <c r="A7" s="8" t="n"/>
      <c r="B7" s="8" t="n"/>
      <c r="C7" s="140" t="inlineStr">
        <is>
          <t>DG</t>
        </is>
      </c>
      <c r="D7" s="130" t="n">
        <v>4279</v>
      </c>
      <c r="E7" s="128" t="n">
        <v>4279</v>
      </c>
      <c r="F7" s="128" t="n">
        <v>4279</v>
      </c>
      <c r="G7" s="128" t="n">
        <v>4279</v>
      </c>
      <c r="H7" s="128" t="n">
        <v>4279</v>
      </c>
      <c r="I7" s="128" t="n">
        <v>4279</v>
      </c>
      <c r="J7" s="128" t="n">
        <v>4279</v>
      </c>
      <c r="K7" s="128" t="n">
        <v>4279</v>
      </c>
      <c r="L7" s="128" t="n">
        <v>4279</v>
      </c>
      <c r="M7" s="128" t="n">
        <v>4279</v>
      </c>
      <c r="N7" s="8" t="n">
        <v>4279</v>
      </c>
      <c r="O7" s="8" t="n">
        <v>4279</v>
      </c>
      <c r="P7" s="8" t="n">
        <v>4279</v>
      </c>
      <c r="Q7" s="8" t="n">
        <v>4279</v>
      </c>
      <c r="R7" s="8" t="n">
        <v>4279</v>
      </c>
      <c r="S7" s="8" t="n">
        <v>4279</v>
      </c>
      <c r="T7" s="8" t="n">
        <v>4279</v>
      </c>
      <c r="U7" s="8" t="n">
        <v>4279</v>
      </c>
      <c r="V7" s="8" t="n">
        <v>4279</v>
      </c>
      <c r="W7" s="8" t="n">
        <v>4279</v>
      </c>
      <c r="X7" s="8" t="n">
        <v>4279</v>
      </c>
      <c r="Y7" s="8" t="n">
        <v>4279</v>
      </c>
      <c r="Z7" s="8" t="n">
        <v>4279</v>
      </c>
      <c r="AA7" s="8" t="n">
        <v>4279</v>
      </c>
      <c r="AB7" s="8" t="n">
        <v>4279</v>
      </c>
      <c r="AC7" s="8" t="n">
        <v>4279</v>
      </c>
      <c r="AD7" s="8" t="n">
        <v>4279</v>
      </c>
      <c r="AE7" s="8" t="n">
        <v>4279</v>
      </c>
      <c r="AF7" s="8" t="n">
        <v>4279</v>
      </c>
      <c r="AG7" s="8" t="n">
        <v>4279</v>
      </c>
      <c r="AH7" s="128" t="n">
        <v>4279</v>
      </c>
      <c r="AI7" s="57">
        <f>AH7-D7</f>
        <v/>
      </c>
    </row>
    <row r="8">
      <c r="A8" s="561" t="n">
        <v>2</v>
      </c>
      <c r="B8" s="561" t="inlineStr">
        <is>
          <t>3F</t>
        </is>
      </c>
      <c r="C8" s="141" t="inlineStr">
        <is>
          <t>SL No 540430038845 (EB Unit)</t>
        </is>
      </c>
      <c r="D8" s="210" t="n">
        <v>1956</v>
      </c>
      <c r="E8" s="58" t="n">
        <v>1956</v>
      </c>
      <c r="F8" s="58" t="n">
        <v>1956</v>
      </c>
      <c r="G8" s="58" t="n">
        <v>1956</v>
      </c>
      <c r="H8" s="58" t="n">
        <v>1956</v>
      </c>
      <c r="I8" s="58" t="n">
        <v>1956</v>
      </c>
      <c r="J8" s="561" t="n">
        <v>1956</v>
      </c>
      <c r="K8" s="561" t="n">
        <v>1956</v>
      </c>
      <c r="L8" s="561" t="n">
        <v>1956</v>
      </c>
      <c r="M8" s="561" t="n">
        <v>1956</v>
      </c>
      <c r="N8" s="561" t="n">
        <v>1956</v>
      </c>
      <c r="O8" s="561" t="n">
        <v>1956</v>
      </c>
      <c r="P8" s="561" t="n">
        <v>1956</v>
      </c>
      <c r="Q8" s="561" t="n">
        <v>1956</v>
      </c>
      <c r="R8" s="561" t="n">
        <v>1956</v>
      </c>
      <c r="S8" s="561" t="n">
        <v>1956</v>
      </c>
      <c r="T8" s="561" t="n">
        <v>1956</v>
      </c>
      <c r="U8" s="561" t="n">
        <v>1956</v>
      </c>
      <c r="V8" s="561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8" t="n">
        <v>1956</v>
      </c>
      <c r="AI8" s="57">
        <f>AH8-D8</f>
        <v/>
      </c>
    </row>
    <row r="9">
      <c r="A9" s="561" t="n"/>
      <c r="B9" s="561" t="n"/>
      <c r="C9" s="140" t="inlineStr">
        <is>
          <t>DG</t>
        </is>
      </c>
      <c r="D9" s="210" t="n">
        <v>28.6</v>
      </c>
      <c r="E9" s="58" t="n">
        <v>28.6</v>
      </c>
      <c r="F9" s="58" t="n">
        <v>28.6</v>
      </c>
      <c r="G9" s="58" t="n">
        <v>28.6</v>
      </c>
      <c r="H9" s="58" t="n">
        <v>28.6</v>
      </c>
      <c r="I9" s="58" t="n">
        <v>28.6</v>
      </c>
      <c r="J9" s="58" t="n">
        <v>28.6</v>
      </c>
      <c r="K9" s="58" t="n">
        <v>28.6</v>
      </c>
      <c r="L9" s="58" t="n">
        <v>28.6</v>
      </c>
      <c r="M9" s="58" t="n">
        <v>28.6</v>
      </c>
      <c r="N9" s="561" t="n">
        <v>28.6</v>
      </c>
      <c r="O9" s="561" t="n">
        <v>28.6</v>
      </c>
      <c r="P9" s="561" t="n">
        <v>28.6</v>
      </c>
      <c r="Q9" s="561" t="n">
        <v>28.6</v>
      </c>
      <c r="R9" s="561" t="n">
        <v>28.6</v>
      </c>
      <c r="S9" s="561" t="n">
        <v>28.6</v>
      </c>
      <c r="T9" s="561" t="n">
        <v>28.6</v>
      </c>
      <c r="U9" s="561" t="n">
        <v>28.6</v>
      </c>
      <c r="V9" s="561" t="n">
        <v>28.6</v>
      </c>
      <c r="W9" s="561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8" t="n">
        <v>28.6</v>
      </c>
      <c r="AI9" s="57">
        <f>AH9-D9</f>
        <v/>
      </c>
    </row>
    <row r="10">
      <c r="A10" s="561" t="n">
        <v>3</v>
      </c>
      <c r="B10" s="561" t="inlineStr">
        <is>
          <t>3F</t>
        </is>
      </c>
      <c r="C10" s="141" t="inlineStr">
        <is>
          <t>SL No 540430038844 (EB Unit)</t>
        </is>
      </c>
      <c r="D10" s="130" t="n">
        <v>222574</v>
      </c>
      <c r="E10" s="561" t="n">
        <v>222865</v>
      </c>
      <c r="F10" s="561" t="n">
        <v>223147</v>
      </c>
      <c r="G10" s="561" t="n">
        <v>223568</v>
      </c>
      <c r="H10" s="561" t="n">
        <v>223979</v>
      </c>
      <c r="I10" s="561" t="n">
        <v>224288</v>
      </c>
      <c r="J10" s="561" t="n">
        <v>224724</v>
      </c>
      <c r="K10" s="561" t="n">
        <v>225163</v>
      </c>
      <c r="L10" s="561" t="n">
        <v>225414</v>
      </c>
      <c r="M10" s="561" t="n">
        <v>225695</v>
      </c>
      <c r="N10" s="561" t="n">
        <v>226122</v>
      </c>
      <c r="O10" s="561" t="n">
        <v>226532</v>
      </c>
      <c r="P10" s="561" t="n">
        <v>226924</v>
      </c>
      <c r="Q10" s="561" t="n">
        <v>227301</v>
      </c>
      <c r="R10" s="561" t="n">
        <v>227669</v>
      </c>
      <c r="S10" s="561" t="n">
        <v>227977</v>
      </c>
      <c r="T10" s="561" t="n">
        <v>228262</v>
      </c>
      <c r="U10" s="561" t="n">
        <v>228629</v>
      </c>
      <c r="V10" s="561" t="n">
        <v>229004</v>
      </c>
      <c r="W10" s="561" t="n">
        <v>229387</v>
      </c>
      <c r="X10" s="561" t="n">
        <v>229744</v>
      </c>
      <c r="Y10" s="561" t="n">
        <v>230108</v>
      </c>
      <c r="Z10" s="561" t="n">
        <v>230400</v>
      </c>
      <c r="AA10" s="58" t="n">
        <v>230685</v>
      </c>
      <c r="AB10" s="58" t="n">
        <v>231053</v>
      </c>
      <c r="AC10" s="58" t="n">
        <v>231420</v>
      </c>
      <c r="AD10" s="561" t="n">
        <v>231787</v>
      </c>
      <c r="AE10" s="8" t="n">
        <v>232148</v>
      </c>
      <c r="AF10" s="8" t="n">
        <v>232503</v>
      </c>
      <c r="AG10" s="8" t="n">
        <v>232792</v>
      </c>
      <c r="AH10" s="128" t="n">
        <v>232941</v>
      </c>
      <c r="AI10" s="57">
        <f>AH10-D10</f>
        <v/>
      </c>
    </row>
    <row r="11">
      <c r="A11" s="561" t="n"/>
      <c r="B11" s="561" t="n"/>
      <c r="C11" s="140" t="inlineStr">
        <is>
          <t>DG</t>
        </is>
      </c>
      <c r="D11" s="210" t="n">
        <v>6406</v>
      </c>
      <c r="E11" s="58" t="n">
        <v>6406</v>
      </c>
      <c r="F11" s="58" t="n">
        <v>6406</v>
      </c>
      <c r="G11" s="58" t="n">
        <v>6406</v>
      </c>
      <c r="H11" s="58" t="n">
        <v>6406</v>
      </c>
      <c r="I11" s="58" t="n">
        <v>6406</v>
      </c>
      <c r="J11" s="58" t="n">
        <v>6406</v>
      </c>
      <c r="K11" s="58" t="n">
        <v>6406</v>
      </c>
      <c r="L11" s="58" t="n">
        <v>6406</v>
      </c>
      <c r="M11" s="58" t="n">
        <v>6406</v>
      </c>
      <c r="N11" s="561" t="n">
        <v>6406</v>
      </c>
      <c r="O11" s="561" t="n">
        <v>6406</v>
      </c>
      <c r="P11" s="561" t="n">
        <v>6406</v>
      </c>
      <c r="Q11" s="561" t="n">
        <v>6406</v>
      </c>
      <c r="R11" s="561" t="n">
        <v>6406</v>
      </c>
      <c r="S11" s="561" t="n">
        <v>6406</v>
      </c>
      <c r="T11" s="561" t="n">
        <v>6406</v>
      </c>
      <c r="U11" s="561" t="n">
        <v>6406</v>
      </c>
      <c r="V11" s="561" t="n">
        <v>6406</v>
      </c>
      <c r="W11" s="561" t="n">
        <v>6406</v>
      </c>
      <c r="X11" s="561" t="n">
        <v>6406</v>
      </c>
      <c r="Y11" s="561" t="n">
        <v>6406</v>
      </c>
      <c r="Z11" s="561" t="n">
        <v>6406</v>
      </c>
      <c r="AA11" s="561" t="n">
        <v>6406</v>
      </c>
      <c r="AB11" s="561" t="n">
        <v>6406</v>
      </c>
      <c r="AC11" s="561" t="n">
        <v>6406</v>
      </c>
      <c r="AD11" s="561" t="n">
        <v>6406</v>
      </c>
      <c r="AE11" s="561" t="n">
        <v>6406</v>
      </c>
      <c r="AF11" s="561" t="n">
        <v>6406</v>
      </c>
      <c r="AG11" s="561" t="n">
        <v>6406</v>
      </c>
      <c r="AH11" s="58" t="n">
        <v>6406</v>
      </c>
      <c r="AI11" s="57">
        <f>AH11-D11</f>
        <v/>
      </c>
    </row>
    <row r="12">
      <c r="A12" s="561" t="n">
        <v>4</v>
      </c>
      <c r="B12" s="561" t="inlineStr">
        <is>
          <t>3F</t>
        </is>
      </c>
      <c r="C12" s="141" t="inlineStr">
        <is>
          <t>SL No 540430038821 (EB Unit)</t>
        </is>
      </c>
      <c r="D12" s="210" t="n">
        <v>0</v>
      </c>
      <c r="E12" s="58" t="n">
        <v>0</v>
      </c>
      <c r="F12" s="58" t="n">
        <v>0</v>
      </c>
      <c r="G12" s="58" t="n">
        <v>0</v>
      </c>
      <c r="H12" s="58" t="n">
        <v>0</v>
      </c>
      <c r="I12" s="58" t="n">
        <v>0</v>
      </c>
      <c r="J12" s="561" t="n">
        <v>0</v>
      </c>
      <c r="K12" s="561" t="n">
        <v>0</v>
      </c>
      <c r="L12" s="561" t="n">
        <v>0</v>
      </c>
      <c r="M12" s="561" t="n">
        <v>0</v>
      </c>
      <c r="N12" s="561" t="n">
        <v>0</v>
      </c>
      <c r="O12" s="561" t="n">
        <v>0</v>
      </c>
      <c r="P12" s="561" t="n">
        <v>0</v>
      </c>
      <c r="Q12" s="561" t="n">
        <v>0</v>
      </c>
      <c r="R12" s="561" t="n">
        <v>0</v>
      </c>
      <c r="S12" s="561" t="n">
        <v>0</v>
      </c>
      <c r="T12" s="561" t="n">
        <v>0</v>
      </c>
      <c r="U12" s="561" t="n">
        <v>0</v>
      </c>
      <c r="V12" s="561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8" t="n">
        <v>0</v>
      </c>
      <c r="AI12" s="57">
        <f>AH12-D12</f>
        <v/>
      </c>
    </row>
    <row r="13">
      <c r="A13" s="561" t="n"/>
      <c r="B13" s="561" t="n"/>
      <c r="C13" s="140" t="inlineStr">
        <is>
          <t>DG</t>
        </is>
      </c>
      <c r="D13" s="211" t="n">
        <v>0</v>
      </c>
      <c r="E13" s="205" t="n">
        <v>0</v>
      </c>
      <c r="F13" s="205" t="n">
        <v>0</v>
      </c>
      <c r="G13" s="205" t="n">
        <v>0</v>
      </c>
      <c r="H13" s="205" t="n">
        <v>0</v>
      </c>
      <c r="I13" s="205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8" t="n">
        <v>0</v>
      </c>
      <c r="AI13" s="57">
        <f>AH13-D13</f>
        <v/>
      </c>
    </row>
    <row r="14">
      <c r="A14" s="561" t="n">
        <v>5</v>
      </c>
      <c r="B14" s="561" t="inlineStr">
        <is>
          <t>3F</t>
        </is>
      </c>
      <c r="C14" s="213" t="inlineStr">
        <is>
          <t>SL No 540430038849 (EB Unit)</t>
        </is>
      </c>
      <c r="D14" s="55" t="n">
        <v>110988</v>
      </c>
      <c r="E14" s="59" t="n">
        <v>111165</v>
      </c>
      <c r="F14" s="561" t="n">
        <v>111338</v>
      </c>
      <c r="G14" s="561" t="n">
        <v>111626</v>
      </c>
      <c r="H14" s="561" t="n">
        <v>111905</v>
      </c>
      <c r="I14" s="561" t="n">
        <v>112108</v>
      </c>
      <c r="J14" s="561" t="n">
        <v>112408</v>
      </c>
      <c r="K14" s="561" t="n">
        <v>112694</v>
      </c>
      <c r="L14" s="561" t="n">
        <v>112832</v>
      </c>
      <c r="M14" s="561" t="n">
        <v>112996</v>
      </c>
      <c r="N14" s="561" t="n">
        <v>113278</v>
      </c>
      <c r="O14" s="561" t="n">
        <v>113540</v>
      </c>
      <c r="P14" s="561" t="n">
        <v>113800</v>
      </c>
      <c r="Q14" s="561" t="n">
        <v>114045</v>
      </c>
      <c r="R14" s="561" t="n">
        <v>114277</v>
      </c>
      <c r="S14" s="561" t="n">
        <v>114443</v>
      </c>
      <c r="T14" s="561" t="n">
        <v>114603</v>
      </c>
      <c r="U14" s="33" t="n">
        <v>114850</v>
      </c>
      <c r="V14" s="561" t="n">
        <v>115103</v>
      </c>
      <c r="W14" s="561" t="n">
        <v>115366</v>
      </c>
      <c r="X14" s="561" t="n">
        <v>115609</v>
      </c>
      <c r="Y14" s="561" t="n">
        <v>115848</v>
      </c>
      <c r="Z14" s="561" t="n">
        <v>116019</v>
      </c>
      <c r="AA14" s="58" t="n">
        <v>116177</v>
      </c>
      <c r="AB14" s="58" t="n">
        <v>116426</v>
      </c>
      <c r="AC14" s="58" t="n">
        <v>116670</v>
      </c>
      <c r="AD14" s="561" t="n">
        <v>116922</v>
      </c>
      <c r="AE14" s="33" t="n">
        <v>117173</v>
      </c>
      <c r="AF14" s="33" t="n">
        <v>117418</v>
      </c>
      <c r="AG14" s="33" t="n">
        <v>117588</v>
      </c>
      <c r="AH14" s="569" t="n">
        <v>117671</v>
      </c>
      <c r="AI14" s="57">
        <f>AH14-D14</f>
        <v/>
      </c>
    </row>
    <row r="15">
      <c r="A15" s="561" t="n"/>
      <c r="B15" s="561" t="n"/>
      <c r="C15" s="214" t="inlineStr">
        <is>
          <t>DG</t>
        </is>
      </c>
      <c r="D15" s="55" t="n">
        <v>3276</v>
      </c>
      <c r="E15" s="215" t="n">
        <v>3277</v>
      </c>
      <c r="F15" s="215" t="n">
        <v>3277</v>
      </c>
      <c r="G15" s="215" t="n">
        <v>3277</v>
      </c>
      <c r="H15" s="215" t="n">
        <v>3277</v>
      </c>
      <c r="I15" s="215" t="n">
        <v>3277</v>
      </c>
      <c r="J15" s="215" t="n">
        <v>3277</v>
      </c>
      <c r="K15" s="215" t="n">
        <v>3277</v>
      </c>
      <c r="L15" s="215" t="n">
        <v>3277</v>
      </c>
      <c r="M15" s="215" t="n">
        <v>3277</v>
      </c>
      <c r="N15" s="60" t="n">
        <v>3277</v>
      </c>
      <c r="O15" s="60" t="n">
        <v>3277</v>
      </c>
      <c r="P15" s="60" t="n">
        <v>3277</v>
      </c>
      <c r="Q15" s="60" t="n">
        <v>3277</v>
      </c>
      <c r="R15" s="60" t="n">
        <v>3277</v>
      </c>
      <c r="S15" s="60" t="n">
        <v>3277</v>
      </c>
      <c r="T15" s="60" t="n">
        <v>3277</v>
      </c>
      <c r="U15" s="60" t="n">
        <v>3277</v>
      </c>
      <c r="V15" s="60" t="n">
        <v>3277</v>
      </c>
      <c r="W15" s="60" t="n">
        <v>3277</v>
      </c>
      <c r="X15" s="60" t="n">
        <v>3277</v>
      </c>
      <c r="Y15" s="60" t="n">
        <v>3277</v>
      </c>
      <c r="Z15" s="60" t="n">
        <v>3277</v>
      </c>
      <c r="AA15" s="60" t="n">
        <v>3277</v>
      </c>
      <c r="AB15" s="60" t="n">
        <v>3277</v>
      </c>
      <c r="AC15" s="60" t="n">
        <v>3277</v>
      </c>
      <c r="AD15" s="60" t="n">
        <v>3277</v>
      </c>
      <c r="AE15" s="60" t="n">
        <v>3277</v>
      </c>
      <c r="AF15" s="60" t="n">
        <v>3277</v>
      </c>
      <c r="AG15" s="60" t="n">
        <v>3277</v>
      </c>
      <c r="AH15" s="205" t="n">
        <v>3277</v>
      </c>
      <c r="AI15" s="57">
        <f>AH15-D15</f>
        <v/>
      </c>
    </row>
    <row r="16">
      <c r="A16" s="561" t="n">
        <v>6</v>
      </c>
      <c r="B16" s="561" t="inlineStr">
        <is>
          <t>3F</t>
        </is>
      </c>
      <c r="C16" s="213" t="inlineStr">
        <is>
          <t>SL No 540430038646 (EB Unit)</t>
        </is>
      </c>
      <c r="D16" s="55" t="n">
        <v>129622</v>
      </c>
      <c r="E16" s="216" t="n">
        <v>129731</v>
      </c>
      <c r="F16" s="58" t="n">
        <v>129821</v>
      </c>
      <c r="G16" s="48" t="n">
        <v>130068</v>
      </c>
      <c r="H16" s="59" t="n">
        <v>130324</v>
      </c>
      <c r="I16" s="561" t="n">
        <v>130444</v>
      </c>
      <c r="J16" s="561" t="n">
        <v>130717</v>
      </c>
      <c r="K16" s="58" t="n">
        <v>130967</v>
      </c>
      <c r="L16" s="127" t="n">
        <v>131059</v>
      </c>
      <c r="M16" s="178" t="n">
        <v>131129</v>
      </c>
      <c r="N16" s="178" t="n">
        <v>131383</v>
      </c>
      <c r="O16" s="178" t="n">
        <v>131622</v>
      </c>
      <c r="P16" s="178" t="n">
        <v>131875</v>
      </c>
      <c r="Q16" s="179" t="n">
        <v>132097</v>
      </c>
      <c r="R16" s="178" t="n">
        <v>132338</v>
      </c>
      <c r="S16" s="59" t="n">
        <v>132457</v>
      </c>
      <c r="T16" s="561" t="n">
        <v>132544</v>
      </c>
      <c r="U16" s="561" t="n">
        <v>132768</v>
      </c>
      <c r="V16" s="561" t="n">
        <v>133023</v>
      </c>
      <c r="W16" s="561" t="n">
        <v>133255</v>
      </c>
      <c r="X16" s="561" t="n">
        <v>133493</v>
      </c>
      <c r="Y16" s="561" t="n">
        <v>133735</v>
      </c>
      <c r="Z16" s="561" t="n">
        <v>133863</v>
      </c>
      <c r="AA16" s="58" t="n">
        <v>133939</v>
      </c>
      <c r="AB16" s="58" t="n">
        <v>134195</v>
      </c>
      <c r="AC16" s="58" t="n">
        <v>134414</v>
      </c>
      <c r="AD16" s="58" t="n">
        <v>134663</v>
      </c>
      <c r="AE16" s="48" t="n">
        <v>134904</v>
      </c>
      <c r="AF16" s="48" t="n">
        <v>135144</v>
      </c>
      <c r="AG16" s="48" t="n">
        <v>135248</v>
      </c>
      <c r="AH16" s="169" t="n">
        <v>135314</v>
      </c>
      <c r="AI16" s="57">
        <f>AH16-D16</f>
        <v/>
      </c>
    </row>
    <row r="17">
      <c r="A17" s="561" t="n"/>
      <c r="B17" s="561" t="n"/>
      <c r="C17" s="214" t="inlineStr">
        <is>
          <t>DG</t>
        </is>
      </c>
      <c r="D17" s="55" t="n">
        <v>4262</v>
      </c>
      <c r="E17" s="129" t="n">
        <v>4262</v>
      </c>
      <c r="F17" s="129" t="n">
        <v>4262</v>
      </c>
      <c r="G17" s="129" t="n">
        <v>4262</v>
      </c>
      <c r="H17" s="129" t="n">
        <v>4262</v>
      </c>
      <c r="I17" s="129" t="n">
        <v>4262</v>
      </c>
      <c r="J17" s="129" t="n">
        <v>4262</v>
      </c>
      <c r="K17" s="129" t="n">
        <v>4262</v>
      </c>
      <c r="L17" s="129" t="n">
        <v>4262</v>
      </c>
      <c r="M17" s="129" t="n">
        <v>4262</v>
      </c>
      <c r="N17" s="129" t="n">
        <v>4262</v>
      </c>
      <c r="O17" s="129" t="n">
        <v>4262</v>
      </c>
      <c r="P17" s="129" t="n">
        <v>4262</v>
      </c>
      <c r="Q17" s="129" t="n">
        <v>4262</v>
      </c>
      <c r="R17" s="129" t="n">
        <v>4262</v>
      </c>
      <c r="S17" s="129" t="n">
        <v>4262</v>
      </c>
      <c r="T17" s="129" t="n">
        <v>4262</v>
      </c>
      <c r="U17" s="129" t="n">
        <v>4262</v>
      </c>
      <c r="V17" s="129" t="n">
        <v>4262</v>
      </c>
      <c r="W17" s="129" t="n">
        <v>4262</v>
      </c>
      <c r="X17" s="129" t="n">
        <v>4262</v>
      </c>
      <c r="Y17" s="129" t="n">
        <v>4262</v>
      </c>
      <c r="Z17" s="129" t="n">
        <v>4262</v>
      </c>
      <c r="AA17" s="129" t="n">
        <v>4262</v>
      </c>
      <c r="AB17" s="129" t="n">
        <v>4262</v>
      </c>
      <c r="AC17" s="129" t="n">
        <v>4262</v>
      </c>
      <c r="AD17" s="129" t="n">
        <v>4262</v>
      </c>
      <c r="AE17" s="129" t="n">
        <v>4262</v>
      </c>
      <c r="AF17" s="129" t="n">
        <v>4262</v>
      </c>
      <c r="AG17" s="129" t="n">
        <v>4262</v>
      </c>
      <c r="AH17" s="206" t="n">
        <v>4262</v>
      </c>
      <c r="AI17" s="57">
        <f>AH17-D17</f>
        <v/>
      </c>
    </row>
    <row r="18">
      <c r="A18" s="561" t="n">
        <v>7</v>
      </c>
      <c r="B18" s="561" t="inlineStr">
        <is>
          <t>3F</t>
        </is>
      </c>
      <c r="C18" s="141" t="inlineStr">
        <is>
          <t>SL No 540430038843 (EB Unit)</t>
        </is>
      </c>
      <c r="D18" s="130" t="n">
        <v>421416</v>
      </c>
      <c r="E18" s="561" t="n">
        <v>422031</v>
      </c>
      <c r="F18" s="561" t="n">
        <v>422568</v>
      </c>
      <c r="G18" s="561" t="n">
        <v>423347</v>
      </c>
      <c r="H18" s="561" t="n">
        <v>424139</v>
      </c>
      <c r="I18" s="561" t="n">
        <v>424789</v>
      </c>
      <c r="J18" s="561" t="n">
        <v>425565</v>
      </c>
      <c r="K18" s="561" t="n">
        <v>426414</v>
      </c>
      <c r="L18" s="561" t="n">
        <v>426862</v>
      </c>
      <c r="M18" s="561" t="n">
        <v>427430</v>
      </c>
      <c r="N18" s="5" t="n">
        <v>428205</v>
      </c>
      <c r="O18" s="561" t="n">
        <v>429030</v>
      </c>
      <c r="P18" s="561" t="n">
        <v>429833</v>
      </c>
      <c r="Q18" s="561" t="n">
        <v>430631</v>
      </c>
      <c r="R18" s="8" t="n">
        <v>431414</v>
      </c>
      <c r="S18" s="5" t="n">
        <v>432104</v>
      </c>
      <c r="T18" s="561" t="n">
        <v>432614</v>
      </c>
      <c r="U18" s="561" t="n">
        <v>433383</v>
      </c>
      <c r="V18" s="561" t="n">
        <v>434195</v>
      </c>
      <c r="W18" s="561" t="n">
        <v>434998</v>
      </c>
      <c r="X18" s="33" t="n">
        <v>435812</v>
      </c>
      <c r="Y18" s="561" t="n">
        <v>436575</v>
      </c>
      <c r="Z18" s="561" t="n">
        <v>436998</v>
      </c>
      <c r="AA18" s="58" t="n">
        <v>437769</v>
      </c>
      <c r="AB18" s="58" t="n">
        <v>438561</v>
      </c>
      <c r="AC18" s="58" t="n">
        <v>439364</v>
      </c>
      <c r="AD18" s="58" t="n">
        <v>440174</v>
      </c>
      <c r="AE18" s="48" t="n">
        <v>440983</v>
      </c>
      <c r="AF18" s="201" t="n">
        <v>441784</v>
      </c>
      <c r="AG18" s="8" t="n">
        <v>442348</v>
      </c>
      <c r="AH18" s="128" t="n">
        <v>442589</v>
      </c>
      <c r="AI18" s="57">
        <f>AH18-D18</f>
        <v/>
      </c>
    </row>
    <row r="19">
      <c r="A19" s="561" t="n"/>
      <c r="B19" s="561" t="n"/>
      <c r="C19" s="140" t="inlineStr">
        <is>
          <t>DG</t>
        </is>
      </c>
      <c r="D19" s="210" t="n">
        <v>11604</v>
      </c>
      <c r="E19" s="561" t="n">
        <v>11604</v>
      </c>
      <c r="F19" s="561" t="n">
        <v>11604</v>
      </c>
      <c r="G19" s="561" t="n">
        <v>11604</v>
      </c>
      <c r="H19" s="561" t="n">
        <v>11604</v>
      </c>
      <c r="I19" s="561" t="n">
        <v>11604</v>
      </c>
      <c r="J19" s="561" t="n">
        <v>11604</v>
      </c>
      <c r="K19" s="561" t="n">
        <v>11604</v>
      </c>
      <c r="L19" s="561" t="n">
        <v>11604</v>
      </c>
      <c r="M19" s="561" t="n">
        <v>11604</v>
      </c>
      <c r="N19" s="561" t="n">
        <v>11604</v>
      </c>
      <c r="O19" s="561" t="n">
        <v>11604</v>
      </c>
      <c r="P19" s="561" t="n">
        <v>11604</v>
      </c>
      <c r="Q19" s="561" t="n">
        <v>11604</v>
      </c>
      <c r="R19" s="561" t="n">
        <v>11604</v>
      </c>
      <c r="S19" s="561" t="n">
        <v>11604</v>
      </c>
      <c r="T19" s="561" t="n">
        <v>11604</v>
      </c>
      <c r="U19" s="561" t="n">
        <v>11604</v>
      </c>
      <c r="V19" s="561" t="n">
        <v>11604</v>
      </c>
      <c r="W19" s="561" t="n">
        <v>11604</v>
      </c>
      <c r="X19" s="561" t="n">
        <v>11604</v>
      </c>
      <c r="Y19" s="561" t="n">
        <v>11604</v>
      </c>
      <c r="Z19" s="561" t="n">
        <v>11604</v>
      </c>
      <c r="AA19" s="561" t="n">
        <v>11604</v>
      </c>
      <c r="AB19" s="561" t="n">
        <v>11604</v>
      </c>
      <c r="AC19" s="561" t="n">
        <v>11604</v>
      </c>
      <c r="AD19" s="561" t="n">
        <v>11604</v>
      </c>
      <c r="AE19" s="561" t="n">
        <v>11604</v>
      </c>
      <c r="AF19" s="561" t="n">
        <v>11604</v>
      </c>
      <c r="AG19" s="561" t="n">
        <v>11604</v>
      </c>
      <c r="AH19" s="58" t="n">
        <v>11604</v>
      </c>
      <c r="AI19" s="57">
        <f>AH19-D19</f>
        <v/>
      </c>
    </row>
    <row r="20">
      <c r="A20" s="561" t="n">
        <v>8</v>
      </c>
      <c r="B20" s="561" t="inlineStr">
        <is>
          <t>3F</t>
        </is>
      </c>
      <c r="C20" s="141" t="inlineStr">
        <is>
          <t>SL No 540430038848 (EB Unit)</t>
        </is>
      </c>
      <c r="D20" s="130" t="n">
        <v>84560</v>
      </c>
      <c r="E20" s="561" t="n">
        <v>84691</v>
      </c>
      <c r="F20" s="561" t="n">
        <v>84800</v>
      </c>
      <c r="G20" s="561" t="n">
        <v>84942</v>
      </c>
      <c r="H20" s="561" t="n">
        <v>85060</v>
      </c>
      <c r="I20" s="561" t="n">
        <v>85170</v>
      </c>
      <c r="J20" s="561" t="n">
        <v>85293</v>
      </c>
      <c r="K20" s="561" t="n">
        <v>85430</v>
      </c>
      <c r="L20" s="561" t="n">
        <v>85527</v>
      </c>
      <c r="M20" s="561" t="n">
        <v>85638</v>
      </c>
      <c r="N20" s="561" t="n">
        <v>85708</v>
      </c>
      <c r="O20" s="561" t="n">
        <v>85875</v>
      </c>
      <c r="P20" s="561" t="n">
        <v>85980</v>
      </c>
      <c r="Q20" s="561" t="n">
        <v>86100</v>
      </c>
      <c r="R20" s="561" t="n">
        <v>86204</v>
      </c>
      <c r="S20" s="561" t="n">
        <v>86323</v>
      </c>
      <c r="T20" s="561" t="n">
        <v>86424</v>
      </c>
      <c r="U20" s="561" t="n">
        <v>86538</v>
      </c>
      <c r="V20" s="561" t="n">
        <v>86639</v>
      </c>
      <c r="W20" s="561" t="n">
        <v>86766</v>
      </c>
      <c r="X20" s="561" t="n">
        <v>86865</v>
      </c>
      <c r="Y20" s="561" t="n">
        <v>87007</v>
      </c>
      <c r="Z20" s="561" t="n">
        <v>87115</v>
      </c>
      <c r="AA20" s="8" t="n">
        <v>87115</v>
      </c>
      <c r="AB20" s="8" t="n">
        <v>87225</v>
      </c>
      <c r="AC20" s="561" t="n">
        <v>87456</v>
      </c>
      <c r="AD20" s="561" t="n">
        <v>87553</v>
      </c>
      <c r="AE20" s="8" t="n">
        <v>87672</v>
      </c>
      <c r="AF20" s="8" t="n">
        <v>87776</v>
      </c>
      <c r="AG20" s="8" t="n">
        <v>87878</v>
      </c>
      <c r="AH20" s="128" t="n">
        <v>87969</v>
      </c>
      <c r="AI20" s="57">
        <f>AH20-D20</f>
        <v/>
      </c>
    </row>
    <row r="21">
      <c r="A21" s="561" t="n"/>
      <c r="B21" s="561" t="n"/>
      <c r="C21" s="140" t="inlineStr">
        <is>
          <t>DG</t>
        </is>
      </c>
      <c r="D21" s="210" t="n">
        <v>2212</v>
      </c>
      <c r="E21" s="561" t="n">
        <v>2212</v>
      </c>
      <c r="F21" s="561" t="n">
        <v>2212</v>
      </c>
      <c r="G21" s="561" t="n">
        <v>2212</v>
      </c>
      <c r="H21" s="561" t="n">
        <v>2212</v>
      </c>
      <c r="I21" s="561" t="n">
        <v>2212</v>
      </c>
      <c r="J21" s="561" t="n">
        <v>2212</v>
      </c>
      <c r="K21" s="561" t="n">
        <v>2212</v>
      </c>
      <c r="L21" s="561" t="n">
        <v>2212</v>
      </c>
      <c r="M21" s="561" t="n">
        <v>2212</v>
      </c>
      <c r="N21" s="561" t="n">
        <v>2212</v>
      </c>
      <c r="O21" s="561" t="n">
        <v>2212</v>
      </c>
      <c r="P21" s="561" t="n">
        <v>2212</v>
      </c>
      <c r="Q21" s="561" t="n">
        <v>2212</v>
      </c>
      <c r="R21" s="561" t="n">
        <v>2212</v>
      </c>
      <c r="S21" s="561" t="n">
        <v>2212</v>
      </c>
      <c r="T21" s="561" t="n">
        <v>2212</v>
      </c>
      <c r="U21" s="561" t="n">
        <v>2212</v>
      </c>
      <c r="V21" s="561" t="n">
        <v>2212</v>
      </c>
      <c r="W21" s="561" t="n">
        <v>2212</v>
      </c>
      <c r="X21" s="561" t="n">
        <v>2212</v>
      </c>
      <c r="Y21" s="561" t="n">
        <v>2212</v>
      </c>
      <c r="Z21" s="561" t="n">
        <v>2212</v>
      </c>
      <c r="AA21" s="561" t="n">
        <v>2212</v>
      </c>
      <c r="AB21" s="561" t="n">
        <v>2212</v>
      </c>
      <c r="AC21" s="561" t="n">
        <v>2212</v>
      </c>
      <c r="AD21" s="561" t="n">
        <v>2212</v>
      </c>
      <c r="AE21" s="561" t="n">
        <v>2212</v>
      </c>
      <c r="AF21" s="561" t="n">
        <v>2212</v>
      </c>
      <c r="AG21" s="561" t="n">
        <v>2212</v>
      </c>
      <c r="AH21" s="58" t="n">
        <v>2212</v>
      </c>
      <c r="AI21" s="57">
        <f>AH21-D21</f>
        <v/>
      </c>
    </row>
    <row r="22">
      <c r="A22" s="500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01" t="n"/>
    </row>
    <row r="23">
      <c r="A23" s="561" t="n">
        <v>1</v>
      </c>
      <c r="B23" s="561" t="inlineStr">
        <is>
          <t>3F</t>
        </is>
      </c>
      <c r="C23" s="141" t="inlineStr">
        <is>
          <t>AHU1</t>
        </is>
      </c>
      <c r="D23" s="130" t="n">
        <v>40295</v>
      </c>
      <c r="E23" s="561" t="n">
        <v>40370</v>
      </c>
      <c r="F23" s="561" t="n">
        <v>40371</v>
      </c>
      <c r="G23" s="561" t="n">
        <v>40452</v>
      </c>
      <c r="H23" s="561" t="n">
        <v>40555</v>
      </c>
      <c r="I23" s="561" t="n">
        <v>40656</v>
      </c>
      <c r="J23" s="561" t="n">
        <v>40755</v>
      </c>
      <c r="K23" s="561" t="n">
        <v>40863</v>
      </c>
      <c r="L23" s="561" t="n">
        <v>40903</v>
      </c>
      <c r="M23" s="561" t="n">
        <v>40904</v>
      </c>
      <c r="N23" s="561" t="n">
        <v>40998</v>
      </c>
      <c r="O23" s="561" t="n">
        <v>41092</v>
      </c>
      <c r="P23" s="561" t="n">
        <v>41206</v>
      </c>
      <c r="Q23" s="561" t="n">
        <v>41325</v>
      </c>
      <c r="R23" s="561" t="n">
        <v>41453</v>
      </c>
      <c r="S23" s="561" t="n">
        <v>41547</v>
      </c>
      <c r="T23" s="561" t="n">
        <v>41561</v>
      </c>
      <c r="U23" s="561" t="n">
        <v>41673</v>
      </c>
      <c r="V23" s="561" t="n">
        <v>41833</v>
      </c>
      <c r="W23" s="561" t="n">
        <v>41973</v>
      </c>
      <c r="X23" s="561" t="n">
        <v>42113</v>
      </c>
      <c r="Y23" s="561" t="n">
        <v>42249</v>
      </c>
      <c r="Z23" s="561" t="n">
        <v>42369</v>
      </c>
      <c r="AA23" s="561" t="n">
        <v>42369</v>
      </c>
      <c r="AB23" s="561" t="n">
        <v>42478</v>
      </c>
      <c r="AC23" s="561" t="n">
        <v>42622</v>
      </c>
      <c r="AD23" s="561" t="n">
        <v>42730</v>
      </c>
      <c r="AE23" s="561" t="n">
        <v>42891</v>
      </c>
      <c r="AF23" s="561" t="n">
        <v>43025</v>
      </c>
      <c r="AG23" s="561" t="n">
        <v>43073</v>
      </c>
      <c r="AH23" s="128" t="n">
        <v>43073</v>
      </c>
      <c r="AI23" s="57">
        <f>AH23-D23</f>
        <v/>
      </c>
    </row>
    <row r="24">
      <c r="A24" s="561" t="n"/>
      <c r="B24" s="561" t="n"/>
      <c r="C24" s="142" t="inlineStr">
        <is>
          <t>DG</t>
        </is>
      </c>
      <c r="D24" s="210" t="n">
        <v>1921</v>
      </c>
      <c r="E24" s="561" t="n">
        <v>1921</v>
      </c>
      <c r="F24" s="561" t="n">
        <v>1921</v>
      </c>
      <c r="G24" s="561" t="n">
        <v>1921</v>
      </c>
      <c r="H24" s="561" t="n">
        <v>1921</v>
      </c>
      <c r="I24" s="561" t="n">
        <v>1921</v>
      </c>
      <c r="J24" s="561" t="n">
        <v>1921</v>
      </c>
      <c r="K24" s="561" t="n">
        <v>1921</v>
      </c>
      <c r="L24" s="561" t="n">
        <v>1921</v>
      </c>
      <c r="M24" s="561" t="n">
        <v>1921</v>
      </c>
      <c r="N24" s="561" t="n">
        <v>1921</v>
      </c>
      <c r="O24" s="561" t="n">
        <v>1921</v>
      </c>
      <c r="P24" s="561" t="n">
        <v>1921</v>
      </c>
      <c r="Q24" s="561" t="n">
        <v>1921</v>
      </c>
      <c r="R24" s="561" t="n">
        <v>1921</v>
      </c>
      <c r="S24" s="33" t="n">
        <v>1921</v>
      </c>
      <c r="T24" s="33" t="n">
        <v>1921</v>
      </c>
      <c r="U24" s="33" t="n">
        <v>1921</v>
      </c>
      <c r="V24" s="33" t="n">
        <v>1921</v>
      </c>
      <c r="W24" s="33" t="n">
        <v>1921</v>
      </c>
      <c r="X24" s="33" t="n">
        <v>1921</v>
      </c>
      <c r="Y24" s="33" t="n">
        <v>1921</v>
      </c>
      <c r="Z24" s="33" t="n">
        <v>1921</v>
      </c>
      <c r="AA24" s="33" t="n">
        <v>1921</v>
      </c>
      <c r="AB24" s="33" t="n">
        <v>1921</v>
      </c>
      <c r="AC24" s="33" t="n">
        <v>1921</v>
      </c>
      <c r="AD24" s="33" t="n">
        <v>1921</v>
      </c>
      <c r="AE24" s="33" t="n">
        <v>1921</v>
      </c>
      <c r="AF24" s="561" t="n">
        <v>1921</v>
      </c>
      <c r="AG24" s="561" t="n">
        <v>1921</v>
      </c>
      <c r="AH24" s="58" t="n">
        <v>1921</v>
      </c>
      <c r="AI24" s="57">
        <f>AH24-D24</f>
        <v/>
      </c>
    </row>
    <row r="25">
      <c r="A25" s="561" t="n">
        <v>2</v>
      </c>
      <c r="B25" s="561" t="inlineStr">
        <is>
          <t>3F</t>
        </is>
      </c>
      <c r="C25" s="141" t="inlineStr">
        <is>
          <t>AHU2</t>
        </is>
      </c>
      <c r="D25" s="130" t="n">
        <v>44440</v>
      </c>
      <c r="E25" s="561" t="n">
        <v>44514</v>
      </c>
      <c r="F25" s="561" t="n">
        <v>44515</v>
      </c>
      <c r="G25" s="561" t="n">
        <v>44615</v>
      </c>
      <c r="H25" s="561" t="n">
        <v>44748</v>
      </c>
      <c r="I25" s="561" t="n">
        <v>44830</v>
      </c>
      <c r="J25" s="561" t="n">
        <v>44942</v>
      </c>
      <c r="K25" s="561" t="n">
        <v>45089</v>
      </c>
      <c r="L25" s="561" t="n">
        <v>45101</v>
      </c>
      <c r="M25" s="561" t="n">
        <v>45102</v>
      </c>
      <c r="N25" s="561" t="n">
        <v>45186</v>
      </c>
      <c r="O25" s="561" t="n">
        <v>45281</v>
      </c>
      <c r="P25" s="561" t="n">
        <v>45407</v>
      </c>
      <c r="Q25" s="561" t="n">
        <v>45519</v>
      </c>
      <c r="R25" s="561" t="n">
        <v>45640</v>
      </c>
      <c r="S25" s="561" t="n">
        <v>45759</v>
      </c>
      <c r="T25" s="561" t="n">
        <v>45779</v>
      </c>
      <c r="U25" s="561" t="n">
        <v>45908</v>
      </c>
      <c r="V25" s="561" t="n">
        <v>46046</v>
      </c>
      <c r="W25" s="561" t="n">
        <v>46184</v>
      </c>
      <c r="X25" s="561" t="n">
        <v>46300</v>
      </c>
      <c r="Y25" s="561" t="n">
        <v>46429</v>
      </c>
      <c r="Z25" s="561" t="n">
        <v>46492</v>
      </c>
      <c r="AA25" s="561" t="n">
        <v>46492</v>
      </c>
      <c r="AB25" s="561" t="n">
        <v>46606</v>
      </c>
      <c r="AC25" s="561" t="n">
        <v>46726</v>
      </c>
      <c r="AD25" s="561" t="n">
        <v>46837</v>
      </c>
      <c r="AE25" s="561" t="n">
        <v>46960</v>
      </c>
      <c r="AF25" s="561" t="n">
        <v>47098</v>
      </c>
      <c r="AG25" s="561" t="n">
        <v>47109</v>
      </c>
      <c r="AH25" s="128" t="n">
        <v>47109</v>
      </c>
      <c r="AI25" s="57">
        <f>AH25-D25</f>
        <v/>
      </c>
    </row>
    <row r="26">
      <c r="A26" s="561" t="n"/>
      <c r="B26" s="561" t="n"/>
      <c r="C26" s="142" t="inlineStr">
        <is>
          <t>DG</t>
        </is>
      </c>
      <c r="D26" s="210" t="n">
        <v>1909</v>
      </c>
      <c r="E26" s="561" t="n">
        <v>1909</v>
      </c>
      <c r="F26" s="561" t="n">
        <v>1909</v>
      </c>
      <c r="G26" s="561" t="n">
        <v>1909</v>
      </c>
      <c r="H26" s="561" t="n">
        <v>1909</v>
      </c>
      <c r="I26" s="561" t="n">
        <v>1909</v>
      </c>
      <c r="J26" s="561" t="n">
        <v>1909</v>
      </c>
      <c r="K26" s="561" t="n">
        <v>1909</v>
      </c>
      <c r="L26" s="561" t="n">
        <v>1909</v>
      </c>
      <c r="M26" s="561" t="n">
        <v>1909</v>
      </c>
      <c r="N26" s="561" t="n">
        <v>1909</v>
      </c>
      <c r="O26" s="561" t="n">
        <v>1909</v>
      </c>
      <c r="P26" s="561" t="n">
        <v>1909</v>
      </c>
      <c r="Q26" s="561" t="n">
        <v>1909</v>
      </c>
      <c r="R26" s="561" t="n">
        <v>1909</v>
      </c>
      <c r="S26" s="561" t="n">
        <v>1909</v>
      </c>
      <c r="T26" s="561" t="n">
        <v>1909</v>
      </c>
      <c r="U26" s="561" t="n">
        <v>1909</v>
      </c>
      <c r="V26" s="561" t="n">
        <v>1909</v>
      </c>
      <c r="W26" s="561" t="n">
        <v>1909</v>
      </c>
      <c r="X26" s="561" t="n">
        <v>1909</v>
      </c>
      <c r="Y26" s="561" t="n">
        <v>1909</v>
      </c>
      <c r="Z26" s="561" t="n">
        <v>1909</v>
      </c>
      <c r="AA26" s="561" t="n">
        <v>1909</v>
      </c>
      <c r="AB26" s="561" t="n">
        <v>1909</v>
      </c>
      <c r="AC26" s="561" t="n">
        <v>1909</v>
      </c>
      <c r="AD26" s="561" t="n">
        <v>1909</v>
      </c>
      <c r="AE26" s="561" t="n">
        <v>1909</v>
      </c>
      <c r="AF26" s="561" t="n">
        <v>1909</v>
      </c>
      <c r="AG26" s="561" t="n">
        <v>1909</v>
      </c>
      <c r="AH26" s="58" t="n">
        <v>1909</v>
      </c>
      <c r="AI26" s="57">
        <f>AH26-D26</f>
        <v/>
      </c>
    </row>
    <row r="27">
      <c r="A27" s="561" t="n">
        <v>3</v>
      </c>
      <c r="B27" s="561" t="inlineStr">
        <is>
          <t>3F</t>
        </is>
      </c>
      <c r="C27" s="141" t="inlineStr">
        <is>
          <t>AHU3</t>
        </is>
      </c>
      <c r="D27" s="210" t="n">
        <v>49792</v>
      </c>
      <c r="E27" s="561" t="n">
        <v>49957</v>
      </c>
      <c r="F27" s="561" t="n">
        <v>50177</v>
      </c>
      <c r="G27" s="561" t="n">
        <v>50393</v>
      </c>
      <c r="H27" s="561" t="n">
        <v>50605</v>
      </c>
      <c r="I27" s="561" t="n">
        <v>50807</v>
      </c>
      <c r="J27" s="561" t="n">
        <v>51036</v>
      </c>
      <c r="K27" s="561" t="n">
        <v>51260</v>
      </c>
      <c r="L27" s="561" t="n">
        <v>51449</v>
      </c>
      <c r="M27" s="561" t="n">
        <v>51460</v>
      </c>
      <c r="N27" s="561" t="n">
        <v>51618</v>
      </c>
      <c r="O27" s="561" t="n">
        <v>51772</v>
      </c>
      <c r="P27" s="561" t="n">
        <v>51963</v>
      </c>
      <c r="Q27" s="561" t="n">
        <v>52158</v>
      </c>
      <c r="R27" s="561" t="n">
        <v>52357</v>
      </c>
      <c r="S27" s="561" t="n">
        <v>52555</v>
      </c>
      <c r="T27" s="561" t="n">
        <v>52567</v>
      </c>
      <c r="U27" s="561" t="n">
        <v>52955</v>
      </c>
      <c r="V27" s="561" t="n">
        <v>53163</v>
      </c>
      <c r="W27" s="561" t="n">
        <v>53359</v>
      </c>
      <c r="X27" s="561" t="n">
        <v>53565</v>
      </c>
      <c r="Y27" s="561" t="n">
        <v>53760</v>
      </c>
      <c r="Z27" s="561" t="n">
        <v>53965</v>
      </c>
      <c r="AA27" s="561" t="n">
        <v>53965</v>
      </c>
      <c r="AB27" s="561" t="n">
        <v>54364</v>
      </c>
      <c r="AC27" s="561" t="n">
        <v>54564</v>
      </c>
      <c r="AD27" s="561" t="n">
        <v>54762</v>
      </c>
      <c r="AE27" s="561" t="n">
        <v>54963</v>
      </c>
      <c r="AF27" s="561" t="n">
        <v>55165</v>
      </c>
      <c r="AG27" s="561" t="n">
        <v>55365</v>
      </c>
      <c r="AH27" s="58" t="n">
        <v>55482</v>
      </c>
      <c r="AI27" s="57">
        <f>AH27-D27</f>
        <v/>
      </c>
    </row>
    <row r="28">
      <c r="A28" s="561" t="n"/>
      <c r="B28" s="561" t="n"/>
      <c r="C28" s="142" t="inlineStr">
        <is>
          <t>DG</t>
        </is>
      </c>
      <c r="D28" s="210" t="n">
        <v>2065</v>
      </c>
      <c r="E28" s="561" t="n">
        <v>2065</v>
      </c>
      <c r="F28" s="561" t="n">
        <v>2065</v>
      </c>
      <c r="G28" s="561" t="n">
        <v>2065</v>
      </c>
      <c r="H28" s="561" t="n">
        <v>2065</v>
      </c>
      <c r="I28" s="561" t="n">
        <v>2065</v>
      </c>
      <c r="J28" s="561" t="n">
        <v>2065</v>
      </c>
      <c r="K28" s="561" t="n">
        <v>2065</v>
      </c>
      <c r="L28" s="561" t="n">
        <v>2065</v>
      </c>
      <c r="M28" s="561" t="n">
        <v>2065</v>
      </c>
      <c r="N28" s="561" t="n">
        <v>2065</v>
      </c>
      <c r="O28" s="561" t="n">
        <v>2065</v>
      </c>
      <c r="P28" s="561" t="n">
        <v>2065</v>
      </c>
      <c r="Q28" s="561" t="n">
        <v>2065</v>
      </c>
      <c r="R28" s="561" t="n">
        <v>2065</v>
      </c>
      <c r="S28" s="561" t="n">
        <v>2065</v>
      </c>
      <c r="T28" s="561" t="n">
        <v>2065</v>
      </c>
      <c r="U28" s="561" t="n">
        <v>2065</v>
      </c>
      <c r="V28" s="561" t="n">
        <v>2065</v>
      </c>
      <c r="W28" s="561" t="n">
        <v>2065</v>
      </c>
      <c r="X28" s="561" t="n">
        <v>2065</v>
      </c>
      <c r="Y28" s="561" t="n">
        <v>2065</v>
      </c>
      <c r="Z28" s="561" t="n">
        <v>2065</v>
      </c>
      <c r="AA28" s="561" t="n">
        <v>2065</v>
      </c>
      <c r="AB28" s="561" t="n">
        <v>2065</v>
      </c>
      <c r="AC28" s="561" t="n">
        <v>2065</v>
      </c>
      <c r="AD28" s="561" t="n">
        <v>2065</v>
      </c>
      <c r="AE28" s="561" t="n">
        <v>2065</v>
      </c>
      <c r="AF28" s="561" t="n">
        <v>2065</v>
      </c>
      <c r="AG28" s="561" t="n">
        <v>2065</v>
      </c>
      <c r="AH28" s="58" t="n">
        <v>2065</v>
      </c>
      <c r="AI28" s="57">
        <f>AH28-D28</f>
        <v/>
      </c>
    </row>
    <row r="29">
      <c r="A29" s="561" t="n">
        <v>4</v>
      </c>
      <c r="B29" s="561" t="inlineStr">
        <is>
          <t>3F</t>
        </is>
      </c>
      <c r="C29" s="141" t="inlineStr">
        <is>
          <t>AHU4</t>
        </is>
      </c>
      <c r="D29" s="130" t="n">
        <v>37838</v>
      </c>
      <c r="E29" s="561" t="n">
        <v>37877</v>
      </c>
      <c r="F29" s="561" t="n">
        <v>37877</v>
      </c>
      <c r="G29" s="561" t="n">
        <v>37957</v>
      </c>
      <c r="H29" s="561" t="n">
        <v>38038</v>
      </c>
      <c r="I29" s="561" t="n">
        <v>38094</v>
      </c>
      <c r="J29" s="561" t="n">
        <v>38160</v>
      </c>
      <c r="K29" s="561" t="n">
        <v>38220</v>
      </c>
      <c r="L29" s="561" t="n">
        <v>38221</v>
      </c>
      <c r="M29" s="561" t="n">
        <v>38221</v>
      </c>
      <c r="N29" s="561" t="n">
        <v>38298</v>
      </c>
      <c r="O29" s="561" t="n">
        <v>38361</v>
      </c>
      <c r="P29" s="561" t="n">
        <v>38437</v>
      </c>
      <c r="Q29" s="561" t="n">
        <v>38513</v>
      </c>
      <c r="R29" s="561" t="n">
        <v>38591</v>
      </c>
      <c r="S29" s="561" t="n">
        <v>38641</v>
      </c>
      <c r="T29" s="561" t="n">
        <v>38660</v>
      </c>
      <c r="U29" s="561" t="n">
        <v>38742</v>
      </c>
      <c r="V29" s="561" t="n">
        <v>38814</v>
      </c>
      <c r="W29" s="561" t="n">
        <v>38901</v>
      </c>
      <c r="X29" s="561" t="n">
        <v>38975</v>
      </c>
      <c r="Y29" s="561" t="n">
        <v>39062</v>
      </c>
      <c r="Z29" s="561" t="n">
        <v>39134</v>
      </c>
      <c r="AA29" s="561" t="n">
        <v>39134</v>
      </c>
      <c r="AB29" s="561" t="n">
        <v>39217</v>
      </c>
      <c r="AC29" s="561" t="n">
        <v>39303</v>
      </c>
      <c r="AD29" s="561" t="n">
        <v>39379</v>
      </c>
      <c r="AE29" s="561" t="n">
        <v>39476</v>
      </c>
      <c r="AF29" s="561" t="n">
        <v>39552</v>
      </c>
      <c r="AG29" s="561" t="n">
        <v>39552</v>
      </c>
      <c r="AH29" s="128" t="n">
        <v>39556</v>
      </c>
      <c r="AI29" s="57">
        <f>AH29-D29</f>
        <v/>
      </c>
    </row>
    <row r="30">
      <c r="A30" s="561" t="n"/>
      <c r="B30" s="561" t="n"/>
      <c r="C30" s="142" t="inlineStr">
        <is>
          <t>DG</t>
        </is>
      </c>
      <c r="D30" s="210" t="n">
        <v>1786</v>
      </c>
      <c r="E30" s="561" t="n">
        <v>1786</v>
      </c>
      <c r="F30" s="561" t="n">
        <v>1786</v>
      </c>
      <c r="G30" s="561" t="n">
        <v>1786</v>
      </c>
      <c r="H30" s="561" t="n">
        <v>1786</v>
      </c>
      <c r="I30" s="561" t="n">
        <v>1786</v>
      </c>
      <c r="J30" s="561" t="n">
        <v>1786</v>
      </c>
      <c r="K30" s="561" t="n">
        <v>1786</v>
      </c>
      <c r="L30" s="561" t="n">
        <v>1786</v>
      </c>
      <c r="M30" s="561" t="n">
        <v>1786</v>
      </c>
      <c r="N30" s="561" t="n">
        <v>1786</v>
      </c>
      <c r="O30" s="561" t="n">
        <v>1786</v>
      </c>
      <c r="P30" s="561" t="n">
        <v>1786</v>
      </c>
      <c r="Q30" s="561" t="n">
        <v>1786</v>
      </c>
      <c r="R30" s="561" t="n">
        <v>1786</v>
      </c>
      <c r="S30" s="561" t="n">
        <v>1786</v>
      </c>
      <c r="T30" s="561" t="n">
        <v>1786</v>
      </c>
      <c r="U30" s="561" t="n">
        <v>1786</v>
      </c>
      <c r="V30" s="561" t="n">
        <v>1786</v>
      </c>
      <c r="W30" s="561" t="n">
        <v>1786</v>
      </c>
      <c r="X30" s="561" t="n">
        <v>1786</v>
      </c>
      <c r="Y30" s="561" t="n">
        <v>1786</v>
      </c>
      <c r="Z30" s="561" t="n">
        <v>1786</v>
      </c>
      <c r="AA30" s="561" t="n">
        <v>1786</v>
      </c>
      <c r="AB30" s="561" t="n">
        <v>1786</v>
      </c>
      <c r="AC30" s="561" t="n">
        <v>1786</v>
      </c>
      <c r="AD30" s="561" t="n">
        <v>1786</v>
      </c>
      <c r="AE30" s="561" t="n">
        <v>1786</v>
      </c>
      <c r="AF30" s="561" t="n">
        <v>1786</v>
      </c>
      <c r="AG30" s="561" t="n">
        <v>1786</v>
      </c>
      <c r="AH30" s="58" t="n">
        <v>1786</v>
      </c>
      <c r="AI30" s="57">
        <f>AH30-D30</f>
        <v/>
      </c>
    </row>
    <row r="31">
      <c r="A31" s="561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01" t="n"/>
    </row>
    <row r="32">
      <c r="A32" s="561" t="n">
        <v>1</v>
      </c>
      <c r="B32" s="561" t="inlineStr">
        <is>
          <t>3F</t>
        </is>
      </c>
      <c r="C32" s="141" t="inlineStr">
        <is>
          <t>AHU1 - BTU</t>
        </is>
      </c>
      <c r="D32" s="212" t="n">
        <v>372385</v>
      </c>
      <c r="E32" s="44" t="n">
        <v>372886</v>
      </c>
      <c r="F32" s="150" t="n">
        <v>372886</v>
      </c>
      <c r="G32" s="150" t="n">
        <v>373331</v>
      </c>
      <c r="H32" s="150" t="n">
        <v>373790</v>
      </c>
      <c r="I32" s="44" t="n">
        <v>374233</v>
      </c>
      <c r="J32" s="150" t="n">
        <v>374725</v>
      </c>
      <c r="K32" s="150" t="n">
        <v>375086</v>
      </c>
      <c r="L32" s="150" t="n">
        <v>375223</v>
      </c>
      <c r="M32" s="44" t="n">
        <v>375223</v>
      </c>
      <c r="N32" s="150" t="n">
        <v>375666</v>
      </c>
      <c r="O32" s="150" t="n">
        <v>376119</v>
      </c>
      <c r="P32" s="150" t="n">
        <v>376497</v>
      </c>
      <c r="Q32" s="44" t="n">
        <v>376911</v>
      </c>
      <c r="R32" s="150" t="n">
        <v>377195</v>
      </c>
      <c r="S32" s="150" t="n">
        <v>377392</v>
      </c>
      <c r="T32" s="150" t="n">
        <v>377418</v>
      </c>
      <c r="U32" s="44" t="n">
        <v>377793</v>
      </c>
      <c r="V32" s="150" t="n">
        <v>378097</v>
      </c>
      <c r="W32" s="150" t="n">
        <v>378522</v>
      </c>
      <c r="X32" s="150" t="n">
        <v>378905</v>
      </c>
      <c r="Y32" s="44" t="n">
        <v>379169</v>
      </c>
      <c r="Z32" s="150" t="n">
        <v>379493</v>
      </c>
      <c r="AA32" s="150" t="n">
        <v>379496</v>
      </c>
      <c r="AB32" s="150" t="n">
        <v>379859</v>
      </c>
      <c r="AC32" s="44" t="n">
        <v>380258</v>
      </c>
      <c r="AD32" s="150" t="n">
        <v>380634</v>
      </c>
      <c r="AE32" s="150" t="n">
        <v>380935</v>
      </c>
      <c r="AF32" s="150" t="n">
        <v>381253</v>
      </c>
      <c r="AG32" s="44" t="n">
        <v>381318</v>
      </c>
      <c r="AH32" s="207" t="n">
        <v>381319</v>
      </c>
      <c r="AI32" s="57">
        <f>AH32-D32</f>
        <v/>
      </c>
    </row>
    <row r="33">
      <c r="A33" s="561" t="n">
        <v>2</v>
      </c>
      <c r="B33" s="561" t="inlineStr">
        <is>
          <t>3F</t>
        </is>
      </c>
      <c r="C33" s="141" t="inlineStr">
        <is>
          <t>AHU2 - BTU</t>
        </is>
      </c>
      <c r="D33" s="212" t="n">
        <v>349743</v>
      </c>
      <c r="E33" s="150" t="n">
        <v>350195</v>
      </c>
      <c r="F33" s="150" t="n">
        <v>350195</v>
      </c>
      <c r="G33" s="150" t="n">
        <v>350689</v>
      </c>
      <c r="H33" s="150" t="n">
        <v>351161</v>
      </c>
      <c r="I33" s="150" t="n">
        <v>351360</v>
      </c>
      <c r="J33" s="150" t="n">
        <v>351750</v>
      </c>
      <c r="K33" s="150" t="n">
        <v>352211</v>
      </c>
      <c r="L33" s="150" t="n">
        <v>352268</v>
      </c>
      <c r="M33" s="150" t="n">
        <v>352268</v>
      </c>
      <c r="N33" s="150" t="n">
        <v>352645</v>
      </c>
      <c r="O33" s="150" t="n">
        <v>353051</v>
      </c>
      <c r="P33" s="150" t="n">
        <v>353410</v>
      </c>
      <c r="Q33" s="150" t="n">
        <v>353738</v>
      </c>
      <c r="R33" s="150" t="n">
        <v>354109</v>
      </c>
      <c r="S33" s="150" t="n">
        <v>354411</v>
      </c>
      <c r="T33" s="150" t="n">
        <v>354446</v>
      </c>
      <c r="U33" s="150" t="n">
        <v>354833</v>
      </c>
      <c r="V33" s="150" t="n">
        <v>355204</v>
      </c>
      <c r="W33" s="150" t="n">
        <v>355568</v>
      </c>
      <c r="X33" s="150" t="n">
        <v>355884</v>
      </c>
      <c r="Y33" s="150" t="n">
        <v>356222</v>
      </c>
      <c r="Z33" s="150" t="n">
        <v>356455</v>
      </c>
      <c r="AA33" s="150" t="n">
        <v>356455</v>
      </c>
      <c r="AB33" s="150" t="n">
        <v>356807</v>
      </c>
      <c r="AC33" s="150" t="n">
        <v>357160</v>
      </c>
      <c r="AD33" s="150" t="n">
        <v>357468</v>
      </c>
      <c r="AE33" s="150" t="n">
        <v>357754</v>
      </c>
      <c r="AF33" s="150" t="n">
        <v>358060</v>
      </c>
      <c r="AG33" s="150" t="n">
        <v>358128</v>
      </c>
      <c r="AH33" s="207" t="n">
        <v>358128</v>
      </c>
      <c r="AI33" s="57">
        <f>AH33-D33</f>
        <v/>
      </c>
    </row>
    <row r="34">
      <c r="A34" s="561" t="n">
        <v>3</v>
      </c>
      <c r="B34" s="561" t="inlineStr">
        <is>
          <t>3F</t>
        </is>
      </c>
      <c r="C34" s="141" t="inlineStr">
        <is>
          <t>AHU3 - BTU</t>
        </is>
      </c>
      <c r="D34" s="212" t="n">
        <v>366099</v>
      </c>
      <c r="E34" s="150" t="n">
        <v>366730</v>
      </c>
      <c r="F34" s="150" t="n">
        <v>367031</v>
      </c>
      <c r="G34" s="150" t="n">
        <v>367753</v>
      </c>
      <c r="H34" s="150" t="n">
        <v>368219</v>
      </c>
      <c r="I34" s="150" t="n">
        <v>368592</v>
      </c>
      <c r="J34" s="150" t="n">
        <v>369097</v>
      </c>
      <c r="K34" s="150" t="n">
        <v>369675</v>
      </c>
      <c r="L34" s="150" t="n">
        <v>370025</v>
      </c>
      <c r="M34" s="150" t="n">
        <v>370025</v>
      </c>
      <c r="N34" s="150" t="n">
        <v>370612</v>
      </c>
      <c r="O34" s="150" t="n">
        <v>371161</v>
      </c>
      <c r="P34" s="150" t="n">
        <v>371632</v>
      </c>
      <c r="Q34" s="150" t="n">
        <v>372130</v>
      </c>
      <c r="R34" s="150" t="n">
        <v>372705</v>
      </c>
      <c r="S34" s="150" t="n">
        <v>373070</v>
      </c>
      <c r="T34" s="150" t="n">
        <v>373402</v>
      </c>
      <c r="U34" s="150" t="n">
        <v>373884</v>
      </c>
      <c r="V34" s="150" t="n">
        <v>374412</v>
      </c>
      <c r="W34" s="150" t="n">
        <v>374871</v>
      </c>
      <c r="X34" s="150" t="n">
        <v>375368</v>
      </c>
      <c r="Y34" s="150" t="n">
        <v>375822</v>
      </c>
      <c r="Z34" s="150" t="n">
        <v>376345</v>
      </c>
      <c r="AA34" s="150" t="n">
        <v>376724</v>
      </c>
      <c r="AB34" s="150" t="n">
        <v>377212</v>
      </c>
      <c r="AC34" s="150" t="n">
        <v>377772</v>
      </c>
      <c r="AD34" s="150" t="n">
        <v>378257</v>
      </c>
      <c r="AE34" s="150" t="n">
        <v>378386</v>
      </c>
      <c r="AF34" s="150" t="n">
        <v>379011</v>
      </c>
      <c r="AG34" s="150" t="n">
        <v>379349</v>
      </c>
      <c r="AH34" s="207" t="n">
        <v>379512</v>
      </c>
      <c r="AI34" s="57">
        <f>AH34-D34</f>
        <v/>
      </c>
    </row>
    <row r="35">
      <c r="A35" s="561" t="n">
        <v>4</v>
      </c>
      <c r="B35" s="561" t="inlineStr">
        <is>
          <t>3F</t>
        </is>
      </c>
      <c r="C35" s="141" t="inlineStr">
        <is>
          <t>AHU4 - BTU</t>
        </is>
      </c>
      <c r="D35" s="212" t="n">
        <v>399618</v>
      </c>
      <c r="E35" s="150" t="n">
        <v>400108</v>
      </c>
      <c r="F35" s="150" t="n">
        <v>400166</v>
      </c>
      <c r="G35" s="150" t="n">
        <v>400862</v>
      </c>
      <c r="H35" s="150" t="n">
        <v>401600</v>
      </c>
      <c r="I35" s="150" t="n">
        <v>402142</v>
      </c>
      <c r="J35" s="150" t="n">
        <v>402804</v>
      </c>
      <c r="K35" s="150" t="n">
        <v>403363</v>
      </c>
      <c r="L35" s="150" t="n">
        <v>403409</v>
      </c>
      <c r="M35" s="150" t="n">
        <v>403409</v>
      </c>
      <c r="N35" s="150" t="n">
        <v>404093</v>
      </c>
      <c r="O35" s="150" t="n">
        <v>404765</v>
      </c>
      <c r="P35" s="202" t="n">
        <v>405295</v>
      </c>
      <c r="Q35" s="150" t="n">
        <v>405869</v>
      </c>
      <c r="R35" s="150" t="n">
        <v>406369</v>
      </c>
      <c r="S35" s="150" t="n">
        <v>406677</v>
      </c>
      <c r="T35" s="150" t="n">
        <v>406751</v>
      </c>
      <c r="U35" s="150" t="n">
        <v>407304</v>
      </c>
      <c r="V35" s="150" t="n">
        <v>407704</v>
      </c>
      <c r="W35" s="150" t="n">
        <v>408191</v>
      </c>
      <c r="X35" s="150" t="n">
        <v>408645</v>
      </c>
      <c r="Y35" s="150" t="n">
        <v>409153</v>
      </c>
      <c r="Z35" s="150" t="n">
        <v>409536</v>
      </c>
      <c r="AA35" s="150" t="n">
        <v>409580</v>
      </c>
      <c r="AB35" s="150" t="n">
        <v>410125</v>
      </c>
      <c r="AC35" s="150" t="n">
        <v>410649</v>
      </c>
      <c r="AD35" s="150" t="n">
        <v>411141</v>
      </c>
      <c r="AE35" s="150" t="n">
        <v>411634</v>
      </c>
      <c r="AF35" s="150" t="n">
        <v>412243</v>
      </c>
      <c r="AG35" s="150" t="n">
        <v>412307</v>
      </c>
      <c r="AH35" s="207" t="n">
        <v>412336</v>
      </c>
      <c r="AI35" s="57">
        <f>AH35-D35</f>
        <v/>
      </c>
    </row>
    <row r="36">
      <c r="A36" s="180" t="n"/>
      <c r="B36" s="180" t="n"/>
      <c r="C36" s="143" t="n"/>
      <c r="D36" s="180" t="n"/>
      <c r="E36" s="13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  <c r="AA36" s="180" t="n"/>
      <c r="AB36" s="180" t="n"/>
      <c r="AC36" s="6" t="n"/>
      <c r="AD36" s="180" t="n"/>
      <c r="AE36" s="180" t="n"/>
      <c r="AF36" s="180" t="n"/>
      <c r="AG36" s="180" t="n"/>
      <c r="AH36" s="180" t="n"/>
      <c r="AI36" s="181">
        <f>SUM(AI32:AI35)</f>
        <v/>
      </c>
      <c r="AJ36">
        <f>AI36*40%</f>
        <v/>
      </c>
    </row>
    <row r="37">
      <c r="A37" s="14" t="n"/>
      <c r="B37" s="137" t="n"/>
      <c r="C37" s="144" t="n"/>
      <c r="D37" s="138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</row>
    <row r="38">
      <c r="A38" s="93" t="n"/>
      <c r="B38" s="539" t="inlineStr">
        <is>
          <t xml:space="preserve"> Daily Energy Report</t>
        </is>
      </c>
      <c r="C38" s="520" t="n"/>
      <c r="D38" s="501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</row>
    <row r="39">
      <c r="A39" s="94" t="n"/>
      <c r="B39" s="534" t="inlineStr">
        <is>
          <t>Electricity Consumption</t>
        </is>
      </c>
      <c r="C39" s="520" t="n"/>
      <c r="D39" s="501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4" t="n"/>
    </row>
    <row r="40">
      <c r="A40" s="533" t="inlineStr">
        <is>
          <t>Sr.No</t>
        </is>
      </c>
      <c r="B40" s="533" t="inlineStr">
        <is>
          <t>Location</t>
        </is>
      </c>
      <c r="C40" s="533" t="inlineStr">
        <is>
          <t>Meter</t>
        </is>
      </c>
      <c r="D40" s="522" t="n"/>
      <c r="E40" s="95">
        <f>E2</f>
        <v/>
      </c>
      <c r="F40" s="95">
        <f>F2</f>
        <v/>
      </c>
      <c r="G40" s="95">
        <f>G2</f>
        <v/>
      </c>
      <c r="H40" s="95">
        <f>H2</f>
        <v/>
      </c>
      <c r="I40" s="95">
        <f>I2</f>
        <v/>
      </c>
      <c r="J40" s="95">
        <f>J2</f>
        <v/>
      </c>
      <c r="K40" s="95">
        <f>K2</f>
        <v/>
      </c>
      <c r="L40" s="95">
        <f>L2</f>
        <v/>
      </c>
      <c r="M40" s="95">
        <f>M2</f>
        <v/>
      </c>
      <c r="N40" s="95">
        <f>N2</f>
        <v/>
      </c>
      <c r="O40" s="95">
        <f>O2</f>
        <v/>
      </c>
      <c r="P40" s="95">
        <f>P2</f>
        <v/>
      </c>
      <c r="Q40" s="95">
        <f>Q2</f>
        <v/>
      </c>
      <c r="R40" s="95">
        <f>R2</f>
        <v/>
      </c>
      <c r="S40" s="95">
        <f>S2</f>
        <v/>
      </c>
      <c r="T40" s="95">
        <f>T2</f>
        <v/>
      </c>
      <c r="U40" s="95">
        <f>U2</f>
        <v/>
      </c>
      <c r="V40" s="95">
        <f>V2</f>
        <v/>
      </c>
      <c r="W40" s="95">
        <f>W2</f>
        <v/>
      </c>
      <c r="X40" s="95">
        <f>X2</f>
        <v/>
      </c>
      <c r="Y40" s="95">
        <f>Y2</f>
        <v/>
      </c>
      <c r="Z40" s="95">
        <f>Z2</f>
        <v/>
      </c>
      <c r="AA40" s="95">
        <f>AA2</f>
        <v/>
      </c>
      <c r="AB40" s="95">
        <f>AB2</f>
        <v/>
      </c>
      <c r="AC40" s="95">
        <f>AC2</f>
        <v/>
      </c>
      <c r="AD40" s="95">
        <f>AD2</f>
        <v/>
      </c>
      <c r="AE40" s="95">
        <f>AE2</f>
        <v/>
      </c>
      <c r="AF40" s="95">
        <f>AF2</f>
        <v/>
      </c>
      <c r="AG40" s="95">
        <f>AG2</f>
        <v/>
      </c>
      <c r="AH40" s="95">
        <f>AH2</f>
        <v/>
      </c>
      <c r="AI40" s="533" t="inlineStr">
        <is>
          <t>Consumption</t>
        </is>
      </c>
    </row>
    <row r="41">
      <c r="A41" s="516" t="n"/>
      <c r="B41" s="516" t="n"/>
      <c r="C41" s="523" t="n"/>
      <c r="D41" s="524" t="n"/>
      <c r="E41" s="96" t="inlineStr">
        <is>
          <t>Wed</t>
        </is>
      </c>
      <c r="F41" s="96" t="inlineStr">
        <is>
          <t>Thu</t>
        </is>
      </c>
      <c r="G41" s="96" t="inlineStr">
        <is>
          <t>Fri</t>
        </is>
      </c>
      <c r="H41" s="96" t="inlineStr">
        <is>
          <t>Sat</t>
        </is>
      </c>
      <c r="I41" s="96" t="inlineStr">
        <is>
          <t>Sun</t>
        </is>
      </c>
      <c r="J41" s="96" t="inlineStr">
        <is>
          <t>Mon</t>
        </is>
      </c>
      <c r="K41" s="96" t="inlineStr">
        <is>
          <t>Tue</t>
        </is>
      </c>
      <c r="L41" s="96" t="inlineStr">
        <is>
          <t>Wed</t>
        </is>
      </c>
      <c r="M41" s="96" t="inlineStr">
        <is>
          <t>Thu</t>
        </is>
      </c>
      <c r="N41" s="96" t="inlineStr">
        <is>
          <t>Fri</t>
        </is>
      </c>
      <c r="O41" s="96" t="inlineStr">
        <is>
          <t>Sat</t>
        </is>
      </c>
      <c r="P41" s="96" t="inlineStr">
        <is>
          <t>Sun</t>
        </is>
      </c>
      <c r="Q41" s="96" t="inlineStr">
        <is>
          <t>Mon</t>
        </is>
      </c>
      <c r="R41" s="96" t="inlineStr">
        <is>
          <t>Tue</t>
        </is>
      </c>
      <c r="S41" s="96" t="inlineStr">
        <is>
          <t>Wed</t>
        </is>
      </c>
      <c r="T41" s="96" t="inlineStr">
        <is>
          <t>Thu</t>
        </is>
      </c>
      <c r="U41" s="96" t="inlineStr">
        <is>
          <t>Fri</t>
        </is>
      </c>
      <c r="V41" s="96" t="inlineStr">
        <is>
          <t>Sat</t>
        </is>
      </c>
      <c r="W41" s="96" t="inlineStr">
        <is>
          <t>Sun</t>
        </is>
      </c>
      <c r="X41" s="96" t="inlineStr">
        <is>
          <t>Mon</t>
        </is>
      </c>
      <c r="Y41" s="96" t="inlineStr">
        <is>
          <t>Tue</t>
        </is>
      </c>
      <c r="Z41" s="96" t="inlineStr">
        <is>
          <t>Wed</t>
        </is>
      </c>
      <c r="AA41" s="96" t="inlineStr">
        <is>
          <t>Thu</t>
        </is>
      </c>
      <c r="AB41" s="96" t="inlineStr">
        <is>
          <t>Fri</t>
        </is>
      </c>
      <c r="AC41" s="96" t="inlineStr">
        <is>
          <t>Sat</t>
        </is>
      </c>
      <c r="AD41" s="96" t="inlineStr">
        <is>
          <t>Sun</t>
        </is>
      </c>
      <c r="AE41" s="96" t="inlineStr">
        <is>
          <t>Mon</t>
        </is>
      </c>
      <c r="AF41" s="96" t="inlineStr">
        <is>
          <t>Tue</t>
        </is>
      </c>
      <c r="AG41" s="96" t="inlineStr">
        <is>
          <t>Wed</t>
        </is>
      </c>
      <c r="AH41" s="96" t="inlineStr">
        <is>
          <t>Thu</t>
        </is>
      </c>
      <c r="AI41" s="516" t="n"/>
    </row>
    <row r="42">
      <c r="A42" s="516" t="n"/>
      <c r="B42" s="516" t="n"/>
      <c r="C42" s="523" t="n"/>
      <c r="D42" s="524" t="n"/>
      <c r="E42" s="97" t="inlineStr">
        <is>
          <t>Time</t>
        </is>
      </c>
      <c r="F42" s="97" t="inlineStr">
        <is>
          <t>Time</t>
        </is>
      </c>
      <c r="G42" s="97" t="inlineStr">
        <is>
          <t>Time</t>
        </is>
      </c>
      <c r="H42" s="97" t="inlineStr">
        <is>
          <t>Time</t>
        </is>
      </c>
      <c r="I42" s="97" t="inlineStr">
        <is>
          <t>Time</t>
        </is>
      </c>
      <c r="J42" s="97" t="inlineStr">
        <is>
          <t>Time</t>
        </is>
      </c>
      <c r="K42" s="97" t="inlineStr">
        <is>
          <t>Time</t>
        </is>
      </c>
      <c r="L42" s="97" t="inlineStr">
        <is>
          <t>Time</t>
        </is>
      </c>
      <c r="M42" s="97" t="inlineStr">
        <is>
          <t>Time</t>
        </is>
      </c>
      <c r="N42" s="97" t="inlineStr">
        <is>
          <t>Time</t>
        </is>
      </c>
      <c r="O42" s="97" t="inlineStr">
        <is>
          <t>Time</t>
        </is>
      </c>
      <c r="P42" s="97" t="inlineStr">
        <is>
          <t>Time</t>
        </is>
      </c>
      <c r="Q42" s="97" t="inlineStr">
        <is>
          <t>Time</t>
        </is>
      </c>
      <c r="R42" s="97" t="inlineStr">
        <is>
          <t>Time</t>
        </is>
      </c>
      <c r="S42" s="97" t="inlineStr">
        <is>
          <t>Time</t>
        </is>
      </c>
      <c r="T42" s="97" t="inlineStr">
        <is>
          <t>Time</t>
        </is>
      </c>
      <c r="U42" s="97" t="inlineStr">
        <is>
          <t>Time</t>
        </is>
      </c>
      <c r="V42" s="97" t="inlineStr">
        <is>
          <t>Time</t>
        </is>
      </c>
      <c r="W42" s="97" t="inlineStr">
        <is>
          <t>Time</t>
        </is>
      </c>
      <c r="X42" s="97" t="inlineStr">
        <is>
          <t>Time</t>
        </is>
      </c>
      <c r="Y42" s="97" t="inlineStr">
        <is>
          <t>Time</t>
        </is>
      </c>
      <c r="Z42" s="97" t="inlineStr">
        <is>
          <t>Time</t>
        </is>
      </c>
      <c r="AA42" s="97" t="inlineStr">
        <is>
          <t>Time</t>
        </is>
      </c>
      <c r="AB42" s="97" t="inlineStr">
        <is>
          <t>Time</t>
        </is>
      </c>
      <c r="AC42" s="97" t="inlineStr">
        <is>
          <t>Time</t>
        </is>
      </c>
      <c r="AD42" s="97" t="inlineStr">
        <is>
          <t>Time</t>
        </is>
      </c>
      <c r="AE42" s="97" t="inlineStr">
        <is>
          <t>Time</t>
        </is>
      </c>
      <c r="AF42" s="97" t="inlineStr">
        <is>
          <t>Time</t>
        </is>
      </c>
      <c r="AG42" s="97" t="inlineStr">
        <is>
          <t>Time</t>
        </is>
      </c>
      <c r="AH42" s="95">
        <f>AH4</f>
        <v/>
      </c>
      <c r="AI42" s="516" t="n"/>
    </row>
    <row r="43">
      <c r="A43" s="517" t="n"/>
      <c r="B43" s="517" t="n"/>
      <c r="C43" s="525" t="n"/>
      <c r="D43" s="526" t="n"/>
      <c r="E43" s="98" t="n">
        <v>0.3333333333333333</v>
      </c>
      <c r="F43" s="98" t="n">
        <v>0.3333333333333333</v>
      </c>
      <c r="G43" s="98" t="n">
        <v>0.3333333333333333</v>
      </c>
      <c r="H43" s="98" t="n">
        <v>0.3333333333333333</v>
      </c>
      <c r="I43" s="98" t="n">
        <v>0.3333333333333333</v>
      </c>
      <c r="J43" s="98" t="n">
        <v>0.3333333333333333</v>
      </c>
      <c r="K43" s="98" t="n">
        <v>0.3333333333333333</v>
      </c>
      <c r="L43" s="98" t="n">
        <v>0.3333333333333333</v>
      </c>
      <c r="M43" s="98" t="n">
        <v>0.3333333333333333</v>
      </c>
      <c r="N43" s="98" t="n">
        <v>0.3333333333333333</v>
      </c>
      <c r="O43" s="98" t="n">
        <v>0.3333333333333333</v>
      </c>
      <c r="P43" s="98" t="n">
        <v>0.3333333333333333</v>
      </c>
      <c r="Q43" s="98" t="n">
        <v>0.3333333333333333</v>
      </c>
      <c r="R43" s="98" t="n">
        <v>0.3333333333333333</v>
      </c>
      <c r="S43" s="98" t="n">
        <v>0.3333333333333333</v>
      </c>
      <c r="T43" s="98" t="n">
        <v>0.3333333333333333</v>
      </c>
      <c r="U43" s="98" t="n">
        <v>0.3333333333333333</v>
      </c>
      <c r="V43" s="98" t="n">
        <v>0.3333333333333333</v>
      </c>
      <c r="W43" s="98" t="n">
        <v>0.3333333333333333</v>
      </c>
      <c r="X43" s="98" t="n">
        <v>0.3333333333333333</v>
      </c>
      <c r="Y43" s="98" t="n">
        <v>0.3333333333333333</v>
      </c>
      <c r="Z43" s="98" t="n">
        <v>0.3333333333333333</v>
      </c>
      <c r="AA43" s="98" t="n">
        <v>0.3333333333333333</v>
      </c>
      <c r="AB43" s="98" t="n">
        <v>0.3333333333333333</v>
      </c>
      <c r="AC43" s="98" t="n">
        <v>0.3333333333333333</v>
      </c>
      <c r="AD43" s="98" t="n">
        <v>0.3333333333333333</v>
      </c>
      <c r="AE43" s="98" t="n">
        <v>0.3333333333333333</v>
      </c>
      <c r="AF43" s="98" t="n">
        <v>0.3333333333333333</v>
      </c>
      <c r="AG43" s="98" t="n">
        <v>0.3333333333333333</v>
      </c>
      <c r="AH43" s="98" t="n">
        <v>0.3333333333333333</v>
      </c>
      <c r="AI43" s="517" t="n"/>
    </row>
    <row r="44" ht="15" customHeight="1" s="488">
      <c r="A44" s="500" t="n">
        <v>1</v>
      </c>
      <c r="B44" s="500" t="inlineStr">
        <is>
          <t>3F</t>
        </is>
      </c>
      <c r="C44" s="500" t="inlineStr">
        <is>
          <t>SL No 540430038840 (EB Unit)</t>
        </is>
      </c>
      <c r="D44" s="501" t="n"/>
      <c r="E44" s="20">
        <f>E6-D6</f>
        <v/>
      </c>
      <c r="F44" s="20">
        <f>F6-E6</f>
        <v/>
      </c>
      <c r="G44" s="20">
        <f>G6-F6</f>
        <v/>
      </c>
      <c r="H44" s="20">
        <f>H6-G6</f>
        <v/>
      </c>
      <c r="I44" s="20">
        <f>I6-H6</f>
        <v/>
      </c>
      <c r="J44" s="20">
        <f>J6-I6</f>
        <v/>
      </c>
      <c r="K44" s="20">
        <f>K6-J6</f>
        <v/>
      </c>
      <c r="L44" s="20">
        <f>L6-K6</f>
        <v/>
      </c>
      <c r="M44" s="20">
        <f>M6-L6</f>
        <v/>
      </c>
      <c r="N44" s="20">
        <f>N6-M6</f>
        <v/>
      </c>
      <c r="O44" s="20">
        <f>O6-N6</f>
        <v/>
      </c>
      <c r="P44" s="20">
        <f>P6-O6</f>
        <v/>
      </c>
      <c r="Q44" s="20">
        <f>Q6-P6</f>
        <v/>
      </c>
      <c r="R44" s="20">
        <f>R6-Q6</f>
        <v/>
      </c>
      <c r="S44" s="20">
        <f>S6-R6</f>
        <v/>
      </c>
      <c r="T44" s="20">
        <f>T6-S6</f>
        <v/>
      </c>
      <c r="U44" s="20">
        <f>U6-T6</f>
        <v/>
      </c>
      <c r="V44" s="20">
        <f>V6-U6</f>
        <v/>
      </c>
      <c r="W44" s="20">
        <f>W6-V6</f>
        <v/>
      </c>
      <c r="X44" s="20">
        <f>X6-W6</f>
        <v/>
      </c>
      <c r="Y44" s="20">
        <f>Y6-X6</f>
        <v/>
      </c>
      <c r="Z44" s="20">
        <f>Z6-Y6</f>
        <v/>
      </c>
      <c r="AA44" s="20">
        <f>AA6-Z6</f>
        <v/>
      </c>
      <c r="AB44" s="20">
        <f>AB6-AA6</f>
        <v/>
      </c>
      <c r="AC44" s="20">
        <f>AC6-AB6</f>
        <v/>
      </c>
      <c r="AD44" s="20">
        <f>AD6-AC6</f>
        <v/>
      </c>
      <c r="AE44" s="20">
        <f>AE6-AD6</f>
        <v/>
      </c>
      <c r="AF44" s="20">
        <f>AF6-AE6</f>
        <v/>
      </c>
      <c r="AG44" s="20">
        <f>AG6-AF6</f>
        <v/>
      </c>
      <c r="AH44" s="20">
        <f>AH6-AG6</f>
        <v/>
      </c>
      <c r="AI44" s="21">
        <f>SUM(E44:AH44)</f>
        <v/>
      </c>
    </row>
    <row r="45" ht="15" customHeight="1" s="488">
      <c r="A45" s="500" t="n"/>
      <c r="B45" s="500" t="n"/>
      <c r="C45" s="529" t="inlineStr">
        <is>
          <t>DG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1">
        <f>SUM(E45:AH45)</f>
        <v/>
      </c>
    </row>
    <row r="46" ht="15" customHeight="1" s="488">
      <c r="A46" s="500" t="n">
        <v>2</v>
      </c>
      <c r="B46" s="500" t="inlineStr">
        <is>
          <t>3F</t>
        </is>
      </c>
      <c r="C46" s="500" t="inlineStr">
        <is>
          <t>SL No 540430038845 (EB Unit)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1">
        <f>SUM(E46:AH46)</f>
        <v/>
      </c>
    </row>
    <row r="47" ht="15" customHeight="1" s="488">
      <c r="A47" s="500" t="n"/>
      <c r="B47" s="500" t="n"/>
      <c r="C47" s="529" t="inlineStr">
        <is>
          <t>DG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1">
        <f>SUM(E47:AH47)</f>
        <v/>
      </c>
    </row>
    <row r="48" ht="15" customHeight="1" s="488">
      <c r="A48" s="500" t="n">
        <v>3</v>
      </c>
      <c r="B48" s="500" t="inlineStr">
        <is>
          <t>3F</t>
        </is>
      </c>
      <c r="C48" s="500" t="inlineStr">
        <is>
          <t>SL No 540430038844 (EB Unit)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1">
        <f>SUM(E48:AH48)</f>
        <v/>
      </c>
    </row>
    <row r="49" ht="15" customHeight="1" s="488">
      <c r="A49" s="500" t="n"/>
      <c r="B49" s="500" t="n"/>
      <c r="C49" s="529" t="inlineStr">
        <is>
          <t>DG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1">
        <f>SUM(E49:AH49)</f>
        <v/>
      </c>
    </row>
    <row r="50" ht="15" customHeight="1" s="488">
      <c r="A50" s="500" t="n">
        <v>4</v>
      </c>
      <c r="B50" s="500" t="inlineStr">
        <is>
          <t>3F</t>
        </is>
      </c>
      <c r="C50" s="500" t="inlineStr">
        <is>
          <t>SL No 540430038821 (EB Unit)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1">
        <f>SUM(E50:AH50)</f>
        <v/>
      </c>
    </row>
    <row r="51" ht="15" customHeight="1" s="488">
      <c r="A51" s="500" t="n"/>
      <c r="B51" s="500" t="n"/>
      <c r="C51" s="529" t="inlineStr">
        <is>
          <t>DG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1">
        <f>SUM(E51:AH51)</f>
        <v/>
      </c>
    </row>
    <row r="52" ht="15" customHeight="1" s="488">
      <c r="A52" s="500" t="n">
        <v>5</v>
      </c>
      <c r="B52" s="500" t="inlineStr">
        <is>
          <t>3F</t>
        </is>
      </c>
      <c r="C52" s="500" t="inlineStr">
        <is>
          <t>SL No 540430038849 (EB Unit)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1">
        <f>SUM(E52:AH52)</f>
        <v/>
      </c>
    </row>
    <row r="53" ht="15" customHeight="1" s="488">
      <c r="A53" s="500" t="n"/>
      <c r="B53" s="500" t="n"/>
      <c r="C53" s="529" t="inlineStr">
        <is>
          <t>DG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1">
        <f>SUM(E53:AH53)</f>
        <v/>
      </c>
    </row>
    <row r="54" ht="15" customHeight="1" s="488">
      <c r="A54" s="500" t="n">
        <v>6</v>
      </c>
      <c r="B54" s="500" t="inlineStr">
        <is>
          <t>3F</t>
        </is>
      </c>
      <c r="C54" s="500" t="inlineStr">
        <is>
          <t>SL No 540430038696 (EB Unit)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1">
        <f>SUM(E54:AH54)</f>
        <v/>
      </c>
    </row>
    <row r="55" ht="15" customHeight="1" s="488">
      <c r="A55" s="500" t="n"/>
      <c r="B55" s="500" t="n"/>
      <c r="C55" s="529" t="inlineStr">
        <is>
          <t>DG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1">
        <f>SUM(E55:AH55)</f>
        <v/>
      </c>
    </row>
    <row r="56" ht="15" customHeight="1" s="488">
      <c r="A56" s="500" t="n">
        <v>7</v>
      </c>
      <c r="B56" s="500" t="inlineStr">
        <is>
          <t>3F</t>
        </is>
      </c>
      <c r="C56" s="500" t="inlineStr">
        <is>
          <t>SL No 540430038843 (EB Unit)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1">
        <f>SUM(E56:AH56)</f>
        <v/>
      </c>
    </row>
    <row r="57" ht="15" customHeight="1" s="488">
      <c r="A57" s="500" t="n"/>
      <c r="B57" s="500" t="n"/>
      <c r="C57" s="529" t="inlineStr">
        <is>
          <t>DG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1">
        <f>SUM(E57:AH57)</f>
        <v/>
      </c>
    </row>
    <row r="58" ht="15" customHeight="1" s="488">
      <c r="A58" s="500" t="n">
        <v>8</v>
      </c>
      <c r="B58" s="500" t="inlineStr">
        <is>
          <t>3F</t>
        </is>
      </c>
      <c r="C58" s="500" t="inlineStr">
        <is>
          <t>SL No 540430038848 (EB Unit)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1">
        <f>SUM(E58:AH58)</f>
        <v/>
      </c>
    </row>
    <row r="59" ht="15" customHeight="1" s="488">
      <c r="A59" s="500" t="n"/>
      <c r="B59" s="500" t="n"/>
      <c r="C59" s="529" t="inlineStr">
        <is>
          <t>DG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1">
        <f>SUM(E59:AH59)</f>
        <v/>
      </c>
    </row>
    <row r="60" ht="15" customHeight="1" s="488">
      <c r="A60" s="99" t="n"/>
      <c r="B60" s="99" t="n"/>
      <c r="C60" s="511" t="inlineStr">
        <is>
          <t>Total Power - EB Unit</t>
        </is>
      </c>
      <c r="D60" s="501" t="n"/>
      <c r="E60" s="23">
        <f>SUM(E58,E56,E54,E52,E50,E48,E46,E44)</f>
        <v/>
      </c>
      <c r="F60" s="23">
        <f>SUM(F58,F56,F54,F52,F50,F48,F46,F44)</f>
        <v/>
      </c>
      <c r="G60" s="23">
        <f>SUM(G58,G56,G54,G52,G50,G48,G46,G44)</f>
        <v/>
      </c>
      <c r="H60" s="23">
        <f>SUM(H58,H56,H54,H52,H50,H48,H46,H44)</f>
        <v/>
      </c>
      <c r="I60" s="23">
        <f>SUM(I58,I56,I54,I52,I50,I48,I46,I44)</f>
        <v/>
      </c>
      <c r="J60" s="23">
        <f>SUM(J58,J56,J54,J52,J50,J48,J46,J44)</f>
        <v/>
      </c>
      <c r="K60" s="23">
        <f>SUM(K58,K56,K54,K52,K50,K48,K46,K44)</f>
        <v/>
      </c>
      <c r="L60" s="23">
        <f>SUM(L58,L56,L54,L52,L50,L48,L46,L44)</f>
        <v/>
      </c>
      <c r="M60" s="23">
        <f>SUM(M58,M56,M54,M52,M50,M48,M46,M44)</f>
        <v/>
      </c>
      <c r="N60" s="23">
        <f>SUM(N58,N56,N54,N52,N50,N48,N46,N44)</f>
        <v/>
      </c>
      <c r="O60" s="23">
        <f>SUM(O58,O56,O54,O52,O50,O48,O46,O44)</f>
        <v/>
      </c>
      <c r="P60" s="23">
        <f>SUM(P58,P56,P54,P52,P50,P48,P46,P44)</f>
        <v/>
      </c>
      <c r="Q60" s="23">
        <f>SUM(Q58,Q56,Q54,Q52,Q50,Q48,Q46,Q44)</f>
        <v/>
      </c>
      <c r="R60" s="23">
        <f>SUM(R58,R56,R54,R52,R50,R48,R46,R44)</f>
        <v/>
      </c>
      <c r="S60" s="23">
        <f>SUM(S58,S56,S54,S52,S50,S48,S46,S44)</f>
        <v/>
      </c>
      <c r="T60" s="23">
        <f>SUM(T58,T56,T54,T52,T50,T48,T46,T44)</f>
        <v/>
      </c>
      <c r="U60" s="23">
        <f>SUM(U58,U56,U54,U52,U50,U48,U46,U44)</f>
        <v/>
      </c>
      <c r="V60" s="23">
        <f>SUM(V58,V56,V54,V52,V50,V48,V46,V44)</f>
        <v/>
      </c>
      <c r="W60" s="23">
        <f>SUM(W58,W56,W54,W52,W50,W48,W46,W44)</f>
        <v/>
      </c>
      <c r="X60" s="23">
        <f>SUM(X58,X56,X54,X52,X50,X48,X46,X44)</f>
        <v/>
      </c>
      <c r="Y60" s="23">
        <f>SUM(Y58,Y56,Y54,Y52,Y50,Y48,Y46,Y44)</f>
        <v/>
      </c>
      <c r="Z60" s="23">
        <f>SUM(Z58,Z56,Z54,Z52,Z50,Z48,Z46,Z44)</f>
        <v/>
      </c>
      <c r="AA60" s="23">
        <f>SUM(AA58,AA56,AA54,AA52,AA50,AA48,AA46,AA44)</f>
        <v/>
      </c>
      <c r="AB60" s="23">
        <f>SUM(AB58,AB56,AB54,AB52,AB50,AB48,AB46,AB44)</f>
        <v/>
      </c>
      <c r="AC60" s="23">
        <f>SUM(AC58,AC56,AC54,AC52,AC50,AC48,AC46,AC44)</f>
        <v/>
      </c>
      <c r="AD60" s="23">
        <f>SUM(AD58,AD56,AD54,AD52,AD50,AD48,AD46,AD44)</f>
        <v/>
      </c>
      <c r="AE60" s="23">
        <f>SUM(AE58,AE56,AE54,AE52,AE50,AE48,AE46,AE44)</f>
        <v/>
      </c>
      <c r="AF60" s="23">
        <f>SUM(AF58,AF56,AF54,AF52,AF50,AF48,AF46,AF44)</f>
        <v/>
      </c>
      <c r="AG60" s="23">
        <f>SUM(AG58,AG56,AG54,AG52,AG50,AG48,AG46,AG44)</f>
        <v/>
      </c>
      <c r="AH60" s="23">
        <f>SUM(AH58,AH56,AH54,AH52,AH50,AH48,AH46,AH44)</f>
        <v/>
      </c>
      <c r="AI60" s="24">
        <f>SUM(E60:AH60)</f>
        <v/>
      </c>
    </row>
    <row r="61" ht="15" customHeight="1" s="488">
      <c r="A61" s="99" t="n"/>
      <c r="B61" s="99" t="n"/>
      <c r="C61" s="145" t="inlineStr">
        <is>
          <t>Total Power- DG</t>
        </is>
      </c>
      <c r="D61" s="108" t="n"/>
      <c r="E61" s="23">
        <f>SUM(E45,E47,E49,E51,E53,E55,E57,E59)</f>
        <v/>
      </c>
      <c r="F61" s="23">
        <f>SUM(F45,F47,F49,F51,F53,F55,F57,F59)</f>
        <v/>
      </c>
      <c r="G61" s="23">
        <f>SUM(G45,G47,G49,G51,G53,G55,G57,G59)</f>
        <v/>
      </c>
      <c r="H61" s="23">
        <f>SUM(H45,H47,H49,H51,H53,H55,H57,H59)</f>
        <v/>
      </c>
      <c r="I61" s="23">
        <f>SUM(I45,I47,I49,I51,I53,I55,I57,I59)</f>
        <v/>
      </c>
      <c r="J61" s="23">
        <f>SUM(J45,J47,J49,J51,J53,J55,J57,J59)</f>
        <v/>
      </c>
      <c r="K61" s="23">
        <f>SUM(K45,K47,K49,K51,K53,K55,K57,K59)</f>
        <v/>
      </c>
      <c r="L61" s="23">
        <f>SUM(L45,L47,L49,L51,L53,L55,L57,L59)</f>
        <v/>
      </c>
      <c r="M61" s="23">
        <f>SUM(M45,M47,M49,M51,M53,M55,M57,M59)</f>
        <v/>
      </c>
      <c r="N61" s="23">
        <f>SUM(N45,N47,N49,N51,N53,N55,N57,N59)</f>
        <v/>
      </c>
      <c r="O61" s="23">
        <f>SUM(O45,O47,O49,O51,O53,O55,O57,O59)</f>
        <v/>
      </c>
      <c r="P61" s="23">
        <f>SUM(P45,P47,P49,P51,P53,P55,P57,P59)</f>
        <v/>
      </c>
      <c r="Q61" s="23">
        <f>SUM(Q45,Q47,Q49,Q51,Q53,Q55,Q57,Q59)</f>
        <v/>
      </c>
      <c r="R61" s="23">
        <f>SUM(R45,R47,R49,R51,R53,R55,R57,R59)</f>
        <v/>
      </c>
      <c r="S61" s="23">
        <f>SUM(S45,S47,S49,S51,S53,S55,S57,S59)</f>
        <v/>
      </c>
      <c r="T61" s="23">
        <f>SUM(T45,T47,T49,T51,T53,T55,T57,T59)</f>
        <v/>
      </c>
      <c r="U61" s="23">
        <f>SUM(U45,U47,U49,U51,U53,U55,U57,U59)</f>
        <v/>
      </c>
      <c r="V61" s="23">
        <f>SUM(V45,V47,V49,V51,V53,V55,V57,V59)</f>
        <v/>
      </c>
      <c r="W61" s="23">
        <f>SUM(W45,W47,W49,W51,W53,W55,W57,W59)</f>
        <v/>
      </c>
      <c r="X61" s="23">
        <f>SUM(X45,X47,X49,X51,X53,X55,X57,X59)</f>
        <v/>
      </c>
      <c r="Y61" s="23">
        <f>SUM(Y45,Y47,Y49,Y51,Y53,Y55,Y57,Y59)</f>
        <v/>
      </c>
      <c r="Z61" s="23">
        <f>SUM(Z45,Z47,Z49,Z51,Z53,Z55,Z57,Z59)</f>
        <v/>
      </c>
      <c r="AA61" s="23">
        <f>SUM(AA45,AA47,AA49,AA51,AA53,AA55,AA57,AA59)</f>
        <v/>
      </c>
      <c r="AB61" s="23">
        <f>SUM(AB45,AB47,AB49,AB51,AB53,AB55,AB57,AB59)</f>
        <v/>
      </c>
      <c r="AC61" s="23">
        <f>SUM(AC45,AC47,AC49,AC51,AC53,AC55,AC57,AC59)</f>
        <v/>
      </c>
      <c r="AD61" s="23">
        <f>SUM(AD45,AD47,AD49,AD51,AD53,AD55,AD57,AD59)</f>
        <v/>
      </c>
      <c r="AE61" s="23">
        <f>SUM(AE45,AE47,AE49,AE51,AE53,AE55,AE57,AE59)</f>
        <v/>
      </c>
      <c r="AF61" s="23">
        <f>SUM(AF45,AF47,AF49,AF51,AF53,AF55,AF57,AF59)</f>
        <v/>
      </c>
      <c r="AG61" s="23">
        <f>SUM(AG45,AG47,AG49,AG51,AG53,AG55,AG57,AG59)</f>
        <v/>
      </c>
      <c r="AH61" s="23">
        <f>SUM(AH45,AH47,AH49,AH51,AH53,AH55,AH57,AH59)</f>
        <v/>
      </c>
      <c r="AI61" s="24">
        <f>SUM(E61:AH61)</f>
        <v/>
      </c>
    </row>
    <row r="62">
      <c r="A62" s="539" t="n"/>
      <c r="B62" s="539" t="n"/>
      <c r="C62" s="532" t="inlineStr">
        <is>
          <t>Total Power Cumulative</t>
        </is>
      </c>
      <c r="D62" s="501" t="n"/>
      <c r="E62" s="102">
        <f>E60</f>
        <v/>
      </c>
      <c r="F62" s="102">
        <f>F60</f>
        <v/>
      </c>
      <c r="G62" s="102">
        <f>G60</f>
        <v/>
      </c>
      <c r="H62" s="102">
        <f>H60</f>
        <v/>
      </c>
      <c r="I62" s="102">
        <f>I60</f>
        <v/>
      </c>
      <c r="J62" s="102">
        <f>J60</f>
        <v/>
      </c>
      <c r="K62" s="102">
        <f>K60</f>
        <v/>
      </c>
      <c r="L62" s="102">
        <f>L60</f>
        <v/>
      </c>
      <c r="M62" s="102">
        <f>M60</f>
        <v/>
      </c>
      <c r="N62" s="102">
        <f>N60</f>
        <v/>
      </c>
      <c r="O62" s="102">
        <f>O60</f>
        <v/>
      </c>
      <c r="P62" s="102">
        <f>P60</f>
        <v/>
      </c>
      <c r="Q62" s="102">
        <f>Q60</f>
        <v/>
      </c>
      <c r="R62" s="102">
        <f>R60</f>
        <v/>
      </c>
      <c r="S62" s="102">
        <f>S60</f>
        <v/>
      </c>
      <c r="T62" s="102">
        <f>T60</f>
        <v/>
      </c>
      <c r="U62" s="102">
        <f>U60</f>
        <v/>
      </c>
      <c r="V62" s="102">
        <f>V60</f>
        <v/>
      </c>
      <c r="W62" s="102">
        <f>W60</f>
        <v/>
      </c>
      <c r="X62" s="102">
        <f>X60</f>
        <v/>
      </c>
      <c r="Y62" s="102">
        <f>Y60</f>
        <v/>
      </c>
      <c r="Z62" s="102">
        <f>Z60</f>
        <v/>
      </c>
      <c r="AA62" s="102">
        <f>AA60</f>
        <v/>
      </c>
      <c r="AB62" s="102">
        <f>AB60</f>
        <v/>
      </c>
      <c r="AC62" s="102">
        <f>AC60</f>
        <v/>
      </c>
      <c r="AD62" s="102">
        <f>AD60</f>
        <v/>
      </c>
      <c r="AE62" s="102">
        <f>AE60</f>
        <v/>
      </c>
      <c r="AF62" s="102">
        <f>AF60</f>
        <v/>
      </c>
      <c r="AG62" s="102">
        <f>AG60</f>
        <v/>
      </c>
      <c r="AH62" s="102">
        <f>AH60</f>
        <v/>
      </c>
      <c r="AI62" s="102">
        <f>AI60</f>
        <v/>
      </c>
    </row>
    <row r="63">
      <c r="A63" s="94" t="n"/>
      <c r="B63" s="534" t="n"/>
      <c r="C63" s="146" t="n"/>
      <c r="D63" s="109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4" t="n"/>
    </row>
    <row r="64">
      <c r="A64" s="28" t="inlineStr">
        <is>
          <t>S No</t>
        </is>
      </c>
      <c r="B64" s="28" t="inlineStr">
        <is>
          <t>Location</t>
        </is>
      </c>
      <c r="C64" s="513" t="inlineStr">
        <is>
          <t>Meter</t>
        </is>
      </c>
      <c r="D64" s="50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103" t="n"/>
    </row>
    <row r="65" ht="15" customHeight="1" s="488">
      <c r="A65" s="500" t="n">
        <v>1</v>
      </c>
      <c r="B65" s="500" t="inlineStr">
        <is>
          <t>3F</t>
        </is>
      </c>
      <c r="C65" s="503" t="inlineStr">
        <is>
          <t>AHU1</t>
        </is>
      </c>
      <c r="D65" s="501" t="n"/>
      <c r="E65" s="102">
        <f>E23-D23</f>
        <v/>
      </c>
      <c r="F65" s="102">
        <f>F23-E23</f>
        <v/>
      </c>
      <c r="G65" s="102">
        <f>G23-F23</f>
        <v/>
      </c>
      <c r="H65" s="102">
        <f>H23-G23</f>
        <v/>
      </c>
      <c r="I65" s="102">
        <f>I23-H23</f>
        <v/>
      </c>
      <c r="J65" s="102">
        <f>J23-I23</f>
        <v/>
      </c>
      <c r="K65" s="102">
        <f>K23-J23</f>
        <v/>
      </c>
      <c r="L65" s="102">
        <f>L23-K23</f>
        <v/>
      </c>
      <c r="M65" s="102">
        <f>M23-L23</f>
        <v/>
      </c>
      <c r="N65" s="102">
        <f>N23-M23</f>
        <v/>
      </c>
      <c r="O65" s="102">
        <f>O23-N23</f>
        <v/>
      </c>
      <c r="P65" s="102">
        <f>P23-O23</f>
        <v/>
      </c>
      <c r="Q65" s="102">
        <f>Q23-P23</f>
        <v/>
      </c>
      <c r="R65" s="102">
        <f>R23-Q23</f>
        <v/>
      </c>
      <c r="S65" s="102">
        <f>S23-R23</f>
        <v/>
      </c>
      <c r="T65" s="102">
        <f>T23-S23</f>
        <v/>
      </c>
      <c r="U65" s="102">
        <f>U23-T23</f>
        <v/>
      </c>
      <c r="V65" s="102">
        <f>V23-U23</f>
        <v/>
      </c>
      <c r="W65" s="102">
        <f>W23-V23</f>
        <v/>
      </c>
      <c r="X65" s="102">
        <f>X23-W23</f>
        <v/>
      </c>
      <c r="Y65" s="102">
        <f>Y23-X23</f>
        <v/>
      </c>
      <c r="Z65" s="102">
        <f>Z23-Y23</f>
        <v/>
      </c>
      <c r="AA65" s="102">
        <f>AA23-Z23</f>
        <v/>
      </c>
      <c r="AB65" s="102">
        <f>AB23-AA23</f>
        <v/>
      </c>
      <c r="AC65" s="102">
        <f>AC23-AB23</f>
        <v/>
      </c>
      <c r="AD65" s="102">
        <f>AD23-AC23</f>
        <v/>
      </c>
      <c r="AE65" s="102">
        <f>AE23-AD23</f>
        <v/>
      </c>
      <c r="AF65" s="102">
        <f>AF23-AE23</f>
        <v/>
      </c>
      <c r="AG65" s="102">
        <f>AG23-AF23</f>
        <v/>
      </c>
      <c r="AH65" s="102">
        <f>AH23-AG23</f>
        <v/>
      </c>
      <c r="AI65" s="21">
        <f>SUM(E65:AH65)</f>
        <v/>
      </c>
    </row>
    <row r="66" ht="14.25" customHeight="1" s="488">
      <c r="A66" s="500" t="n"/>
      <c r="B66" s="500" t="n"/>
      <c r="C66" s="531" t="inlineStr">
        <is>
          <t>DG</t>
        </is>
      </c>
      <c r="D66" s="501" t="n"/>
      <c r="E66" s="102">
        <f>E24-D24</f>
        <v/>
      </c>
      <c r="F66" s="102">
        <f>F24-E24</f>
        <v/>
      </c>
      <c r="G66" s="102">
        <f>G24-F24</f>
        <v/>
      </c>
      <c r="H66" s="102">
        <f>H24-G24</f>
        <v/>
      </c>
      <c r="I66" s="102">
        <f>I24-H24</f>
        <v/>
      </c>
      <c r="J66" s="102">
        <f>J24-I24</f>
        <v/>
      </c>
      <c r="K66" s="102">
        <f>K24-J24</f>
        <v/>
      </c>
      <c r="L66" s="102">
        <f>L24-K24</f>
        <v/>
      </c>
      <c r="M66" s="102">
        <f>M24-L24</f>
        <v/>
      </c>
      <c r="N66" s="102">
        <f>N24-M24</f>
        <v/>
      </c>
      <c r="O66" s="102">
        <f>O24-N24</f>
        <v/>
      </c>
      <c r="P66" s="102">
        <f>P24-O24</f>
        <v/>
      </c>
      <c r="Q66" s="102">
        <f>Q24-P24</f>
        <v/>
      </c>
      <c r="R66" s="102">
        <f>R24-Q24</f>
        <v/>
      </c>
      <c r="S66" s="102">
        <f>S24-R24</f>
        <v/>
      </c>
      <c r="T66" s="102">
        <f>T24-S24</f>
        <v/>
      </c>
      <c r="U66" s="102">
        <f>U24-T24</f>
        <v/>
      </c>
      <c r="V66" s="102">
        <f>V24-U24</f>
        <v/>
      </c>
      <c r="W66" s="102">
        <f>W24-V24</f>
        <v/>
      </c>
      <c r="X66" s="102">
        <f>X24-W24</f>
        <v/>
      </c>
      <c r="Y66" s="102">
        <f>Y24-X24</f>
        <v/>
      </c>
      <c r="Z66" s="102">
        <f>Z24-Y24</f>
        <v/>
      </c>
      <c r="AA66" s="102">
        <f>AA24-Z24</f>
        <v/>
      </c>
      <c r="AB66" s="102">
        <f>AB24-AA24</f>
        <v/>
      </c>
      <c r="AC66" s="102">
        <f>AC24-AB24</f>
        <v/>
      </c>
      <c r="AD66" s="102">
        <f>AD24-AC24</f>
        <v/>
      </c>
      <c r="AE66" s="102">
        <f>AE24-AD24</f>
        <v/>
      </c>
      <c r="AF66" s="102">
        <f>AF24-AE24</f>
        <v/>
      </c>
      <c r="AG66" s="102">
        <f>AG24-AF24</f>
        <v/>
      </c>
      <c r="AH66" s="102">
        <f>AH24-AG24</f>
        <v/>
      </c>
      <c r="AI66" s="21">
        <f>SUM(E66:AH66)</f>
        <v/>
      </c>
    </row>
    <row r="67" ht="15" customHeight="1" s="488">
      <c r="A67" s="500" t="n">
        <v>2</v>
      </c>
      <c r="B67" s="500" t="inlineStr">
        <is>
          <t>3F</t>
        </is>
      </c>
      <c r="C67" s="503" t="inlineStr">
        <is>
          <t>AHU2</t>
        </is>
      </c>
      <c r="D67" s="501" t="n"/>
      <c r="E67" s="102">
        <f>E25-D25</f>
        <v/>
      </c>
      <c r="F67" s="102">
        <f>F25-E25</f>
        <v/>
      </c>
      <c r="G67" s="102">
        <f>G25-F25</f>
        <v/>
      </c>
      <c r="H67" s="102">
        <f>H25-G25</f>
        <v/>
      </c>
      <c r="I67" s="102">
        <f>I25-H25</f>
        <v/>
      </c>
      <c r="J67" s="102">
        <f>J25-I25</f>
        <v/>
      </c>
      <c r="K67" s="102">
        <f>K25-J25</f>
        <v/>
      </c>
      <c r="L67" s="102">
        <f>L25-K25</f>
        <v/>
      </c>
      <c r="M67" s="102">
        <f>M25-L25</f>
        <v/>
      </c>
      <c r="N67" s="102">
        <f>N25-M25</f>
        <v/>
      </c>
      <c r="O67" s="102">
        <f>O25-N25</f>
        <v/>
      </c>
      <c r="P67" s="102">
        <f>P25-O25</f>
        <v/>
      </c>
      <c r="Q67" s="102">
        <f>Q25-P25</f>
        <v/>
      </c>
      <c r="R67" s="102">
        <f>R25-Q25</f>
        <v/>
      </c>
      <c r="S67" s="102">
        <f>S25-R25</f>
        <v/>
      </c>
      <c r="T67" s="102">
        <f>T25-S25</f>
        <v/>
      </c>
      <c r="U67" s="102">
        <f>U25-T25</f>
        <v/>
      </c>
      <c r="V67" s="102">
        <f>V25-U25</f>
        <v/>
      </c>
      <c r="W67" s="102">
        <f>W25-V25</f>
        <v/>
      </c>
      <c r="X67" s="102">
        <f>X25-W25</f>
        <v/>
      </c>
      <c r="Y67" s="102">
        <f>Y25-X25</f>
        <v/>
      </c>
      <c r="Z67" s="102">
        <f>Z25-Y25</f>
        <v/>
      </c>
      <c r="AA67" s="102">
        <f>AA25-Z25</f>
        <v/>
      </c>
      <c r="AB67" s="102">
        <f>AB25-AA25</f>
        <v/>
      </c>
      <c r="AC67" s="102">
        <f>AC25-AB25</f>
        <v/>
      </c>
      <c r="AD67" s="102">
        <f>AD25-AC25</f>
        <v/>
      </c>
      <c r="AE67" s="102">
        <f>AE25-AD25</f>
        <v/>
      </c>
      <c r="AF67" s="102">
        <f>AF25-AE25</f>
        <v/>
      </c>
      <c r="AG67" s="102">
        <f>AG25-AF25</f>
        <v/>
      </c>
      <c r="AH67" s="102">
        <f>AH25-AG25</f>
        <v/>
      </c>
      <c r="AI67" s="21">
        <f>SUM(E67:AH67)</f>
        <v/>
      </c>
    </row>
    <row r="68" ht="15" customHeight="1" s="488">
      <c r="A68" s="500" t="n"/>
      <c r="B68" s="500" t="n"/>
      <c r="C68" s="531" t="inlineStr">
        <is>
          <t>DG</t>
        </is>
      </c>
      <c r="D68" s="501" t="n"/>
      <c r="E68" s="102">
        <f>E26-D26</f>
        <v/>
      </c>
      <c r="F68" s="102">
        <f>F26-E26</f>
        <v/>
      </c>
      <c r="G68" s="102">
        <f>G26-F26</f>
        <v/>
      </c>
      <c r="H68" s="102">
        <f>H26-G26</f>
        <v/>
      </c>
      <c r="I68" s="102">
        <f>I26-H26</f>
        <v/>
      </c>
      <c r="J68" s="102">
        <f>J26-I26</f>
        <v/>
      </c>
      <c r="K68" s="102">
        <f>K26-J26</f>
        <v/>
      </c>
      <c r="L68" s="102">
        <f>L26-K26</f>
        <v/>
      </c>
      <c r="M68" s="102">
        <f>M26-L26</f>
        <v/>
      </c>
      <c r="N68" s="102">
        <f>N26-M26</f>
        <v/>
      </c>
      <c r="O68" s="102">
        <f>O26-N26</f>
        <v/>
      </c>
      <c r="P68" s="102">
        <f>P26-O26</f>
        <v/>
      </c>
      <c r="Q68" s="102">
        <f>Q26-P26</f>
        <v/>
      </c>
      <c r="R68" s="102">
        <f>R26-Q26</f>
        <v/>
      </c>
      <c r="S68" s="102">
        <f>S26-R26</f>
        <v/>
      </c>
      <c r="T68" s="102">
        <f>T26-S26</f>
        <v/>
      </c>
      <c r="U68" s="102">
        <f>U26-T26</f>
        <v/>
      </c>
      <c r="V68" s="102">
        <f>V26-U26</f>
        <v/>
      </c>
      <c r="W68" s="102">
        <f>W26-V26</f>
        <v/>
      </c>
      <c r="X68" s="102">
        <f>X26-W26</f>
        <v/>
      </c>
      <c r="Y68" s="102">
        <f>Y26-X26</f>
        <v/>
      </c>
      <c r="Z68" s="102">
        <f>Z26-Y26</f>
        <v/>
      </c>
      <c r="AA68" s="102">
        <f>AA26-Z26</f>
        <v/>
      </c>
      <c r="AB68" s="102">
        <f>AB26-AA26</f>
        <v/>
      </c>
      <c r="AC68" s="102">
        <f>AC26-AB26</f>
        <v/>
      </c>
      <c r="AD68" s="102">
        <f>AD26-AC26</f>
        <v/>
      </c>
      <c r="AE68" s="102">
        <f>AE26-AD26</f>
        <v/>
      </c>
      <c r="AF68" s="102">
        <f>AF26-AE26</f>
        <v/>
      </c>
      <c r="AG68" s="102">
        <f>AG26-AF26</f>
        <v/>
      </c>
      <c r="AH68" s="102">
        <f>AH26-AG26</f>
        <v/>
      </c>
      <c r="AI68" s="21">
        <f>SUM(E68:AH68)</f>
        <v/>
      </c>
      <c r="AJ68" s="115" t="inlineStr">
        <is>
          <t>EB</t>
        </is>
      </c>
      <c r="AK68" s="116">
        <f>AI60</f>
        <v/>
      </c>
    </row>
    <row r="69" ht="15" customHeight="1" s="488">
      <c r="A69" s="500" t="n">
        <v>3</v>
      </c>
      <c r="B69" s="500" t="inlineStr">
        <is>
          <t>3F</t>
        </is>
      </c>
      <c r="C69" s="503" t="inlineStr">
        <is>
          <t>AHU3</t>
        </is>
      </c>
      <c r="D69" s="501" t="n"/>
      <c r="E69" s="102">
        <f>E27-D27</f>
        <v/>
      </c>
      <c r="F69" s="102">
        <f>F27-E27</f>
        <v/>
      </c>
      <c r="G69" s="102">
        <f>G27-F27</f>
        <v/>
      </c>
      <c r="H69" s="102">
        <f>H27-G27</f>
        <v/>
      </c>
      <c r="I69" s="102">
        <f>I27-H27</f>
        <v/>
      </c>
      <c r="J69" s="102">
        <f>J27-I27</f>
        <v/>
      </c>
      <c r="K69" s="102">
        <f>K27-J27</f>
        <v/>
      </c>
      <c r="L69" s="102">
        <f>L27-K27</f>
        <v/>
      </c>
      <c r="M69" s="102">
        <f>M27-L27</f>
        <v/>
      </c>
      <c r="N69" s="102">
        <f>N27-M27</f>
        <v/>
      </c>
      <c r="O69" s="102">
        <f>O27-N27</f>
        <v/>
      </c>
      <c r="P69" s="102">
        <f>P27-O27</f>
        <v/>
      </c>
      <c r="Q69" s="102">
        <f>Q27-P27</f>
        <v/>
      </c>
      <c r="R69" s="102">
        <f>R27-Q27</f>
        <v/>
      </c>
      <c r="S69" s="102">
        <f>S27-R27</f>
        <v/>
      </c>
      <c r="T69" s="102">
        <f>T27-S27</f>
        <v/>
      </c>
      <c r="U69" s="102">
        <f>U27-T27</f>
        <v/>
      </c>
      <c r="V69" s="102">
        <f>V27-U27</f>
        <v/>
      </c>
      <c r="W69" s="102">
        <f>W27-V27</f>
        <v/>
      </c>
      <c r="X69" s="102">
        <f>X27-W27</f>
        <v/>
      </c>
      <c r="Y69" s="102">
        <f>Y27-X27</f>
        <v/>
      </c>
      <c r="Z69" s="102">
        <f>Z27-Y27</f>
        <v/>
      </c>
      <c r="AA69" s="102">
        <f>AA27-Z27</f>
        <v/>
      </c>
      <c r="AB69" s="102">
        <f>AB27-AA27</f>
        <v/>
      </c>
      <c r="AC69" s="102">
        <f>AC27-AB27</f>
        <v/>
      </c>
      <c r="AD69" s="102">
        <f>AD27-AC27</f>
        <v/>
      </c>
      <c r="AE69" s="102">
        <f>AE27-AD27</f>
        <v/>
      </c>
      <c r="AF69" s="102">
        <f>AF27-AE27</f>
        <v/>
      </c>
      <c r="AG69" s="102">
        <f>AG27-AF27</f>
        <v/>
      </c>
      <c r="AH69" s="102">
        <f>AH27-AG27</f>
        <v/>
      </c>
      <c r="AI69" s="21">
        <f>SUM(E69:AH69)</f>
        <v/>
      </c>
      <c r="AJ69" s="115" t="inlineStr">
        <is>
          <t>AHU</t>
        </is>
      </c>
      <c r="AK69" s="116">
        <f>AI73</f>
        <v/>
      </c>
    </row>
    <row r="70" ht="15" customHeight="1" s="488">
      <c r="A70" s="500" t="n"/>
      <c r="B70" s="500" t="n"/>
      <c r="C70" s="531" t="inlineStr">
        <is>
          <t>DG</t>
        </is>
      </c>
      <c r="D70" s="501" t="n"/>
      <c r="E70" s="102">
        <f>E28-D28</f>
        <v/>
      </c>
      <c r="F70" s="102">
        <f>F28-E28</f>
        <v/>
      </c>
      <c r="G70" s="102">
        <f>G28-F28</f>
        <v/>
      </c>
      <c r="H70" s="102">
        <f>H28-G28</f>
        <v/>
      </c>
      <c r="I70" s="102">
        <f>I28-H28</f>
        <v/>
      </c>
      <c r="J70" s="102">
        <f>J28-I28</f>
        <v/>
      </c>
      <c r="K70" s="102">
        <f>K28-J28</f>
        <v/>
      </c>
      <c r="L70" s="102">
        <f>L28-K28</f>
        <v/>
      </c>
      <c r="M70" s="102">
        <f>M28-L28</f>
        <v/>
      </c>
      <c r="N70" s="102">
        <f>N28-M28</f>
        <v/>
      </c>
      <c r="O70" s="102">
        <f>O28-N28</f>
        <v/>
      </c>
      <c r="P70" s="102">
        <f>P28-O28</f>
        <v/>
      </c>
      <c r="Q70" s="102">
        <f>Q28-P28</f>
        <v/>
      </c>
      <c r="R70" s="102">
        <f>R28-Q28</f>
        <v/>
      </c>
      <c r="S70" s="102">
        <f>S28-R28</f>
        <v/>
      </c>
      <c r="T70" s="102">
        <f>T28-S28</f>
        <v/>
      </c>
      <c r="U70" s="102">
        <f>U28-T28</f>
        <v/>
      </c>
      <c r="V70" s="102">
        <f>V28-U28</f>
        <v/>
      </c>
      <c r="W70" s="102">
        <f>W28-V28</f>
        <v/>
      </c>
      <c r="X70" s="102">
        <f>X28-W28</f>
        <v/>
      </c>
      <c r="Y70" s="102">
        <f>Y28-X28</f>
        <v/>
      </c>
      <c r="Z70" s="102">
        <f>Z28-Y28</f>
        <v/>
      </c>
      <c r="AA70" s="102">
        <f>AA28-Z28</f>
        <v/>
      </c>
      <c r="AB70" s="102">
        <f>AB28-AA28</f>
        <v/>
      </c>
      <c r="AC70" s="102">
        <f>AC28-AB28</f>
        <v/>
      </c>
      <c r="AD70" s="102">
        <f>AD28-AC28</f>
        <v/>
      </c>
      <c r="AE70" s="102">
        <f>AE28-AD28</f>
        <v/>
      </c>
      <c r="AF70" s="102">
        <f>AF28-AE28</f>
        <v/>
      </c>
      <c r="AG70" s="102">
        <f>AG28-AF28</f>
        <v/>
      </c>
      <c r="AH70" s="102">
        <f>AH28-AG28</f>
        <v/>
      </c>
      <c r="AI70" s="21">
        <f>SUM(E70:AH70)</f>
        <v/>
      </c>
      <c r="AJ70" s="115" t="inlineStr">
        <is>
          <t>BTU</t>
        </is>
      </c>
      <c r="AK70" s="116">
        <f>AI79*40%</f>
        <v/>
      </c>
    </row>
    <row r="71" ht="15" customHeight="1" s="488">
      <c r="A71" s="500" t="n">
        <v>4</v>
      </c>
      <c r="B71" s="500" t="inlineStr">
        <is>
          <t>3F</t>
        </is>
      </c>
      <c r="C71" s="503" t="inlineStr">
        <is>
          <t>AHU4</t>
        </is>
      </c>
      <c r="D71" s="501" t="n"/>
      <c r="E71" s="102">
        <f>E29-D29</f>
        <v/>
      </c>
      <c r="F71" s="102">
        <f>F29-E29</f>
        <v/>
      </c>
      <c r="G71" s="102">
        <f>G29-F29</f>
        <v/>
      </c>
      <c r="H71" s="102">
        <f>H29-G29</f>
        <v/>
      </c>
      <c r="I71" s="102">
        <f>I29-H29</f>
        <v/>
      </c>
      <c r="J71" s="102">
        <f>J29-I29</f>
        <v/>
      </c>
      <c r="K71" s="102">
        <f>K29-J29</f>
        <v/>
      </c>
      <c r="L71" s="102">
        <f>L29-K29</f>
        <v/>
      </c>
      <c r="M71" s="102">
        <f>M29-L29</f>
        <v/>
      </c>
      <c r="N71" s="102">
        <f>N29-M29</f>
        <v/>
      </c>
      <c r="O71" s="102">
        <f>O29-N29</f>
        <v/>
      </c>
      <c r="P71" s="102">
        <f>P29-O29</f>
        <v/>
      </c>
      <c r="Q71" s="102">
        <f>Q29-P29</f>
        <v/>
      </c>
      <c r="R71" s="102">
        <f>R29-Q29</f>
        <v/>
      </c>
      <c r="S71" s="102">
        <f>S29-R29</f>
        <v/>
      </c>
      <c r="T71" s="102">
        <f>T29-S29</f>
        <v/>
      </c>
      <c r="U71" s="102">
        <f>U29-T29</f>
        <v/>
      </c>
      <c r="V71" s="102">
        <f>V29-U29</f>
        <v/>
      </c>
      <c r="W71" s="102">
        <f>W29-V29</f>
        <v/>
      </c>
      <c r="X71" s="102">
        <f>X29-W29</f>
        <v/>
      </c>
      <c r="Y71" s="102">
        <f>Y29-X29</f>
        <v/>
      </c>
      <c r="Z71" s="102">
        <f>Z29-Y29</f>
        <v/>
      </c>
      <c r="AA71" s="102">
        <f>AA29-Z29</f>
        <v/>
      </c>
      <c r="AB71" s="102">
        <f>AB29-AA29</f>
        <v/>
      </c>
      <c r="AC71" s="102">
        <f>AC29-AB29</f>
        <v/>
      </c>
      <c r="AD71" s="102">
        <f>AD29-AC29</f>
        <v/>
      </c>
      <c r="AE71" s="102">
        <f>AE29-AD29</f>
        <v/>
      </c>
      <c r="AF71" s="102">
        <f>AF29-AE29</f>
        <v/>
      </c>
      <c r="AG71" s="102">
        <f>AG29-AF29</f>
        <v/>
      </c>
      <c r="AH71" s="102">
        <f>AH29-AG29</f>
        <v/>
      </c>
      <c r="AI71" s="21">
        <f>SUM(E71:AH71)</f>
        <v/>
      </c>
      <c r="AJ71" s="117" t="inlineStr">
        <is>
          <t>DG</t>
        </is>
      </c>
      <c r="AK71" s="118">
        <f>AI74+AI61</f>
        <v/>
      </c>
    </row>
    <row r="72" ht="15" customHeight="1" s="488">
      <c r="A72" s="500" t="n"/>
      <c r="B72" s="500" t="n"/>
      <c r="C72" s="531" t="inlineStr">
        <is>
          <t>DG</t>
        </is>
      </c>
      <c r="D72" s="501" t="n"/>
      <c r="E72" s="102">
        <f>E30-D30</f>
        <v/>
      </c>
      <c r="F72" s="102">
        <f>F30-E30</f>
        <v/>
      </c>
      <c r="G72" s="102">
        <f>G30-F30</f>
        <v/>
      </c>
      <c r="H72" s="102">
        <f>H30-G30</f>
        <v/>
      </c>
      <c r="I72" s="102">
        <f>I30-H30</f>
        <v/>
      </c>
      <c r="J72" s="102">
        <f>J30-I30</f>
        <v/>
      </c>
      <c r="K72" s="102">
        <f>K30-J30</f>
        <v/>
      </c>
      <c r="L72" s="102">
        <f>L30-K30</f>
        <v/>
      </c>
      <c r="M72" s="102">
        <f>M30-L30</f>
        <v/>
      </c>
      <c r="N72" s="102">
        <f>N30-M30</f>
        <v/>
      </c>
      <c r="O72" s="102">
        <f>O30-N30</f>
        <v/>
      </c>
      <c r="P72" s="102">
        <f>P30-O30</f>
        <v/>
      </c>
      <c r="Q72" s="102">
        <f>Q30-P30</f>
        <v/>
      </c>
      <c r="R72" s="102">
        <f>R30-Q30</f>
        <v/>
      </c>
      <c r="S72" s="102">
        <f>S30-R30</f>
        <v/>
      </c>
      <c r="T72" s="102">
        <f>T30-S30</f>
        <v/>
      </c>
      <c r="U72" s="102">
        <f>U30-T30</f>
        <v/>
      </c>
      <c r="V72" s="102">
        <f>V30-U30</f>
        <v/>
      </c>
      <c r="W72" s="102">
        <f>W30-V30</f>
        <v/>
      </c>
      <c r="X72" s="102">
        <f>X30-W30</f>
        <v/>
      </c>
      <c r="Y72" s="102">
        <f>Y30-X30</f>
        <v/>
      </c>
      <c r="Z72" s="102">
        <f>Z30-Y30</f>
        <v/>
      </c>
      <c r="AA72" s="102">
        <f>AA30-Z30</f>
        <v/>
      </c>
      <c r="AB72" s="102">
        <f>AB30-AA30</f>
        <v/>
      </c>
      <c r="AC72" s="102">
        <f>AC30-AB30</f>
        <v/>
      </c>
      <c r="AD72" s="102">
        <f>AD30-AC30</f>
        <v/>
      </c>
      <c r="AE72" s="102">
        <f>AE30-AD30</f>
        <v/>
      </c>
      <c r="AF72" s="102">
        <f>AF30-AE30</f>
        <v/>
      </c>
      <c r="AG72" s="102">
        <f>AG30-AF30</f>
        <v/>
      </c>
      <c r="AH72" s="102">
        <f>AH30-AG30</f>
        <v/>
      </c>
      <c r="AI72" s="21">
        <f>SUM(E72:AH72)</f>
        <v/>
      </c>
    </row>
    <row r="73" ht="30" customHeight="1" s="488">
      <c r="A73" s="99" t="n"/>
      <c r="B73" s="99" t="n"/>
      <c r="C73" s="511" t="inlineStr">
        <is>
          <t>Total AHU Power Consumption</t>
        </is>
      </c>
      <c r="D73" s="501" t="n"/>
      <c r="E73" s="23">
        <f>SUM(E65,E67,E69,E71)</f>
        <v/>
      </c>
      <c r="F73" s="23">
        <f>SUM(F65,F67,F69,F71)</f>
        <v/>
      </c>
      <c r="G73" s="23">
        <f>SUM(G65,G67,G69,G71)</f>
        <v/>
      </c>
      <c r="H73" s="23">
        <f>SUM(H65,H67,H69,H71)</f>
        <v/>
      </c>
      <c r="I73" s="23">
        <f>SUM(I65,I67,I69,I71)</f>
        <v/>
      </c>
      <c r="J73" s="23">
        <f>SUM(J65,J67,J69,J71)</f>
        <v/>
      </c>
      <c r="K73" s="23">
        <f>SUM(K65,K67,K69,K71)</f>
        <v/>
      </c>
      <c r="L73" s="23">
        <f>SUM(L65,L67,L69,L71)</f>
        <v/>
      </c>
      <c r="M73" s="23">
        <f>SUM(M65,M67,M69,M71)</f>
        <v/>
      </c>
      <c r="N73" s="23">
        <f>SUM(N65,N67,N69,N71)</f>
        <v/>
      </c>
      <c r="O73" s="23">
        <f>SUM(O65,O67,O69,O71)</f>
        <v/>
      </c>
      <c r="P73" s="23">
        <f>SUM(P65,P67,P69,P71)</f>
        <v/>
      </c>
      <c r="Q73" s="23">
        <f>SUM(Q65,Q67,Q69,Q71)</f>
        <v/>
      </c>
      <c r="R73" s="23">
        <f>SUM(R65,R67,R69,R71)</f>
        <v/>
      </c>
      <c r="S73" s="23">
        <f>SUM(S65,S67,S69,S71)</f>
        <v/>
      </c>
      <c r="T73" s="23">
        <f>SUM(T65,T67,T69,T71)</f>
        <v/>
      </c>
      <c r="U73" s="23">
        <f>SUM(U65,U67,U69,U71)</f>
        <v/>
      </c>
      <c r="V73" s="23">
        <f>SUM(V65,V67,V69,V71)</f>
        <v/>
      </c>
      <c r="W73" s="23">
        <f>SUM(W65,W67,W69,W71)</f>
        <v/>
      </c>
      <c r="X73" s="23">
        <f>SUM(X65,X67,X69,X71)</f>
        <v/>
      </c>
      <c r="Y73" s="23">
        <f>SUM(Y65,Y67,Y69,Y71)</f>
        <v/>
      </c>
      <c r="Z73" s="23">
        <f>SUM(Z65,Z67,Z69,Z71)</f>
        <v/>
      </c>
      <c r="AA73" s="23">
        <f>SUM(AA65,AA67,AA69,AA71)</f>
        <v/>
      </c>
      <c r="AB73" s="23">
        <f>SUM(AB65,AB67,AB69,AB71)</f>
        <v/>
      </c>
      <c r="AC73" s="23">
        <f>SUM(AC65,AC67,AC69,AC71)</f>
        <v/>
      </c>
      <c r="AD73" s="23">
        <f>SUM(AD65,AD67,AD69,AD71)</f>
        <v/>
      </c>
      <c r="AE73" s="23">
        <f>SUM(AE65,AE67,AE69,AE71)</f>
        <v/>
      </c>
      <c r="AF73" s="23">
        <f>SUM(AF65,AF67,AF69,AF71)</f>
        <v/>
      </c>
      <c r="AG73" s="23">
        <f>SUM(AG65,AG67,AG69,AG71)</f>
        <v/>
      </c>
      <c r="AH73" s="23">
        <f>SUM(AH65,AH67,AH69,AH71)</f>
        <v/>
      </c>
      <c r="AI73" s="24">
        <f>SUM(E73:AH73)</f>
        <v/>
      </c>
    </row>
    <row r="74" ht="24" customHeight="1" s="488">
      <c r="A74" s="99" t="n"/>
      <c r="B74" s="99" t="n"/>
      <c r="C74" s="502" t="inlineStr">
        <is>
          <t>Total AHU DG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4">
        <f>SUM(E74:AH74)</f>
        <v/>
      </c>
    </row>
    <row r="75" ht="15" customHeight="1" s="488">
      <c r="A75" s="500" t="n">
        <v>1</v>
      </c>
      <c r="B75" s="500" t="inlineStr">
        <is>
          <t>3F</t>
        </is>
      </c>
      <c r="C75" s="500" t="inlineStr">
        <is>
          <t>AHU1 - BTU</t>
        </is>
      </c>
      <c r="D75" s="501" t="n"/>
      <c r="E75" s="102">
        <f>E32-D32</f>
        <v/>
      </c>
      <c r="F75" s="102">
        <f>F32-E32</f>
        <v/>
      </c>
      <c r="G75" s="102">
        <f>G32-F32</f>
        <v/>
      </c>
      <c r="H75" s="102">
        <f>H32-G32</f>
        <v/>
      </c>
      <c r="I75" s="102">
        <f>I32-H32</f>
        <v/>
      </c>
      <c r="J75" s="102">
        <f>J32-I32</f>
        <v/>
      </c>
      <c r="K75" s="102">
        <f>K32-J32</f>
        <v/>
      </c>
      <c r="L75" s="102">
        <f>L32-K32</f>
        <v/>
      </c>
      <c r="M75" s="102">
        <f>M32-L32</f>
        <v/>
      </c>
      <c r="N75" s="102">
        <f>N32-M32</f>
        <v/>
      </c>
      <c r="O75" s="102">
        <f>O32-N32</f>
        <v/>
      </c>
      <c r="P75" s="102">
        <f>P32-O32</f>
        <v/>
      </c>
      <c r="Q75" s="102">
        <f>Q32-P32</f>
        <v/>
      </c>
      <c r="R75" s="102">
        <f>R32-Q32</f>
        <v/>
      </c>
      <c r="S75" s="102">
        <f>S32-R32</f>
        <v/>
      </c>
      <c r="T75" s="102">
        <f>T32-S32</f>
        <v/>
      </c>
      <c r="U75" s="102">
        <f>U32-T32</f>
        <v/>
      </c>
      <c r="V75" s="102">
        <f>V32-U32</f>
        <v/>
      </c>
      <c r="W75" s="102">
        <f>W32-V32</f>
        <v/>
      </c>
      <c r="X75" s="102">
        <f>X32-W32</f>
        <v/>
      </c>
      <c r="Y75" s="102">
        <f>Y32-X32</f>
        <v/>
      </c>
      <c r="Z75" s="102">
        <f>Z32-Y32</f>
        <v/>
      </c>
      <c r="AA75" s="102">
        <f>AA32-Z32</f>
        <v/>
      </c>
      <c r="AB75" s="102">
        <f>AB32-AA32</f>
        <v/>
      </c>
      <c r="AC75" s="102">
        <f>AC32-AB32</f>
        <v/>
      </c>
      <c r="AD75" s="102">
        <f>AD32-AC32</f>
        <v/>
      </c>
      <c r="AE75" s="102">
        <f>AE32-AD32</f>
        <v/>
      </c>
      <c r="AF75" s="102">
        <f>AF32-AE32</f>
        <v/>
      </c>
      <c r="AG75" s="102">
        <f>AG32-AF32</f>
        <v/>
      </c>
      <c r="AH75" s="102">
        <f>AH32-AG32</f>
        <v/>
      </c>
      <c r="AI75" s="21">
        <f>SUM(E75:AH75)</f>
        <v/>
      </c>
    </row>
    <row r="76" ht="15" customHeight="1" s="488">
      <c r="A76" s="500" t="n">
        <v>2</v>
      </c>
      <c r="B76" s="500" t="inlineStr">
        <is>
          <t>3F</t>
        </is>
      </c>
      <c r="C76" s="500" t="inlineStr">
        <is>
          <t>AHU2 - BTU</t>
        </is>
      </c>
      <c r="D76" s="501" t="n"/>
      <c r="E76" s="102">
        <f>E33-D33</f>
        <v/>
      </c>
      <c r="F76" s="102">
        <f>F33-E33</f>
        <v/>
      </c>
      <c r="G76" s="102">
        <f>G33-F33</f>
        <v/>
      </c>
      <c r="H76" s="102">
        <f>H33-G33</f>
        <v/>
      </c>
      <c r="I76" s="102">
        <f>I33-H33</f>
        <v/>
      </c>
      <c r="J76" s="102">
        <f>J33-I33</f>
        <v/>
      </c>
      <c r="K76" s="102">
        <f>K33-J33</f>
        <v/>
      </c>
      <c r="L76" s="102">
        <f>L33-K33</f>
        <v/>
      </c>
      <c r="M76" s="102">
        <f>M33-L33</f>
        <v/>
      </c>
      <c r="N76" s="102">
        <f>N33-M33</f>
        <v/>
      </c>
      <c r="O76" s="102">
        <f>O33-N33</f>
        <v/>
      </c>
      <c r="P76" s="102">
        <f>P33-O33</f>
        <v/>
      </c>
      <c r="Q76" s="102">
        <f>Q33-P33</f>
        <v/>
      </c>
      <c r="R76" s="102">
        <f>R33-Q33</f>
        <v/>
      </c>
      <c r="S76" s="102">
        <f>S33-R33</f>
        <v/>
      </c>
      <c r="T76" s="102">
        <f>T33-S33</f>
        <v/>
      </c>
      <c r="U76" s="102">
        <f>U33-T33</f>
        <v/>
      </c>
      <c r="V76" s="102">
        <f>V33-U33</f>
        <v/>
      </c>
      <c r="W76" s="102">
        <f>W33-V33</f>
        <v/>
      </c>
      <c r="X76" s="102">
        <f>X33-W33</f>
        <v/>
      </c>
      <c r="Y76" s="102">
        <f>Y33-X33</f>
        <v/>
      </c>
      <c r="Z76" s="102">
        <f>Z33-Y33</f>
        <v/>
      </c>
      <c r="AA76" s="102">
        <f>AA33-Z33</f>
        <v/>
      </c>
      <c r="AB76" s="102">
        <f>AB33-AA33</f>
        <v/>
      </c>
      <c r="AC76" s="102">
        <f>AC33-AB33</f>
        <v/>
      </c>
      <c r="AD76" s="102">
        <f>AD33-AC33</f>
        <v/>
      </c>
      <c r="AE76" s="102">
        <f>AE33-AD33</f>
        <v/>
      </c>
      <c r="AF76" s="102">
        <f>AF33-AE33</f>
        <v/>
      </c>
      <c r="AG76" s="102">
        <f>AG33-AF33</f>
        <v/>
      </c>
      <c r="AH76" s="102">
        <f>AH33-AG33</f>
        <v/>
      </c>
      <c r="AI76" s="21">
        <f>SUM(E76:AH76)</f>
        <v/>
      </c>
    </row>
    <row r="77" ht="15" customHeight="1" s="488">
      <c r="A77" s="500" t="n">
        <v>3</v>
      </c>
      <c r="B77" s="500" t="inlineStr">
        <is>
          <t>3F</t>
        </is>
      </c>
      <c r="C77" s="500" t="inlineStr">
        <is>
          <t>AHU3 - BTU</t>
        </is>
      </c>
      <c r="D77" s="501" t="n"/>
      <c r="E77" s="102">
        <f>E34-D34</f>
        <v/>
      </c>
      <c r="F77" s="102">
        <f>F34-E34</f>
        <v/>
      </c>
      <c r="G77" s="102">
        <f>G34-F34</f>
        <v/>
      </c>
      <c r="H77" s="102">
        <f>H34-G34</f>
        <v/>
      </c>
      <c r="I77" s="102">
        <f>I34-H34</f>
        <v/>
      </c>
      <c r="J77" s="102">
        <f>J34-I34</f>
        <v/>
      </c>
      <c r="K77" s="102">
        <f>K34-J34</f>
        <v/>
      </c>
      <c r="L77" s="102">
        <f>L34-K34</f>
        <v/>
      </c>
      <c r="M77" s="102">
        <f>M34-L34</f>
        <v/>
      </c>
      <c r="N77" s="102">
        <f>N34-M34</f>
        <v/>
      </c>
      <c r="O77" s="102">
        <f>O34-N34</f>
        <v/>
      </c>
      <c r="P77" s="102">
        <f>P34-O34</f>
        <v/>
      </c>
      <c r="Q77" s="102">
        <f>Q34-P34</f>
        <v/>
      </c>
      <c r="R77" s="102">
        <f>R34-Q34</f>
        <v/>
      </c>
      <c r="S77" s="102">
        <f>S34-R34</f>
        <v/>
      </c>
      <c r="T77" s="102">
        <f>T34-S34</f>
        <v/>
      </c>
      <c r="U77" s="102">
        <f>U34-T34</f>
        <v/>
      </c>
      <c r="V77" s="102">
        <f>V34-U34</f>
        <v/>
      </c>
      <c r="W77" s="102">
        <f>W34-V34</f>
        <v/>
      </c>
      <c r="X77" s="102">
        <f>X34-W34</f>
        <v/>
      </c>
      <c r="Y77" s="102">
        <f>Y34-X34</f>
        <v/>
      </c>
      <c r="Z77" s="102">
        <f>Z34-Y34</f>
        <v/>
      </c>
      <c r="AA77" s="102">
        <f>AA34-Z34</f>
        <v/>
      </c>
      <c r="AB77" s="102">
        <f>AB34-AA34</f>
        <v/>
      </c>
      <c r="AC77" s="102">
        <f>AC34-AB34</f>
        <v/>
      </c>
      <c r="AD77" s="102">
        <f>AD34-AC34</f>
        <v/>
      </c>
      <c r="AE77" s="102">
        <f>AE34-AD34</f>
        <v/>
      </c>
      <c r="AF77" s="102">
        <f>AF34-AE34</f>
        <v/>
      </c>
      <c r="AG77" s="102">
        <f>AG34-AF34</f>
        <v/>
      </c>
      <c r="AH77" s="102">
        <f>AH34-AG34</f>
        <v/>
      </c>
      <c r="AI77" s="21">
        <f>SUM(E77:AH77)</f>
        <v/>
      </c>
    </row>
    <row r="78" ht="17.25" customHeight="1" s="488">
      <c r="A78" s="500" t="n">
        <v>4</v>
      </c>
      <c r="B78" s="500" t="inlineStr">
        <is>
          <t>3F</t>
        </is>
      </c>
      <c r="C78" s="500" t="inlineStr">
        <is>
          <t>AHU4 - BTU</t>
        </is>
      </c>
      <c r="D78" s="501" t="n"/>
      <c r="E78" s="102">
        <f>E35-D35</f>
        <v/>
      </c>
      <c r="F78" s="102">
        <f>F35-E35</f>
        <v/>
      </c>
      <c r="G78" s="102">
        <f>G35-F35</f>
        <v/>
      </c>
      <c r="H78" s="102">
        <f>H35-G35</f>
        <v/>
      </c>
      <c r="I78" s="102">
        <f>I35-H35</f>
        <v/>
      </c>
      <c r="J78" s="102">
        <f>J35-I35</f>
        <v/>
      </c>
      <c r="K78" s="102">
        <f>K35-J35</f>
        <v/>
      </c>
      <c r="L78" s="102">
        <f>L35-K35</f>
        <v/>
      </c>
      <c r="M78" s="102">
        <f>M35-L35</f>
        <v/>
      </c>
      <c r="N78" s="102">
        <f>N35-M35</f>
        <v/>
      </c>
      <c r="O78" s="102">
        <f>O35-N35</f>
        <v/>
      </c>
      <c r="P78" s="102">
        <f>P35-O35</f>
        <v/>
      </c>
      <c r="Q78" s="102">
        <f>Q35-P35</f>
        <v/>
      </c>
      <c r="R78" s="102">
        <f>R35-Q35</f>
        <v/>
      </c>
      <c r="S78" s="102">
        <f>S35-R35</f>
        <v/>
      </c>
      <c r="T78" s="102">
        <f>T35-S35</f>
        <v/>
      </c>
      <c r="U78" s="102">
        <f>U35-T35</f>
        <v/>
      </c>
      <c r="V78" s="102">
        <f>V35-U35</f>
        <v/>
      </c>
      <c r="W78" s="102">
        <f>W35-V35</f>
        <v/>
      </c>
      <c r="X78" s="102">
        <f>X35-W35</f>
        <v/>
      </c>
      <c r="Y78" s="102">
        <f>Y35-X35</f>
        <v/>
      </c>
      <c r="Z78" s="102">
        <f>Z35-Y35</f>
        <v/>
      </c>
      <c r="AA78" s="102">
        <f>AA35-Z35</f>
        <v/>
      </c>
      <c r="AB78" s="102">
        <f>AB35-AA35</f>
        <v/>
      </c>
      <c r="AC78" s="102">
        <f>AC35-AB35</f>
        <v/>
      </c>
      <c r="AD78" s="102">
        <f>AD35-AC35</f>
        <v/>
      </c>
      <c r="AE78" s="102">
        <f>AE35-AD35</f>
        <v/>
      </c>
      <c r="AF78" s="102">
        <f>AF35-AE35</f>
        <v/>
      </c>
      <c r="AG78" s="102">
        <f>AG35-AF35</f>
        <v/>
      </c>
      <c r="AH78" s="102">
        <f>AH35-AG35</f>
        <v/>
      </c>
      <c r="AI78" s="21">
        <f>SUM(E78:AH78)</f>
        <v/>
      </c>
    </row>
    <row r="79" ht="24.75" customHeight="1" s="488">
      <c r="A79" s="99" t="n"/>
      <c r="B79" s="99" t="n"/>
      <c r="C79" s="511" t="inlineStr">
        <is>
          <t>Total BTU Consumption</t>
        </is>
      </c>
      <c r="D79" s="501" t="n"/>
      <c r="E79" s="23">
        <f>SUM(E75:E78)</f>
        <v/>
      </c>
      <c r="F79" s="23">
        <f>SUM(F75:F78)</f>
        <v/>
      </c>
      <c r="G79" s="23">
        <f>SUM(G75:G78)</f>
        <v/>
      </c>
      <c r="H79" s="23">
        <f>SUM(H75:H78)</f>
        <v/>
      </c>
      <c r="I79" s="23">
        <f>SUM(I75:I78)</f>
        <v/>
      </c>
      <c r="J79" s="23">
        <f>SUM(J75:J78)</f>
        <v/>
      </c>
      <c r="K79" s="23">
        <f>SUM(K75:K78)</f>
        <v/>
      </c>
      <c r="L79" s="23">
        <f>SUM(L75:L78)</f>
        <v/>
      </c>
      <c r="M79" s="23">
        <f>SUM(M75:M78)</f>
        <v/>
      </c>
      <c r="N79" s="23">
        <f>SUM(N75:N78)</f>
        <v/>
      </c>
      <c r="O79" s="23">
        <f>SUM(O75:O78)</f>
        <v/>
      </c>
      <c r="P79" s="23">
        <f>SUM(P75:P78)</f>
        <v/>
      </c>
      <c r="Q79" s="23">
        <f>SUM(Q75:Q78)</f>
        <v/>
      </c>
      <c r="R79" s="23">
        <f>SUM(R75:R78)</f>
        <v/>
      </c>
      <c r="S79" s="23">
        <f>SUM(S75:S78)</f>
        <v/>
      </c>
      <c r="T79" s="23">
        <f>SUM(T75:T78)</f>
        <v/>
      </c>
      <c r="U79" s="23">
        <f>SUM(U75:U78)</f>
        <v/>
      </c>
      <c r="V79" s="23">
        <f>SUM(V75:V78)</f>
        <v/>
      </c>
      <c r="W79" s="23">
        <f>SUM(W75:W78)</f>
        <v/>
      </c>
      <c r="X79" s="23">
        <f>SUM(X75:X78)</f>
        <v/>
      </c>
      <c r="Y79" s="23">
        <f>SUM(Y75:Y78)</f>
        <v/>
      </c>
      <c r="Z79" s="23">
        <f>SUM(Z75:Z78)</f>
        <v/>
      </c>
      <c r="AA79" s="23">
        <f>SUM(AA75:AA78)</f>
        <v/>
      </c>
      <c r="AB79" s="23">
        <f>SUM(AB75:AB78)</f>
        <v/>
      </c>
      <c r="AC79" s="23">
        <f>SUM(AC75:AC78)</f>
        <v/>
      </c>
      <c r="AD79" s="23">
        <f>SUM(AD75:AD78)</f>
        <v/>
      </c>
      <c r="AE79" s="23">
        <f>SUM(AE75:AE78)</f>
        <v/>
      </c>
      <c r="AF79" s="23">
        <f>SUM(AF75:AF78)</f>
        <v/>
      </c>
      <c r="AG79" s="23">
        <f>SUM(AG75:AG78)</f>
        <v/>
      </c>
      <c r="AH79" s="23">
        <f>SUM(AH75:AH78)</f>
        <v/>
      </c>
      <c r="AI79" s="217">
        <f>SUM(AI75:AI78)</f>
        <v/>
      </c>
    </row>
    <row r="83" ht="26" customHeight="1" s="488">
      <c r="A83" s="573" t="n"/>
      <c r="B83" s="505" t="n"/>
      <c r="C83" s="505" t="n"/>
      <c r="D83" s="506" t="n"/>
      <c r="E83" s="581" t="inlineStr">
        <is>
          <t>Nove- 2025    EV METER READING</t>
        </is>
      </c>
      <c r="F83" s="505" t="n"/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505" t="n"/>
      <c r="S83" s="505" t="n"/>
      <c r="T83" s="505" t="n"/>
      <c r="U83" s="505" t="n"/>
      <c r="V83" s="505" t="n"/>
      <c r="W83" s="505" t="n"/>
      <c r="X83" s="505" t="n"/>
      <c r="Y83" s="505" t="n"/>
      <c r="Z83" s="505" t="n"/>
      <c r="AA83" s="505" t="n"/>
      <c r="AB83" s="505" t="n"/>
      <c r="AC83" s="505" t="n"/>
      <c r="AD83" s="505" t="n"/>
      <c r="AE83" s="505" t="n"/>
      <c r="AF83" s="505" t="n"/>
      <c r="AG83" s="505" t="n"/>
      <c r="AH83" s="505" t="n"/>
    </row>
    <row r="84">
      <c r="A84" s="508" t="inlineStr">
        <is>
          <t>Sr.No</t>
        </is>
      </c>
      <c r="B84" s="508" t="inlineStr">
        <is>
          <t>Location</t>
        </is>
      </c>
      <c r="C84" s="580" t="inlineStr">
        <is>
          <t>Meter</t>
        </is>
      </c>
      <c r="D84" s="562" t="inlineStr">
        <is>
          <t>Previous Reading</t>
        </is>
      </c>
      <c r="E84" s="51" t="n">
        <v>45962</v>
      </c>
      <c r="F84" s="51" t="n">
        <v>45963</v>
      </c>
      <c r="G84" s="51" t="n">
        <v>45964</v>
      </c>
      <c r="H84" s="51" t="n">
        <v>45965</v>
      </c>
      <c r="I84" s="51" t="n">
        <v>45966</v>
      </c>
      <c r="J84" s="51" t="n">
        <v>45967</v>
      </c>
      <c r="K84" s="51" t="n">
        <v>45968</v>
      </c>
      <c r="L84" s="51" t="n">
        <v>45969</v>
      </c>
      <c r="M84" s="51" t="n">
        <v>45970</v>
      </c>
      <c r="N84" s="51" t="n">
        <v>45971</v>
      </c>
      <c r="O84" s="51" t="n">
        <v>45972</v>
      </c>
      <c r="P84" s="51" t="n">
        <v>45973</v>
      </c>
      <c r="Q84" s="51" t="n">
        <v>45974</v>
      </c>
      <c r="R84" s="51" t="n">
        <v>45975</v>
      </c>
      <c r="S84" s="51" t="n">
        <v>45976</v>
      </c>
      <c r="T84" s="51" t="n">
        <v>45977</v>
      </c>
      <c r="U84" s="51" t="n">
        <v>45978</v>
      </c>
      <c r="V84" s="51" t="n">
        <v>45979</v>
      </c>
      <c r="W84" s="51" t="n">
        <v>45980</v>
      </c>
      <c r="X84" s="51" t="n">
        <v>45981</v>
      </c>
      <c r="Y84" s="51" t="n">
        <v>45982</v>
      </c>
      <c r="Z84" s="51" t="n">
        <v>45983</v>
      </c>
      <c r="AA84" s="51" t="n">
        <v>45984</v>
      </c>
      <c r="AB84" s="51" t="n">
        <v>45985</v>
      </c>
      <c r="AC84" s="51" t="n">
        <v>45986</v>
      </c>
      <c r="AD84" s="51" t="n">
        <v>45987</v>
      </c>
      <c r="AE84" s="51" t="n">
        <v>45988</v>
      </c>
      <c r="AF84" s="51" t="n">
        <v>45989</v>
      </c>
      <c r="AG84" s="51" t="n">
        <v>45990</v>
      </c>
      <c r="AH84" s="51" t="n">
        <v>45991</v>
      </c>
    </row>
    <row r="85">
      <c r="A85" s="509" t="n"/>
      <c r="B85" s="509" t="n"/>
      <c r="C85" s="509" t="n"/>
      <c r="D85" s="509" t="n"/>
      <c r="E85" s="96" t="inlineStr">
        <is>
          <t>Wed</t>
        </is>
      </c>
      <c r="F85" s="96" t="inlineStr">
        <is>
          <t>Thu</t>
        </is>
      </c>
      <c r="G85" s="96" t="inlineStr">
        <is>
          <t>Fri</t>
        </is>
      </c>
      <c r="H85" s="96" t="inlineStr">
        <is>
          <t>Sat</t>
        </is>
      </c>
      <c r="I85" s="96" t="inlineStr">
        <is>
          <t>Sun</t>
        </is>
      </c>
      <c r="J85" s="96" t="inlineStr">
        <is>
          <t>Mon</t>
        </is>
      </c>
      <c r="K85" s="96" t="inlineStr">
        <is>
          <t>Tue</t>
        </is>
      </c>
      <c r="L85" s="96" t="inlineStr">
        <is>
          <t>Wed</t>
        </is>
      </c>
      <c r="M85" s="96" t="inlineStr">
        <is>
          <t>Thu</t>
        </is>
      </c>
      <c r="N85" s="96" t="inlineStr">
        <is>
          <t>Fri</t>
        </is>
      </c>
      <c r="O85" s="96" t="inlineStr">
        <is>
          <t>Sat</t>
        </is>
      </c>
      <c r="P85" s="96" t="inlineStr">
        <is>
          <t>Sun</t>
        </is>
      </c>
      <c r="Q85" s="96" t="inlineStr">
        <is>
          <t>Mon</t>
        </is>
      </c>
      <c r="R85" s="96" t="inlineStr">
        <is>
          <t>Tue</t>
        </is>
      </c>
      <c r="S85" s="96" t="inlineStr">
        <is>
          <t>Wed</t>
        </is>
      </c>
      <c r="T85" s="96" t="inlineStr">
        <is>
          <t>Thu</t>
        </is>
      </c>
      <c r="U85" s="96" t="inlineStr">
        <is>
          <t>Fri</t>
        </is>
      </c>
      <c r="V85" s="96" t="inlineStr">
        <is>
          <t>Sat</t>
        </is>
      </c>
      <c r="W85" s="96" t="inlineStr">
        <is>
          <t>Sun</t>
        </is>
      </c>
      <c r="X85" s="96" t="inlineStr">
        <is>
          <t>Mon</t>
        </is>
      </c>
      <c r="Y85" s="96" t="inlineStr">
        <is>
          <t>Tue</t>
        </is>
      </c>
      <c r="Z85" s="96" t="inlineStr">
        <is>
          <t>Wed</t>
        </is>
      </c>
      <c r="AA85" s="96" t="inlineStr">
        <is>
          <t>Thu</t>
        </is>
      </c>
      <c r="AB85" s="96" t="inlineStr">
        <is>
          <t>Fri</t>
        </is>
      </c>
      <c r="AC85" s="96" t="inlineStr">
        <is>
          <t>Sat</t>
        </is>
      </c>
      <c r="AD85" s="96" t="inlineStr">
        <is>
          <t>Sun</t>
        </is>
      </c>
      <c r="AE85" s="96" t="inlineStr">
        <is>
          <t>Mon</t>
        </is>
      </c>
      <c r="AF85" s="96" t="inlineStr">
        <is>
          <t>Tue</t>
        </is>
      </c>
      <c r="AG85" s="96" t="inlineStr">
        <is>
          <t>Wed</t>
        </is>
      </c>
      <c r="AH85" s="96" t="inlineStr">
        <is>
          <t>Thu</t>
        </is>
      </c>
    </row>
    <row r="86">
      <c r="A86" s="509" t="n"/>
      <c r="B86" s="509" t="n"/>
      <c r="C86" s="509" t="n"/>
      <c r="D86" s="509" t="n"/>
      <c r="E86" s="52" t="inlineStr">
        <is>
          <t>Time</t>
        </is>
      </c>
      <c r="F86" s="52" t="inlineStr">
        <is>
          <t>Time</t>
        </is>
      </c>
      <c r="G86" s="52" t="inlineStr">
        <is>
          <t>Time</t>
        </is>
      </c>
      <c r="H86" s="52" t="inlineStr">
        <is>
          <t>Time</t>
        </is>
      </c>
      <c r="I86" s="52" t="inlineStr">
        <is>
          <t>Time</t>
        </is>
      </c>
      <c r="J86" s="52" t="inlineStr">
        <is>
          <t>Time</t>
        </is>
      </c>
      <c r="K86" s="52" t="inlineStr">
        <is>
          <t>Time</t>
        </is>
      </c>
      <c r="L86" s="52" t="inlineStr">
        <is>
          <t>Time</t>
        </is>
      </c>
      <c r="M86" s="52" t="inlineStr">
        <is>
          <t>Time</t>
        </is>
      </c>
      <c r="N86" s="52" t="inlineStr">
        <is>
          <t>Time</t>
        </is>
      </c>
      <c r="O86" s="52" t="inlineStr">
        <is>
          <t>Time</t>
        </is>
      </c>
      <c r="P86" s="52" t="inlineStr">
        <is>
          <t>Time</t>
        </is>
      </c>
      <c r="Q86" s="52" t="inlineStr">
        <is>
          <t>Time</t>
        </is>
      </c>
      <c r="R86" s="52" t="inlineStr">
        <is>
          <t>Time</t>
        </is>
      </c>
      <c r="S86" s="52" t="inlineStr">
        <is>
          <t>Time</t>
        </is>
      </c>
      <c r="T86" s="52" t="inlineStr">
        <is>
          <t>Time</t>
        </is>
      </c>
      <c r="U86" s="52" t="inlineStr">
        <is>
          <t>Time</t>
        </is>
      </c>
      <c r="V86" s="52" t="inlineStr">
        <is>
          <t>Time</t>
        </is>
      </c>
      <c r="W86" s="52" t="inlineStr">
        <is>
          <t>Time</t>
        </is>
      </c>
      <c r="X86" s="52" t="inlineStr">
        <is>
          <t>Time</t>
        </is>
      </c>
      <c r="Y86" s="52" t="inlineStr">
        <is>
          <t>Time</t>
        </is>
      </c>
      <c r="Z86" s="52" t="inlineStr">
        <is>
          <t>Time</t>
        </is>
      </c>
      <c r="AA86" s="52" t="inlineStr">
        <is>
          <t>Time</t>
        </is>
      </c>
      <c r="AB86" s="52" t="inlineStr">
        <is>
          <t>Time</t>
        </is>
      </c>
      <c r="AC86" s="52" t="inlineStr">
        <is>
          <t>Time</t>
        </is>
      </c>
      <c r="AD86" s="52" t="inlineStr">
        <is>
          <t>Time</t>
        </is>
      </c>
      <c r="AE86" s="52" t="inlineStr">
        <is>
          <t>Time</t>
        </is>
      </c>
      <c r="AF86" s="52" t="inlineStr">
        <is>
          <t>Time</t>
        </is>
      </c>
      <c r="AG86" s="52" t="inlineStr">
        <is>
          <t>Time</t>
        </is>
      </c>
      <c r="AH86" s="52" t="inlineStr">
        <is>
          <t>Time</t>
        </is>
      </c>
    </row>
    <row r="87">
      <c r="A87" s="510" t="n"/>
      <c r="B87" s="510" t="n"/>
      <c r="C87" s="510" t="n"/>
      <c r="D87" s="510" t="n"/>
      <c r="E87" s="199" t="n">
        <v>0.3333333333333333</v>
      </c>
      <c r="F87" s="199" t="n">
        <v>0.3333333333333333</v>
      </c>
      <c r="G87" s="199" t="n">
        <v>0.3333333333333333</v>
      </c>
      <c r="H87" s="199" t="n">
        <v>0.3333333333333333</v>
      </c>
      <c r="I87" s="199" t="n">
        <v>0.3333333333333333</v>
      </c>
      <c r="J87" s="199" t="n">
        <v>0.3333333333333333</v>
      </c>
      <c r="K87" s="199" t="n">
        <v>0.3333333333333333</v>
      </c>
      <c r="L87" s="199" t="n">
        <v>0.3333333333333333</v>
      </c>
      <c r="M87" s="199" t="n">
        <v>0.3333333333333333</v>
      </c>
      <c r="N87" s="199" t="n">
        <v>0.3333333333333333</v>
      </c>
      <c r="O87" s="199" t="n">
        <v>0.3333333333333333</v>
      </c>
      <c r="P87" s="199" t="n">
        <v>0.3333333333333333</v>
      </c>
      <c r="Q87" s="199" t="n">
        <v>0.3333333333333333</v>
      </c>
      <c r="R87" s="199" t="n">
        <v>0.3333333333333333</v>
      </c>
      <c r="S87" s="199" t="n">
        <v>0.3333333333333333</v>
      </c>
      <c r="T87" s="199" t="n">
        <v>0.3333333333333333</v>
      </c>
      <c r="U87" s="199" t="n">
        <v>0.3333333333333333</v>
      </c>
      <c r="V87" s="199" t="n">
        <v>0.3333333333333333</v>
      </c>
      <c r="W87" s="199" t="n">
        <v>0.3333333333333333</v>
      </c>
      <c r="X87" s="199" t="n">
        <v>0.3333333333333333</v>
      </c>
      <c r="Y87" s="199" t="n">
        <v>0.3333333333333333</v>
      </c>
      <c r="Z87" s="199" t="n">
        <v>0.3333333333333333</v>
      </c>
      <c r="AA87" s="199" t="n">
        <v>0.3333333333333333</v>
      </c>
      <c r="AB87" s="199" t="n">
        <v>0.3333333333333333</v>
      </c>
      <c r="AC87" s="199" t="n">
        <v>0.3333333333333333</v>
      </c>
      <c r="AD87" s="199" t="n">
        <v>0.3333333333333333</v>
      </c>
      <c r="AE87" s="199" t="n">
        <v>0.3333333333333333</v>
      </c>
      <c r="AF87" s="199" t="n">
        <v>0.3333333333333333</v>
      </c>
      <c r="AG87" s="199" t="n">
        <v>0.3333333333333333</v>
      </c>
      <c r="AH87" s="199" t="n">
        <v>0.3333333333333333</v>
      </c>
    </row>
    <row r="88" customFormat="1" s="220">
      <c r="A88" s="184" t="n">
        <v>1</v>
      </c>
      <c r="B88" s="219" t="inlineStr">
        <is>
          <t>Basement:-2</t>
        </is>
      </c>
      <c r="C88" s="219" t="inlineStr">
        <is>
          <t>Liberty-170</t>
        </is>
      </c>
      <c r="D88" s="219" t="n">
        <v>1378</v>
      </c>
      <c r="E88" s="219" t="n">
        <v>1378</v>
      </c>
      <c r="F88" s="219" t="n">
        <v>1378</v>
      </c>
      <c r="G88" s="219" t="n">
        <v>1378</v>
      </c>
      <c r="H88" s="219" t="n">
        <v>1421</v>
      </c>
      <c r="I88" s="219" t="n">
        <v>1421</v>
      </c>
      <c r="J88" s="219" t="n">
        <v>1441</v>
      </c>
      <c r="K88" s="219" t="n">
        <v>1462</v>
      </c>
      <c r="L88" s="219" t="n">
        <v>1462</v>
      </c>
      <c r="M88" s="219" t="n">
        <v>1462</v>
      </c>
      <c r="N88" s="219" t="n">
        <v>1462</v>
      </c>
      <c r="O88" s="219" t="n">
        <v>1478</v>
      </c>
      <c r="P88" s="219" t="n">
        <v>1489</v>
      </c>
      <c r="Q88" s="219" t="n">
        <v>1489</v>
      </c>
      <c r="R88" s="219" t="n">
        <v>1489</v>
      </c>
      <c r="S88" s="219" t="n">
        <v>1489</v>
      </c>
      <c r="T88" s="219" t="n">
        <v>1489</v>
      </c>
      <c r="U88" s="219" t="n">
        <v>1489</v>
      </c>
      <c r="V88" s="219" t="n">
        <v>1489</v>
      </c>
      <c r="W88" s="219" t="n">
        <v>1489</v>
      </c>
      <c r="X88" s="219" t="n">
        <v>1489</v>
      </c>
      <c r="Y88" s="219" t="n">
        <v>1489</v>
      </c>
      <c r="Z88" s="219" t="n">
        <v>1489</v>
      </c>
      <c r="AA88" s="219" t="n">
        <v>1489</v>
      </c>
      <c r="AB88" s="219" t="n">
        <v>1489</v>
      </c>
      <c r="AC88" s="219" t="n">
        <v>1495</v>
      </c>
      <c r="AD88" s="219" t="n">
        <v>1495</v>
      </c>
      <c r="AE88" s="219" t="n">
        <v>1508</v>
      </c>
      <c r="AF88" s="219" t="n">
        <v>1528</v>
      </c>
      <c r="AG88" s="219" t="n">
        <v>1528</v>
      </c>
      <c r="AH88" s="219" t="n">
        <v>1528</v>
      </c>
    </row>
    <row r="90">
      <c r="A90" s="533" t="inlineStr">
        <is>
          <t>Sr.No</t>
        </is>
      </c>
      <c r="B90" s="533" t="inlineStr">
        <is>
          <t>Location</t>
        </is>
      </c>
      <c r="C90" s="533" t="inlineStr">
        <is>
          <t>Meter</t>
        </is>
      </c>
      <c r="D90" s="522" t="n"/>
      <c r="E90" s="95">
        <f>E84</f>
        <v/>
      </c>
      <c r="F90" s="95">
        <f>F84</f>
        <v/>
      </c>
      <c r="G90" s="95">
        <f>G84</f>
        <v/>
      </c>
      <c r="H90" s="95">
        <f>H84</f>
        <v/>
      </c>
      <c r="I90" s="95">
        <f>I84</f>
        <v/>
      </c>
      <c r="J90" s="95">
        <f>J84</f>
        <v/>
      </c>
      <c r="K90" s="95">
        <f>K84</f>
        <v/>
      </c>
      <c r="L90" s="95">
        <f>L84</f>
        <v/>
      </c>
      <c r="M90" s="95">
        <f>M84</f>
        <v/>
      </c>
      <c r="N90" s="95">
        <f>N84</f>
        <v/>
      </c>
      <c r="O90" s="95">
        <f>O84</f>
        <v/>
      </c>
      <c r="P90" s="95">
        <f>P84</f>
        <v/>
      </c>
      <c r="Q90" s="95">
        <f>Q84</f>
        <v/>
      </c>
      <c r="R90" s="95">
        <f>R84</f>
        <v/>
      </c>
      <c r="S90" s="95">
        <f>S84</f>
        <v/>
      </c>
      <c r="T90" s="95">
        <f>T84</f>
        <v/>
      </c>
      <c r="U90" s="95">
        <f>U84</f>
        <v/>
      </c>
      <c r="V90" s="95">
        <f>V84</f>
        <v/>
      </c>
      <c r="W90" s="95">
        <f>W84</f>
        <v/>
      </c>
      <c r="X90" s="95">
        <f>X84</f>
        <v/>
      </c>
      <c r="Y90" s="95">
        <f>Y84</f>
        <v/>
      </c>
      <c r="Z90" s="95">
        <f>Z84</f>
        <v/>
      </c>
      <c r="AA90" s="95">
        <f>AA84</f>
        <v/>
      </c>
      <c r="AB90" s="95">
        <f>AB84</f>
        <v/>
      </c>
      <c r="AC90" s="95">
        <f>AC84</f>
        <v/>
      </c>
      <c r="AD90" s="95">
        <f>AD84</f>
        <v/>
      </c>
      <c r="AE90" s="95">
        <f>AE84</f>
        <v/>
      </c>
      <c r="AF90" s="95">
        <f>AF84</f>
        <v/>
      </c>
      <c r="AG90" s="95">
        <f>AG84</f>
        <v/>
      </c>
      <c r="AH90" s="95">
        <f>AH84</f>
        <v/>
      </c>
      <c r="AI90" s="533" t="inlineStr">
        <is>
          <t>Consumption</t>
        </is>
      </c>
    </row>
    <row r="91">
      <c r="A91" s="516" t="n"/>
      <c r="B91" s="516" t="n"/>
      <c r="C91" s="523" t="n"/>
      <c r="D91" s="524" t="n"/>
      <c r="E91" s="96" t="inlineStr">
        <is>
          <t>Wed</t>
        </is>
      </c>
      <c r="F91" s="96" t="inlineStr">
        <is>
          <t>Thu</t>
        </is>
      </c>
      <c r="G91" s="96" t="inlineStr">
        <is>
          <t>Fri</t>
        </is>
      </c>
      <c r="H91" s="96" t="inlineStr">
        <is>
          <t>Sat</t>
        </is>
      </c>
      <c r="I91" s="96" t="inlineStr">
        <is>
          <t>Sun</t>
        </is>
      </c>
      <c r="J91" s="96" t="inlineStr">
        <is>
          <t>Mon</t>
        </is>
      </c>
      <c r="K91" s="96" t="inlineStr">
        <is>
          <t>Tue</t>
        </is>
      </c>
      <c r="L91" s="96" t="inlineStr">
        <is>
          <t>Wed</t>
        </is>
      </c>
      <c r="M91" s="96" t="inlineStr">
        <is>
          <t>Thu</t>
        </is>
      </c>
      <c r="N91" s="96" t="inlineStr">
        <is>
          <t>Fri</t>
        </is>
      </c>
      <c r="O91" s="96" t="inlineStr">
        <is>
          <t>Sat</t>
        </is>
      </c>
      <c r="P91" s="96" t="inlineStr">
        <is>
          <t>Sun</t>
        </is>
      </c>
      <c r="Q91" s="96" t="inlineStr">
        <is>
          <t>Mon</t>
        </is>
      </c>
      <c r="R91" s="96" t="inlineStr">
        <is>
          <t>Tue</t>
        </is>
      </c>
      <c r="S91" s="96" t="inlineStr">
        <is>
          <t>Wed</t>
        </is>
      </c>
      <c r="T91" s="96" t="inlineStr">
        <is>
          <t>Thu</t>
        </is>
      </c>
      <c r="U91" s="96" t="inlineStr">
        <is>
          <t>Fri</t>
        </is>
      </c>
      <c r="V91" s="96" t="inlineStr">
        <is>
          <t>Sat</t>
        </is>
      </c>
      <c r="W91" s="96" t="inlineStr">
        <is>
          <t>Sun</t>
        </is>
      </c>
      <c r="X91" s="96" t="inlineStr">
        <is>
          <t>Mon</t>
        </is>
      </c>
      <c r="Y91" s="96" t="inlineStr">
        <is>
          <t>Tue</t>
        </is>
      </c>
      <c r="Z91" s="96" t="inlineStr">
        <is>
          <t>Wed</t>
        </is>
      </c>
      <c r="AA91" s="96" t="inlineStr">
        <is>
          <t>Thu</t>
        </is>
      </c>
      <c r="AB91" s="96" t="inlineStr">
        <is>
          <t>Fri</t>
        </is>
      </c>
      <c r="AC91" s="96" t="inlineStr">
        <is>
          <t>Sat</t>
        </is>
      </c>
      <c r="AD91" s="96" t="inlineStr">
        <is>
          <t>Sun</t>
        </is>
      </c>
      <c r="AE91" s="96" t="inlineStr">
        <is>
          <t>Mon</t>
        </is>
      </c>
      <c r="AF91" s="96" t="inlineStr">
        <is>
          <t>Tue</t>
        </is>
      </c>
      <c r="AG91" s="96" t="inlineStr">
        <is>
          <t>Wed</t>
        </is>
      </c>
      <c r="AH91" s="96" t="inlineStr">
        <is>
          <t>Thu</t>
        </is>
      </c>
      <c r="AI91" s="516" t="n"/>
    </row>
    <row r="92">
      <c r="A92" s="516" t="n"/>
      <c r="B92" s="516" t="n"/>
      <c r="C92" s="523" t="n"/>
      <c r="D92" s="524" t="n"/>
      <c r="E92" s="97" t="inlineStr">
        <is>
          <t>Time</t>
        </is>
      </c>
      <c r="F92" s="97" t="inlineStr">
        <is>
          <t>Time</t>
        </is>
      </c>
      <c r="G92" s="97" t="inlineStr">
        <is>
          <t>Time</t>
        </is>
      </c>
      <c r="H92" s="97" t="inlineStr">
        <is>
          <t>Time</t>
        </is>
      </c>
      <c r="I92" s="97" t="inlineStr">
        <is>
          <t>Time</t>
        </is>
      </c>
      <c r="J92" s="97" t="inlineStr">
        <is>
          <t>Time</t>
        </is>
      </c>
      <c r="K92" s="97" t="inlineStr">
        <is>
          <t>Time</t>
        </is>
      </c>
      <c r="L92" s="97" t="inlineStr">
        <is>
          <t>Time</t>
        </is>
      </c>
      <c r="M92" s="97" t="inlineStr">
        <is>
          <t>Time</t>
        </is>
      </c>
      <c r="N92" s="97" t="inlineStr">
        <is>
          <t>Time</t>
        </is>
      </c>
      <c r="O92" s="97" t="inlineStr">
        <is>
          <t>Time</t>
        </is>
      </c>
      <c r="P92" s="97" t="inlineStr">
        <is>
          <t>Time</t>
        </is>
      </c>
      <c r="Q92" s="97" t="inlineStr">
        <is>
          <t>Time</t>
        </is>
      </c>
      <c r="R92" s="97" t="inlineStr">
        <is>
          <t>Time</t>
        </is>
      </c>
      <c r="S92" s="97" t="inlineStr">
        <is>
          <t>Time</t>
        </is>
      </c>
      <c r="T92" s="97" t="inlineStr">
        <is>
          <t>Time</t>
        </is>
      </c>
      <c r="U92" s="97" t="inlineStr">
        <is>
          <t>Time</t>
        </is>
      </c>
      <c r="V92" s="97" t="inlineStr">
        <is>
          <t>Time</t>
        </is>
      </c>
      <c r="W92" s="97" t="inlineStr">
        <is>
          <t>Time</t>
        </is>
      </c>
      <c r="X92" s="97" t="inlineStr">
        <is>
          <t>Time</t>
        </is>
      </c>
      <c r="Y92" s="97" t="inlineStr">
        <is>
          <t>Time</t>
        </is>
      </c>
      <c r="Z92" s="97" t="inlineStr">
        <is>
          <t>Time</t>
        </is>
      </c>
      <c r="AA92" s="97" t="inlineStr">
        <is>
          <t>Time</t>
        </is>
      </c>
      <c r="AB92" s="97" t="inlineStr">
        <is>
          <t>Time</t>
        </is>
      </c>
      <c r="AC92" s="97" t="inlineStr">
        <is>
          <t>Time</t>
        </is>
      </c>
      <c r="AD92" s="97" t="inlineStr">
        <is>
          <t>Time</t>
        </is>
      </c>
      <c r="AE92" s="97" t="inlineStr">
        <is>
          <t>Time</t>
        </is>
      </c>
      <c r="AF92" s="97" t="inlineStr">
        <is>
          <t>Time</t>
        </is>
      </c>
      <c r="AG92" s="97" t="inlineStr">
        <is>
          <t>Time</t>
        </is>
      </c>
      <c r="AH92" s="95">
        <f>AH55</f>
        <v/>
      </c>
      <c r="AI92" s="516" t="n"/>
    </row>
    <row r="93">
      <c r="A93" s="517" t="n"/>
      <c r="B93" s="517" t="n"/>
      <c r="C93" s="525" t="n"/>
      <c r="D93" s="526" t="n"/>
      <c r="E93" s="98" t="n">
        <v>0.3333333333333333</v>
      </c>
      <c r="F93" s="98" t="n">
        <v>0.3333333333333333</v>
      </c>
      <c r="G93" s="98" t="n">
        <v>0.3333333333333333</v>
      </c>
      <c r="H93" s="98" t="n">
        <v>0.3333333333333333</v>
      </c>
      <c r="I93" s="98" t="n">
        <v>0.3333333333333333</v>
      </c>
      <c r="J93" s="98" t="n">
        <v>0.3333333333333333</v>
      </c>
      <c r="K93" s="98" t="n">
        <v>0.3333333333333333</v>
      </c>
      <c r="L93" s="98" t="n">
        <v>0.3333333333333333</v>
      </c>
      <c r="M93" s="98" t="n">
        <v>0.3333333333333333</v>
      </c>
      <c r="N93" s="98" t="n">
        <v>0.3333333333333333</v>
      </c>
      <c r="O93" s="98" t="n">
        <v>0.3333333333333333</v>
      </c>
      <c r="P93" s="98" t="n">
        <v>0.3333333333333333</v>
      </c>
      <c r="Q93" s="98" t="n">
        <v>0.3333333333333333</v>
      </c>
      <c r="R93" s="98" t="n">
        <v>0.3333333333333333</v>
      </c>
      <c r="S93" s="98" t="n">
        <v>0.3333333333333333</v>
      </c>
      <c r="T93" s="98" t="n">
        <v>0.3333333333333333</v>
      </c>
      <c r="U93" s="98" t="n">
        <v>0.3333333333333333</v>
      </c>
      <c r="V93" s="98" t="n">
        <v>0.3333333333333333</v>
      </c>
      <c r="W93" s="98" t="n">
        <v>0.3333333333333333</v>
      </c>
      <c r="X93" s="98" t="n">
        <v>0.3333333333333333</v>
      </c>
      <c r="Y93" s="98" t="n">
        <v>0.3333333333333333</v>
      </c>
      <c r="Z93" s="98" t="n">
        <v>0.3333333333333333</v>
      </c>
      <c r="AA93" s="98" t="n">
        <v>0.3333333333333333</v>
      </c>
      <c r="AB93" s="98" t="n">
        <v>0.3333333333333333</v>
      </c>
      <c r="AC93" s="98" t="n">
        <v>0.3333333333333333</v>
      </c>
      <c r="AD93" s="98" t="n">
        <v>0.3333333333333333</v>
      </c>
      <c r="AE93" s="98" t="n">
        <v>0.3333333333333333</v>
      </c>
      <c r="AF93" s="98" t="n">
        <v>0.3333333333333333</v>
      </c>
      <c r="AG93" s="98" t="n">
        <v>0.3333333333333333</v>
      </c>
      <c r="AH93" s="98" t="n">
        <v>0.3333333333333333</v>
      </c>
      <c r="AI93" s="517" t="n"/>
    </row>
    <row r="94" customFormat="1" s="222">
      <c r="A94" s="503" t="n">
        <v>1</v>
      </c>
      <c r="B94" s="218" t="inlineStr">
        <is>
          <t>Basement:-2</t>
        </is>
      </c>
      <c r="C94" s="503" t="inlineStr">
        <is>
          <t>Liberty-170</t>
        </is>
      </c>
      <c r="D94" s="501" t="n"/>
      <c r="E94" s="20">
        <f>E88-D88</f>
        <v/>
      </c>
      <c r="F94" s="20">
        <f>F88-E88</f>
        <v/>
      </c>
      <c r="G94" s="20">
        <f>G88-F88</f>
        <v/>
      </c>
      <c r="H94" s="20">
        <f>H88-G88</f>
        <v/>
      </c>
      <c r="I94" s="20">
        <f>I88-H88</f>
        <v/>
      </c>
      <c r="J94" s="20">
        <f>J88-I88</f>
        <v/>
      </c>
      <c r="K94" s="20">
        <f>K88-J88</f>
        <v/>
      </c>
      <c r="L94" s="20">
        <f>L88-K88</f>
        <v/>
      </c>
      <c r="M94" s="20">
        <f>M88-L88</f>
        <v/>
      </c>
      <c r="N94" s="20">
        <f>N88-M88</f>
        <v/>
      </c>
      <c r="O94" s="20">
        <f>O88-N88</f>
        <v/>
      </c>
      <c r="P94" s="20">
        <f>P88-O88</f>
        <v/>
      </c>
      <c r="Q94" s="20">
        <f>Q88-P88</f>
        <v/>
      </c>
      <c r="R94" s="20">
        <f>R88-Q88</f>
        <v/>
      </c>
      <c r="S94" s="20">
        <f>S88-R88</f>
        <v/>
      </c>
      <c r="T94" s="20">
        <f>T88-S88</f>
        <v/>
      </c>
      <c r="U94" s="20">
        <f>U88-T88</f>
        <v/>
      </c>
      <c r="V94" s="20">
        <f>V88-U88</f>
        <v/>
      </c>
      <c r="W94" s="20">
        <f>W88-V88</f>
        <v/>
      </c>
      <c r="X94" s="20">
        <f>X88-W88</f>
        <v/>
      </c>
      <c r="Y94" s="20">
        <f>Y88-X88</f>
        <v/>
      </c>
      <c r="Z94" s="20">
        <f>Z88-Y88</f>
        <v/>
      </c>
      <c r="AA94" s="20">
        <f>AA88-Z88</f>
        <v/>
      </c>
      <c r="AB94" s="20">
        <f>AB88-AA88</f>
        <v/>
      </c>
      <c r="AC94" s="20">
        <f>AC88-AB88</f>
        <v/>
      </c>
      <c r="AD94" s="20">
        <f>AD88-AC88</f>
        <v/>
      </c>
      <c r="AE94" s="20">
        <f>AE88-AD88</f>
        <v/>
      </c>
      <c r="AF94" s="20">
        <f>AF88-AE88</f>
        <v/>
      </c>
      <c r="AG94" s="20">
        <f>AG88-AF88</f>
        <v/>
      </c>
      <c r="AH94" s="20">
        <f>AH88-AG88</f>
        <v/>
      </c>
      <c r="AI94" s="20">
        <f>SUM(E94:AH94)</f>
        <v/>
      </c>
    </row>
  </sheetData>
  <mergeCells count="60">
    <mergeCell ref="C77:D77"/>
    <mergeCell ref="D84:D87"/>
    <mergeCell ref="E83:AH83"/>
    <mergeCell ref="C62:D62"/>
    <mergeCell ref="C68:D68"/>
    <mergeCell ref="C40:D43"/>
    <mergeCell ref="C58:D58"/>
    <mergeCell ref="A31:AI31"/>
    <mergeCell ref="C45:D45"/>
    <mergeCell ref="E1:AH1"/>
    <mergeCell ref="C74:D74"/>
    <mergeCell ref="AI90:AI93"/>
    <mergeCell ref="B2:B5"/>
    <mergeCell ref="C64:D64"/>
    <mergeCell ref="C79:D79"/>
    <mergeCell ref="B38:D38"/>
    <mergeCell ref="D2:D5"/>
    <mergeCell ref="C73:D73"/>
    <mergeCell ref="A90:A93"/>
    <mergeCell ref="A84:A87"/>
    <mergeCell ref="C84:C87"/>
    <mergeCell ref="AI40:AI43"/>
    <mergeCell ref="C90:D93"/>
    <mergeCell ref="C47:D47"/>
    <mergeCell ref="C54:D54"/>
    <mergeCell ref="A83:D83"/>
    <mergeCell ref="C94:D94"/>
    <mergeCell ref="C65:D65"/>
    <mergeCell ref="C55:D55"/>
    <mergeCell ref="C50:D50"/>
    <mergeCell ref="C44:D44"/>
    <mergeCell ref="C75:D75"/>
    <mergeCell ref="C56:D56"/>
    <mergeCell ref="A40:A43"/>
    <mergeCell ref="C59:D59"/>
    <mergeCell ref="A1:D1"/>
    <mergeCell ref="B84:B87"/>
    <mergeCell ref="C46:D46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I2:AI5"/>
    <mergeCell ref="C72:D72"/>
    <mergeCell ref="C67:D67"/>
    <mergeCell ref="C57:D57"/>
    <mergeCell ref="C66:D66"/>
    <mergeCell ref="A22:AI22"/>
    <mergeCell ref="C53:D53"/>
    <mergeCell ref="B39:D39"/>
    <mergeCell ref="C78:D78"/>
    <mergeCell ref="C69:D69"/>
    <mergeCell ref="C49:D49"/>
    <mergeCell ref="B90:B9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L87"/>
  <sheetViews>
    <sheetView topLeftCell="AF55" zoomScale="115" zoomScaleNormal="115" workbookViewId="0">
      <selection activeCell="AK68" sqref="AK68:AL71"/>
    </sheetView>
  </sheetViews>
  <sheetFormatPr baseColWidth="8" defaultRowHeight="14.5"/>
  <cols>
    <col width="14" customWidth="1" style="488" min="1" max="1"/>
    <col width="27" customWidth="1" style="488" min="2" max="2"/>
    <col width="32" bestFit="1" customWidth="1" style="488" min="3" max="3"/>
    <col width="20" customWidth="1" style="488" min="4" max="4"/>
    <col width="23" customWidth="1" style="488" min="5" max="17"/>
    <col width="23" bestFit="1" customWidth="1" style="488" min="18" max="18"/>
    <col width="23" customWidth="1" style="488" min="19" max="28"/>
    <col width="23" bestFit="1" customWidth="1" style="488" min="29" max="29"/>
    <col width="23" customWidth="1" style="488" min="30" max="30"/>
    <col width="23" bestFit="1" customWidth="1" style="488" min="31" max="31"/>
    <col width="23" customWidth="1" style="488" min="32" max="35"/>
    <col width="18" customWidth="1" style="488" min="36" max="36"/>
    <col width="14" customWidth="1" style="488" min="37" max="37"/>
    <col width="18" customWidth="1" style="488" min="38" max="38"/>
  </cols>
  <sheetData>
    <row r="1" ht="26" customHeight="1" s="488">
      <c r="A1" s="573" t="n"/>
      <c r="B1" s="505" t="n"/>
      <c r="C1" s="505" t="n"/>
      <c r="D1" s="506" t="n"/>
      <c r="E1" s="581" t="inlineStr">
        <is>
          <t>Oct- 2025</t>
        </is>
      </c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159" t="n"/>
      <c r="AJ1" s="50" t="n"/>
    </row>
    <row r="2">
      <c r="A2" s="508" t="inlineStr">
        <is>
          <t>Sr.No</t>
        </is>
      </c>
      <c r="B2" s="508" t="inlineStr">
        <is>
          <t>Location</t>
        </is>
      </c>
      <c r="C2" s="580" t="inlineStr">
        <is>
          <t>Meter</t>
        </is>
      </c>
      <c r="D2" s="562" t="inlineStr">
        <is>
          <t>Previous Reading</t>
        </is>
      </c>
      <c r="E2" s="51" t="n">
        <v>45931</v>
      </c>
      <c r="F2" s="51" t="n">
        <v>45932</v>
      </c>
      <c r="G2" s="51" t="n">
        <v>45933</v>
      </c>
      <c r="H2" s="51" t="n">
        <v>45934</v>
      </c>
      <c r="I2" s="51" t="n">
        <v>45935</v>
      </c>
      <c r="J2" s="51" t="n">
        <v>45936</v>
      </c>
      <c r="K2" s="51" t="n">
        <v>45937</v>
      </c>
      <c r="L2" s="51" t="n">
        <v>45938</v>
      </c>
      <c r="M2" s="51" t="n">
        <v>45939</v>
      </c>
      <c r="N2" s="51" t="n">
        <v>45940</v>
      </c>
      <c r="O2" s="51" t="n">
        <v>45941</v>
      </c>
      <c r="P2" s="51" t="n">
        <v>45942</v>
      </c>
      <c r="Q2" s="51" t="n">
        <v>45943</v>
      </c>
      <c r="R2" s="51" t="n">
        <v>45944</v>
      </c>
      <c r="S2" s="51" t="n">
        <v>45945</v>
      </c>
      <c r="T2" s="51" t="n">
        <v>45946</v>
      </c>
      <c r="U2" s="51" t="n">
        <v>45947</v>
      </c>
      <c r="V2" s="51" t="n">
        <v>45948</v>
      </c>
      <c r="W2" s="51" t="n">
        <v>45949</v>
      </c>
      <c r="X2" s="51" t="n">
        <v>45950</v>
      </c>
      <c r="Y2" s="51" t="n">
        <v>45951</v>
      </c>
      <c r="Z2" s="51" t="n">
        <v>45952</v>
      </c>
      <c r="AA2" s="51" t="n">
        <v>45953</v>
      </c>
      <c r="AB2" s="51" t="n">
        <v>45954</v>
      </c>
      <c r="AC2" s="51" t="n">
        <v>45955</v>
      </c>
      <c r="AD2" s="51" t="n">
        <v>45956</v>
      </c>
      <c r="AE2" s="51" t="n">
        <v>45957</v>
      </c>
      <c r="AF2" s="51" t="n">
        <v>45958</v>
      </c>
      <c r="AG2" s="51" t="n">
        <v>45959</v>
      </c>
      <c r="AH2" s="51" t="n">
        <v>45960</v>
      </c>
      <c r="AI2" s="51" t="n">
        <v>45961</v>
      </c>
      <c r="AJ2" s="518" t="inlineStr">
        <is>
          <t>Consumption</t>
        </is>
      </c>
    </row>
    <row r="3">
      <c r="A3" s="509" t="n"/>
      <c r="B3" s="509" t="n"/>
      <c r="C3" s="509" t="n"/>
      <c r="D3" s="509" t="n"/>
      <c r="E3" s="96" t="inlineStr">
        <is>
          <t>Wed</t>
        </is>
      </c>
      <c r="F3" s="96" t="inlineStr">
        <is>
          <t>Thu</t>
        </is>
      </c>
      <c r="G3" s="96" t="inlineStr">
        <is>
          <t>Fri</t>
        </is>
      </c>
      <c r="H3" s="96" t="inlineStr">
        <is>
          <t>Sat</t>
        </is>
      </c>
      <c r="I3" s="96" t="inlineStr">
        <is>
          <t>Sun</t>
        </is>
      </c>
      <c r="J3" s="96" t="inlineStr">
        <is>
          <t>Mon</t>
        </is>
      </c>
      <c r="K3" s="96" t="inlineStr">
        <is>
          <t>Tue</t>
        </is>
      </c>
      <c r="L3" s="96" t="inlineStr">
        <is>
          <t>Wed</t>
        </is>
      </c>
      <c r="M3" s="96" t="inlineStr">
        <is>
          <t>Thu</t>
        </is>
      </c>
      <c r="N3" s="96" t="inlineStr">
        <is>
          <t>Fri</t>
        </is>
      </c>
      <c r="O3" s="96" t="inlineStr">
        <is>
          <t>Sat</t>
        </is>
      </c>
      <c r="P3" s="96" t="inlineStr">
        <is>
          <t>Sun</t>
        </is>
      </c>
      <c r="Q3" s="96" t="inlineStr">
        <is>
          <t>Mon</t>
        </is>
      </c>
      <c r="R3" s="96" t="inlineStr">
        <is>
          <t>Tue</t>
        </is>
      </c>
      <c r="S3" s="96" t="inlineStr">
        <is>
          <t>Wed</t>
        </is>
      </c>
      <c r="T3" s="96" t="inlineStr">
        <is>
          <t>Thu</t>
        </is>
      </c>
      <c r="U3" s="96" t="inlineStr">
        <is>
          <t>Fri</t>
        </is>
      </c>
      <c r="V3" s="96" t="inlineStr">
        <is>
          <t>Sat</t>
        </is>
      </c>
      <c r="W3" s="96" t="inlineStr">
        <is>
          <t>Sun</t>
        </is>
      </c>
      <c r="X3" s="96" t="inlineStr">
        <is>
          <t>Mon</t>
        </is>
      </c>
      <c r="Y3" s="96" t="inlineStr">
        <is>
          <t>Tue</t>
        </is>
      </c>
      <c r="Z3" s="96" t="inlineStr">
        <is>
          <t>Wed</t>
        </is>
      </c>
      <c r="AA3" s="96" t="inlineStr">
        <is>
          <t>Thu</t>
        </is>
      </c>
      <c r="AB3" s="96" t="inlineStr">
        <is>
          <t>Fri</t>
        </is>
      </c>
      <c r="AC3" s="96" t="inlineStr">
        <is>
          <t>Sat</t>
        </is>
      </c>
      <c r="AD3" s="96" t="inlineStr">
        <is>
          <t>Sun</t>
        </is>
      </c>
      <c r="AE3" s="96" t="inlineStr">
        <is>
          <t>Mon</t>
        </is>
      </c>
      <c r="AF3" s="96" t="inlineStr">
        <is>
          <t>Tue</t>
        </is>
      </c>
      <c r="AG3" s="96" t="inlineStr">
        <is>
          <t>Wed</t>
        </is>
      </c>
      <c r="AH3" s="96" t="inlineStr">
        <is>
          <t>Thu</t>
        </is>
      </c>
      <c r="AI3" s="96" t="inlineStr">
        <is>
          <t>Fri</t>
        </is>
      </c>
      <c r="AJ3" s="509" t="n"/>
    </row>
    <row r="4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2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199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3" t="n">
        <v>0.3333333333333333</v>
      </c>
      <c r="AJ5" s="510" t="n"/>
    </row>
    <row r="6">
      <c r="A6" s="48" t="n">
        <v>1</v>
      </c>
      <c r="B6" s="561" t="inlineStr">
        <is>
          <t>3F</t>
        </is>
      </c>
      <c r="C6" s="139" t="inlineStr">
        <is>
          <t>SL No 540430038840 (EB Unit)</t>
        </is>
      </c>
      <c r="D6" s="209" t="n">
        <v>145003</v>
      </c>
      <c r="E6" s="48" t="n">
        <v>145380</v>
      </c>
      <c r="F6" s="48" t="n">
        <v>145582</v>
      </c>
      <c r="G6" s="48" t="n">
        <v>145837</v>
      </c>
      <c r="H6" s="48" t="n">
        <v>146045</v>
      </c>
      <c r="I6" s="48" t="n">
        <v>146251</v>
      </c>
      <c r="J6" s="48" t="n">
        <v>146542</v>
      </c>
      <c r="K6" s="48" t="n">
        <v>146814</v>
      </c>
      <c r="L6" s="48" t="n">
        <v>147098</v>
      </c>
      <c r="M6" s="48" t="n">
        <v>147378</v>
      </c>
      <c r="N6" s="48" t="n">
        <v>147641</v>
      </c>
      <c r="O6" s="58" t="n">
        <v>147850</v>
      </c>
      <c r="P6" s="184" t="n">
        <v>148069</v>
      </c>
      <c r="Q6" s="48" t="n">
        <v>148347</v>
      </c>
      <c r="R6" s="59" t="n">
        <v>148623</v>
      </c>
      <c r="S6" s="561" t="n">
        <v>148901</v>
      </c>
      <c r="T6" s="561" t="n">
        <v>149167</v>
      </c>
      <c r="U6" s="561" t="n">
        <v>149420</v>
      </c>
      <c r="V6" s="125" t="n">
        <v>149625</v>
      </c>
      <c r="W6" s="561" t="n">
        <v>149827</v>
      </c>
      <c r="X6" s="561" t="n">
        <v>150038</v>
      </c>
      <c r="Y6" s="561" t="n">
        <v>150256</v>
      </c>
      <c r="Z6" s="561" t="n">
        <v>150483</v>
      </c>
      <c r="AA6" s="58" t="n">
        <v>150725</v>
      </c>
      <c r="AB6" s="58" t="n">
        <v>150991</v>
      </c>
      <c r="AC6" s="58" t="n">
        <v>151181</v>
      </c>
      <c r="AD6" s="561" t="n">
        <v>151397</v>
      </c>
      <c r="AE6" s="561" t="n">
        <v>151663</v>
      </c>
      <c r="AF6" s="561" t="n">
        <v>151935</v>
      </c>
      <c r="AG6" s="48" t="n">
        <v>152207</v>
      </c>
      <c r="AH6" s="169" t="n">
        <v>152491</v>
      </c>
      <c r="AI6" s="48" t="n">
        <v>152751</v>
      </c>
      <c r="AJ6" s="57">
        <f>AI6-D6</f>
        <v/>
      </c>
    </row>
    <row r="7">
      <c r="A7" s="8" t="n"/>
      <c r="B7" s="8" t="n"/>
      <c r="C7" s="140" t="inlineStr">
        <is>
          <t>DG</t>
        </is>
      </c>
      <c r="D7" s="130" t="n">
        <v>4278</v>
      </c>
      <c r="E7" s="8" t="n">
        <v>4278</v>
      </c>
      <c r="F7" s="8" t="n">
        <v>4278</v>
      </c>
      <c r="G7" s="8" t="n">
        <v>4278</v>
      </c>
      <c r="H7" s="8" t="n">
        <v>4279</v>
      </c>
      <c r="I7" s="8" t="n">
        <v>4279</v>
      </c>
      <c r="J7" s="8" t="n">
        <v>4279</v>
      </c>
      <c r="K7" s="8" t="n">
        <v>4279</v>
      </c>
      <c r="L7" s="8" t="n">
        <v>4279</v>
      </c>
      <c r="M7" s="8" t="n">
        <v>4279</v>
      </c>
      <c r="N7" s="8" t="n">
        <v>4279</v>
      </c>
      <c r="O7" s="8" t="n">
        <v>4279</v>
      </c>
      <c r="P7" s="8" t="n">
        <v>4279</v>
      </c>
      <c r="Q7" s="8" t="n">
        <v>4279</v>
      </c>
      <c r="R7" s="8" t="n">
        <v>4279</v>
      </c>
      <c r="S7" s="8" t="n">
        <v>4279</v>
      </c>
      <c r="T7" s="8" t="n">
        <v>4279</v>
      </c>
      <c r="U7" s="8" t="n">
        <v>4279</v>
      </c>
      <c r="V7" s="8" t="n">
        <v>4279</v>
      </c>
      <c r="W7" s="8" t="n">
        <v>4279</v>
      </c>
      <c r="X7" s="8" t="n">
        <v>4279</v>
      </c>
      <c r="Y7" s="8" t="n">
        <v>4279</v>
      </c>
      <c r="Z7" s="8" t="n">
        <v>4279</v>
      </c>
      <c r="AA7" s="8" t="n">
        <v>4279</v>
      </c>
      <c r="AB7" s="8" t="n">
        <v>4279</v>
      </c>
      <c r="AC7" s="8" t="n">
        <v>4279</v>
      </c>
      <c r="AD7" s="8" t="n">
        <v>4279</v>
      </c>
      <c r="AE7" s="8" t="n">
        <v>4279</v>
      </c>
      <c r="AF7" s="8" t="n">
        <v>4279</v>
      </c>
      <c r="AG7" s="8" t="n">
        <v>4279</v>
      </c>
      <c r="AH7" s="128" t="n">
        <v>4279</v>
      </c>
      <c r="AI7" s="48" t="n">
        <v>4279</v>
      </c>
      <c r="AJ7" s="57">
        <f>AI7-D7</f>
        <v/>
      </c>
    </row>
    <row r="8">
      <c r="A8" s="561" t="n">
        <v>2</v>
      </c>
      <c r="B8" s="561" t="inlineStr">
        <is>
          <t>3F</t>
        </is>
      </c>
      <c r="C8" s="141" t="inlineStr">
        <is>
          <t>SL No 540430038845 (EB Unit)</t>
        </is>
      </c>
      <c r="D8" s="210" t="n">
        <v>1956</v>
      </c>
      <c r="E8" s="561" t="n">
        <v>1956</v>
      </c>
      <c r="F8" s="561" t="n">
        <v>1956</v>
      </c>
      <c r="G8" s="561" t="n">
        <v>1956</v>
      </c>
      <c r="H8" s="561" t="n">
        <v>1956</v>
      </c>
      <c r="I8" s="561" t="n">
        <v>1956</v>
      </c>
      <c r="J8" s="561" t="n">
        <v>1956</v>
      </c>
      <c r="K8" s="561" t="n">
        <v>1956</v>
      </c>
      <c r="L8" s="561" t="n">
        <v>1956</v>
      </c>
      <c r="M8" s="561" t="n">
        <v>1956</v>
      </c>
      <c r="N8" s="561" t="n">
        <v>1956</v>
      </c>
      <c r="O8" s="561" t="n">
        <v>1956</v>
      </c>
      <c r="P8" s="561" t="n">
        <v>1956</v>
      </c>
      <c r="Q8" s="561" t="n">
        <v>1956</v>
      </c>
      <c r="R8" s="561" t="n">
        <v>1956</v>
      </c>
      <c r="S8" s="561" t="n">
        <v>1956</v>
      </c>
      <c r="T8" s="561" t="n">
        <v>1956</v>
      </c>
      <c r="U8" s="561" t="n">
        <v>1956</v>
      </c>
      <c r="V8" s="561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8" t="n">
        <v>1956</v>
      </c>
      <c r="AI8" s="48" t="n">
        <v>1956</v>
      </c>
      <c r="AJ8" s="57">
        <f>AI8-D8</f>
        <v/>
      </c>
    </row>
    <row r="9">
      <c r="A9" s="561" t="n"/>
      <c r="B9" s="561" t="n"/>
      <c r="C9" s="140" t="inlineStr">
        <is>
          <t>DG</t>
        </is>
      </c>
      <c r="D9" s="210" t="n">
        <v>28.6</v>
      </c>
      <c r="E9" s="561" t="n">
        <v>28.6</v>
      </c>
      <c r="F9" s="561" t="n">
        <v>28.6</v>
      </c>
      <c r="G9" s="561" t="n">
        <v>28.6</v>
      </c>
      <c r="H9" s="561" t="n">
        <v>28.6</v>
      </c>
      <c r="I9" s="561" t="n">
        <v>28.6</v>
      </c>
      <c r="J9" s="561" t="n">
        <v>28.6</v>
      </c>
      <c r="K9" s="561" t="n">
        <v>28.6</v>
      </c>
      <c r="L9" s="561" t="n">
        <v>28.6</v>
      </c>
      <c r="M9" s="561" t="n">
        <v>28.6</v>
      </c>
      <c r="N9" s="561" t="n">
        <v>28.6</v>
      </c>
      <c r="O9" s="561" t="n">
        <v>28.6</v>
      </c>
      <c r="P9" s="561" t="n">
        <v>28.6</v>
      </c>
      <c r="Q9" s="561" t="n">
        <v>28.6</v>
      </c>
      <c r="R9" s="561" t="n">
        <v>28.6</v>
      </c>
      <c r="S9" s="561" t="n">
        <v>28.6</v>
      </c>
      <c r="T9" s="561" t="n">
        <v>28.6</v>
      </c>
      <c r="U9" s="561" t="n">
        <v>28.6</v>
      </c>
      <c r="V9" s="561" t="n">
        <v>28.6</v>
      </c>
      <c r="W9" s="561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8" t="n">
        <v>28.6</v>
      </c>
      <c r="AI9" s="48" t="n">
        <v>28.6</v>
      </c>
      <c r="AJ9" s="57">
        <f>AI9-D9</f>
        <v/>
      </c>
    </row>
    <row r="10">
      <c r="A10" s="561" t="n">
        <v>3</v>
      </c>
      <c r="B10" s="561" t="inlineStr">
        <is>
          <t>3F</t>
        </is>
      </c>
      <c r="C10" s="141" t="inlineStr">
        <is>
          <t>SL No 540430038844 (EB Unit)</t>
        </is>
      </c>
      <c r="D10" s="130" t="n">
        <v>211463</v>
      </c>
      <c r="E10" s="561" t="n">
        <v>212016</v>
      </c>
      <c r="F10" s="561" t="n">
        <v>212278</v>
      </c>
      <c r="G10" s="561" t="n">
        <v>212658</v>
      </c>
      <c r="H10" s="561" t="n">
        <v>212936</v>
      </c>
      <c r="I10" s="561" t="n">
        <v>213210</v>
      </c>
      <c r="J10" s="561" t="n">
        <v>213642</v>
      </c>
      <c r="K10" s="561" t="n">
        <v>214054</v>
      </c>
      <c r="L10" s="561" t="n">
        <v>214464</v>
      </c>
      <c r="M10" s="561" t="n">
        <v>214911</v>
      </c>
      <c r="N10" s="561" t="n">
        <v>215286</v>
      </c>
      <c r="O10" s="561" t="n">
        <v>215584</v>
      </c>
      <c r="P10" s="561" t="n">
        <v>215864</v>
      </c>
      <c r="Q10" s="561" t="n">
        <v>216279</v>
      </c>
      <c r="R10" s="561" t="n">
        <v>216692</v>
      </c>
      <c r="S10" s="561" t="n">
        <v>217106</v>
      </c>
      <c r="T10" s="561" t="n">
        <v>217491</v>
      </c>
      <c r="U10" s="561" t="n">
        <v>217828</v>
      </c>
      <c r="V10" s="561" t="n">
        <v>218135</v>
      </c>
      <c r="W10" s="561" t="n">
        <v>218402</v>
      </c>
      <c r="X10" s="561" t="n">
        <v>218686</v>
      </c>
      <c r="Y10" s="561" t="n">
        <v>218979</v>
      </c>
      <c r="Z10" s="561" t="n">
        <v>219296</v>
      </c>
      <c r="AA10" s="58" t="n">
        <v>219638</v>
      </c>
      <c r="AB10" s="58" t="n">
        <v>220018</v>
      </c>
      <c r="AC10" s="58" t="n">
        <v>220273</v>
      </c>
      <c r="AD10" s="561" t="n">
        <v>220520</v>
      </c>
      <c r="AE10" s="8" t="n">
        <v>220956</v>
      </c>
      <c r="AF10" s="8" t="n">
        <v>221359</v>
      </c>
      <c r="AG10" s="8" t="n">
        <v>221767</v>
      </c>
      <c r="AH10" s="128" t="n">
        <v>222187</v>
      </c>
      <c r="AI10" s="48" t="n">
        <v>222574</v>
      </c>
      <c r="AJ10" s="57">
        <f>AI10-D10</f>
        <v/>
      </c>
    </row>
    <row r="11">
      <c r="A11" s="561" t="n"/>
      <c r="B11" s="561" t="n"/>
      <c r="C11" s="140" t="inlineStr">
        <is>
          <t>DG</t>
        </is>
      </c>
      <c r="D11" s="210" t="n">
        <v>6403</v>
      </c>
      <c r="E11" s="561" t="n">
        <v>6403</v>
      </c>
      <c r="F11" s="561" t="n">
        <v>6403</v>
      </c>
      <c r="G11" s="561" t="n">
        <v>6403</v>
      </c>
      <c r="H11" s="561" t="n">
        <v>6403</v>
      </c>
      <c r="I11" s="561" t="n">
        <v>6403</v>
      </c>
      <c r="J11" s="561" t="n">
        <v>6403</v>
      </c>
      <c r="K11" s="561" t="n">
        <v>6403</v>
      </c>
      <c r="L11" s="561" t="n">
        <v>6403</v>
      </c>
      <c r="M11" s="561" t="n">
        <v>6403</v>
      </c>
      <c r="N11" s="561" t="n">
        <v>6403</v>
      </c>
      <c r="O11" s="561" t="n">
        <v>6403</v>
      </c>
      <c r="P11" s="561" t="n">
        <v>6403</v>
      </c>
      <c r="Q11" s="561" t="n">
        <v>6403</v>
      </c>
      <c r="R11" s="561" t="n">
        <v>6403</v>
      </c>
      <c r="S11" s="561" t="n">
        <v>6403</v>
      </c>
      <c r="T11" s="561" t="n">
        <v>6405</v>
      </c>
      <c r="U11" s="561" t="n">
        <v>6405</v>
      </c>
      <c r="V11" s="561" t="n">
        <v>6405</v>
      </c>
      <c r="W11" s="561" t="n">
        <v>6405</v>
      </c>
      <c r="X11" s="561" t="n">
        <v>6405</v>
      </c>
      <c r="Y11" s="561" t="n">
        <v>6405</v>
      </c>
      <c r="Z11" s="561" t="n">
        <v>6405</v>
      </c>
      <c r="AA11" s="561" t="n">
        <v>6405</v>
      </c>
      <c r="AB11" s="561" t="n">
        <v>6405</v>
      </c>
      <c r="AC11" s="561" t="n">
        <v>6405</v>
      </c>
      <c r="AD11" s="561" t="n">
        <v>6405</v>
      </c>
      <c r="AE11" s="561" t="n">
        <v>6405</v>
      </c>
      <c r="AF11" s="561" t="n">
        <v>6405</v>
      </c>
      <c r="AG11" s="561" t="n">
        <v>6405</v>
      </c>
      <c r="AH11" s="58" t="n">
        <v>6406</v>
      </c>
      <c r="AI11" s="48" t="n">
        <v>6406</v>
      </c>
      <c r="AJ11" s="57">
        <f>AI11-D11</f>
        <v/>
      </c>
    </row>
    <row r="12">
      <c r="A12" s="561" t="n">
        <v>4</v>
      </c>
      <c r="B12" s="561" t="inlineStr">
        <is>
          <t>3F</t>
        </is>
      </c>
      <c r="C12" s="141" t="inlineStr">
        <is>
          <t>SL No 540430038821 (EB Unit)</t>
        </is>
      </c>
      <c r="D12" s="210" t="n">
        <v>0</v>
      </c>
      <c r="E12" s="561" t="n">
        <v>0</v>
      </c>
      <c r="F12" s="561" t="n">
        <v>0</v>
      </c>
      <c r="G12" s="561" t="n">
        <v>0</v>
      </c>
      <c r="H12" s="561" t="n">
        <v>0</v>
      </c>
      <c r="I12" s="561" t="n">
        <v>0</v>
      </c>
      <c r="J12" s="561" t="n">
        <v>0</v>
      </c>
      <c r="K12" s="561" t="n">
        <v>0</v>
      </c>
      <c r="L12" s="561" t="n">
        <v>0</v>
      </c>
      <c r="M12" s="561" t="n">
        <v>0</v>
      </c>
      <c r="N12" s="561" t="n">
        <v>0</v>
      </c>
      <c r="O12" s="561" t="n">
        <v>0</v>
      </c>
      <c r="P12" s="561" t="n">
        <v>0</v>
      </c>
      <c r="Q12" s="561" t="n">
        <v>0</v>
      </c>
      <c r="R12" s="561" t="n">
        <v>0</v>
      </c>
      <c r="S12" s="561" t="n">
        <v>0</v>
      </c>
      <c r="T12" s="561" t="n">
        <v>0</v>
      </c>
      <c r="U12" s="561" t="n">
        <v>0</v>
      </c>
      <c r="V12" s="561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8" t="n">
        <v>0</v>
      </c>
      <c r="AI12" s="48" t="n">
        <v>0</v>
      </c>
      <c r="AJ12" s="57">
        <f>AI12-D12</f>
        <v/>
      </c>
    </row>
    <row r="13">
      <c r="A13" s="561" t="n"/>
      <c r="B13" s="561" t="n"/>
      <c r="C13" s="140" t="inlineStr">
        <is>
          <t>DG</t>
        </is>
      </c>
      <c r="D13" s="211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8" t="n">
        <v>0</v>
      </c>
      <c r="AI13" s="48" t="n">
        <v>0</v>
      </c>
      <c r="AJ13" s="57">
        <f>AI13-D13</f>
        <v/>
      </c>
    </row>
    <row r="14">
      <c r="A14" s="561" t="n">
        <v>5</v>
      </c>
      <c r="B14" s="561" t="inlineStr">
        <is>
          <t>3F</t>
        </is>
      </c>
      <c r="C14" s="213" t="inlineStr">
        <is>
          <t>SL No 540430038849 (EB Unit)</t>
        </is>
      </c>
      <c r="D14" s="55" t="n">
        <v>104459</v>
      </c>
      <c r="E14" s="59" t="n">
        <v>104792</v>
      </c>
      <c r="F14" s="561" t="n">
        <v>104929</v>
      </c>
      <c r="G14" s="561" t="n">
        <v>105147</v>
      </c>
      <c r="H14" s="561" t="n">
        <v>105297</v>
      </c>
      <c r="I14" s="561" t="n">
        <v>105442</v>
      </c>
      <c r="J14" s="561" t="n">
        <v>105707</v>
      </c>
      <c r="K14" s="561" t="n">
        <v>105955</v>
      </c>
      <c r="L14" s="561" t="n">
        <v>106210</v>
      </c>
      <c r="M14" s="561" t="n">
        <v>106473</v>
      </c>
      <c r="N14" s="561" t="n">
        <v>106696</v>
      </c>
      <c r="O14" s="561" t="n">
        <v>106845</v>
      </c>
      <c r="P14" s="561" t="n">
        <v>106983</v>
      </c>
      <c r="Q14" s="561" t="n">
        <v>107229</v>
      </c>
      <c r="R14" s="561" t="n">
        <v>107479</v>
      </c>
      <c r="S14" s="561" t="n">
        <v>107738</v>
      </c>
      <c r="T14" s="561" t="n">
        <v>107978</v>
      </c>
      <c r="U14" s="33" t="n">
        <v>108208</v>
      </c>
      <c r="V14" s="561" t="n">
        <v>108355</v>
      </c>
      <c r="W14" s="561" t="n">
        <v>108499</v>
      </c>
      <c r="X14" s="561" t="n">
        <v>108637</v>
      </c>
      <c r="Y14" s="561" t="n">
        <v>108816</v>
      </c>
      <c r="Z14" s="561" t="n">
        <v>109011</v>
      </c>
      <c r="AA14" s="58" t="n">
        <v>109215</v>
      </c>
      <c r="AB14" s="58" t="n">
        <v>109445</v>
      </c>
      <c r="AC14" s="58" t="n">
        <v>109578</v>
      </c>
      <c r="AD14" s="561" t="n">
        <v>109725</v>
      </c>
      <c r="AE14" s="33" t="n">
        <v>109968</v>
      </c>
      <c r="AF14" s="33" t="n">
        <v>110218</v>
      </c>
      <c r="AG14" s="33" t="n">
        <v>110470</v>
      </c>
      <c r="AH14" s="569" t="n">
        <v>110739</v>
      </c>
      <c r="AI14" s="48" t="n">
        <v>110988</v>
      </c>
      <c r="AJ14" s="57">
        <f>AI14-D14</f>
        <v/>
      </c>
    </row>
    <row r="15">
      <c r="A15" s="561" t="n"/>
      <c r="B15" s="561" t="n"/>
      <c r="C15" s="214" t="inlineStr">
        <is>
          <t>DG</t>
        </is>
      </c>
      <c r="D15" s="55" t="n">
        <v>3276</v>
      </c>
      <c r="E15" s="215" t="n">
        <v>3276</v>
      </c>
      <c r="F15" s="60" t="n">
        <v>3276</v>
      </c>
      <c r="G15" s="60" t="n">
        <v>3276</v>
      </c>
      <c r="H15" s="60" t="n">
        <v>3276</v>
      </c>
      <c r="I15" s="60" t="n">
        <v>3276</v>
      </c>
      <c r="J15" s="60" t="n">
        <v>3276</v>
      </c>
      <c r="K15" s="60" t="n">
        <v>3276</v>
      </c>
      <c r="L15" s="60" t="n">
        <v>3276</v>
      </c>
      <c r="M15" s="60" t="n">
        <v>3276</v>
      </c>
      <c r="N15" s="60" t="n">
        <v>3276</v>
      </c>
      <c r="O15" s="60" t="n">
        <v>3276</v>
      </c>
      <c r="P15" s="60" t="n">
        <v>3276</v>
      </c>
      <c r="Q15" s="60" t="n">
        <v>3276</v>
      </c>
      <c r="R15" s="60" t="n">
        <v>3276</v>
      </c>
      <c r="S15" s="60" t="n">
        <v>3276</v>
      </c>
      <c r="T15" s="60" t="n">
        <v>3276</v>
      </c>
      <c r="U15" s="60" t="n">
        <v>3276</v>
      </c>
      <c r="V15" s="60" t="n">
        <v>3276</v>
      </c>
      <c r="W15" s="60" t="n">
        <v>3276</v>
      </c>
      <c r="X15" s="60" t="n">
        <v>3276</v>
      </c>
      <c r="Y15" s="60" t="n">
        <v>3276</v>
      </c>
      <c r="Z15" s="60" t="n">
        <v>3276</v>
      </c>
      <c r="AA15" s="60" t="n">
        <v>3276</v>
      </c>
      <c r="AB15" s="60" t="n">
        <v>3276</v>
      </c>
      <c r="AC15" s="60" t="n">
        <v>3276</v>
      </c>
      <c r="AD15" s="60" t="n">
        <v>3276</v>
      </c>
      <c r="AE15" s="60" t="n">
        <v>3276</v>
      </c>
      <c r="AF15" s="60" t="n">
        <v>3276</v>
      </c>
      <c r="AG15" s="60" t="n">
        <v>3276</v>
      </c>
      <c r="AH15" s="205" t="n">
        <v>3276</v>
      </c>
      <c r="AI15" s="48" t="n">
        <v>3276</v>
      </c>
      <c r="AJ15" s="57">
        <f>AI15-D15</f>
        <v/>
      </c>
    </row>
    <row r="16">
      <c r="A16" s="561" t="n">
        <v>6</v>
      </c>
      <c r="B16" s="561" t="inlineStr">
        <is>
          <t>3F</t>
        </is>
      </c>
      <c r="C16" s="213" t="inlineStr">
        <is>
          <t>SL No 540430038646 (EB Unit)</t>
        </is>
      </c>
      <c r="D16" s="55" t="n">
        <v>123060</v>
      </c>
      <c r="E16" s="216" t="n">
        <v>123460</v>
      </c>
      <c r="F16" s="561" t="n">
        <v>123547</v>
      </c>
      <c r="G16" s="561" t="n">
        <v>123812</v>
      </c>
      <c r="H16" s="561" t="n">
        <v>123920</v>
      </c>
      <c r="I16" s="561" t="n">
        <v>124031</v>
      </c>
      <c r="J16" s="561" t="n">
        <v>124031</v>
      </c>
      <c r="K16" s="58" t="n">
        <v>124555</v>
      </c>
      <c r="L16" s="127" t="n">
        <v>124810</v>
      </c>
      <c r="M16" s="178" t="n">
        <v>125094</v>
      </c>
      <c r="N16" s="178" t="n">
        <v>125353</v>
      </c>
      <c r="O16" s="178" t="n">
        <v>125490</v>
      </c>
      <c r="P16" s="178" t="n">
        <v>125597</v>
      </c>
      <c r="Q16" s="179" t="n">
        <v>125889</v>
      </c>
      <c r="R16" s="178" t="n">
        <v>126150</v>
      </c>
      <c r="S16" s="59" t="n">
        <v>126405</v>
      </c>
      <c r="T16" s="561" t="n">
        <v>126683</v>
      </c>
      <c r="U16" s="561" t="n">
        <v>126925</v>
      </c>
      <c r="V16" s="561" t="n">
        <v>127028</v>
      </c>
      <c r="W16" s="561" t="n">
        <v>127132</v>
      </c>
      <c r="X16" s="561" t="n">
        <v>127222</v>
      </c>
      <c r="Y16" s="561" t="n">
        <v>127437</v>
      </c>
      <c r="Z16" s="561" t="n">
        <v>127648</v>
      </c>
      <c r="AA16" s="58" t="n">
        <v>127878</v>
      </c>
      <c r="AB16" s="58" t="n">
        <v>128113</v>
      </c>
      <c r="AC16" s="58" t="n">
        <v>128215</v>
      </c>
      <c r="AD16" s="58" t="n">
        <v>128306</v>
      </c>
      <c r="AE16" s="48" t="n">
        <v>128570</v>
      </c>
      <c r="AF16" s="48" t="n">
        <v>128812</v>
      </c>
      <c r="AG16" s="48" t="n">
        <v>129083</v>
      </c>
      <c r="AH16" s="169" t="n">
        <v>129343</v>
      </c>
      <c r="AI16" s="48" t="n">
        <v>129622</v>
      </c>
      <c r="AJ16" s="57">
        <f>AI16-D16</f>
        <v/>
      </c>
    </row>
    <row r="17">
      <c r="A17" s="561" t="n"/>
      <c r="B17" s="561" t="n"/>
      <c r="C17" s="214" t="inlineStr">
        <is>
          <t>DG</t>
        </is>
      </c>
      <c r="D17" s="55" t="n">
        <v>4261</v>
      </c>
      <c r="E17" s="129" t="n">
        <v>4261</v>
      </c>
      <c r="F17" s="129" t="n">
        <v>4261</v>
      </c>
      <c r="G17" s="129" t="n">
        <v>4261</v>
      </c>
      <c r="H17" s="129" t="n">
        <v>4261</v>
      </c>
      <c r="I17" s="129" t="n">
        <v>4261</v>
      </c>
      <c r="J17" s="129" t="n">
        <v>4261</v>
      </c>
      <c r="K17" s="129" t="n">
        <v>4261</v>
      </c>
      <c r="L17" s="129" t="n">
        <v>4261</v>
      </c>
      <c r="M17" s="129" t="n">
        <v>4261</v>
      </c>
      <c r="N17" s="129" t="n">
        <v>4261</v>
      </c>
      <c r="O17" s="129" t="n">
        <v>4261</v>
      </c>
      <c r="P17" s="129" t="n">
        <v>4261</v>
      </c>
      <c r="Q17" s="129" t="n">
        <v>4261</v>
      </c>
      <c r="R17" s="129" t="n">
        <v>4261</v>
      </c>
      <c r="S17" s="129" t="n">
        <v>4261</v>
      </c>
      <c r="T17" s="129" t="n">
        <v>4261</v>
      </c>
      <c r="U17" s="129" t="n">
        <v>4261</v>
      </c>
      <c r="V17" s="129" t="n">
        <v>4261</v>
      </c>
      <c r="W17" s="129" t="n">
        <v>4261</v>
      </c>
      <c r="X17" s="129" t="n">
        <v>4261</v>
      </c>
      <c r="Y17" s="129" t="n">
        <v>4261</v>
      </c>
      <c r="Z17" s="129" t="n">
        <v>4261</v>
      </c>
      <c r="AA17" s="129" t="n">
        <v>4261</v>
      </c>
      <c r="AB17" s="129" t="n">
        <v>4261</v>
      </c>
      <c r="AC17" s="129" t="n">
        <v>4261</v>
      </c>
      <c r="AD17" s="129" t="n">
        <v>4261</v>
      </c>
      <c r="AE17" s="129" t="n">
        <v>4261</v>
      </c>
      <c r="AF17" s="129" t="n">
        <v>4261</v>
      </c>
      <c r="AG17" s="129" t="n">
        <v>4261</v>
      </c>
      <c r="AH17" s="206" t="n">
        <v>4261</v>
      </c>
      <c r="AI17" s="48" t="n">
        <v>4262</v>
      </c>
      <c r="AJ17" s="57">
        <f>AI17-D17</f>
        <v/>
      </c>
    </row>
    <row r="18">
      <c r="A18" s="561" t="n">
        <v>7</v>
      </c>
      <c r="B18" s="561" t="inlineStr">
        <is>
          <t>3F</t>
        </is>
      </c>
      <c r="C18" s="141" t="inlineStr">
        <is>
          <t>SL No 540430038843 (EB Unit)</t>
        </is>
      </c>
      <c r="D18" s="130" t="n">
        <v>399411</v>
      </c>
      <c r="E18" s="561" t="n">
        <v>400558</v>
      </c>
      <c r="F18" s="561" t="n">
        <v>400981</v>
      </c>
      <c r="G18" s="561" t="n">
        <v>401685</v>
      </c>
      <c r="H18" s="561" t="n">
        <v>402303</v>
      </c>
      <c r="I18" s="561" t="n">
        <v>402796</v>
      </c>
      <c r="J18" s="561" t="n">
        <v>402796</v>
      </c>
      <c r="K18" s="561" t="n">
        <v>404417</v>
      </c>
      <c r="L18" s="561" t="n">
        <v>405216</v>
      </c>
      <c r="M18" s="561" t="n">
        <v>406012</v>
      </c>
      <c r="N18" s="5" t="n">
        <v>406813</v>
      </c>
      <c r="O18" s="561" t="n">
        <v>407491</v>
      </c>
      <c r="P18" s="561" t="n">
        <v>408013</v>
      </c>
      <c r="Q18" s="561" t="n">
        <v>408776</v>
      </c>
      <c r="R18" s="8" t="n">
        <v>409608</v>
      </c>
      <c r="S18" s="5" t="n">
        <v>410435</v>
      </c>
      <c r="T18" s="561" t="n">
        <v>411254</v>
      </c>
      <c r="U18" s="561" t="n">
        <v>412070</v>
      </c>
      <c r="V18" s="561" t="n">
        <v>412692</v>
      </c>
      <c r="W18" s="561" t="n">
        <v>413201</v>
      </c>
      <c r="X18" s="33" t="n">
        <v>413562</v>
      </c>
      <c r="Y18" s="561" t="n">
        <v>414175</v>
      </c>
      <c r="Z18" s="561" t="n">
        <v>414894</v>
      </c>
      <c r="AA18" s="58" t="n">
        <v>415672</v>
      </c>
      <c r="AB18" s="58" t="n">
        <v>416483</v>
      </c>
      <c r="AC18" s="58" t="n">
        <v>416939</v>
      </c>
      <c r="AD18" s="58" t="n">
        <v>417442</v>
      </c>
      <c r="AE18" s="48" t="n">
        <v>418206</v>
      </c>
      <c r="AF18" s="201" t="n">
        <v>419018</v>
      </c>
      <c r="AG18" s="8" t="n">
        <v>419803</v>
      </c>
      <c r="AH18" s="128" t="n">
        <v>420649</v>
      </c>
      <c r="AI18" s="48" t="n">
        <v>421416</v>
      </c>
      <c r="AJ18" s="57">
        <f>AI18-D18</f>
        <v/>
      </c>
    </row>
    <row r="19">
      <c r="A19" s="561" t="n"/>
      <c r="B19" s="561" t="n"/>
      <c r="C19" s="140" t="inlineStr">
        <is>
          <t>DG</t>
        </is>
      </c>
      <c r="D19" s="210" t="n">
        <v>11600</v>
      </c>
      <c r="E19" s="561" t="n">
        <v>11600</v>
      </c>
      <c r="F19" s="561" t="n">
        <v>11600</v>
      </c>
      <c r="G19" s="561" t="n">
        <v>11600</v>
      </c>
      <c r="H19" s="561" t="n">
        <v>11600</v>
      </c>
      <c r="I19" s="561" t="n">
        <v>11600</v>
      </c>
      <c r="J19" s="561" t="n">
        <v>11600</v>
      </c>
      <c r="K19" s="561" t="n">
        <v>11600</v>
      </c>
      <c r="L19" s="561" t="n">
        <v>11600</v>
      </c>
      <c r="M19" s="561" t="n">
        <v>11600</v>
      </c>
      <c r="N19" s="561" t="n">
        <v>11600</v>
      </c>
      <c r="O19" s="561" t="n">
        <v>11600</v>
      </c>
      <c r="P19" s="561" t="n">
        <v>11600</v>
      </c>
      <c r="Q19" s="561" t="n">
        <v>11600</v>
      </c>
      <c r="R19" s="561" t="n">
        <v>11600</v>
      </c>
      <c r="S19" s="561" t="n">
        <v>11600</v>
      </c>
      <c r="T19" s="561" t="n">
        <v>11600</v>
      </c>
      <c r="U19" s="561" t="n">
        <v>11600</v>
      </c>
      <c r="V19" s="561" t="n">
        <v>11600</v>
      </c>
      <c r="W19" s="561" t="n">
        <v>11600</v>
      </c>
      <c r="X19" s="561" t="n">
        <v>11600</v>
      </c>
      <c r="Y19" s="561" t="n">
        <v>11600</v>
      </c>
      <c r="Z19" s="561" t="n">
        <v>11600</v>
      </c>
      <c r="AA19" s="561" t="n">
        <v>11600</v>
      </c>
      <c r="AB19" s="561" t="n">
        <v>11600</v>
      </c>
      <c r="AC19" s="561" t="n">
        <v>11600</v>
      </c>
      <c r="AD19" s="561" t="n">
        <v>11600</v>
      </c>
      <c r="AE19" s="561" t="n">
        <v>11600</v>
      </c>
      <c r="AF19" s="561" t="n">
        <v>11600</v>
      </c>
      <c r="AG19" s="561" t="n">
        <v>11600</v>
      </c>
      <c r="AH19" s="58" t="n">
        <v>11600</v>
      </c>
      <c r="AI19" s="48" t="n">
        <v>11604</v>
      </c>
      <c r="AJ19" s="57">
        <f>AI19-D19</f>
        <v/>
      </c>
    </row>
    <row r="20">
      <c r="A20" s="561" t="n">
        <v>8</v>
      </c>
      <c r="B20" s="561" t="inlineStr">
        <is>
          <t>3F</t>
        </is>
      </c>
      <c r="C20" s="141" t="inlineStr">
        <is>
          <t>SL No 540430038848 (EB Unit)</t>
        </is>
      </c>
      <c r="D20" s="130" t="n">
        <v>80798</v>
      </c>
      <c r="E20" s="561" t="n">
        <v>80959</v>
      </c>
      <c r="F20" s="561" t="n">
        <v>81083</v>
      </c>
      <c r="G20" s="561" t="n">
        <v>81083</v>
      </c>
      <c r="H20" s="561" t="n">
        <v>81341</v>
      </c>
      <c r="I20" s="561" t="n">
        <v>81462</v>
      </c>
      <c r="J20" s="561" t="n">
        <v>81609</v>
      </c>
      <c r="K20" s="561" t="n">
        <v>81726</v>
      </c>
      <c r="L20" s="561" t="n">
        <v>81852</v>
      </c>
      <c r="M20" s="561" t="n">
        <v>81926</v>
      </c>
      <c r="N20" s="561" t="n">
        <v>82100</v>
      </c>
      <c r="O20" s="561" t="n">
        <v>82207</v>
      </c>
      <c r="P20" s="561" t="n">
        <v>82330</v>
      </c>
      <c r="Q20" s="561" t="n">
        <v>82447</v>
      </c>
      <c r="R20" s="561" t="n">
        <v>82577</v>
      </c>
      <c r="S20" s="561" t="n">
        <v>82694</v>
      </c>
      <c r="T20" s="561" t="n">
        <v>82825</v>
      </c>
      <c r="U20" s="561" t="n">
        <v>82941</v>
      </c>
      <c r="V20" s="561" t="n">
        <v>83052</v>
      </c>
      <c r="W20" s="561" t="n">
        <v>83150</v>
      </c>
      <c r="X20" s="561" t="n">
        <v>83272</v>
      </c>
      <c r="Y20" s="561" t="n">
        <v>83387</v>
      </c>
      <c r="Z20" s="561" t="n">
        <v>83516</v>
      </c>
      <c r="AA20" s="8" t="n">
        <v>83618</v>
      </c>
      <c r="AB20" s="8" t="n">
        <v>83755</v>
      </c>
      <c r="AC20" s="561" t="n">
        <v>83850</v>
      </c>
      <c r="AD20" s="561" t="n">
        <v>83969</v>
      </c>
      <c r="AE20" s="8" t="n">
        <v>84088</v>
      </c>
      <c r="AF20" s="8" t="n">
        <v>84220</v>
      </c>
      <c r="AG20" s="8" t="n">
        <v>84220</v>
      </c>
      <c r="AH20" s="128" t="n">
        <v>84453</v>
      </c>
      <c r="AI20" s="48" t="n">
        <v>84560</v>
      </c>
      <c r="AJ20" s="57">
        <f>AI20-D20</f>
        <v/>
      </c>
    </row>
    <row r="21">
      <c r="A21" s="561" t="n"/>
      <c r="B21" s="561" t="n"/>
      <c r="C21" s="140" t="inlineStr">
        <is>
          <t>DG</t>
        </is>
      </c>
      <c r="D21" s="210" t="n">
        <v>2212</v>
      </c>
      <c r="E21" s="561" t="n">
        <v>2212</v>
      </c>
      <c r="F21" s="561" t="n">
        <v>2212</v>
      </c>
      <c r="G21" s="561" t="n">
        <v>2212</v>
      </c>
      <c r="H21" s="561" t="n">
        <v>2212</v>
      </c>
      <c r="I21" s="561" t="n">
        <v>2212</v>
      </c>
      <c r="J21" s="561" t="n">
        <v>2212</v>
      </c>
      <c r="K21" s="561" t="n">
        <v>2212</v>
      </c>
      <c r="L21" s="561" t="n">
        <v>2212</v>
      </c>
      <c r="M21" s="561" t="n">
        <v>2212</v>
      </c>
      <c r="N21" s="561" t="n">
        <v>2212</v>
      </c>
      <c r="O21" s="561" t="n">
        <v>2212</v>
      </c>
      <c r="P21" s="561" t="n">
        <v>2212</v>
      </c>
      <c r="Q21" s="561" t="n">
        <v>2212</v>
      </c>
      <c r="R21" s="561" t="n">
        <v>2212</v>
      </c>
      <c r="S21" s="561" t="n">
        <v>2212</v>
      </c>
      <c r="T21" s="561" t="n">
        <v>2212</v>
      </c>
      <c r="U21" s="561" t="n">
        <v>2212</v>
      </c>
      <c r="V21" s="561" t="n">
        <v>2212</v>
      </c>
      <c r="W21" s="561" t="n">
        <v>2212</v>
      </c>
      <c r="X21" s="561" t="n">
        <v>2212</v>
      </c>
      <c r="Y21" s="561" t="n">
        <v>2212</v>
      </c>
      <c r="Z21" s="561" t="n">
        <v>2212</v>
      </c>
      <c r="AA21" s="561" t="n">
        <v>2212</v>
      </c>
      <c r="AB21" s="561" t="n">
        <v>2212</v>
      </c>
      <c r="AC21" s="561" t="n">
        <v>2212</v>
      </c>
      <c r="AD21" s="561" t="n">
        <v>2212</v>
      </c>
      <c r="AE21" s="561" t="n">
        <v>2212</v>
      </c>
      <c r="AF21" s="561" t="n">
        <v>2212</v>
      </c>
      <c r="AG21" s="561" t="n">
        <v>2212</v>
      </c>
      <c r="AH21" s="58" t="n">
        <v>2212</v>
      </c>
      <c r="AI21" s="48" t="n">
        <v>2212</v>
      </c>
      <c r="AJ21" s="57">
        <f>AI21-D21</f>
        <v/>
      </c>
    </row>
    <row r="22">
      <c r="A22" s="500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20" t="n"/>
      <c r="AJ22" s="501" t="n"/>
    </row>
    <row r="23">
      <c r="A23" s="561" t="n">
        <v>1</v>
      </c>
      <c r="B23" s="561" t="inlineStr">
        <is>
          <t>3F</t>
        </is>
      </c>
      <c r="C23" s="141" t="inlineStr">
        <is>
          <t>AHU1</t>
        </is>
      </c>
      <c r="D23" s="130" t="n">
        <v>37637</v>
      </c>
      <c r="E23" s="561" t="n">
        <v>37804</v>
      </c>
      <c r="F23" s="561" t="n">
        <v>37804</v>
      </c>
      <c r="G23" s="561" t="n">
        <v>37908</v>
      </c>
      <c r="H23" s="561" t="n">
        <v>37977</v>
      </c>
      <c r="I23" s="561" t="n">
        <v>37977</v>
      </c>
      <c r="J23" s="561" t="n">
        <v>38068</v>
      </c>
      <c r="K23" s="561" t="n">
        <v>38207</v>
      </c>
      <c r="L23" s="561" t="n">
        <v>38324</v>
      </c>
      <c r="M23" s="561" t="n">
        <v>38454</v>
      </c>
      <c r="N23" s="561" t="n">
        <v>38593</v>
      </c>
      <c r="O23" s="561" t="n">
        <v>38709</v>
      </c>
      <c r="P23" s="561" t="n">
        <v>38709</v>
      </c>
      <c r="Q23" s="561" t="n">
        <v>38794</v>
      </c>
      <c r="R23" s="561" t="n">
        <v>38920</v>
      </c>
      <c r="S23" s="561" t="n">
        <v>39056</v>
      </c>
      <c r="T23" s="561" t="n">
        <v>39188</v>
      </c>
      <c r="U23" s="561" t="n">
        <v>39313</v>
      </c>
      <c r="V23" s="561" t="n">
        <v>39357</v>
      </c>
      <c r="W23" s="561" t="n">
        <v>39357</v>
      </c>
      <c r="X23" s="561" t="n">
        <v>39357</v>
      </c>
      <c r="Y23" s="561" t="n">
        <v>39458</v>
      </c>
      <c r="Z23" s="561" t="n">
        <v>39541</v>
      </c>
      <c r="AA23" s="561" t="n">
        <v>39633</v>
      </c>
      <c r="AB23" s="561" t="n">
        <v>39757</v>
      </c>
      <c r="AC23" s="561" t="n">
        <v>39788</v>
      </c>
      <c r="AD23" s="561" t="n">
        <v>39788</v>
      </c>
      <c r="AE23" s="561" t="n">
        <v>39908</v>
      </c>
      <c r="AF23" s="561" t="n">
        <v>40037</v>
      </c>
      <c r="AG23" s="561" t="n">
        <v>40135</v>
      </c>
      <c r="AH23" s="128" t="n">
        <v>40230</v>
      </c>
      <c r="AI23" s="48" t="n">
        <v>40295</v>
      </c>
      <c r="AJ23" s="57">
        <f>AI23-D23</f>
        <v/>
      </c>
    </row>
    <row r="24">
      <c r="A24" s="561" t="n"/>
      <c r="B24" s="561" t="n"/>
      <c r="C24" s="142" t="inlineStr">
        <is>
          <t>DG</t>
        </is>
      </c>
      <c r="D24" s="210" t="n">
        <v>1921</v>
      </c>
      <c r="E24" s="561" t="n">
        <v>1921</v>
      </c>
      <c r="F24" s="561" t="n">
        <v>1921</v>
      </c>
      <c r="G24" s="561" t="n">
        <v>1921</v>
      </c>
      <c r="H24" s="561" t="n">
        <v>1921</v>
      </c>
      <c r="I24" s="561" t="n">
        <v>1921</v>
      </c>
      <c r="J24" s="561" t="n">
        <v>1921</v>
      </c>
      <c r="K24" s="561" t="n">
        <v>1921</v>
      </c>
      <c r="L24" s="561" t="n">
        <v>1921</v>
      </c>
      <c r="M24" s="561" t="n">
        <v>1921</v>
      </c>
      <c r="N24" s="561" t="n">
        <v>1921</v>
      </c>
      <c r="O24" s="561" t="n">
        <v>1921</v>
      </c>
      <c r="P24" s="561" t="n">
        <v>1921</v>
      </c>
      <c r="Q24" s="561" t="n">
        <v>1921</v>
      </c>
      <c r="R24" s="561" t="n">
        <v>1921</v>
      </c>
      <c r="S24" s="33" t="n">
        <v>1921</v>
      </c>
      <c r="T24" s="33" t="n">
        <v>1921</v>
      </c>
      <c r="U24" s="33" t="n">
        <v>1921</v>
      </c>
      <c r="V24" s="33" t="n">
        <v>1921</v>
      </c>
      <c r="W24" s="33" t="n">
        <v>1921</v>
      </c>
      <c r="X24" s="33" t="n">
        <v>1921</v>
      </c>
      <c r="Y24" s="33" t="n">
        <v>1921</v>
      </c>
      <c r="Z24" s="33" t="n">
        <v>1921</v>
      </c>
      <c r="AA24" s="33" t="n">
        <v>1921</v>
      </c>
      <c r="AB24" s="33" t="n">
        <v>1921</v>
      </c>
      <c r="AC24" s="33" t="n">
        <v>1921</v>
      </c>
      <c r="AD24" s="33" t="n">
        <v>1921</v>
      </c>
      <c r="AE24" s="33" t="n">
        <v>1921</v>
      </c>
      <c r="AF24" s="561" t="n">
        <v>1921</v>
      </c>
      <c r="AG24" s="561" t="n">
        <v>1921</v>
      </c>
      <c r="AH24" s="58" t="n">
        <v>1921</v>
      </c>
      <c r="AI24" s="48" t="n">
        <v>1921</v>
      </c>
      <c r="AJ24" s="57">
        <f>AI24-D24</f>
        <v/>
      </c>
    </row>
    <row r="25">
      <c r="A25" s="561" t="n">
        <v>2</v>
      </c>
      <c r="B25" s="561" t="inlineStr">
        <is>
          <t>3F</t>
        </is>
      </c>
      <c r="C25" s="141" t="inlineStr">
        <is>
          <t>AHU2</t>
        </is>
      </c>
      <c r="D25" s="130" t="n">
        <v>41922</v>
      </c>
      <c r="E25" s="561" t="n">
        <v>42102</v>
      </c>
      <c r="F25" s="561" t="n">
        <v>42102</v>
      </c>
      <c r="G25" s="561" t="n">
        <v>42328</v>
      </c>
      <c r="H25" s="561" t="n">
        <v>42260</v>
      </c>
      <c r="I25" s="561" t="n">
        <v>42260</v>
      </c>
      <c r="J25" s="561" t="n">
        <v>42356</v>
      </c>
      <c r="K25" s="561" t="n">
        <v>42452</v>
      </c>
      <c r="L25" s="561" t="n">
        <v>42560</v>
      </c>
      <c r="M25" s="561" t="n">
        <v>42650</v>
      </c>
      <c r="N25" s="561" t="n">
        <v>42776</v>
      </c>
      <c r="O25" s="561" t="n">
        <v>42865</v>
      </c>
      <c r="P25" s="561" t="n">
        <v>42865</v>
      </c>
      <c r="Q25" s="561" t="n">
        <v>42961</v>
      </c>
      <c r="R25" s="561" t="n">
        <v>43069</v>
      </c>
      <c r="S25" s="561" t="n">
        <v>43214</v>
      </c>
      <c r="T25" s="561" t="n">
        <v>43329</v>
      </c>
      <c r="U25" s="561" t="n">
        <v>43444</v>
      </c>
      <c r="V25" s="561" t="n">
        <v>43459</v>
      </c>
      <c r="W25" s="561" t="n">
        <v>43459</v>
      </c>
      <c r="X25" s="561" t="n">
        <v>43459</v>
      </c>
      <c r="Y25" s="561" t="n">
        <v>43577</v>
      </c>
      <c r="Z25" s="561" t="n">
        <v>43669</v>
      </c>
      <c r="AA25" s="561" t="n">
        <v>43771</v>
      </c>
      <c r="AB25" s="561" t="n">
        <v>43892</v>
      </c>
      <c r="AC25" s="561" t="n">
        <v>43901</v>
      </c>
      <c r="AD25" s="561" t="n">
        <v>43901</v>
      </c>
      <c r="AE25" s="561" t="n">
        <v>44040</v>
      </c>
      <c r="AF25" s="561" t="n">
        <v>44199</v>
      </c>
      <c r="AG25" s="561" t="n">
        <v>44297</v>
      </c>
      <c r="AH25" s="128" t="n">
        <v>44391</v>
      </c>
      <c r="AI25" s="48" t="n">
        <v>44440</v>
      </c>
      <c r="AJ25" s="57">
        <f>AI25-D25</f>
        <v/>
      </c>
    </row>
    <row r="26">
      <c r="A26" s="561" t="n"/>
      <c r="B26" s="561" t="n"/>
      <c r="C26" s="142" t="inlineStr">
        <is>
          <t>DG</t>
        </is>
      </c>
      <c r="D26" s="210" t="n">
        <v>1909</v>
      </c>
      <c r="E26" s="561" t="n">
        <v>1909</v>
      </c>
      <c r="F26" s="561" t="n">
        <v>1909</v>
      </c>
      <c r="G26" s="561" t="n">
        <v>1909</v>
      </c>
      <c r="H26" s="561" t="n">
        <v>1909</v>
      </c>
      <c r="I26" s="561" t="n">
        <v>1909</v>
      </c>
      <c r="J26" s="561" t="n">
        <v>1909</v>
      </c>
      <c r="K26" s="561" t="n">
        <v>1909</v>
      </c>
      <c r="L26" s="561" t="n">
        <v>1909</v>
      </c>
      <c r="M26" s="561" t="n">
        <v>1909</v>
      </c>
      <c r="N26" s="561" t="n">
        <v>1909</v>
      </c>
      <c r="O26" s="561" t="n">
        <v>1909</v>
      </c>
      <c r="P26" s="561" t="n">
        <v>1909</v>
      </c>
      <c r="Q26" s="561" t="n">
        <v>1909</v>
      </c>
      <c r="R26" s="561" t="n">
        <v>1909</v>
      </c>
      <c r="S26" s="561" t="n">
        <v>1909</v>
      </c>
      <c r="T26" s="561" t="n">
        <v>1909</v>
      </c>
      <c r="U26" s="561" t="n">
        <v>1909</v>
      </c>
      <c r="V26" s="561" t="n">
        <v>1909</v>
      </c>
      <c r="W26" s="561" t="n">
        <v>1909</v>
      </c>
      <c r="X26" s="561" t="n">
        <v>1909</v>
      </c>
      <c r="Y26" s="561" t="n">
        <v>1909</v>
      </c>
      <c r="Z26" s="561" t="n">
        <v>1909</v>
      </c>
      <c r="AA26" s="561" t="n">
        <v>1909</v>
      </c>
      <c r="AB26" s="561" t="n">
        <v>1909</v>
      </c>
      <c r="AC26" s="561" t="n">
        <v>1909</v>
      </c>
      <c r="AD26" s="561" t="n">
        <v>1909</v>
      </c>
      <c r="AE26" s="561" t="n">
        <v>1909</v>
      </c>
      <c r="AF26" s="561" t="n">
        <v>1909</v>
      </c>
      <c r="AG26" s="561" t="n">
        <v>1909</v>
      </c>
      <c r="AH26" s="58" t="n">
        <v>1909</v>
      </c>
      <c r="AI26" s="48" t="n">
        <v>1909</v>
      </c>
      <c r="AJ26" s="57">
        <f>AI26-D26</f>
        <v/>
      </c>
    </row>
    <row r="27">
      <c r="A27" s="561" t="n">
        <v>3</v>
      </c>
      <c r="B27" s="561" t="inlineStr">
        <is>
          <t>3F</t>
        </is>
      </c>
      <c r="C27" s="141" t="inlineStr">
        <is>
          <t>AHU3</t>
        </is>
      </c>
      <c r="D27" s="210" t="n">
        <v>45953</v>
      </c>
      <c r="E27" s="561" t="n">
        <v>46178</v>
      </c>
      <c r="F27" s="561" t="n">
        <v>46178</v>
      </c>
      <c r="G27" s="561" t="n">
        <v>46328</v>
      </c>
      <c r="H27" s="561" t="n">
        <v>46394</v>
      </c>
      <c r="I27" s="561" t="n">
        <v>46399</v>
      </c>
      <c r="J27" s="561" t="n">
        <v>46538</v>
      </c>
      <c r="K27" s="561" t="n">
        <v>46734</v>
      </c>
      <c r="L27" s="561" t="n">
        <v>46912</v>
      </c>
      <c r="M27" s="561" t="n">
        <v>47080</v>
      </c>
      <c r="N27" s="561" t="n">
        <v>47244</v>
      </c>
      <c r="O27" s="561" t="n">
        <v>47329</v>
      </c>
      <c r="P27" s="561" t="n">
        <v>47329</v>
      </c>
      <c r="Q27" s="561" t="n">
        <v>47446</v>
      </c>
      <c r="R27" s="561" t="n">
        <v>47607</v>
      </c>
      <c r="S27" s="561" t="n">
        <v>47774</v>
      </c>
      <c r="T27" s="561" t="n">
        <v>47931</v>
      </c>
      <c r="U27" s="561" t="n">
        <v>48089</v>
      </c>
      <c r="V27" s="561" t="n">
        <v>48194</v>
      </c>
      <c r="W27" s="561" t="n">
        <v>48194</v>
      </c>
      <c r="X27" s="561" t="n">
        <v>48194</v>
      </c>
      <c r="Y27" s="561" t="n">
        <v>48310</v>
      </c>
      <c r="Z27" s="561" t="n">
        <v>48422</v>
      </c>
      <c r="AA27" s="561" t="n">
        <v>48582</v>
      </c>
      <c r="AB27" s="561" t="n">
        <v>48752</v>
      </c>
      <c r="AC27" s="561" t="n">
        <v>48820</v>
      </c>
      <c r="AD27" s="561" t="n">
        <v>48820</v>
      </c>
      <c r="AE27" s="561" t="n">
        <v>48991</v>
      </c>
      <c r="AF27" s="561" t="n">
        <v>49201</v>
      </c>
      <c r="AG27" s="561" t="n">
        <v>49416</v>
      </c>
      <c r="AH27" s="58" t="n">
        <v>49643</v>
      </c>
      <c r="AI27" s="48" t="n">
        <v>49792</v>
      </c>
      <c r="AJ27" s="57">
        <f>AI27-D27</f>
        <v/>
      </c>
    </row>
    <row r="28">
      <c r="A28" s="561" t="n"/>
      <c r="B28" s="561" t="n"/>
      <c r="C28" s="142" t="inlineStr">
        <is>
          <t>DG</t>
        </is>
      </c>
      <c r="D28" s="210" t="n">
        <v>2065</v>
      </c>
      <c r="E28" s="561" t="n">
        <v>2065</v>
      </c>
      <c r="F28" s="561" t="n">
        <v>2065</v>
      </c>
      <c r="G28" s="561" t="n">
        <v>2065</v>
      </c>
      <c r="H28" s="561" t="n">
        <v>2065</v>
      </c>
      <c r="I28" s="561" t="n">
        <v>2065</v>
      </c>
      <c r="J28" s="561" t="n">
        <v>2065</v>
      </c>
      <c r="K28" s="561" t="n">
        <v>2065</v>
      </c>
      <c r="L28" s="561" t="n">
        <v>2065</v>
      </c>
      <c r="M28" s="561" t="n">
        <v>2065</v>
      </c>
      <c r="N28" s="561" t="n">
        <v>2065</v>
      </c>
      <c r="O28" s="561" t="n">
        <v>2065</v>
      </c>
      <c r="P28" s="561" t="n">
        <v>2065</v>
      </c>
      <c r="Q28" s="561" t="n">
        <v>2065</v>
      </c>
      <c r="R28" s="561" t="n">
        <v>2065</v>
      </c>
      <c r="S28" s="561" t="n">
        <v>2065</v>
      </c>
      <c r="T28" s="561" t="n">
        <v>2065</v>
      </c>
      <c r="U28" s="561" t="n">
        <v>2065</v>
      </c>
      <c r="V28" s="561" t="n">
        <v>2065</v>
      </c>
      <c r="W28" s="561" t="n">
        <v>2065</v>
      </c>
      <c r="X28" s="561" t="n">
        <v>2065</v>
      </c>
      <c r="Y28" s="561" t="n">
        <v>2065</v>
      </c>
      <c r="Z28" s="561" t="n">
        <v>2065</v>
      </c>
      <c r="AA28" s="561" t="n">
        <v>2065</v>
      </c>
      <c r="AB28" s="561" t="n">
        <v>2065</v>
      </c>
      <c r="AC28" s="561" t="n">
        <v>2065</v>
      </c>
      <c r="AD28" s="561" t="n">
        <v>2065</v>
      </c>
      <c r="AE28" s="561" t="n">
        <v>2065</v>
      </c>
      <c r="AF28" s="561" t="n">
        <v>2065</v>
      </c>
      <c r="AG28" s="561" t="n">
        <v>2065</v>
      </c>
      <c r="AH28" s="58" t="n">
        <v>2065</v>
      </c>
      <c r="AI28" s="48" t="n">
        <v>2065</v>
      </c>
      <c r="AJ28" s="57">
        <f>AI28-D28</f>
        <v/>
      </c>
    </row>
    <row r="29">
      <c r="A29" s="561" t="n">
        <v>4</v>
      </c>
      <c r="B29" s="561" t="inlineStr">
        <is>
          <t>3F</t>
        </is>
      </c>
      <c r="C29" s="141" t="inlineStr">
        <is>
          <t>AHU4</t>
        </is>
      </c>
      <c r="D29" s="130" t="n">
        <v>35709</v>
      </c>
      <c r="E29" s="561" t="n">
        <v>35863</v>
      </c>
      <c r="F29" s="561" t="n">
        <v>35863</v>
      </c>
      <c r="G29" s="561" t="n">
        <v>35963</v>
      </c>
      <c r="H29" s="561" t="n">
        <v>36022</v>
      </c>
      <c r="I29" s="561" t="n">
        <v>36022</v>
      </c>
      <c r="J29" s="561" t="n">
        <v>36133</v>
      </c>
      <c r="K29" s="561" t="n">
        <v>36233</v>
      </c>
      <c r="L29" s="561" t="n">
        <v>36324</v>
      </c>
      <c r="M29" s="561" t="n">
        <v>36416</v>
      </c>
      <c r="N29" s="561" t="n">
        <v>36504</v>
      </c>
      <c r="O29" s="561" t="n">
        <v>36523</v>
      </c>
      <c r="P29" s="561" t="n">
        <v>36523</v>
      </c>
      <c r="Q29" s="561" t="n">
        <v>36621</v>
      </c>
      <c r="R29" s="561" t="n">
        <v>36734</v>
      </c>
      <c r="S29" s="561" t="n">
        <v>36843</v>
      </c>
      <c r="T29" s="561" t="n">
        <v>36955</v>
      </c>
      <c r="U29" s="561" t="n">
        <v>37066</v>
      </c>
      <c r="V29" s="561" t="n">
        <v>37066</v>
      </c>
      <c r="W29" s="561" t="n">
        <v>37066</v>
      </c>
      <c r="X29" s="561" t="n">
        <v>37066</v>
      </c>
      <c r="Y29" s="561" t="n">
        <v>37137</v>
      </c>
      <c r="Z29" s="561" t="n">
        <v>37234</v>
      </c>
      <c r="AA29" s="561" t="n">
        <v>37318</v>
      </c>
      <c r="AB29" s="561" t="n">
        <v>37420</v>
      </c>
      <c r="AC29" s="561" t="n">
        <v>37428</v>
      </c>
      <c r="AD29" s="561" t="n">
        <v>37428</v>
      </c>
      <c r="AE29" s="561" t="n">
        <v>37546</v>
      </c>
      <c r="AF29" s="561" t="n">
        <v>37640</v>
      </c>
      <c r="AG29" s="561" t="n">
        <v>37719</v>
      </c>
      <c r="AH29" s="128" t="n">
        <v>37793</v>
      </c>
      <c r="AI29" s="48" t="n">
        <v>37838</v>
      </c>
      <c r="AJ29" s="57">
        <f>AI29-D29</f>
        <v/>
      </c>
    </row>
    <row r="30">
      <c r="A30" s="561" t="n"/>
      <c r="B30" s="561" t="n"/>
      <c r="C30" s="142" t="inlineStr">
        <is>
          <t>DG</t>
        </is>
      </c>
      <c r="D30" s="210" t="n">
        <v>1786</v>
      </c>
      <c r="E30" s="561" t="n">
        <v>1786</v>
      </c>
      <c r="F30" s="561" t="n">
        <v>1786</v>
      </c>
      <c r="G30" s="561" t="n">
        <v>1786</v>
      </c>
      <c r="H30" s="561" t="n">
        <v>1786</v>
      </c>
      <c r="I30" s="561" t="n">
        <v>1786</v>
      </c>
      <c r="J30" s="561" t="n">
        <v>1786</v>
      </c>
      <c r="K30" s="561" t="n">
        <v>1786</v>
      </c>
      <c r="L30" s="561" t="n">
        <v>1786</v>
      </c>
      <c r="M30" s="561" t="n">
        <v>1786</v>
      </c>
      <c r="N30" s="561" t="n">
        <v>1786</v>
      </c>
      <c r="O30" s="561" t="n">
        <v>1786</v>
      </c>
      <c r="P30" s="561" t="n">
        <v>1786</v>
      </c>
      <c r="Q30" s="561" t="n">
        <v>1786</v>
      </c>
      <c r="R30" s="561" t="n">
        <v>1786</v>
      </c>
      <c r="S30" s="561" t="n">
        <v>1786</v>
      </c>
      <c r="T30" s="561" t="n">
        <v>1786</v>
      </c>
      <c r="U30" s="561" t="n">
        <v>1786</v>
      </c>
      <c r="V30" s="561" t="n">
        <v>1786</v>
      </c>
      <c r="W30" s="561" t="n">
        <v>1786</v>
      </c>
      <c r="X30" s="561" t="n">
        <v>1786</v>
      </c>
      <c r="Y30" s="561" t="n">
        <v>1786</v>
      </c>
      <c r="Z30" s="561" t="n">
        <v>1786</v>
      </c>
      <c r="AA30" s="561" t="n">
        <v>1786</v>
      </c>
      <c r="AB30" s="561" t="n">
        <v>1786</v>
      </c>
      <c r="AC30" s="561" t="n">
        <v>1786</v>
      </c>
      <c r="AD30" s="561" t="n">
        <v>1786</v>
      </c>
      <c r="AE30" s="561" t="n">
        <v>1786</v>
      </c>
      <c r="AF30" s="561" t="n">
        <v>1786</v>
      </c>
      <c r="AG30" s="561" t="n">
        <v>1786</v>
      </c>
      <c r="AH30" s="58" t="n">
        <v>1786</v>
      </c>
      <c r="AI30" s="48" t="n">
        <v>1786</v>
      </c>
      <c r="AJ30" s="57">
        <f>AI30-D30</f>
        <v/>
      </c>
    </row>
    <row r="31">
      <c r="A31" s="561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20" t="n"/>
      <c r="AJ31" s="501" t="n"/>
    </row>
    <row r="32">
      <c r="A32" s="561" t="n">
        <v>1</v>
      </c>
      <c r="B32" s="561" t="inlineStr">
        <is>
          <t>3F</t>
        </is>
      </c>
      <c r="C32" s="141" t="inlineStr">
        <is>
          <t>AHU1 - BTU</t>
        </is>
      </c>
      <c r="D32" s="212" t="n">
        <v>360811</v>
      </c>
      <c r="E32" s="44" t="n">
        <v>361428</v>
      </c>
      <c r="F32" s="150" t="n">
        <v>361428</v>
      </c>
      <c r="G32" s="150" t="n">
        <v>362050</v>
      </c>
      <c r="H32" s="150" t="n">
        <v>362395</v>
      </c>
      <c r="I32" s="44" t="n">
        <v>362395</v>
      </c>
      <c r="J32" s="150" t="n">
        <v>362906</v>
      </c>
      <c r="K32" s="150" t="n">
        <v>363387</v>
      </c>
      <c r="L32" s="150" t="n">
        <v>363885</v>
      </c>
      <c r="M32" s="44" t="n">
        <v>364404</v>
      </c>
      <c r="N32" s="150" t="n">
        <v>364850</v>
      </c>
      <c r="O32" s="150" t="n">
        <v>365202</v>
      </c>
      <c r="P32" s="150" t="n">
        <v>365202</v>
      </c>
      <c r="Q32" s="44" t="n">
        <v>365723</v>
      </c>
      <c r="R32" s="150" t="n">
        <v>366347</v>
      </c>
      <c r="S32" s="150" t="n">
        <v>366938</v>
      </c>
      <c r="T32" s="150" t="n">
        <v>367435</v>
      </c>
      <c r="U32" s="44" t="n">
        <v>367859</v>
      </c>
      <c r="V32" s="150" t="n">
        <v>368024</v>
      </c>
      <c r="W32" s="150" t="n">
        <v>368024</v>
      </c>
      <c r="X32" s="150" t="n">
        <v>368024</v>
      </c>
      <c r="Y32" s="44" t="n">
        <v>368581</v>
      </c>
      <c r="Z32" s="150" t="n">
        <v>369143</v>
      </c>
      <c r="AA32" s="150" t="n">
        <v>369509</v>
      </c>
      <c r="AB32" s="150" t="n">
        <v>369894</v>
      </c>
      <c r="AC32" s="44" t="n">
        <v>370067</v>
      </c>
      <c r="AD32" s="150" t="n">
        <v>370067</v>
      </c>
      <c r="AE32" s="150" t="n">
        <v>370571</v>
      </c>
      <c r="AF32" s="150" t="n">
        <v>371145</v>
      </c>
      <c r="AG32" s="44" t="n">
        <v>371693</v>
      </c>
      <c r="AH32" s="207" t="n">
        <v>372191</v>
      </c>
      <c r="AI32" s="208" t="n">
        <v>372385</v>
      </c>
      <c r="AJ32" s="57">
        <f>AI32-D32</f>
        <v/>
      </c>
    </row>
    <row r="33">
      <c r="A33" s="561" t="n">
        <v>2</v>
      </c>
      <c r="B33" s="561" t="inlineStr">
        <is>
          <t>3F</t>
        </is>
      </c>
      <c r="C33" s="141" t="inlineStr">
        <is>
          <t>AHU2 - BTU</t>
        </is>
      </c>
      <c r="D33" s="212" t="n">
        <v>338439</v>
      </c>
      <c r="E33" s="150" t="n">
        <v>339141</v>
      </c>
      <c r="F33" s="150" t="n">
        <v>339141</v>
      </c>
      <c r="G33" s="150" t="n">
        <v>339876</v>
      </c>
      <c r="H33" s="150" t="n">
        <v>340409</v>
      </c>
      <c r="I33" s="150" t="n">
        <v>340409</v>
      </c>
      <c r="J33" s="150" t="n">
        <v>341046</v>
      </c>
      <c r="K33" s="150" t="n">
        <v>341566</v>
      </c>
      <c r="L33" s="150" t="n">
        <v>342141</v>
      </c>
      <c r="M33" s="150" t="n">
        <v>342540</v>
      </c>
      <c r="N33" s="150" t="n">
        <v>342986</v>
      </c>
      <c r="O33" s="150" t="n">
        <v>343310</v>
      </c>
      <c r="P33" s="150" t="n">
        <v>343310</v>
      </c>
      <c r="Q33" s="150" t="n">
        <v>343864</v>
      </c>
      <c r="R33" s="150" t="n">
        <v>344373</v>
      </c>
      <c r="S33" s="150" t="n">
        <v>344848</v>
      </c>
      <c r="T33" s="150" t="n">
        <v>345330</v>
      </c>
      <c r="U33" s="150" t="n">
        <v>345794</v>
      </c>
      <c r="V33" s="150" t="n">
        <v>345863</v>
      </c>
      <c r="W33" s="150" t="n">
        <v>345863</v>
      </c>
      <c r="X33" s="150" t="n">
        <v>345863</v>
      </c>
      <c r="Y33" s="150" t="n">
        <v>346481</v>
      </c>
      <c r="Z33" s="150" t="n">
        <v>346953</v>
      </c>
      <c r="AA33" s="150" t="n">
        <v>347300</v>
      </c>
      <c r="AB33" s="150" t="n">
        <v>347666</v>
      </c>
      <c r="AC33" s="150" t="n">
        <v>347745</v>
      </c>
      <c r="AD33" s="150" t="n">
        <v>347745</v>
      </c>
      <c r="AE33" s="150" t="n">
        <v>348285</v>
      </c>
      <c r="AF33" s="150" t="n">
        <v>348700</v>
      </c>
      <c r="AG33" s="150" t="n">
        <v>349094</v>
      </c>
      <c r="AH33" s="207" t="n">
        <v>349525</v>
      </c>
      <c r="AI33" s="208" t="n">
        <v>349743</v>
      </c>
      <c r="AJ33" s="57">
        <f>AI33-D33</f>
        <v/>
      </c>
    </row>
    <row r="34">
      <c r="A34" s="561" t="n">
        <v>3</v>
      </c>
      <c r="B34" s="561" t="inlineStr">
        <is>
          <t>3F</t>
        </is>
      </c>
      <c r="C34" s="141" t="inlineStr">
        <is>
          <t>AHU3 - BTU</t>
        </is>
      </c>
      <c r="D34" s="212" t="n">
        <v>353063</v>
      </c>
      <c r="E34" s="150" t="n">
        <v>353933</v>
      </c>
      <c r="F34" s="150" t="n">
        <v>353933</v>
      </c>
      <c r="G34" s="150" t="n">
        <v>354542</v>
      </c>
      <c r="H34" s="150" t="n">
        <v>354967</v>
      </c>
      <c r="I34" s="150" t="n">
        <v>354967</v>
      </c>
      <c r="J34" s="150" t="n">
        <v>355610</v>
      </c>
      <c r="K34" s="150" t="n">
        <v>356169</v>
      </c>
      <c r="L34" s="150" t="n">
        <v>356832</v>
      </c>
      <c r="M34" s="150" t="n">
        <v>357358</v>
      </c>
      <c r="N34" s="150" t="n">
        <v>357839</v>
      </c>
      <c r="O34" s="150" t="n">
        <v>358170</v>
      </c>
      <c r="P34" s="150" t="n">
        <v>358170</v>
      </c>
      <c r="Q34" s="150" t="n">
        <v>358820</v>
      </c>
      <c r="R34" s="150" t="n">
        <v>359331</v>
      </c>
      <c r="S34" s="150" t="n">
        <v>359829</v>
      </c>
      <c r="T34" s="150" t="n">
        <v>360352</v>
      </c>
      <c r="U34" s="150" t="n">
        <v>360834</v>
      </c>
      <c r="V34" s="150" t="n">
        <v>361089</v>
      </c>
      <c r="W34" s="150" t="n">
        <v>361089</v>
      </c>
      <c r="X34" s="150" t="n">
        <v>361089</v>
      </c>
      <c r="Y34" s="150" t="n">
        <v>361765</v>
      </c>
      <c r="Z34" s="150" t="n">
        <v>362218</v>
      </c>
      <c r="AA34" s="150" t="n">
        <v>362697</v>
      </c>
      <c r="AB34" s="150" t="n">
        <v>363044</v>
      </c>
      <c r="AC34" s="150" t="n">
        <v>363323</v>
      </c>
      <c r="AD34" s="150" t="n">
        <v>363323</v>
      </c>
      <c r="AE34" s="150" t="n">
        <v>363822</v>
      </c>
      <c r="AF34" s="150" t="n">
        <v>364337</v>
      </c>
      <c r="AG34" s="150" t="n">
        <v>365030</v>
      </c>
      <c r="AH34" s="207" t="n">
        <v>365724</v>
      </c>
      <c r="AI34" s="208" t="n">
        <v>366099</v>
      </c>
      <c r="AJ34" s="57">
        <f>AI34-D34</f>
        <v/>
      </c>
    </row>
    <row r="35">
      <c r="A35" s="561" t="n">
        <v>4</v>
      </c>
      <c r="B35" s="561" t="inlineStr">
        <is>
          <t>3F</t>
        </is>
      </c>
      <c r="C35" s="141" t="inlineStr">
        <is>
          <t>AHU4 - BTU</t>
        </is>
      </c>
      <c r="D35" s="212" t="n">
        <v>381662</v>
      </c>
      <c r="E35" s="150" t="n">
        <v>382755</v>
      </c>
      <c r="F35" s="150" t="n">
        <v>382755</v>
      </c>
      <c r="G35" s="150" t="n">
        <v>383753</v>
      </c>
      <c r="H35" s="150" t="n">
        <v>384318</v>
      </c>
      <c r="I35" s="150" t="n">
        <v>384318</v>
      </c>
      <c r="J35" s="150" t="n">
        <v>385206</v>
      </c>
      <c r="K35" s="150" t="n">
        <v>386191</v>
      </c>
      <c r="L35" s="150" t="n">
        <v>387042</v>
      </c>
      <c r="M35" s="150" t="n">
        <v>387795</v>
      </c>
      <c r="N35" s="150" t="n">
        <v>388638</v>
      </c>
      <c r="O35" s="150" t="n">
        <v>388900</v>
      </c>
      <c r="P35" s="202" t="n">
        <v>388900</v>
      </c>
      <c r="Q35" s="150" t="n">
        <v>389712</v>
      </c>
      <c r="R35" s="150" t="n">
        <v>390569</v>
      </c>
      <c r="S35" s="150" t="n">
        <v>391407</v>
      </c>
      <c r="T35" s="150" t="n">
        <v>392276</v>
      </c>
      <c r="U35" s="150" t="n">
        <v>393114</v>
      </c>
      <c r="V35" s="150" t="n">
        <v>393223</v>
      </c>
      <c r="W35" s="150" t="n">
        <v>393223</v>
      </c>
      <c r="X35" s="150" t="n">
        <v>393223</v>
      </c>
      <c r="Y35" s="150" t="n">
        <v>393958</v>
      </c>
      <c r="Z35" s="150" t="n">
        <v>394651</v>
      </c>
      <c r="AA35" s="150" t="n">
        <v>395357</v>
      </c>
      <c r="AB35" s="150" t="n">
        <v>395977</v>
      </c>
      <c r="AC35" s="150" t="n">
        <v>396174</v>
      </c>
      <c r="AD35" s="150" t="n">
        <v>396174</v>
      </c>
      <c r="AE35" s="150" t="n">
        <v>396983</v>
      </c>
      <c r="AF35" s="150" t="n">
        <v>397731</v>
      </c>
      <c r="AG35" s="150" t="n">
        <v>398516</v>
      </c>
      <c r="AH35" s="207" t="n">
        <v>399217</v>
      </c>
      <c r="AI35" s="208" t="n">
        <v>399618</v>
      </c>
      <c r="AJ35" s="57">
        <f>AI35-D35</f>
        <v/>
      </c>
    </row>
    <row r="36">
      <c r="A36" s="180" t="n"/>
      <c r="B36" s="180" t="n"/>
      <c r="C36" s="143" t="n"/>
      <c r="D36" s="180" t="n"/>
      <c r="E36" s="13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  <c r="AA36" s="180" t="n"/>
      <c r="AB36" s="180" t="n"/>
      <c r="AC36" s="6" t="n"/>
      <c r="AD36" s="180" t="n"/>
      <c r="AE36" s="180" t="n"/>
      <c r="AF36" s="180" t="n"/>
      <c r="AG36" s="180" t="n"/>
      <c r="AH36" s="180" t="n"/>
      <c r="AI36" s="180" t="n"/>
      <c r="AJ36" s="181" t="n"/>
    </row>
    <row r="37">
      <c r="A37" s="14" t="n"/>
      <c r="B37" s="137" t="n"/>
      <c r="C37" s="144" t="n"/>
      <c r="D37" s="138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</row>
    <row r="38">
      <c r="A38" s="93" t="n"/>
      <c r="B38" s="539" t="inlineStr">
        <is>
          <t xml:space="preserve"> Daily Energy Report</t>
        </is>
      </c>
      <c r="C38" s="520" t="n"/>
      <c r="D38" s="501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</row>
    <row r="39">
      <c r="A39" s="94" t="n"/>
      <c r="B39" s="534" t="inlineStr">
        <is>
          <t>Electricity Consumption</t>
        </is>
      </c>
      <c r="C39" s="520" t="n"/>
      <c r="D39" s="501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4" t="n"/>
      <c r="AJ39" s="94" t="n"/>
    </row>
    <row r="40">
      <c r="A40" s="533" t="inlineStr">
        <is>
          <t>Sr.No</t>
        </is>
      </c>
      <c r="B40" s="533" t="inlineStr">
        <is>
          <t>Location</t>
        </is>
      </c>
      <c r="C40" s="533" t="inlineStr">
        <is>
          <t>Meter</t>
        </is>
      </c>
      <c r="D40" s="522" t="n"/>
      <c r="E40" s="95">
        <f>E2</f>
        <v/>
      </c>
      <c r="F40" s="95">
        <f>F2</f>
        <v/>
      </c>
      <c r="G40" s="95">
        <f>G2</f>
        <v/>
      </c>
      <c r="H40" s="95">
        <f>H2</f>
        <v/>
      </c>
      <c r="I40" s="95">
        <f>I2</f>
        <v/>
      </c>
      <c r="J40" s="95">
        <f>J2</f>
        <v/>
      </c>
      <c r="K40" s="95">
        <f>K2</f>
        <v/>
      </c>
      <c r="L40" s="95">
        <f>L2</f>
        <v/>
      </c>
      <c r="M40" s="95">
        <f>M2</f>
        <v/>
      </c>
      <c r="N40" s="95">
        <f>N2</f>
        <v/>
      </c>
      <c r="O40" s="95">
        <f>O2</f>
        <v/>
      </c>
      <c r="P40" s="95">
        <f>P2</f>
        <v/>
      </c>
      <c r="Q40" s="95">
        <f>Q2</f>
        <v/>
      </c>
      <c r="R40" s="95">
        <f>R2</f>
        <v/>
      </c>
      <c r="S40" s="95">
        <f>S2</f>
        <v/>
      </c>
      <c r="T40" s="95">
        <f>T2</f>
        <v/>
      </c>
      <c r="U40" s="95">
        <f>U2</f>
        <v/>
      </c>
      <c r="V40" s="95">
        <f>V2</f>
        <v/>
      </c>
      <c r="W40" s="95">
        <f>W2</f>
        <v/>
      </c>
      <c r="X40" s="95">
        <f>X2</f>
        <v/>
      </c>
      <c r="Y40" s="95">
        <f>Y2</f>
        <v/>
      </c>
      <c r="Z40" s="95">
        <f>Z2</f>
        <v/>
      </c>
      <c r="AA40" s="95">
        <f>AA2</f>
        <v/>
      </c>
      <c r="AB40" s="95">
        <f>AB2</f>
        <v/>
      </c>
      <c r="AC40" s="95">
        <f>AC2</f>
        <v/>
      </c>
      <c r="AD40" s="95">
        <f>AD2</f>
        <v/>
      </c>
      <c r="AE40" s="95">
        <f>AE2</f>
        <v/>
      </c>
      <c r="AF40" s="95">
        <f>AF2</f>
        <v/>
      </c>
      <c r="AG40" s="95">
        <f>AG2</f>
        <v/>
      </c>
      <c r="AH40" s="95">
        <f>AH2</f>
        <v/>
      </c>
      <c r="AI40" s="51" t="n">
        <v>45961</v>
      </c>
      <c r="AJ40" s="533" t="inlineStr">
        <is>
          <t>Consumption</t>
        </is>
      </c>
    </row>
    <row r="41">
      <c r="A41" s="516" t="n"/>
      <c r="B41" s="516" t="n"/>
      <c r="C41" s="523" t="n"/>
      <c r="D41" s="524" t="n"/>
      <c r="E41" s="96" t="inlineStr">
        <is>
          <t>Wed</t>
        </is>
      </c>
      <c r="F41" s="96" t="inlineStr">
        <is>
          <t>Thu</t>
        </is>
      </c>
      <c r="G41" s="96" t="inlineStr">
        <is>
          <t>Fri</t>
        </is>
      </c>
      <c r="H41" s="96" t="inlineStr">
        <is>
          <t>Sat</t>
        </is>
      </c>
      <c r="I41" s="96" t="inlineStr">
        <is>
          <t>Sun</t>
        </is>
      </c>
      <c r="J41" s="96" t="inlineStr">
        <is>
          <t>Mon</t>
        </is>
      </c>
      <c r="K41" s="96" t="inlineStr">
        <is>
          <t>Tue</t>
        </is>
      </c>
      <c r="L41" s="96" t="inlineStr">
        <is>
          <t>Wed</t>
        </is>
      </c>
      <c r="M41" s="96" t="inlineStr">
        <is>
          <t>Thu</t>
        </is>
      </c>
      <c r="N41" s="96" t="inlineStr">
        <is>
          <t>Fri</t>
        </is>
      </c>
      <c r="O41" s="96" t="inlineStr">
        <is>
          <t>Sat</t>
        </is>
      </c>
      <c r="P41" s="96" t="inlineStr">
        <is>
          <t>Sun</t>
        </is>
      </c>
      <c r="Q41" s="96" t="inlineStr">
        <is>
          <t>Mon</t>
        </is>
      </c>
      <c r="R41" s="96" t="inlineStr">
        <is>
          <t>Tue</t>
        </is>
      </c>
      <c r="S41" s="96" t="inlineStr">
        <is>
          <t>Wed</t>
        </is>
      </c>
      <c r="T41" s="96" t="inlineStr">
        <is>
          <t>Thu</t>
        </is>
      </c>
      <c r="U41" s="96" t="inlineStr">
        <is>
          <t>Fri</t>
        </is>
      </c>
      <c r="V41" s="96" t="inlineStr">
        <is>
          <t>Sat</t>
        </is>
      </c>
      <c r="W41" s="96" t="inlineStr">
        <is>
          <t>Sun</t>
        </is>
      </c>
      <c r="X41" s="96" t="inlineStr">
        <is>
          <t>Mon</t>
        </is>
      </c>
      <c r="Y41" s="96" t="inlineStr">
        <is>
          <t>Tue</t>
        </is>
      </c>
      <c r="Z41" s="96" t="inlineStr">
        <is>
          <t>Wed</t>
        </is>
      </c>
      <c r="AA41" s="96" t="inlineStr">
        <is>
          <t>Thu</t>
        </is>
      </c>
      <c r="AB41" s="96" t="inlineStr">
        <is>
          <t>Fri</t>
        </is>
      </c>
      <c r="AC41" s="96" t="inlineStr">
        <is>
          <t>Sat</t>
        </is>
      </c>
      <c r="AD41" s="96" t="inlineStr">
        <is>
          <t>Sun</t>
        </is>
      </c>
      <c r="AE41" s="96" t="inlineStr">
        <is>
          <t>Mon</t>
        </is>
      </c>
      <c r="AF41" s="96" t="inlineStr">
        <is>
          <t>Tue</t>
        </is>
      </c>
      <c r="AG41" s="96" t="inlineStr">
        <is>
          <t>Wed</t>
        </is>
      </c>
      <c r="AH41" s="96" t="inlineStr">
        <is>
          <t>Thu</t>
        </is>
      </c>
      <c r="AI41" s="96" t="inlineStr">
        <is>
          <t>Fri</t>
        </is>
      </c>
      <c r="AJ41" s="516" t="n"/>
    </row>
    <row r="42">
      <c r="A42" s="516" t="n"/>
      <c r="B42" s="516" t="n"/>
      <c r="C42" s="523" t="n"/>
      <c r="D42" s="524" t="n"/>
      <c r="E42" s="97" t="inlineStr">
        <is>
          <t>Time</t>
        </is>
      </c>
      <c r="F42" s="97" t="inlineStr">
        <is>
          <t>Time</t>
        </is>
      </c>
      <c r="G42" s="97" t="inlineStr">
        <is>
          <t>Time</t>
        </is>
      </c>
      <c r="H42" s="97" t="inlineStr">
        <is>
          <t>Time</t>
        </is>
      </c>
      <c r="I42" s="97" t="inlineStr">
        <is>
          <t>Time</t>
        </is>
      </c>
      <c r="J42" s="97" t="inlineStr">
        <is>
          <t>Time</t>
        </is>
      </c>
      <c r="K42" s="97" t="inlineStr">
        <is>
          <t>Time</t>
        </is>
      </c>
      <c r="L42" s="97" t="inlineStr">
        <is>
          <t>Time</t>
        </is>
      </c>
      <c r="M42" s="97" t="inlineStr">
        <is>
          <t>Time</t>
        </is>
      </c>
      <c r="N42" s="97" t="inlineStr">
        <is>
          <t>Time</t>
        </is>
      </c>
      <c r="O42" s="97" t="inlineStr">
        <is>
          <t>Time</t>
        </is>
      </c>
      <c r="P42" s="97" t="inlineStr">
        <is>
          <t>Time</t>
        </is>
      </c>
      <c r="Q42" s="97" t="inlineStr">
        <is>
          <t>Time</t>
        </is>
      </c>
      <c r="R42" s="97" t="inlineStr">
        <is>
          <t>Time</t>
        </is>
      </c>
      <c r="S42" s="97" t="inlineStr">
        <is>
          <t>Time</t>
        </is>
      </c>
      <c r="T42" s="97" t="inlineStr">
        <is>
          <t>Time</t>
        </is>
      </c>
      <c r="U42" s="97" t="inlineStr">
        <is>
          <t>Time</t>
        </is>
      </c>
      <c r="V42" s="97" t="inlineStr">
        <is>
          <t>Time</t>
        </is>
      </c>
      <c r="W42" s="97" t="inlineStr">
        <is>
          <t>Time</t>
        </is>
      </c>
      <c r="X42" s="97" t="inlineStr">
        <is>
          <t>Time</t>
        </is>
      </c>
      <c r="Y42" s="97" t="inlineStr">
        <is>
          <t>Time</t>
        </is>
      </c>
      <c r="Z42" s="97" t="inlineStr">
        <is>
          <t>Time</t>
        </is>
      </c>
      <c r="AA42" s="97" t="inlineStr">
        <is>
          <t>Time</t>
        </is>
      </c>
      <c r="AB42" s="97" t="inlineStr">
        <is>
          <t>Time</t>
        </is>
      </c>
      <c r="AC42" s="97" t="inlineStr">
        <is>
          <t>Time</t>
        </is>
      </c>
      <c r="AD42" s="97" t="inlineStr">
        <is>
          <t>Time</t>
        </is>
      </c>
      <c r="AE42" s="97" t="inlineStr">
        <is>
          <t>Time</t>
        </is>
      </c>
      <c r="AF42" s="97" t="inlineStr">
        <is>
          <t>Time</t>
        </is>
      </c>
      <c r="AG42" s="97" t="inlineStr">
        <is>
          <t>Time</t>
        </is>
      </c>
      <c r="AH42" s="95">
        <f>AH4</f>
        <v/>
      </c>
      <c r="AI42" s="52" t="inlineStr">
        <is>
          <t>Time</t>
        </is>
      </c>
      <c r="AJ42" s="516" t="n"/>
    </row>
    <row r="43">
      <c r="A43" s="517" t="n"/>
      <c r="B43" s="517" t="n"/>
      <c r="C43" s="525" t="n"/>
      <c r="D43" s="526" t="n"/>
      <c r="E43" s="98" t="n">
        <v>0.3333333333333333</v>
      </c>
      <c r="F43" s="98" t="n">
        <v>0.3333333333333333</v>
      </c>
      <c r="G43" s="98" t="n">
        <v>0.3333333333333333</v>
      </c>
      <c r="H43" s="98" t="n">
        <v>0.3333333333333333</v>
      </c>
      <c r="I43" s="98" t="n">
        <v>0.3333333333333333</v>
      </c>
      <c r="J43" s="98" t="n">
        <v>0.3333333333333333</v>
      </c>
      <c r="K43" s="98" t="n">
        <v>0.3333333333333333</v>
      </c>
      <c r="L43" s="98" t="n">
        <v>0.3333333333333333</v>
      </c>
      <c r="M43" s="98" t="n">
        <v>0.3333333333333333</v>
      </c>
      <c r="N43" s="98" t="n">
        <v>0.3333333333333333</v>
      </c>
      <c r="O43" s="98" t="n">
        <v>0.3333333333333333</v>
      </c>
      <c r="P43" s="98" t="n">
        <v>0.3333333333333333</v>
      </c>
      <c r="Q43" s="98" t="n">
        <v>0.3333333333333333</v>
      </c>
      <c r="R43" s="98" t="n">
        <v>0.3333333333333333</v>
      </c>
      <c r="S43" s="98" t="n">
        <v>0.3333333333333333</v>
      </c>
      <c r="T43" s="98" t="n">
        <v>0.3333333333333333</v>
      </c>
      <c r="U43" s="98" t="n">
        <v>0.3333333333333333</v>
      </c>
      <c r="V43" s="98" t="n">
        <v>0.3333333333333333</v>
      </c>
      <c r="W43" s="98" t="n">
        <v>0.3333333333333333</v>
      </c>
      <c r="X43" s="98" t="n">
        <v>0.3333333333333333</v>
      </c>
      <c r="Y43" s="98" t="n">
        <v>0.3333333333333333</v>
      </c>
      <c r="Z43" s="98" t="n">
        <v>0.3333333333333333</v>
      </c>
      <c r="AA43" s="98" t="n">
        <v>0.3333333333333333</v>
      </c>
      <c r="AB43" s="98" t="n">
        <v>0.3333333333333333</v>
      </c>
      <c r="AC43" s="98" t="n">
        <v>0.3333333333333333</v>
      </c>
      <c r="AD43" s="98" t="n">
        <v>0.3333333333333333</v>
      </c>
      <c r="AE43" s="98" t="n">
        <v>0.3333333333333333</v>
      </c>
      <c r="AF43" s="98" t="n">
        <v>0.3333333333333333</v>
      </c>
      <c r="AG43" s="98" t="n">
        <v>0.3333333333333333</v>
      </c>
      <c r="AH43" s="98" t="n">
        <v>0.3333333333333333</v>
      </c>
      <c r="AI43" s="53" t="n">
        <v>0.3333333333333333</v>
      </c>
      <c r="AJ43" s="517" t="n"/>
    </row>
    <row r="44" ht="15" customHeight="1" s="488">
      <c r="A44" s="500" t="n">
        <v>1</v>
      </c>
      <c r="B44" s="500" t="inlineStr">
        <is>
          <t>3F</t>
        </is>
      </c>
      <c r="C44" s="500" t="inlineStr">
        <is>
          <t>SL No 540430038840 (EB Unit)</t>
        </is>
      </c>
      <c r="D44" s="501" t="n"/>
      <c r="E44" s="20">
        <f>E6-D6</f>
        <v/>
      </c>
      <c r="F44" s="20">
        <f>F6-E6</f>
        <v/>
      </c>
      <c r="G44" s="20">
        <f>G6-F6</f>
        <v/>
      </c>
      <c r="H44" s="20">
        <f>H6-G6</f>
        <v/>
      </c>
      <c r="I44" s="20">
        <f>I6-H6</f>
        <v/>
      </c>
      <c r="J44" s="20">
        <f>J6-I6</f>
        <v/>
      </c>
      <c r="K44" s="20">
        <f>K6-J6</f>
        <v/>
      </c>
      <c r="L44" s="20">
        <f>L6-K6</f>
        <v/>
      </c>
      <c r="M44" s="20">
        <f>M6-L6</f>
        <v/>
      </c>
      <c r="N44" s="20">
        <f>N6-M6</f>
        <v/>
      </c>
      <c r="O44" s="20">
        <f>O6-N6</f>
        <v/>
      </c>
      <c r="P44" s="20">
        <f>P6-O6</f>
        <v/>
      </c>
      <c r="Q44" s="20">
        <f>Q6-P6</f>
        <v/>
      </c>
      <c r="R44" s="20">
        <f>R6-Q6</f>
        <v/>
      </c>
      <c r="S44" s="20">
        <f>S6-R6</f>
        <v/>
      </c>
      <c r="T44" s="20">
        <f>T6-S6</f>
        <v/>
      </c>
      <c r="U44" s="20">
        <f>U6-T6</f>
        <v/>
      </c>
      <c r="V44" s="20">
        <f>V6-U6</f>
        <v/>
      </c>
      <c r="W44" s="20">
        <f>W6-V6</f>
        <v/>
      </c>
      <c r="X44" s="20">
        <f>X6-W6</f>
        <v/>
      </c>
      <c r="Y44" s="20">
        <f>Y6-X6</f>
        <v/>
      </c>
      <c r="Z44" s="20">
        <f>Z6-Y6</f>
        <v/>
      </c>
      <c r="AA44" s="20">
        <f>AA6-Z6</f>
        <v/>
      </c>
      <c r="AB44" s="20">
        <f>AB6-AA6</f>
        <v/>
      </c>
      <c r="AC44" s="20">
        <f>AC6-AB6</f>
        <v/>
      </c>
      <c r="AD44" s="20">
        <f>AD6-AC6</f>
        <v/>
      </c>
      <c r="AE44" s="20">
        <f>AE6-AD6</f>
        <v/>
      </c>
      <c r="AF44" s="20">
        <f>AF6-AE6</f>
        <v/>
      </c>
      <c r="AG44" s="20">
        <f>AG6-AF6</f>
        <v/>
      </c>
      <c r="AH44" s="20">
        <f>AH6-AG6</f>
        <v/>
      </c>
      <c r="AI44" s="20">
        <f>AI6-AH6</f>
        <v/>
      </c>
      <c r="AJ44" s="21">
        <f>SUM(E44:AI44)</f>
        <v/>
      </c>
    </row>
    <row r="45" ht="15" customHeight="1" s="488">
      <c r="A45" s="500" t="n"/>
      <c r="B45" s="500" t="n"/>
      <c r="C45" s="529" t="inlineStr">
        <is>
          <t>DG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5" customHeight="1" s="488">
      <c r="A46" s="500" t="n">
        <v>2</v>
      </c>
      <c r="B46" s="500" t="inlineStr">
        <is>
          <t>3F</t>
        </is>
      </c>
      <c r="C46" s="500" t="inlineStr">
        <is>
          <t>SL No 540430038845 (EB Unit)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/>
      <c r="B47" s="500" t="n"/>
      <c r="C47" s="529" t="inlineStr">
        <is>
          <t>DG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5" customHeight="1" s="488">
      <c r="A48" s="500" t="n">
        <v>3</v>
      </c>
      <c r="B48" s="500" t="inlineStr">
        <is>
          <t>3F</t>
        </is>
      </c>
      <c r="C48" s="500" t="inlineStr">
        <is>
          <t>SL No 540430038844 (EB Unit)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/>
      <c r="B49" s="500" t="n"/>
      <c r="C49" s="529" t="inlineStr">
        <is>
          <t>DG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5" customHeight="1" s="488">
      <c r="A50" s="500" t="n">
        <v>4</v>
      </c>
      <c r="B50" s="500" t="inlineStr">
        <is>
          <t>3F</t>
        </is>
      </c>
      <c r="C50" s="500" t="inlineStr">
        <is>
          <t>SL No 540430038821 (EB Unit)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/>
      <c r="B51" s="500" t="n"/>
      <c r="C51" s="529" t="inlineStr">
        <is>
          <t>DG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5" customHeight="1" s="488">
      <c r="A52" s="500" t="n">
        <v>5</v>
      </c>
      <c r="B52" s="500" t="inlineStr">
        <is>
          <t>3F</t>
        </is>
      </c>
      <c r="C52" s="500" t="inlineStr">
        <is>
          <t>SL No 540430038849 (EB Unit)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/>
      <c r="B53" s="500" t="n"/>
      <c r="C53" s="529" t="inlineStr">
        <is>
          <t>DG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5" customHeight="1" s="488">
      <c r="A54" s="500" t="n">
        <v>6</v>
      </c>
      <c r="B54" s="500" t="inlineStr">
        <is>
          <t>3F</t>
        </is>
      </c>
      <c r="C54" s="500" t="inlineStr">
        <is>
          <t>SL No 540430038696 (EB Unit)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21">
        <f>SUM(E54:AI54)</f>
        <v/>
      </c>
    </row>
    <row r="55" ht="15" customHeight="1" s="488">
      <c r="A55" s="500" t="n"/>
      <c r="B55" s="500" t="n"/>
      <c r="C55" s="529" t="inlineStr">
        <is>
          <t>DG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21">
        <f>SUM(E55:AI55)</f>
        <v/>
      </c>
    </row>
    <row r="56" ht="15" customHeight="1" s="488">
      <c r="A56" s="500" t="n">
        <v>7</v>
      </c>
      <c r="B56" s="500" t="inlineStr">
        <is>
          <t>3F</t>
        </is>
      </c>
      <c r="C56" s="500" t="inlineStr">
        <is>
          <t>SL No 540430038843 (EB Unit)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21">
        <f>SUM(E56:AI56)</f>
        <v/>
      </c>
    </row>
    <row r="57" ht="15" customHeight="1" s="488">
      <c r="A57" s="500" t="n"/>
      <c r="B57" s="500" t="n"/>
      <c r="C57" s="529" t="inlineStr">
        <is>
          <t>DG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21">
        <f>SUM(E57:AI57)</f>
        <v/>
      </c>
    </row>
    <row r="58" ht="15" customHeight="1" s="488">
      <c r="A58" s="500" t="n">
        <v>8</v>
      </c>
      <c r="B58" s="500" t="inlineStr">
        <is>
          <t>3F</t>
        </is>
      </c>
      <c r="C58" s="500" t="inlineStr">
        <is>
          <t>SL No 540430038848 (EB Unit)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/>
      <c r="B59" s="500" t="n"/>
      <c r="C59" s="529" t="inlineStr">
        <is>
          <t>DG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5" customHeight="1" s="488">
      <c r="A60" s="99" t="n"/>
      <c r="B60" s="99" t="n"/>
      <c r="C60" s="511" t="inlineStr">
        <is>
          <t>Total Power - EB Unit</t>
        </is>
      </c>
      <c r="D60" s="501" t="n"/>
      <c r="E60" s="23">
        <f>SUM(E58,E56,E54,E52,E50,E48,E46,E44)</f>
        <v/>
      </c>
      <c r="F60" s="23">
        <f>SUM(F58,F56,F54,F52,F50,F48,F46,F44)</f>
        <v/>
      </c>
      <c r="G60" s="23">
        <f>SUM(G58,G56,G54,G52,G50,G48,G46,G44)</f>
        <v/>
      </c>
      <c r="H60" s="23">
        <f>SUM(H58,H56,H54,H52,H50,H48,H46,H44)</f>
        <v/>
      </c>
      <c r="I60" s="23">
        <f>SUM(I58,I56,I54,I52,I50,I48,I46,I44)</f>
        <v/>
      </c>
      <c r="J60" s="23">
        <f>SUM(J58,J56,J54,J52,J50,J48,J46,J44)</f>
        <v/>
      </c>
      <c r="K60" s="23">
        <f>SUM(K58,K56,K54,K52,K50,K48,K46,K44)</f>
        <v/>
      </c>
      <c r="L60" s="23">
        <f>SUM(L58,L56,L54,L52,L50,L48,L46,L44)</f>
        <v/>
      </c>
      <c r="M60" s="23">
        <f>SUM(M58,M56,M54,M52,M50,M48,M46,M44)</f>
        <v/>
      </c>
      <c r="N60" s="23">
        <f>SUM(N58,N56,N54,N52,N50,N48,N46,N44)</f>
        <v/>
      </c>
      <c r="O60" s="23">
        <f>SUM(O58,O56,O54,O52,O50,O48,O46,O44)</f>
        <v/>
      </c>
      <c r="P60" s="23">
        <f>SUM(P58,P56,P54,P52,P50,P48,P46,P44)</f>
        <v/>
      </c>
      <c r="Q60" s="23">
        <f>SUM(Q58,Q56,Q54,Q52,Q50,Q48,Q46,Q44)</f>
        <v/>
      </c>
      <c r="R60" s="23">
        <f>SUM(R58,R56,R54,R52,R50,R48,R46,R44)</f>
        <v/>
      </c>
      <c r="S60" s="23">
        <f>SUM(S58,S56,S54,S52,S50,S48,S46,S44)</f>
        <v/>
      </c>
      <c r="T60" s="23">
        <f>SUM(T58,T56,T54,T52,T50,T48,T46,T44)</f>
        <v/>
      </c>
      <c r="U60" s="23">
        <f>SUM(U58,U56,U54,U52,U50,U48,U46,U44)</f>
        <v/>
      </c>
      <c r="V60" s="23">
        <f>SUM(V58,V56,V54,V52,V50,V48,V46,V44)</f>
        <v/>
      </c>
      <c r="W60" s="23">
        <f>SUM(W58,W56,W54,W52,W50,W48,W46,W44)</f>
        <v/>
      </c>
      <c r="X60" s="23">
        <f>SUM(X58,X56,X54,X52,X50,X48,X46,X44)</f>
        <v/>
      </c>
      <c r="Y60" s="23">
        <f>SUM(Y58,Y56,Y54,Y52,Y50,Y48,Y46,Y44)</f>
        <v/>
      </c>
      <c r="Z60" s="23">
        <f>SUM(Z58,Z56,Z54,Z52,Z50,Z48,Z46,Z44)</f>
        <v/>
      </c>
      <c r="AA60" s="23">
        <f>SUM(AA58,AA56,AA54,AA52,AA50,AA48,AA46,AA44)</f>
        <v/>
      </c>
      <c r="AB60" s="23">
        <f>SUM(AB58,AB56,AB54,AB52,AB50,AB48,AB46,AB44)</f>
        <v/>
      </c>
      <c r="AC60" s="23">
        <f>SUM(AC58,AC56,AC54,AC52,AC50,AC48,AC46,AC44)</f>
        <v/>
      </c>
      <c r="AD60" s="23">
        <f>SUM(AD58,AD56,AD54,AD52,AD50,AD48,AD46,AD44)</f>
        <v/>
      </c>
      <c r="AE60" s="23">
        <f>SUM(AE58,AE56,AE54,AE52,AE50,AE48,AE46,AE44)</f>
        <v/>
      </c>
      <c r="AF60" s="23">
        <f>SUM(AF58,AF56,AF54,AF52,AF50,AF48,AF46,AF44)</f>
        <v/>
      </c>
      <c r="AG60" s="23">
        <f>SUM(AG58,AG56,AG54,AG52,AG50,AG48,AG46,AG44)</f>
        <v/>
      </c>
      <c r="AH60" s="23">
        <f>SUM(AH58,AH56,AH54,AH52,AH50,AH48,AH46,AH44)</f>
        <v/>
      </c>
      <c r="AI60" s="23">
        <f>SUM(AI58,AI56,AI54,AI52,AI50,AI48,AI46,AI44)</f>
        <v/>
      </c>
      <c r="AJ60" s="24">
        <f>SUM(E60:AI60)</f>
        <v/>
      </c>
    </row>
    <row r="61" ht="15" customHeight="1" s="488">
      <c r="A61" s="99" t="n"/>
      <c r="B61" s="99" t="n"/>
      <c r="C61" s="145" t="inlineStr">
        <is>
          <t>Total Power- DG</t>
        </is>
      </c>
      <c r="D61" s="108" t="n"/>
      <c r="E61" s="23">
        <f>SUM(E45,E47,E49,E51,E53,E55,E57,E59)</f>
        <v/>
      </c>
      <c r="F61" s="23">
        <f>SUM(F45,F47,F49,F51,F53,F55,F57,F59)</f>
        <v/>
      </c>
      <c r="G61" s="23">
        <f>SUM(G45,G47,G49,G51,G53,G55,G57,G59)</f>
        <v/>
      </c>
      <c r="H61" s="23">
        <f>SUM(H45,H47,H49,H51,H53,H55,H57,H59)</f>
        <v/>
      </c>
      <c r="I61" s="23">
        <f>SUM(I45,I47,I49,I51,I53,I55,I57,I59)</f>
        <v/>
      </c>
      <c r="J61" s="23">
        <f>SUM(J45,J47,J49,J51,J53,J55,J57,J59)</f>
        <v/>
      </c>
      <c r="K61" s="23">
        <f>SUM(K45,K47,K49,K51,K53,K55,K57,K59)</f>
        <v/>
      </c>
      <c r="L61" s="23">
        <f>SUM(L45,L47,L49,L51,L53,L55,L57,L59)</f>
        <v/>
      </c>
      <c r="M61" s="23">
        <f>SUM(M45,M47,M49,M51,M53,M55,M57,M59)</f>
        <v/>
      </c>
      <c r="N61" s="23">
        <f>SUM(N45,N47,N49,N51,N53,N55,N57,N59)</f>
        <v/>
      </c>
      <c r="O61" s="23">
        <f>SUM(O45,O47,O49,O51,O53,O55,O57,O59)</f>
        <v/>
      </c>
      <c r="P61" s="23">
        <f>SUM(P45,P47,P49,P51,P53,P55,P57,P59)</f>
        <v/>
      </c>
      <c r="Q61" s="23">
        <f>SUM(Q45,Q47,Q49,Q51,Q53,Q55,Q57,Q59)</f>
        <v/>
      </c>
      <c r="R61" s="23">
        <f>SUM(R45,R47,R49,R51,R53,R55,R57,R59)</f>
        <v/>
      </c>
      <c r="S61" s="23">
        <f>SUM(S45,S47,S49,S51,S53,S55,S57,S59)</f>
        <v/>
      </c>
      <c r="T61" s="23">
        <f>SUM(T45,T47,T49,T51,T53,T55,T57,T59)</f>
        <v/>
      </c>
      <c r="U61" s="23">
        <f>SUM(U45,U47,U49,U51,U53,U55,U57,U59)</f>
        <v/>
      </c>
      <c r="V61" s="23">
        <f>SUM(V45,V47,V49,V51,V53,V55,V57,V59)</f>
        <v/>
      </c>
      <c r="W61" s="23">
        <f>SUM(W45,W47,W49,W51,W53,W55,W57,W59)</f>
        <v/>
      </c>
      <c r="X61" s="23">
        <f>SUM(X45,X47,X49,X51,X53,X55,X57,X59)</f>
        <v/>
      </c>
      <c r="Y61" s="23">
        <f>SUM(Y45,Y47,Y49,Y51,Y53,Y55,Y57,Y59)</f>
        <v/>
      </c>
      <c r="Z61" s="23">
        <f>SUM(Z45,Z47,Z49,Z51,Z53,Z55,Z57,Z59)</f>
        <v/>
      </c>
      <c r="AA61" s="23">
        <f>SUM(AA45,AA47,AA49,AA51,AA53,AA55,AA57,AA59)</f>
        <v/>
      </c>
      <c r="AB61" s="23">
        <f>SUM(AB45,AB47,AB49,AB51,AB53,AB55,AB57,AB59)</f>
        <v/>
      </c>
      <c r="AC61" s="23">
        <f>SUM(AC45,AC47,AC49,AC51,AC53,AC55,AC57,AC59)</f>
        <v/>
      </c>
      <c r="AD61" s="23">
        <f>SUM(AD45,AD47,AD49,AD51,AD53,AD55,AD57,AD59)</f>
        <v/>
      </c>
      <c r="AE61" s="23">
        <f>SUM(AE45,AE47,AE49,AE51,AE53,AE55,AE57,AE59)</f>
        <v/>
      </c>
      <c r="AF61" s="23">
        <f>SUM(AF45,AF47,AF49,AF51,AF53,AF55,AF57,AF59)</f>
        <v/>
      </c>
      <c r="AG61" s="23">
        <f>SUM(AG45,AG47,AG49,AG51,AG53,AG55,AG57,AG59)</f>
        <v/>
      </c>
      <c r="AH61" s="23">
        <f>SUM(AH45,AH47,AH49,AH51,AH53,AH55,AH57,AH59)</f>
        <v/>
      </c>
      <c r="AI61" s="23">
        <f>SUM(AI45,AI47,AI49,AI51,AI53,AI55,AI57,AI59)</f>
        <v/>
      </c>
      <c r="AJ61" s="24">
        <f>SUM(E61:AI61)</f>
        <v/>
      </c>
    </row>
    <row r="62">
      <c r="A62" s="539" t="n"/>
      <c r="B62" s="539" t="n"/>
      <c r="C62" s="532" t="inlineStr">
        <is>
          <t>Total Power Cumulative</t>
        </is>
      </c>
      <c r="D62" s="501" t="n"/>
      <c r="E62" s="102">
        <f>E60</f>
        <v/>
      </c>
      <c r="F62" s="102">
        <f>F60</f>
        <v/>
      </c>
      <c r="G62" s="102">
        <f>G60</f>
        <v/>
      </c>
      <c r="H62" s="102">
        <f>H60</f>
        <v/>
      </c>
      <c r="I62" s="102">
        <f>I60</f>
        <v/>
      </c>
      <c r="J62" s="102">
        <f>J60</f>
        <v/>
      </c>
      <c r="K62" s="102">
        <f>K60</f>
        <v/>
      </c>
      <c r="L62" s="102">
        <f>L60</f>
        <v/>
      </c>
      <c r="M62" s="102">
        <f>M60</f>
        <v/>
      </c>
      <c r="N62" s="102">
        <f>N60</f>
        <v/>
      </c>
      <c r="O62" s="102">
        <f>O60</f>
        <v/>
      </c>
      <c r="P62" s="102">
        <f>P60</f>
        <v/>
      </c>
      <c r="Q62" s="102">
        <f>Q60</f>
        <v/>
      </c>
      <c r="R62" s="102">
        <f>R60</f>
        <v/>
      </c>
      <c r="S62" s="102">
        <f>S60</f>
        <v/>
      </c>
      <c r="T62" s="102">
        <f>T60</f>
        <v/>
      </c>
      <c r="U62" s="102">
        <f>U60</f>
        <v/>
      </c>
      <c r="V62" s="102">
        <f>V60</f>
        <v/>
      </c>
      <c r="W62" s="102">
        <f>W60</f>
        <v/>
      </c>
      <c r="X62" s="102">
        <f>X60</f>
        <v/>
      </c>
      <c r="Y62" s="102">
        <f>Y60</f>
        <v/>
      </c>
      <c r="Z62" s="102">
        <f>Z60</f>
        <v/>
      </c>
      <c r="AA62" s="102">
        <f>AA60</f>
        <v/>
      </c>
      <c r="AB62" s="102">
        <f>AB60</f>
        <v/>
      </c>
      <c r="AC62" s="102">
        <f>AC60</f>
        <v/>
      </c>
      <c r="AD62" s="102">
        <f>AD60</f>
        <v/>
      </c>
      <c r="AE62" s="102">
        <f>AE60</f>
        <v/>
      </c>
      <c r="AF62" s="102">
        <f>AF60</f>
        <v/>
      </c>
      <c r="AG62" s="102">
        <f>AG60</f>
        <v/>
      </c>
      <c r="AH62" s="102">
        <f>AH60</f>
        <v/>
      </c>
      <c r="AI62" s="102">
        <f>AI60</f>
        <v/>
      </c>
      <c r="AJ62" s="102">
        <f>AJ60</f>
        <v/>
      </c>
    </row>
    <row r="63">
      <c r="A63" s="94" t="n"/>
      <c r="B63" s="534" t="n"/>
      <c r="C63" s="146" t="n"/>
      <c r="D63" s="109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4" t="n"/>
      <c r="AJ63" s="94" t="n"/>
    </row>
    <row r="64">
      <c r="A64" s="28" t="inlineStr">
        <is>
          <t>S No</t>
        </is>
      </c>
      <c r="B64" s="28" t="inlineStr">
        <is>
          <t>Location</t>
        </is>
      </c>
      <c r="C64" s="513" t="inlineStr">
        <is>
          <t>Meter</t>
        </is>
      </c>
      <c r="D64" s="50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103" t="n"/>
    </row>
    <row r="65" ht="15" customHeight="1" s="488">
      <c r="A65" s="500" t="n">
        <v>1</v>
      </c>
      <c r="B65" s="500" t="inlineStr">
        <is>
          <t>3F</t>
        </is>
      </c>
      <c r="C65" s="503" t="inlineStr">
        <is>
          <t>AHU1</t>
        </is>
      </c>
      <c r="D65" s="501" t="n"/>
      <c r="E65" s="102">
        <f>E23-D23</f>
        <v/>
      </c>
      <c r="F65" s="102">
        <f>F23-E23</f>
        <v/>
      </c>
      <c r="G65" s="102">
        <f>G23-F23</f>
        <v/>
      </c>
      <c r="H65" s="102">
        <f>H23-G23</f>
        <v/>
      </c>
      <c r="I65" s="102">
        <f>I23-H23</f>
        <v/>
      </c>
      <c r="J65" s="102">
        <f>J23-I23</f>
        <v/>
      </c>
      <c r="K65" s="102">
        <f>K23-J23</f>
        <v/>
      </c>
      <c r="L65" s="102">
        <f>L23-K23</f>
        <v/>
      </c>
      <c r="M65" s="102">
        <f>M23-L23</f>
        <v/>
      </c>
      <c r="N65" s="102">
        <f>N23-M23</f>
        <v/>
      </c>
      <c r="O65" s="102">
        <f>O23-N23</f>
        <v/>
      </c>
      <c r="P65" s="102">
        <f>P23-O23</f>
        <v/>
      </c>
      <c r="Q65" s="102">
        <f>Q23-P23</f>
        <v/>
      </c>
      <c r="R65" s="102">
        <f>R23-Q23</f>
        <v/>
      </c>
      <c r="S65" s="102">
        <f>S23-R23</f>
        <v/>
      </c>
      <c r="T65" s="102">
        <f>T23-S23</f>
        <v/>
      </c>
      <c r="U65" s="102">
        <f>U23-T23</f>
        <v/>
      </c>
      <c r="V65" s="102">
        <f>V23-U23</f>
        <v/>
      </c>
      <c r="W65" s="102">
        <f>W23-V23</f>
        <v/>
      </c>
      <c r="X65" s="102">
        <f>X23-W23</f>
        <v/>
      </c>
      <c r="Y65" s="102">
        <f>Y23-X23</f>
        <v/>
      </c>
      <c r="Z65" s="102">
        <f>Z23-Y23</f>
        <v/>
      </c>
      <c r="AA65" s="102">
        <f>AA23-Z23</f>
        <v/>
      </c>
      <c r="AB65" s="102">
        <f>AB23-AA23</f>
        <v/>
      </c>
      <c r="AC65" s="102">
        <f>AC23-AB23</f>
        <v/>
      </c>
      <c r="AD65" s="102">
        <f>AD23-AC23</f>
        <v/>
      </c>
      <c r="AE65" s="102">
        <f>AE23-AD23</f>
        <v/>
      </c>
      <c r="AF65" s="102">
        <f>AF23-AE23</f>
        <v/>
      </c>
      <c r="AG65" s="102">
        <f>AG23-AF23</f>
        <v/>
      </c>
      <c r="AH65" s="102">
        <f>AH23-AG23</f>
        <v/>
      </c>
      <c r="AI65" s="102">
        <f>AI23-AH23</f>
        <v/>
      </c>
      <c r="AJ65" s="21">
        <f>SUM(E65:AI65)</f>
        <v/>
      </c>
    </row>
    <row r="66" ht="15" customHeight="1" s="488">
      <c r="A66" s="500" t="n"/>
      <c r="B66" s="500" t="n"/>
      <c r="C66" s="531" t="inlineStr">
        <is>
          <t>DG</t>
        </is>
      </c>
      <c r="D66" s="501" t="n"/>
      <c r="E66" s="102">
        <f>E24-D24</f>
        <v/>
      </c>
      <c r="F66" s="102">
        <f>F24-E24</f>
        <v/>
      </c>
      <c r="G66" s="102">
        <f>G24-F24</f>
        <v/>
      </c>
      <c r="H66" s="102">
        <f>H24-G24</f>
        <v/>
      </c>
      <c r="I66" s="102">
        <f>I24-H24</f>
        <v/>
      </c>
      <c r="J66" s="102">
        <f>J24-I24</f>
        <v/>
      </c>
      <c r="K66" s="102">
        <f>K24-J24</f>
        <v/>
      </c>
      <c r="L66" s="102">
        <f>L24-K24</f>
        <v/>
      </c>
      <c r="M66" s="102">
        <f>M24-L24</f>
        <v/>
      </c>
      <c r="N66" s="102">
        <f>N24-M24</f>
        <v/>
      </c>
      <c r="O66" s="102">
        <f>O24-N24</f>
        <v/>
      </c>
      <c r="P66" s="102">
        <f>P24-O24</f>
        <v/>
      </c>
      <c r="Q66" s="102">
        <f>Q24-P24</f>
        <v/>
      </c>
      <c r="R66" s="102">
        <f>R24-Q24</f>
        <v/>
      </c>
      <c r="S66" s="102">
        <f>S24-R24</f>
        <v/>
      </c>
      <c r="T66" s="102">
        <f>T24-S24</f>
        <v/>
      </c>
      <c r="U66" s="102">
        <f>U24-T24</f>
        <v/>
      </c>
      <c r="V66" s="102">
        <f>V24-U24</f>
        <v/>
      </c>
      <c r="W66" s="102">
        <f>W24-V24</f>
        <v/>
      </c>
      <c r="X66" s="102">
        <f>X24-W24</f>
        <v/>
      </c>
      <c r="Y66" s="102">
        <f>Y24-X24</f>
        <v/>
      </c>
      <c r="Z66" s="102">
        <f>Z24-Y24</f>
        <v/>
      </c>
      <c r="AA66" s="102">
        <f>AA24-Z24</f>
        <v/>
      </c>
      <c r="AB66" s="102">
        <f>AB24-AA24</f>
        <v/>
      </c>
      <c r="AC66" s="102">
        <f>AC24-AB24</f>
        <v/>
      </c>
      <c r="AD66" s="102">
        <f>AD24-AC24</f>
        <v/>
      </c>
      <c r="AE66" s="102">
        <f>AE24-AD24</f>
        <v/>
      </c>
      <c r="AF66" s="102">
        <f>AF24-AE24</f>
        <v/>
      </c>
      <c r="AG66" s="102">
        <f>AG24-AF24</f>
        <v/>
      </c>
      <c r="AH66" s="102">
        <f>AH24-AG24</f>
        <v/>
      </c>
      <c r="AI66" s="102">
        <f>AI24-AH24</f>
        <v/>
      </c>
      <c r="AJ66" s="21">
        <f>SUM(E66:AI66)</f>
        <v/>
      </c>
    </row>
    <row r="67" ht="15" customHeight="1" s="488">
      <c r="A67" s="500" t="n">
        <v>2</v>
      </c>
      <c r="B67" s="500" t="inlineStr">
        <is>
          <t>3F</t>
        </is>
      </c>
      <c r="C67" s="503" t="inlineStr">
        <is>
          <t>AHU2</t>
        </is>
      </c>
      <c r="D67" s="501" t="n"/>
      <c r="E67" s="102">
        <f>E25-D25</f>
        <v/>
      </c>
      <c r="F67" s="102">
        <f>F25-E25</f>
        <v/>
      </c>
      <c r="G67" s="102">
        <f>G25-F25</f>
        <v/>
      </c>
      <c r="H67" s="102">
        <f>H25-G25</f>
        <v/>
      </c>
      <c r="I67" s="102">
        <f>I25-H25</f>
        <v/>
      </c>
      <c r="J67" s="102">
        <f>J25-I25</f>
        <v/>
      </c>
      <c r="K67" s="102">
        <f>K25-J25</f>
        <v/>
      </c>
      <c r="L67" s="102">
        <f>L25-K25</f>
        <v/>
      </c>
      <c r="M67" s="102">
        <f>M25-L25</f>
        <v/>
      </c>
      <c r="N67" s="102">
        <f>N25-M25</f>
        <v/>
      </c>
      <c r="O67" s="102">
        <f>O25-N25</f>
        <v/>
      </c>
      <c r="P67" s="102">
        <f>P25-O25</f>
        <v/>
      </c>
      <c r="Q67" s="102">
        <f>Q25-P25</f>
        <v/>
      </c>
      <c r="R67" s="102">
        <f>R25-Q25</f>
        <v/>
      </c>
      <c r="S67" s="102">
        <f>S25-R25</f>
        <v/>
      </c>
      <c r="T67" s="102">
        <f>T25-S25</f>
        <v/>
      </c>
      <c r="U67" s="102">
        <f>U25-T25</f>
        <v/>
      </c>
      <c r="V67" s="102">
        <f>V25-U25</f>
        <v/>
      </c>
      <c r="W67" s="102">
        <f>W25-V25</f>
        <v/>
      </c>
      <c r="X67" s="102">
        <f>X25-W25</f>
        <v/>
      </c>
      <c r="Y67" s="102">
        <f>Y25-X25</f>
        <v/>
      </c>
      <c r="Z67" s="102">
        <f>Z25-Y25</f>
        <v/>
      </c>
      <c r="AA67" s="102">
        <f>AA25-Z25</f>
        <v/>
      </c>
      <c r="AB67" s="102">
        <f>AB25-AA25</f>
        <v/>
      </c>
      <c r="AC67" s="102">
        <f>AC25-AB25</f>
        <v/>
      </c>
      <c r="AD67" s="102">
        <f>AD25-AC25</f>
        <v/>
      </c>
      <c r="AE67" s="102">
        <f>AE25-AD25</f>
        <v/>
      </c>
      <c r="AF67" s="102">
        <f>AF25-AE25</f>
        <v/>
      </c>
      <c r="AG67" s="102">
        <f>AG25-AF25</f>
        <v/>
      </c>
      <c r="AH67" s="102">
        <f>AH25-AG25</f>
        <v/>
      </c>
      <c r="AI67" s="102">
        <f>AI25-AH25</f>
        <v/>
      </c>
      <c r="AJ67" s="21">
        <f>SUM(E67:AI67)</f>
        <v/>
      </c>
    </row>
    <row r="68" ht="15" customHeight="1" s="488">
      <c r="A68" s="500" t="n"/>
      <c r="B68" s="500" t="n"/>
      <c r="C68" s="531" t="inlineStr">
        <is>
          <t>DG</t>
        </is>
      </c>
      <c r="D68" s="501" t="n"/>
      <c r="E68" s="102">
        <f>E26-D26</f>
        <v/>
      </c>
      <c r="F68" s="102">
        <f>F26-E26</f>
        <v/>
      </c>
      <c r="G68" s="102">
        <f>G26-F26</f>
        <v/>
      </c>
      <c r="H68" s="102">
        <f>H26-G26</f>
        <v/>
      </c>
      <c r="I68" s="102">
        <f>I26-H26</f>
        <v/>
      </c>
      <c r="J68" s="102">
        <f>J26-I26</f>
        <v/>
      </c>
      <c r="K68" s="102">
        <f>K26-J26</f>
        <v/>
      </c>
      <c r="L68" s="102">
        <f>L26-K26</f>
        <v/>
      </c>
      <c r="M68" s="102">
        <f>M26-L26</f>
        <v/>
      </c>
      <c r="N68" s="102">
        <f>N26-M26</f>
        <v/>
      </c>
      <c r="O68" s="102">
        <f>O26-N26</f>
        <v/>
      </c>
      <c r="P68" s="102">
        <f>P26-O26</f>
        <v/>
      </c>
      <c r="Q68" s="102">
        <f>Q26-P26</f>
        <v/>
      </c>
      <c r="R68" s="102">
        <f>R26-Q26</f>
        <v/>
      </c>
      <c r="S68" s="102">
        <f>S26-R26</f>
        <v/>
      </c>
      <c r="T68" s="102">
        <f>T26-S26</f>
        <v/>
      </c>
      <c r="U68" s="102">
        <f>U26-T26</f>
        <v/>
      </c>
      <c r="V68" s="102">
        <f>V26-U26</f>
        <v/>
      </c>
      <c r="W68" s="102">
        <f>W26-V26</f>
        <v/>
      </c>
      <c r="X68" s="102">
        <f>X26-W26</f>
        <v/>
      </c>
      <c r="Y68" s="102">
        <f>Y26-X26</f>
        <v/>
      </c>
      <c r="Z68" s="102">
        <f>Z26-Y26</f>
        <v/>
      </c>
      <c r="AA68" s="102">
        <f>AA26-Z26</f>
        <v/>
      </c>
      <c r="AB68" s="102">
        <f>AB26-AA26</f>
        <v/>
      </c>
      <c r="AC68" s="102">
        <f>AC26-AB26</f>
        <v/>
      </c>
      <c r="AD68" s="102">
        <f>AD26-AC26</f>
        <v/>
      </c>
      <c r="AE68" s="102">
        <f>AE26-AD26</f>
        <v/>
      </c>
      <c r="AF68" s="102">
        <f>AF26-AE26</f>
        <v/>
      </c>
      <c r="AG68" s="102">
        <f>AG26-AF26</f>
        <v/>
      </c>
      <c r="AH68" s="102">
        <f>AH26-AG26</f>
        <v/>
      </c>
      <c r="AI68" s="102">
        <f>AI26-AH26</f>
        <v/>
      </c>
      <c r="AJ68" s="21">
        <f>SUM(E68:AI68)</f>
        <v/>
      </c>
      <c r="AK68" s="115" t="inlineStr">
        <is>
          <t>EB</t>
        </is>
      </c>
      <c r="AL68" s="116">
        <f>AJ60</f>
        <v/>
      </c>
    </row>
    <row r="69" ht="15" customHeight="1" s="488">
      <c r="A69" s="500" t="n">
        <v>3</v>
      </c>
      <c r="B69" s="500" t="inlineStr">
        <is>
          <t>3F</t>
        </is>
      </c>
      <c r="C69" s="503" t="inlineStr">
        <is>
          <t>AHU3</t>
        </is>
      </c>
      <c r="D69" s="501" t="n"/>
      <c r="E69" s="102">
        <f>E27-D27</f>
        <v/>
      </c>
      <c r="F69" s="102">
        <f>F27-E27</f>
        <v/>
      </c>
      <c r="G69" s="102">
        <f>G27-F27</f>
        <v/>
      </c>
      <c r="H69" s="102">
        <f>H27-G27</f>
        <v/>
      </c>
      <c r="I69" s="102">
        <f>I27-H27</f>
        <v/>
      </c>
      <c r="J69" s="102">
        <f>J27-I27</f>
        <v/>
      </c>
      <c r="K69" s="102">
        <f>K27-J27</f>
        <v/>
      </c>
      <c r="L69" s="102">
        <f>L27-K27</f>
        <v/>
      </c>
      <c r="M69" s="102">
        <f>M27-L27</f>
        <v/>
      </c>
      <c r="N69" s="102">
        <f>N27-M27</f>
        <v/>
      </c>
      <c r="O69" s="102">
        <f>O27-N27</f>
        <v/>
      </c>
      <c r="P69" s="102">
        <f>P27-O27</f>
        <v/>
      </c>
      <c r="Q69" s="102">
        <f>Q27-P27</f>
        <v/>
      </c>
      <c r="R69" s="102">
        <f>R27-Q27</f>
        <v/>
      </c>
      <c r="S69" s="102">
        <f>S27-R27</f>
        <v/>
      </c>
      <c r="T69" s="102">
        <f>T27-S27</f>
        <v/>
      </c>
      <c r="U69" s="102">
        <f>U27-T27</f>
        <v/>
      </c>
      <c r="V69" s="102">
        <f>V27-U27</f>
        <v/>
      </c>
      <c r="W69" s="102">
        <f>W27-V27</f>
        <v/>
      </c>
      <c r="X69" s="102">
        <f>X27-W27</f>
        <v/>
      </c>
      <c r="Y69" s="102">
        <f>Y27-X27</f>
        <v/>
      </c>
      <c r="Z69" s="102">
        <f>Z27-Y27</f>
        <v/>
      </c>
      <c r="AA69" s="102">
        <f>AA27-Z27</f>
        <v/>
      </c>
      <c r="AB69" s="102">
        <f>AB27-AA27</f>
        <v/>
      </c>
      <c r="AC69" s="102">
        <f>AC27-AB27</f>
        <v/>
      </c>
      <c r="AD69" s="102">
        <f>AD27-AC27</f>
        <v/>
      </c>
      <c r="AE69" s="102">
        <f>AE27-AD27</f>
        <v/>
      </c>
      <c r="AF69" s="102">
        <f>AF27-AE27</f>
        <v/>
      </c>
      <c r="AG69" s="102">
        <f>AG27-AF27</f>
        <v/>
      </c>
      <c r="AH69" s="102">
        <f>AH27-AG27</f>
        <v/>
      </c>
      <c r="AI69" s="102">
        <f>AI27-AH27</f>
        <v/>
      </c>
      <c r="AJ69" s="21">
        <f>SUM(E69:AI69)</f>
        <v/>
      </c>
      <c r="AK69" s="115" t="inlineStr">
        <is>
          <t>AHU</t>
        </is>
      </c>
      <c r="AL69" s="116">
        <f>AJ73</f>
        <v/>
      </c>
    </row>
    <row r="70" ht="15" customHeight="1" s="488">
      <c r="A70" s="500" t="n"/>
      <c r="B70" s="500" t="n"/>
      <c r="C70" s="531" t="inlineStr">
        <is>
          <t>DG</t>
        </is>
      </c>
      <c r="D70" s="501" t="n"/>
      <c r="E70" s="102">
        <f>E28-D28</f>
        <v/>
      </c>
      <c r="F70" s="102">
        <f>F28-E28</f>
        <v/>
      </c>
      <c r="G70" s="102">
        <f>G28-F28</f>
        <v/>
      </c>
      <c r="H70" s="102">
        <f>H28-G28</f>
        <v/>
      </c>
      <c r="I70" s="102">
        <f>I28-H28</f>
        <v/>
      </c>
      <c r="J70" s="102">
        <f>J28-I28</f>
        <v/>
      </c>
      <c r="K70" s="102">
        <f>K28-J28</f>
        <v/>
      </c>
      <c r="L70" s="102">
        <f>L28-K28</f>
        <v/>
      </c>
      <c r="M70" s="102">
        <f>M28-L28</f>
        <v/>
      </c>
      <c r="N70" s="102">
        <f>N28-M28</f>
        <v/>
      </c>
      <c r="O70" s="102">
        <f>O28-N28</f>
        <v/>
      </c>
      <c r="P70" s="102">
        <f>P28-O28</f>
        <v/>
      </c>
      <c r="Q70" s="102">
        <f>Q28-P28</f>
        <v/>
      </c>
      <c r="R70" s="102">
        <f>R28-Q28</f>
        <v/>
      </c>
      <c r="S70" s="102">
        <f>S28-R28</f>
        <v/>
      </c>
      <c r="T70" s="102">
        <f>T28-S28</f>
        <v/>
      </c>
      <c r="U70" s="102">
        <f>U28-T28</f>
        <v/>
      </c>
      <c r="V70" s="102">
        <f>V28-U28</f>
        <v/>
      </c>
      <c r="W70" s="102">
        <f>W28-V28</f>
        <v/>
      </c>
      <c r="X70" s="102">
        <f>X28-W28</f>
        <v/>
      </c>
      <c r="Y70" s="102">
        <f>Y28-X28</f>
        <v/>
      </c>
      <c r="Z70" s="102">
        <f>Z28-Y28</f>
        <v/>
      </c>
      <c r="AA70" s="102">
        <f>AA28-Z28</f>
        <v/>
      </c>
      <c r="AB70" s="102">
        <f>AB28-AA28</f>
        <v/>
      </c>
      <c r="AC70" s="102">
        <f>AC28-AB28</f>
        <v/>
      </c>
      <c r="AD70" s="102">
        <f>AD28-AC28</f>
        <v/>
      </c>
      <c r="AE70" s="102">
        <f>AE28-AD28</f>
        <v/>
      </c>
      <c r="AF70" s="102">
        <f>AF28-AE28</f>
        <v/>
      </c>
      <c r="AG70" s="102">
        <f>AG28-AF28</f>
        <v/>
      </c>
      <c r="AH70" s="102">
        <f>AH28-AG28</f>
        <v/>
      </c>
      <c r="AI70" s="102">
        <f>AI28-AH28</f>
        <v/>
      </c>
      <c r="AJ70" s="21">
        <f>SUM(E70:AI70)</f>
        <v/>
      </c>
      <c r="AK70" s="115" t="inlineStr">
        <is>
          <t>BTU</t>
        </is>
      </c>
      <c r="AL70" s="116">
        <f>AJ79*40%</f>
        <v/>
      </c>
    </row>
    <row r="71" ht="15" customHeight="1" s="488">
      <c r="A71" s="500" t="n">
        <v>4</v>
      </c>
      <c r="B71" s="500" t="inlineStr">
        <is>
          <t>3F</t>
        </is>
      </c>
      <c r="C71" s="503" t="inlineStr">
        <is>
          <t>AHU4</t>
        </is>
      </c>
      <c r="D71" s="501" t="n"/>
      <c r="E71" s="102">
        <f>E29-D29</f>
        <v/>
      </c>
      <c r="F71" s="102">
        <f>F29-E29</f>
        <v/>
      </c>
      <c r="G71" s="102">
        <f>G29-F29</f>
        <v/>
      </c>
      <c r="H71" s="102">
        <f>H29-G29</f>
        <v/>
      </c>
      <c r="I71" s="102">
        <f>I29-H29</f>
        <v/>
      </c>
      <c r="J71" s="102">
        <f>J29-I29</f>
        <v/>
      </c>
      <c r="K71" s="102">
        <f>K29-J29</f>
        <v/>
      </c>
      <c r="L71" s="102">
        <f>L29-K29</f>
        <v/>
      </c>
      <c r="M71" s="102">
        <f>M29-L29</f>
        <v/>
      </c>
      <c r="N71" s="102">
        <f>N29-M29</f>
        <v/>
      </c>
      <c r="O71" s="102">
        <f>O29-N29</f>
        <v/>
      </c>
      <c r="P71" s="102">
        <f>P29-O29</f>
        <v/>
      </c>
      <c r="Q71" s="102">
        <f>Q29-P29</f>
        <v/>
      </c>
      <c r="R71" s="102">
        <f>R29-Q29</f>
        <v/>
      </c>
      <c r="S71" s="102">
        <f>S29-R29</f>
        <v/>
      </c>
      <c r="T71" s="102">
        <f>T29-S29</f>
        <v/>
      </c>
      <c r="U71" s="102">
        <f>U29-T29</f>
        <v/>
      </c>
      <c r="V71" s="102">
        <f>V29-U29</f>
        <v/>
      </c>
      <c r="W71" s="102">
        <f>W29-V29</f>
        <v/>
      </c>
      <c r="X71" s="102">
        <f>X29-W29</f>
        <v/>
      </c>
      <c r="Y71" s="102">
        <f>Y29-X29</f>
        <v/>
      </c>
      <c r="Z71" s="102">
        <f>Z29-Y29</f>
        <v/>
      </c>
      <c r="AA71" s="102">
        <f>AA29-Z29</f>
        <v/>
      </c>
      <c r="AB71" s="102">
        <f>AB29-AA29</f>
        <v/>
      </c>
      <c r="AC71" s="102">
        <f>AC29-AB29</f>
        <v/>
      </c>
      <c r="AD71" s="102">
        <f>AD29-AC29</f>
        <v/>
      </c>
      <c r="AE71" s="102">
        <f>AE29-AD29</f>
        <v/>
      </c>
      <c r="AF71" s="102">
        <f>AF29-AE29</f>
        <v/>
      </c>
      <c r="AG71" s="102">
        <f>AG29-AF29</f>
        <v/>
      </c>
      <c r="AH71" s="102">
        <f>AH29-AG29</f>
        <v/>
      </c>
      <c r="AI71" s="102">
        <f>AI29-AH29</f>
        <v/>
      </c>
      <c r="AJ71" s="21">
        <f>SUM(E71:AI71)</f>
        <v/>
      </c>
      <c r="AK71" s="117" t="inlineStr">
        <is>
          <t>DG</t>
        </is>
      </c>
      <c r="AL71" s="118">
        <f>AJ74+AJ61</f>
        <v/>
      </c>
    </row>
    <row r="72" ht="15" customHeight="1" s="488">
      <c r="A72" s="500" t="n"/>
      <c r="B72" s="500" t="n"/>
      <c r="C72" s="531" t="inlineStr">
        <is>
          <t>DG</t>
        </is>
      </c>
      <c r="D72" s="501" t="n"/>
      <c r="E72" s="102">
        <f>E30-D30</f>
        <v/>
      </c>
      <c r="F72" s="102">
        <f>F30-E30</f>
        <v/>
      </c>
      <c r="G72" s="102">
        <f>G30-F30</f>
        <v/>
      </c>
      <c r="H72" s="102">
        <f>H30-G30</f>
        <v/>
      </c>
      <c r="I72" s="102">
        <f>I30-H30</f>
        <v/>
      </c>
      <c r="J72" s="102">
        <f>J30-I30</f>
        <v/>
      </c>
      <c r="K72" s="102">
        <f>K30-J30</f>
        <v/>
      </c>
      <c r="L72" s="102">
        <f>L30-K30</f>
        <v/>
      </c>
      <c r="M72" s="102">
        <f>M30-L30</f>
        <v/>
      </c>
      <c r="N72" s="102">
        <f>N30-M30</f>
        <v/>
      </c>
      <c r="O72" s="102">
        <f>O30-N30</f>
        <v/>
      </c>
      <c r="P72" s="102">
        <f>P30-O30</f>
        <v/>
      </c>
      <c r="Q72" s="102">
        <f>Q30-P30</f>
        <v/>
      </c>
      <c r="R72" s="102">
        <f>R30-Q30</f>
        <v/>
      </c>
      <c r="S72" s="102">
        <f>S30-R30</f>
        <v/>
      </c>
      <c r="T72" s="102">
        <f>T30-S30</f>
        <v/>
      </c>
      <c r="U72" s="102">
        <f>U30-T30</f>
        <v/>
      </c>
      <c r="V72" s="102">
        <f>V30-U30</f>
        <v/>
      </c>
      <c r="W72" s="102">
        <f>W30-V30</f>
        <v/>
      </c>
      <c r="X72" s="102">
        <f>X30-W30</f>
        <v/>
      </c>
      <c r="Y72" s="102">
        <f>Y30-X30</f>
        <v/>
      </c>
      <c r="Z72" s="102">
        <f>Z30-Y30</f>
        <v/>
      </c>
      <c r="AA72" s="102">
        <f>AA30-Z30</f>
        <v/>
      </c>
      <c r="AB72" s="102">
        <f>AB30-AA30</f>
        <v/>
      </c>
      <c r="AC72" s="102">
        <f>AC30-AB30</f>
        <v/>
      </c>
      <c r="AD72" s="102">
        <f>AD30-AC30</f>
        <v/>
      </c>
      <c r="AE72" s="102">
        <f>AE30-AD30</f>
        <v/>
      </c>
      <c r="AF72" s="102">
        <f>AF30-AE30</f>
        <v/>
      </c>
      <c r="AG72" s="102">
        <f>AG30-AF30</f>
        <v/>
      </c>
      <c r="AH72" s="102">
        <f>AH30-AG30</f>
        <v/>
      </c>
      <c r="AI72" s="102">
        <f>AI30-AH30</f>
        <v/>
      </c>
      <c r="AJ72" s="21">
        <f>SUM(E72:AI72)</f>
        <v/>
      </c>
    </row>
    <row r="73" ht="15" customHeight="1" s="488">
      <c r="A73" s="99" t="n"/>
      <c r="B73" s="99" t="n"/>
      <c r="C73" s="511" t="inlineStr">
        <is>
          <t>Total AHU Power Consumption</t>
        </is>
      </c>
      <c r="D73" s="501" t="n"/>
      <c r="E73" s="23">
        <f>SUM(E65,E67,E69,E71)</f>
        <v/>
      </c>
      <c r="F73" s="23">
        <f>SUM(F65,F67,F69,F71)</f>
        <v/>
      </c>
      <c r="G73" s="23">
        <f>SUM(G65,G67,G69,G71)</f>
        <v/>
      </c>
      <c r="H73" s="23">
        <f>SUM(H65,H67,H69,H71)</f>
        <v/>
      </c>
      <c r="I73" s="23">
        <f>SUM(I65,I67,I69,I71)</f>
        <v/>
      </c>
      <c r="J73" s="23">
        <f>SUM(J65,J67,J69,J71)</f>
        <v/>
      </c>
      <c r="K73" s="23">
        <f>SUM(K65,K67,K69,K71)</f>
        <v/>
      </c>
      <c r="L73" s="23">
        <f>SUM(L65,L67,L69,L71)</f>
        <v/>
      </c>
      <c r="M73" s="23">
        <f>SUM(M65,M67,M69,M71)</f>
        <v/>
      </c>
      <c r="N73" s="23">
        <f>SUM(N65,N67,N69,N71)</f>
        <v/>
      </c>
      <c r="O73" s="23">
        <f>SUM(O65,O67,O69,O71)</f>
        <v/>
      </c>
      <c r="P73" s="23">
        <f>SUM(P65,P67,P69,P71)</f>
        <v/>
      </c>
      <c r="Q73" s="23">
        <f>SUM(Q65,Q67,Q69,Q71)</f>
        <v/>
      </c>
      <c r="R73" s="23">
        <f>SUM(R65,R67,R69,R71)</f>
        <v/>
      </c>
      <c r="S73" s="23">
        <f>SUM(S65,S67,S69,S71)</f>
        <v/>
      </c>
      <c r="T73" s="23">
        <f>SUM(T65,T67,T69,T71)</f>
        <v/>
      </c>
      <c r="U73" s="23">
        <f>SUM(U65,U67,U69,U71)</f>
        <v/>
      </c>
      <c r="V73" s="23">
        <f>SUM(V65,V67,V69,V71)</f>
        <v/>
      </c>
      <c r="W73" s="23">
        <f>SUM(W65,W67,W69,W71)</f>
        <v/>
      </c>
      <c r="X73" s="23">
        <f>SUM(X65,X67,X69,X71)</f>
        <v/>
      </c>
      <c r="Y73" s="23">
        <f>SUM(Y65,Y67,Y69,Y71)</f>
        <v/>
      </c>
      <c r="Z73" s="23">
        <f>SUM(Z65,Z67,Z69,Z71)</f>
        <v/>
      </c>
      <c r="AA73" s="23">
        <f>SUM(AA65,AA67,AA69,AA71)</f>
        <v/>
      </c>
      <c r="AB73" s="23">
        <f>SUM(AB65,AB67,AB69,AB71)</f>
        <v/>
      </c>
      <c r="AC73" s="23">
        <f>SUM(AC65,AC67,AC69,AC71)</f>
        <v/>
      </c>
      <c r="AD73" s="23">
        <f>SUM(AD65,AD67,AD69,AD71)</f>
        <v/>
      </c>
      <c r="AE73" s="23">
        <f>SUM(AE65,AE67,AE69,AE71)</f>
        <v/>
      </c>
      <c r="AF73" s="23">
        <f>SUM(AF65,AF67,AF69,AF71)</f>
        <v/>
      </c>
      <c r="AG73" s="23">
        <f>SUM(AG65,AG67,AG69,AG71)</f>
        <v/>
      </c>
      <c r="AH73" s="23">
        <f>SUM(AH65,AH67,AH69,AH71)</f>
        <v/>
      </c>
      <c r="AI73" s="23">
        <f>SUM(AI65,AI67,AI69,AI71)</f>
        <v/>
      </c>
      <c r="AJ73" s="24">
        <f>SUM(E73:AI73)</f>
        <v/>
      </c>
    </row>
    <row r="74" ht="15" customHeight="1" s="488">
      <c r="A74" s="99" t="n"/>
      <c r="B74" s="99" t="n"/>
      <c r="C74" s="502" t="inlineStr">
        <is>
          <t>Total AHU DG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</row>
    <row r="75" ht="15" customHeight="1" s="488">
      <c r="A75" s="500" t="n">
        <v>1</v>
      </c>
      <c r="B75" s="500" t="inlineStr">
        <is>
          <t>3F</t>
        </is>
      </c>
      <c r="C75" s="500" t="inlineStr">
        <is>
          <t>AHU1 - BTU</t>
        </is>
      </c>
      <c r="D75" s="501" t="n"/>
      <c r="E75" s="102">
        <f>E32-D32</f>
        <v/>
      </c>
      <c r="F75" s="102">
        <f>F32-E32</f>
        <v/>
      </c>
      <c r="G75" s="102">
        <f>G32-F32</f>
        <v/>
      </c>
      <c r="H75" s="102">
        <f>H32-G32</f>
        <v/>
      </c>
      <c r="I75" s="102">
        <f>I32-H32</f>
        <v/>
      </c>
      <c r="J75" s="102">
        <f>J32-I32</f>
        <v/>
      </c>
      <c r="K75" s="102">
        <f>K32-J32</f>
        <v/>
      </c>
      <c r="L75" s="102">
        <f>L32-K32</f>
        <v/>
      </c>
      <c r="M75" s="102">
        <f>M32-L32</f>
        <v/>
      </c>
      <c r="N75" s="102">
        <f>N32-M32</f>
        <v/>
      </c>
      <c r="O75" s="102">
        <f>O32-N32</f>
        <v/>
      </c>
      <c r="P75" s="102">
        <f>P32-O32</f>
        <v/>
      </c>
      <c r="Q75" s="102">
        <f>Q32-P32</f>
        <v/>
      </c>
      <c r="R75" s="102">
        <f>R32-Q32</f>
        <v/>
      </c>
      <c r="S75" s="102">
        <f>S32-R32</f>
        <v/>
      </c>
      <c r="T75" s="102">
        <f>T32-S32</f>
        <v/>
      </c>
      <c r="U75" s="102">
        <f>U32-T32</f>
        <v/>
      </c>
      <c r="V75" s="102">
        <f>V32-U32</f>
        <v/>
      </c>
      <c r="W75" s="102">
        <f>W32-V32</f>
        <v/>
      </c>
      <c r="X75" s="102">
        <f>X32-W32</f>
        <v/>
      </c>
      <c r="Y75" s="102">
        <f>Y32-X32</f>
        <v/>
      </c>
      <c r="Z75" s="102">
        <f>Z32-Y32</f>
        <v/>
      </c>
      <c r="AA75" s="102">
        <f>AA32-Z32</f>
        <v/>
      </c>
      <c r="AB75" s="102">
        <f>AB32-AA32</f>
        <v/>
      </c>
      <c r="AC75" s="102">
        <f>AC32-AB32</f>
        <v/>
      </c>
      <c r="AD75" s="102">
        <f>AD32-AC32</f>
        <v/>
      </c>
      <c r="AE75" s="102">
        <f>AE32-AD32</f>
        <v/>
      </c>
      <c r="AF75" s="102">
        <f>AF32-AE32</f>
        <v/>
      </c>
      <c r="AG75" s="102">
        <f>AG32-AF32</f>
        <v/>
      </c>
      <c r="AH75" s="102">
        <f>AH32-AG32</f>
        <v/>
      </c>
      <c r="AI75" s="102">
        <f>AI32-AH32</f>
        <v/>
      </c>
      <c r="AJ75" s="21">
        <f>SUM(E75:AI75)</f>
        <v/>
      </c>
    </row>
    <row r="76" ht="15" customHeight="1" s="488">
      <c r="A76" s="500" t="n">
        <v>2</v>
      </c>
      <c r="B76" s="500" t="inlineStr">
        <is>
          <t>3F</t>
        </is>
      </c>
      <c r="C76" s="500" t="inlineStr">
        <is>
          <t>AHU2 - BTU</t>
        </is>
      </c>
      <c r="D76" s="501" t="n"/>
      <c r="E76" s="102">
        <f>E33-D33</f>
        <v/>
      </c>
      <c r="F76" s="102">
        <f>F33-E33</f>
        <v/>
      </c>
      <c r="G76" s="102">
        <f>G33-F33</f>
        <v/>
      </c>
      <c r="H76" s="102">
        <f>H33-G33</f>
        <v/>
      </c>
      <c r="I76" s="102">
        <f>I33-H33</f>
        <v/>
      </c>
      <c r="J76" s="102">
        <f>J33-I33</f>
        <v/>
      </c>
      <c r="K76" s="102">
        <f>K33-J33</f>
        <v/>
      </c>
      <c r="L76" s="102">
        <f>L33-K33</f>
        <v/>
      </c>
      <c r="M76" s="102">
        <f>M33-L33</f>
        <v/>
      </c>
      <c r="N76" s="102">
        <f>N33-M33</f>
        <v/>
      </c>
      <c r="O76" s="102">
        <f>O33-N33</f>
        <v/>
      </c>
      <c r="P76" s="102">
        <f>P33-O33</f>
        <v/>
      </c>
      <c r="Q76" s="102">
        <f>Q33-P33</f>
        <v/>
      </c>
      <c r="R76" s="102">
        <f>R33-Q33</f>
        <v/>
      </c>
      <c r="S76" s="102">
        <f>S33-R33</f>
        <v/>
      </c>
      <c r="T76" s="102">
        <f>T33-S33</f>
        <v/>
      </c>
      <c r="U76" s="102">
        <f>U33-T33</f>
        <v/>
      </c>
      <c r="V76" s="102">
        <f>V33-U33</f>
        <v/>
      </c>
      <c r="W76" s="102">
        <f>W33-V33</f>
        <v/>
      </c>
      <c r="X76" s="102">
        <f>X33-W33</f>
        <v/>
      </c>
      <c r="Y76" s="102">
        <f>Y33-X33</f>
        <v/>
      </c>
      <c r="Z76" s="102">
        <f>Z33-Y33</f>
        <v/>
      </c>
      <c r="AA76" s="102">
        <f>AA33-Z33</f>
        <v/>
      </c>
      <c r="AB76" s="102">
        <f>AB33-AA33</f>
        <v/>
      </c>
      <c r="AC76" s="102">
        <f>AC33-AB33</f>
        <v/>
      </c>
      <c r="AD76" s="102">
        <f>AD33-AC33</f>
        <v/>
      </c>
      <c r="AE76" s="102">
        <f>AE33-AD33</f>
        <v/>
      </c>
      <c r="AF76" s="102">
        <f>AF33-AE33</f>
        <v/>
      </c>
      <c r="AG76" s="102">
        <f>AG33-AF33</f>
        <v/>
      </c>
      <c r="AH76" s="102">
        <f>AH33-AG33</f>
        <v/>
      </c>
      <c r="AI76" s="102">
        <f>AI33-AH33</f>
        <v/>
      </c>
      <c r="AJ76" s="21">
        <f>SUM(E76:AI76)</f>
        <v/>
      </c>
    </row>
    <row r="77" ht="15" customHeight="1" s="488">
      <c r="A77" s="500" t="n">
        <v>3</v>
      </c>
      <c r="B77" s="500" t="inlineStr">
        <is>
          <t>3F</t>
        </is>
      </c>
      <c r="C77" s="500" t="inlineStr">
        <is>
          <t>AHU3 - BTU</t>
        </is>
      </c>
      <c r="D77" s="501" t="n"/>
      <c r="E77" s="102">
        <f>E34-D34</f>
        <v/>
      </c>
      <c r="F77" s="102">
        <f>F34-E34</f>
        <v/>
      </c>
      <c r="G77" s="102">
        <f>G34-F34</f>
        <v/>
      </c>
      <c r="H77" s="102">
        <f>H34-G34</f>
        <v/>
      </c>
      <c r="I77" s="102">
        <f>I34-H34</f>
        <v/>
      </c>
      <c r="J77" s="102">
        <f>J34-I34</f>
        <v/>
      </c>
      <c r="K77" s="102">
        <f>K34-J34</f>
        <v/>
      </c>
      <c r="L77" s="102">
        <f>L34-K34</f>
        <v/>
      </c>
      <c r="M77" s="102">
        <f>M34-L34</f>
        <v/>
      </c>
      <c r="N77" s="102">
        <f>N34-M34</f>
        <v/>
      </c>
      <c r="O77" s="102">
        <f>O34-N34</f>
        <v/>
      </c>
      <c r="P77" s="102">
        <f>P34-O34</f>
        <v/>
      </c>
      <c r="Q77" s="102">
        <f>Q34-P34</f>
        <v/>
      </c>
      <c r="R77" s="102">
        <f>R34-Q34</f>
        <v/>
      </c>
      <c r="S77" s="102">
        <f>S34-R34</f>
        <v/>
      </c>
      <c r="T77" s="102">
        <f>T34-S34</f>
        <v/>
      </c>
      <c r="U77" s="102">
        <f>U34-T34</f>
        <v/>
      </c>
      <c r="V77" s="102">
        <f>V34-U34</f>
        <v/>
      </c>
      <c r="W77" s="102">
        <f>W34-V34</f>
        <v/>
      </c>
      <c r="X77" s="102">
        <f>X34-W34</f>
        <v/>
      </c>
      <c r="Y77" s="102">
        <f>Y34-X34</f>
        <v/>
      </c>
      <c r="Z77" s="102">
        <f>Z34-Y34</f>
        <v/>
      </c>
      <c r="AA77" s="102">
        <f>AA34-Z34</f>
        <v/>
      </c>
      <c r="AB77" s="102">
        <f>AB34-AA34</f>
        <v/>
      </c>
      <c r="AC77" s="102">
        <f>AC34-AB34</f>
        <v/>
      </c>
      <c r="AD77" s="102">
        <f>AD34-AC34</f>
        <v/>
      </c>
      <c r="AE77" s="102">
        <f>AE34-AD34</f>
        <v/>
      </c>
      <c r="AF77" s="102">
        <f>AF34-AE34</f>
        <v/>
      </c>
      <c r="AG77" s="102">
        <f>AG34-AF34</f>
        <v/>
      </c>
      <c r="AH77" s="102">
        <f>AH34-AG34</f>
        <v/>
      </c>
      <c r="AI77" s="102">
        <f>AI34-AH34</f>
        <v/>
      </c>
      <c r="AJ77" s="21">
        <f>SUM(E77:AI77)</f>
        <v/>
      </c>
    </row>
    <row r="78" ht="15" customHeight="1" s="488">
      <c r="A78" s="500" t="n">
        <v>4</v>
      </c>
      <c r="B78" s="500" t="inlineStr">
        <is>
          <t>3F</t>
        </is>
      </c>
      <c r="C78" s="500" t="inlineStr">
        <is>
          <t>AHU4 - BTU</t>
        </is>
      </c>
      <c r="D78" s="501" t="n"/>
      <c r="E78" s="102">
        <f>E35-D35</f>
        <v/>
      </c>
      <c r="F78" s="102">
        <f>F35-E35</f>
        <v/>
      </c>
      <c r="G78" s="102">
        <f>G35-F35</f>
        <v/>
      </c>
      <c r="H78" s="102">
        <f>H35-G35</f>
        <v/>
      </c>
      <c r="I78" s="102">
        <f>I35-H35</f>
        <v/>
      </c>
      <c r="J78" s="102">
        <f>J35-I35</f>
        <v/>
      </c>
      <c r="K78" s="102">
        <f>K35-J35</f>
        <v/>
      </c>
      <c r="L78" s="102">
        <f>L35-K35</f>
        <v/>
      </c>
      <c r="M78" s="102">
        <f>M35-L35</f>
        <v/>
      </c>
      <c r="N78" s="102">
        <f>N35-M35</f>
        <v/>
      </c>
      <c r="O78" s="102">
        <f>O35-N35</f>
        <v/>
      </c>
      <c r="P78" s="102">
        <f>P35-O35</f>
        <v/>
      </c>
      <c r="Q78" s="102">
        <f>Q35-P35</f>
        <v/>
      </c>
      <c r="R78" s="102">
        <f>R35-Q35</f>
        <v/>
      </c>
      <c r="S78" s="102">
        <f>S35-R35</f>
        <v/>
      </c>
      <c r="T78" s="102">
        <f>T35-S35</f>
        <v/>
      </c>
      <c r="U78" s="102">
        <f>U35-T35</f>
        <v/>
      </c>
      <c r="V78" s="102">
        <f>V35-U35</f>
        <v/>
      </c>
      <c r="W78" s="102">
        <f>W35-V35</f>
        <v/>
      </c>
      <c r="X78" s="102">
        <f>X35-W35</f>
        <v/>
      </c>
      <c r="Y78" s="102">
        <f>Y35-X35</f>
        <v/>
      </c>
      <c r="Z78" s="102">
        <f>Z35-Y35</f>
        <v/>
      </c>
      <c r="AA78" s="102">
        <f>AA35-Z35</f>
        <v/>
      </c>
      <c r="AB78" s="102">
        <f>AB35-AA35</f>
        <v/>
      </c>
      <c r="AC78" s="102">
        <f>AC35-AB35</f>
        <v/>
      </c>
      <c r="AD78" s="102">
        <f>AD35-AC35</f>
        <v/>
      </c>
      <c r="AE78" s="102">
        <f>AE35-AD35</f>
        <v/>
      </c>
      <c r="AF78" s="102">
        <f>AF35-AE35</f>
        <v/>
      </c>
      <c r="AG78" s="102">
        <f>AG35-AF35</f>
        <v/>
      </c>
      <c r="AH78" s="102">
        <f>AH35-AG35</f>
        <v/>
      </c>
      <c r="AI78" s="102">
        <f>AI35-AH35</f>
        <v/>
      </c>
      <c r="AJ78" s="21">
        <f>SUM(E78:AI78)</f>
        <v/>
      </c>
    </row>
    <row r="79" ht="15" customHeight="1" s="488">
      <c r="A79" s="99" t="n"/>
      <c r="B79" s="99" t="n"/>
      <c r="C79" s="511" t="inlineStr">
        <is>
          <t>Total BTU Consumption</t>
        </is>
      </c>
      <c r="D79" s="501" t="n"/>
      <c r="E79" s="23">
        <f>SUM(E75:E78)</f>
        <v/>
      </c>
      <c r="F79" s="23">
        <f>SUM(F75:F78)</f>
        <v/>
      </c>
      <c r="G79" s="23">
        <f>SUM(G75:G78)</f>
        <v/>
      </c>
      <c r="H79" s="23">
        <f>SUM(H75:H78)</f>
        <v/>
      </c>
      <c r="I79" s="23">
        <f>SUM(I75:I78)</f>
        <v/>
      </c>
      <c r="J79" s="23">
        <f>SUM(J75:J78)</f>
        <v/>
      </c>
      <c r="K79" s="23">
        <f>SUM(K75:K78)</f>
        <v/>
      </c>
      <c r="L79" s="23">
        <f>SUM(L75:L78)</f>
        <v/>
      </c>
      <c r="M79" s="23">
        <f>SUM(M75:M78)</f>
        <v/>
      </c>
      <c r="N79" s="23">
        <f>SUM(N75:N78)</f>
        <v/>
      </c>
      <c r="O79" s="23">
        <f>SUM(O75:O78)</f>
        <v/>
      </c>
      <c r="P79" s="23">
        <f>SUM(P75:P78)</f>
        <v/>
      </c>
      <c r="Q79" s="23">
        <f>SUM(Q75:Q78)</f>
        <v/>
      </c>
      <c r="R79" s="23">
        <f>SUM(R75:R78)</f>
        <v/>
      </c>
      <c r="S79" s="23">
        <f>SUM(S75:S78)</f>
        <v/>
      </c>
      <c r="T79" s="23">
        <f>SUM(T75:T78)</f>
        <v/>
      </c>
      <c r="U79" s="23">
        <f>SUM(U75:U78)</f>
        <v/>
      </c>
      <c r="V79" s="23">
        <f>SUM(V75:V78)</f>
        <v/>
      </c>
      <c r="W79" s="23">
        <f>SUM(W75:W78)</f>
        <v/>
      </c>
      <c r="X79" s="23">
        <f>SUM(X75:X78)</f>
        <v/>
      </c>
      <c r="Y79" s="23">
        <f>SUM(Y75:Y78)</f>
        <v/>
      </c>
      <c r="Z79" s="23">
        <f>SUM(Z75:Z78)</f>
        <v/>
      </c>
      <c r="AA79" s="23">
        <f>SUM(AA75:AA78)</f>
        <v/>
      </c>
      <c r="AB79" s="23">
        <f>SUM(AB75:AB78)</f>
        <v/>
      </c>
      <c r="AC79" s="23">
        <f>SUM(AC75:AC78)</f>
        <v/>
      </c>
      <c r="AD79" s="23">
        <f>SUM(AD75:AD78)</f>
        <v/>
      </c>
      <c r="AE79" s="23">
        <f>SUM(AE75:AE78)</f>
        <v/>
      </c>
      <c r="AF79" s="23">
        <f>SUM(AF75:AF78)</f>
        <v/>
      </c>
      <c r="AG79" s="23">
        <f>SUM(AG75:AG78)</f>
        <v/>
      </c>
      <c r="AH79" s="23">
        <f>SUM(AH75:AH78)</f>
        <v/>
      </c>
      <c r="AI79" s="23">
        <f>SUM(AI75:AI78)</f>
        <v/>
      </c>
      <c r="AJ79" s="217">
        <f>SUM(AJ75:AJ78)</f>
        <v/>
      </c>
    </row>
    <row r="87">
      <c r="AG87" s="64" t="n"/>
    </row>
  </sheetData>
  <mergeCells count="49">
    <mergeCell ref="C77:D77"/>
    <mergeCell ref="AJ40:AJ43"/>
    <mergeCell ref="C62:D62"/>
    <mergeCell ref="C68:D68"/>
    <mergeCell ref="C58:D58"/>
    <mergeCell ref="C40:D43"/>
    <mergeCell ref="C45:D45"/>
    <mergeCell ref="AJ2:AJ5"/>
    <mergeCell ref="E1:AH1"/>
    <mergeCell ref="C74:D74"/>
    <mergeCell ref="C64:D64"/>
    <mergeCell ref="B2:B5"/>
    <mergeCell ref="C79:D79"/>
    <mergeCell ref="B38:D38"/>
    <mergeCell ref="D2:D5"/>
    <mergeCell ref="C73:D73"/>
    <mergeCell ref="C47:D47"/>
    <mergeCell ref="C54:D54"/>
    <mergeCell ref="C65:D65"/>
    <mergeCell ref="C55:D55"/>
    <mergeCell ref="C50:D50"/>
    <mergeCell ref="C75:D75"/>
    <mergeCell ref="C44:D44"/>
    <mergeCell ref="C56:D56"/>
    <mergeCell ref="C59:D59"/>
    <mergeCell ref="A1:D1"/>
    <mergeCell ref="C49:D49"/>
    <mergeCell ref="C46:D46"/>
    <mergeCell ref="B40:B43"/>
    <mergeCell ref="A22:AJ22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31:AJ31"/>
    <mergeCell ref="C72:D72"/>
    <mergeCell ref="C67:D67"/>
    <mergeCell ref="C57:D57"/>
    <mergeCell ref="C66:D66"/>
    <mergeCell ref="C53:D53"/>
    <mergeCell ref="B39:D39"/>
    <mergeCell ref="C78:D78"/>
    <mergeCell ref="C69:D69"/>
    <mergeCell ref="A40:A4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87"/>
  <sheetViews>
    <sheetView topLeftCell="AB51" zoomScale="80" zoomScaleNormal="80" workbookViewId="0">
      <selection activeCell="AJ68" sqref="AJ68:AK71"/>
    </sheetView>
  </sheetViews>
  <sheetFormatPr baseColWidth="8" defaultRowHeight="14.5"/>
  <cols>
    <col width="14" customWidth="1" style="488" min="1" max="1"/>
    <col width="27" customWidth="1" style="488" min="2" max="2"/>
    <col width="32" bestFit="1" customWidth="1" style="488" min="3" max="3"/>
    <col width="20" customWidth="1" style="488" min="4" max="4"/>
    <col width="23" customWidth="1" style="488" min="5" max="28"/>
    <col width="23" bestFit="1" customWidth="1" style="488" min="29" max="29"/>
    <col width="23" customWidth="1" style="488" min="30" max="30"/>
    <col width="23" bestFit="1" customWidth="1" style="488" min="31" max="31"/>
    <col width="23" customWidth="1" style="488" min="32" max="34"/>
    <col width="18" customWidth="1" style="488" min="35" max="35"/>
    <col width="14" customWidth="1" style="488" min="36" max="36"/>
    <col width="18" customWidth="1" style="488" min="37" max="37"/>
  </cols>
  <sheetData>
    <row r="1" ht="26" customHeight="1" s="488">
      <c r="A1" s="573" t="n"/>
      <c r="B1" s="505" t="n"/>
      <c r="C1" s="505" t="n"/>
      <c r="D1" s="506" t="n"/>
      <c r="E1" s="581" t="inlineStr">
        <is>
          <t>SEP- 2025</t>
        </is>
      </c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50" t="n"/>
    </row>
    <row r="2">
      <c r="A2" s="508" t="inlineStr">
        <is>
          <t>Sr.No</t>
        </is>
      </c>
      <c r="B2" s="508" t="inlineStr">
        <is>
          <t>Location</t>
        </is>
      </c>
      <c r="C2" s="580" t="inlineStr">
        <is>
          <t>Meter</t>
        </is>
      </c>
      <c r="D2" s="562" t="inlineStr">
        <is>
          <t>Previous Reading</t>
        </is>
      </c>
      <c r="E2" s="51" t="n">
        <v>45901</v>
      </c>
      <c r="F2" s="51" t="n">
        <v>45902</v>
      </c>
      <c r="G2" s="51" t="n">
        <v>45903</v>
      </c>
      <c r="H2" s="51" t="n">
        <v>45904</v>
      </c>
      <c r="I2" s="51" t="n">
        <v>45905</v>
      </c>
      <c r="J2" s="51" t="n">
        <v>45906</v>
      </c>
      <c r="K2" s="51" t="n">
        <v>45907</v>
      </c>
      <c r="L2" s="51" t="n">
        <v>45908</v>
      </c>
      <c r="M2" s="51" t="n">
        <v>45909</v>
      </c>
      <c r="N2" s="51" t="n">
        <v>45910</v>
      </c>
      <c r="O2" s="51" t="n">
        <v>45911</v>
      </c>
      <c r="P2" s="51" t="n">
        <v>45912</v>
      </c>
      <c r="Q2" s="51" t="n">
        <v>45913</v>
      </c>
      <c r="R2" s="51" t="n">
        <v>45914</v>
      </c>
      <c r="S2" s="51" t="n">
        <v>45915</v>
      </c>
      <c r="T2" s="51" t="n">
        <v>45916</v>
      </c>
      <c r="U2" s="51" t="n">
        <v>45917</v>
      </c>
      <c r="V2" s="51" t="n">
        <v>45918</v>
      </c>
      <c r="W2" s="51" t="n">
        <v>45919</v>
      </c>
      <c r="X2" s="51" t="n">
        <v>45920</v>
      </c>
      <c r="Y2" s="51" t="n">
        <v>45921</v>
      </c>
      <c r="Z2" s="51" t="n">
        <v>45922</v>
      </c>
      <c r="AA2" s="51" t="n">
        <v>45923</v>
      </c>
      <c r="AB2" s="51" t="n">
        <v>45924</v>
      </c>
      <c r="AC2" s="51" t="n">
        <v>45925</v>
      </c>
      <c r="AD2" s="51" t="n">
        <v>45926</v>
      </c>
      <c r="AE2" s="51" t="n">
        <v>45927</v>
      </c>
      <c r="AF2" s="51" t="n">
        <v>45928</v>
      </c>
      <c r="AG2" s="51" t="n">
        <v>45929</v>
      </c>
      <c r="AH2" s="51" t="n">
        <v>45930</v>
      </c>
      <c r="AI2" s="518" t="inlineStr">
        <is>
          <t>Consumption</t>
        </is>
      </c>
    </row>
    <row r="3">
      <c r="A3" s="509" t="n"/>
      <c r="B3" s="509" t="n"/>
      <c r="C3" s="509" t="n"/>
      <c r="D3" s="509" t="n"/>
      <c r="E3" s="96" t="inlineStr">
        <is>
          <t>Mon</t>
        </is>
      </c>
      <c r="F3" s="96" t="inlineStr">
        <is>
          <t>Tue</t>
        </is>
      </c>
      <c r="G3" s="96" t="inlineStr">
        <is>
          <t>Wed</t>
        </is>
      </c>
      <c r="H3" s="96" t="inlineStr">
        <is>
          <t>Thu</t>
        </is>
      </c>
      <c r="I3" s="96" t="inlineStr">
        <is>
          <t>Fri</t>
        </is>
      </c>
      <c r="J3" s="96" t="inlineStr">
        <is>
          <t>Sat</t>
        </is>
      </c>
      <c r="K3" s="96" t="inlineStr">
        <is>
          <t>Sun</t>
        </is>
      </c>
      <c r="L3" s="96" t="inlineStr">
        <is>
          <t>Mon</t>
        </is>
      </c>
      <c r="M3" s="96" t="inlineStr">
        <is>
          <t>Tue</t>
        </is>
      </c>
      <c r="N3" s="96" t="inlineStr">
        <is>
          <t>Wed</t>
        </is>
      </c>
      <c r="O3" s="96" t="inlineStr">
        <is>
          <t>Thu</t>
        </is>
      </c>
      <c r="P3" s="96" t="inlineStr">
        <is>
          <t>Fri</t>
        </is>
      </c>
      <c r="Q3" s="96" t="inlineStr">
        <is>
          <t>Sat</t>
        </is>
      </c>
      <c r="R3" s="96" t="inlineStr">
        <is>
          <t>Sun</t>
        </is>
      </c>
      <c r="S3" s="96" t="inlineStr">
        <is>
          <t>Mon</t>
        </is>
      </c>
      <c r="T3" s="96" t="inlineStr">
        <is>
          <t>Tue</t>
        </is>
      </c>
      <c r="U3" s="96" t="inlineStr">
        <is>
          <t>Wed</t>
        </is>
      </c>
      <c r="V3" s="96" t="inlineStr">
        <is>
          <t>Thu</t>
        </is>
      </c>
      <c r="W3" s="96" t="inlineStr">
        <is>
          <t>Fri</t>
        </is>
      </c>
      <c r="X3" s="96" t="inlineStr">
        <is>
          <t>Sat</t>
        </is>
      </c>
      <c r="Y3" s="96" t="inlineStr">
        <is>
          <t>Sun</t>
        </is>
      </c>
      <c r="Z3" s="96" t="inlineStr">
        <is>
          <t>Mon</t>
        </is>
      </c>
      <c r="AA3" s="96" t="inlineStr">
        <is>
          <t>Tue</t>
        </is>
      </c>
      <c r="AB3" s="96" t="inlineStr">
        <is>
          <t>Wed</t>
        </is>
      </c>
      <c r="AC3" s="96" t="inlineStr">
        <is>
          <t>Thu</t>
        </is>
      </c>
      <c r="AD3" s="96" t="inlineStr">
        <is>
          <t>Fri</t>
        </is>
      </c>
      <c r="AE3" s="96" t="inlineStr">
        <is>
          <t>Sat</t>
        </is>
      </c>
      <c r="AF3" s="96" t="inlineStr">
        <is>
          <t>Sun</t>
        </is>
      </c>
      <c r="AG3" s="96" t="inlineStr">
        <is>
          <t>Mon</t>
        </is>
      </c>
      <c r="AH3" s="96" t="inlineStr">
        <is>
          <t>Tue</t>
        </is>
      </c>
      <c r="AI3" s="509" t="n"/>
    </row>
    <row r="4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09" t="n"/>
    </row>
    <row r="5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199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10" t="n"/>
    </row>
    <row r="6">
      <c r="A6" s="48" t="n">
        <v>1</v>
      </c>
      <c r="B6" s="561" t="inlineStr">
        <is>
          <t>3F</t>
        </is>
      </c>
      <c r="C6" s="139" t="inlineStr">
        <is>
          <t>SL No 540430038840 (EB Unit)</t>
        </is>
      </c>
      <c r="D6" s="48" t="n">
        <v>137403</v>
      </c>
      <c r="E6" s="48" t="n">
        <v>137778</v>
      </c>
      <c r="F6" s="48" t="n">
        <v>137998</v>
      </c>
      <c r="G6" s="48" t="n">
        <v>138285</v>
      </c>
      <c r="H6" s="48" t="n">
        <v>138563</v>
      </c>
      <c r="I6" s="48" t="n">
        <v>138839</v>
      </c>
      <c r="J6" s="48" t="n">
        <v>139050</v>
      </c>
      <c r="K6" s="48" t="n">
        <v>139264</v>
      </c>
      <c r="L6" s="48" t="n">
        <v>139537</v>
      </c>
      <c r="M6" s="48" t="n">
        <v>139823</v>
      </c>
      <c r="N6" s="48" t="n">
        <v>140115</v>
      </c>
      <c r="O6" s="58" t="n">
        <v>140390</v>
      </c>
      <c r="P6" s="184" t="n">
        <v>140672</v>
      </c>
      <c r="Q6" s="48" t="n">
        <v>140882</v>
      </c>
      <c r="R6" s="59" t="n">
        <v>141098</v>
      </c>
      <c r="S6" s="561" t="n">
        <v>141289</v>
      </c>
      <c r="T6" s="561" t="n">
        <v>141563</v>
      </c>
      <c r="U6" s="561" t="n">
        <v>141838</v>
      </c>
      <c r="V6" s="125" t="n">
        <v>142093</v>
      </c>
      <c r="W6" s="561" t="n">
        <v>142385</v>
      </c>
      <c r="X6" s="561" t="n">
        <v>142594</v>
      </c>
      <c r="Y6" s="561" t="n">
        <v>142804</v>
      </c>
      <c r="Z6" s="561" t="n">
        <v>143073</v>
      </c>
      <c r="AA6" s="58" t="n">
        <v>143346</v>
      </c>
      <c r="AB6" s="58" t="n">
        <v>143628</v>
      </c>
      <c r="AC6" s="58" t="n">
        <v>143911</v>
      </c>
      <c r="AD6" s="561" t="n">
        <v>144177</v>
      </c>
      <c r="AE6" s="561" t="n">
        <v>144385</v>
      </c>
      <c r="AF6" s="561" t="n">
        <v>144583</v>
      </c>
      <c r="AG6" s="48" t="n">
        <v>144860</v>
      </c>
      <c r="AH6" s="169" t="n">
        <v>145003</v>
      </c>
      <c r="AI6" s="57">
        <f>AH6-D6</f>
        <v/>
      </c>
    </row>
    <row r="7">
      <c r="A7" s="8" t="n"/>
      <c r="B7" s="8" t="n"/>
      <c r="C7" s="140" t="inlineStr">
        <is>
          <t>DG</t>
        </is>
      </c>
      <c r="D7" s="8" t="n">
        <v>4175</v>
      </c>
      <c r="E7" s="8" t="n">
        <v>4175</v>
      </c>
      <c r="F7" s="8" t="n">
        <v>4175</v>
      </c>
      <c r="G7" s="8" t="n">
        <v>4175</v>
      </c>
      <c r="H7" s="8" t="n">
        <v>4175</v>
      </c>
      <c r="I7" s="8" t="n">
        <v>4175</v>
      </c>
      <c r="J7" s="8" t="n">
        <v>4175</v>
      </c>
      <c r="K7" s="8" t="n">
        <v>4175</v>
      </c>
      <c r="L7" s="8" t="n">
        <v>4175</v>
      </c>
      <c r="M7" s="8" t="n">
        <v>4175</v>
      </c>
      <c r="N7" s="8" t="n">
        <v>4175</v>
      </c>
      <c r="O7" s="8" t="n">
        <v>4175</v>
      </c>
      <c r="P7" s="8" t="n">
        <v>4175</v>
      </c>
      <c r="Q7" s="8" t="n">
        <v>4175</v>
      </c>
      <c r="R7" s="8" t="n">
        <v>4175</v>
      </c>
      <c r="S7" s="8" t="n">
        <v>4258</v>
      </c>
      <c r="T7" s="8" t="n">
        <v>4258</v>
      </c>
      <c r="U7" s="8" t="n">
        <v>4258</v>
      </c>
      <c r="V7" s="8" t="n">
        <v>4258</v>
      </c>
      <c r="W7" s="8" t="n">
        <v>4258</v>
      </c>
      <c r="X7" s="8" t="n">
        <v>4258</v>
      </c>
      <c r="Y7" s="8" t="n">
        <v>4258</v>
      </c>
      <c r="Z7" s="8" t="n">
        <v>4258</v>
      </c>
      <c r="AA7" s="8" t="n">
        <v>4258</v>
      </c>
      <c r="AB7" s="8" t="n">
        <v>4258</v>
      </c>
      <c r="AC7" s="8" t="n">
        <v>4258</v>
      </c>
      <c r="AD7" s="8" t="n">
        <v>4258</v>
      </c>
      <c r="AE7" s="8" t="n">
        <v>4268</v>
      </c>
      <c r="AF7" s="8" t="n">
        <v>4278</v>
      </c>
      <c r="AG7" s="8" t="n">
        <v>4278</v>
      </c>
      <c r="AH7" s="8" t="n">
        <v>4278</v>
      </c>
      <c r="AI7" s="57">
        <f>AH7-D7</f>
        <v/>
      </c>
    </row>
    <row r="8">
      <c r="A8" s="561" t="n">
        <v>2</v>
      </c>
      <c r="B8" s="561" t="inlineStr">
        <is>
          <t>3F</t>
        </is>
      </c>
      <c r="C8" s="141" t="inlineStr">
        <is>
          <t>SL No 540430038845 (EB Unit)</t>
        </is>
      </c>
      <c r="D8" s="561" t="n">
        <v>1956</v>
      </c>
      <c r="E8" s="561" t="n">
        <v>1956</v>
      </c>
      <c r="F8" s="561" t="n">
        <v>1956</v>
      </c>
      <c r="G8" s="561" t="n">
        <v>1956</v>
      </c>
      <c r="H8" s="561" t="n">
        <v>1956</v>
      </c>
      <c r="I8" s="561" t="n">
        <v>1956</v>
      </c>
      <c r="J8" s="561" t="n">
        <v>1956</v>
      </c>
      <c r="K8" s="561" t="n">
        <v>1956</v>
      </c>
      <c r="L8" s="561" t="n">
        <v>1956</v>
      </c>
      <c r="M8" s="561" t="n">
        <v>1956</v>
      </c>
      <c r="N8" s="561" t="n">
        <v>1956</v>
      </c>
      <c r="O8" s="561" t="n">
        <v>1956</v>
      </c>
      <c r="P8" s="561" t="n">
        <v>1956</v>
      </c>
      <c r="Q8" s="561" t="n">
        <v>1956</v>
      </c>
      <c r="R8" s="561" t="n">
        <v>1956</v>
      </c>
      <c r="S8" s="561" t="n">
        <v>1956</v>
      </c>
      <c r="T8" s="561" t="n">
        <v>1956</v>
      </c>
      <c r="U8" s="561" t="n">
        <v>1956</v>
      </c>
      <c r="V8" s="561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61" t="n">
        <v>1956</v>
      </c>
      <c r="AI8" s="57">
        <f>AH8-D8</f>
        <v/>
      </c>
    </row>
    <row r="9">
      <c r="A9" s="561" t="n"/>
      <c r="B9" s="561" t="n"/>
      <c r="C9" s="140" t="inlineStr">
        <is>
          <t>DG</t>
        </is>
      </c>
      <c r="D9" s="561" t="n">
        <v>28.6</v>
      </c>
      <c r="E9" s="561" t="n">
        <v>28.6</v>
      </c>
      <c r="F9" s="561" t="n">
        <v>28.6</v>
      </c>
      <c r="G9" s="561" t="n">
        <v>28.6</v>
      </c>
      <c r="H9" s="561" t="n">
        <v>28.6</v>
      </c>
      <c r="I9" s="561" t="n">
        <v>28.6</v>
      </c>
      <c r="J9" s="561" t="n">
        <v>28.6</v>
      </c>
      <c r="K9" s="561" t="n">
        <v>28.6</v>
      </c>
      <c r="L9" s="561" t="n">
        <v>28.6</v>
      </c>
      <c r="M9" s="561" t="n">
        <v>28.6</v>
      </c>
      <c r="N9" s="561" t="n">
        <v>28.6</v>
      </c>
      <c r="O9" s="561" t="n">
        <v>28.6</v>
      </c>
      <c r="P9" s="561" t="n">
        <v>28.6</v>
      </c>
      <c r="Q9" s="561" t="n">
        <v>28.6</v>
      </c>
      <c r="R9" s="561" t="n">
        <v>28.6</v>
      </c>
      <c r="S9" s="561" t="n">
        <v>28.6</v>
      </c>
      <c r="T9" s="561" t="n">
        <v>28.6</v>
      </c>
      <c r="U9" s="561" t="n">
        <v>28.6</v>
      </c>
      <c r="V9" s="561" t="n">
        <v>28.6</v>
      </c>
      <c r="W9" s="561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61" t="n">
        <v>28.6</v>
      </c>
      <c r="AI9" s="57">
        <f>AH9-D9</f>
        <v/>
      </c>
    </row>
    <row r="10">
      <c r="A10" s="561" t="n">
        <v>3</v>
      </c>
      <c r="B10" s="561" t="inlineStr">
        <is>
          <t>3F</t>
        </is>
      </c>
      <c r="C10" s="141" t="inlineStr">
        <is>
          <t>SL No 540430038844 (EB Unit)</t>
        </is>
      </c>
      <c r="D10" s="48" t="n">
        <v>200443</v>
      </c>
      <c r="E10" s="561" t="n">
        <v>200988</v>
      </c>
      <c r="F10" s="561" t="n">
        <v>201316</v>
      </c>
      <c r="G10" s="561" t="n">
        <v>201714</v>
      </c>
      <c r="H10" s="561" t="n">
        <v>202131</v>
      </c>
      <c r="I10" s="561" t="n">
        <v>202536</v>
      </c>
      <c r="J10" s="561" t="n">
        <v>202817</v>
      </c>
      <c r="K10" s="561" t="n">
        <v>203103</v>
      </c>
      <c r="L10" s="561" t="n">
        <v>203511</v>
      </c>
      <c r="M10" s="561" t="n">
        <v>203942</v>
      </c>
      <c r="N10" s="561" t="n">
        <v>204378</v>
      </c>
      <c r="O10" s="561" t="n">
        <v>204795</v>
      </c>
      <c r="P10" s="561" t="n">
        <v>205218</v>
      </c>
      <c r="Q10" s="561" t="n">
        <v>205500</v>
      </c>
      <c r="R10" s="561" t="n">
        <v>205787</v>
      </c>
      <c r="S10" s="561" t="n">
        <v>206065</v>
      </c>
      <c r="T10" s="561" t="n">
        <v>206473</v>
      </c>
      <c r="U10" s="561" t="n">
        <v>206888</v>
      </c>
      <c r="V10" s="561" t="n">
        <v>207301</v>
      </c>
      <c r="W10" s="561" t="n">
        <v>207695</v>
      </c>
      <c r="X10" s="561" t="n">
        <v>207981</v>
      </c>
      <c r="Y10" s="561" t="n">
        <v>208255</v>
      </c>
      <c r="Z10" s="561" t="n">
        <v>208659</v>
      </c>
      <c r="AA10" s="58" t="n">
        <v>209065</v>
      </c>
      <c r="AB10" s="58" t="n">
        <v>209482</v>
      </c>
      <c r="AC10" s="58" t="n">
        <v>209903</v>
      </c>
      <c r="AD10" s="561" t="n">
        <v>210296</v>
      </c>
      <c r="AE10" s="8" t="n">
        <v>210578</v>
      </c>
      <c r="AF10" s="8" t="n">
        <v>210844</v>
      </c>
      <c r="AG10" s="8" t="n">
        <v>211255</v>
      </c>
      <c r="AH10" s="128" t="n">
        <v>211463</v>
      </c>
      <c r="AI10" s="57">
        <f>AH10-D10</f>
        <v/>
      </c>
    </row>
    <row r="11">
      <c r="A11" s="561" t="n"/>
      <c r="B11" s="561" t="n"/>
      <c r="C11" s="140" t="inlineStr">
        <is>
          <t>DG</t>
        </is>
      </c>
      <c r="D11" s="561" t="n">
        <v>6242</v>
      </c>
      <c r="E11" s="561" t="n">
        <v>6242</v>
      </c>
      <c r="F11" s="561" t="n">
        <v>6242</v>
      </c>
      <c r="G11" s="561" t="n">
        <v>6242</v>
      </c>
      <c r="H11" s="561" t="n">
        <v>6242</v>
      </c>
      <c r="I11" s="561" t="n">
        <v>6242</v>
      </c>
      <c r="J11" s="561" t="n">
        <v>6242</v>
      </c>
      <c r="K11" s="561" t="n">
        <v>6242</v>
      </c>
      <c r="L11" s="561" t="n">
        <v>6242</v>
      </c>
      <c r="M11" s="561" t="n">
        <v>6242</v>
      </c>
      <c r="N11" s="561" t="n">
        <v>6242</v>
      </c>
      <c r="O11" s="561" t="n">
        <v>6242</v>
      </c>
      <c r="P11" s="561" t="n">
        <v>6242</v>
      </c>
      <c r="Q11" s="561" t="n">
        <v>6242</v>
      </c>
      <c r="R11" s="561" t="n">
        <v>6242</v>
      </c>
      <c r="S11" s="561" t="n">
        <v>6375</v>
      </c>
      <c r="T11" s="561" t="n">
        <v>6375</v>
      </c>
      <c r="U11" s="561" t="n">
        <v>6375</v>
      </c>
      <c r="V11" s="561" t="n">
        <v>6375</v>
      </c>
      <c r="W11" s="561" t="n">
        <v>6375</v>
      </c>
      <c r="X11" s="561" t="n">
        <v>6375</v>
      </c>
      <c r="Y11" s="561" t="n">
        <v>6375</v>
      </c>
      <c r="Z11" s="561" t="n">
        <v>6375</v>
      </c>
      <c r="AA11" s="561" t="n">
        <v>6375</v>
      </c>
      <c r="AB11" s="561" t="n">
        <v>6375</v>
      </c>
      <c r="AC11" s="561" t="n">
        <v>6375</v>
      </c>
      <c r="AD11" s="561" t="n">
        <v>6375</v>
      </c>
      <c r="AE11" s="561" t="n">
        <v>6389</v>
      </c>
      <c r="AF11" s="561" t="n">
        <v>6403</v>
      </c>
      <c r="AG11" s="561" t="n">
        <v>6403</v>
      </c>
      <c r="AH11" s="561" t="n">
        <v>6403</v>
      </c>
      <c r="AI11" s="57">
        <f>AH11-D11</f>
        <v/>
      </c>
    </row>
    <row r="12">
      <c r="A12" s="561" t="n">
        <v>4</v>
      </c>
      <c r="B12" s="561" t="inlineStr">
        <is>
          <t>3F</t>
        </is>
      </c>
      <c r="C12" s="141" t="inlineStr">
        <is>
          <t>SL No 540430038821 (EB Unit)</t>
        </is>
      </c>
      <c r="D12" s="561" t="n">
        <v>0</v>
      </c>
      <c r="E12" s="561" t="n">
        <v>0</v>
      </c>
      <c r="F12" s="561" t="n">
        <v>0</v>
      </c>
      <c r="G12" s="561" t="n">
        <v>0</v>
      </c>
      <c r="H12" s="561" t="n">
        <v>0</v>
      </c>
      <c r="I12" s="561" t="n">
        <v>0</v>
      </c>
      <c r="J12" s="561" t="n">
        <v>0</v>
      </c>
      <c r="K12" s="561" t="n">
        <v>0</v>
      </c>
      <c r="L12" s="561" t="n">
        <v>0</v>
      </c>
      <c r="M12" s="561" t="n">
        <v>0</v>
      </c>
      <c r="N12" s="561" t="n">
        <v>0</v>
      </c>
      <c r="O12" s="561" t="n">
        <v>0</v>
      </c>
      <c r="P12" s="561" t="n">
        <v>0</v>
      </c>
      <c r="Q12" s="561" t="n">
        <v>0</v>
      </c>
      <c r="R12" s="561" t="n">
        <v>0</v>
      </c>
      <c r="S12" s="561" t="n">
        <v>0</v>
      </c>
      <c r="T12" s="561" t="n">
        <v>0</v>
      </c>
      <c r="U12" s="561" t="n">
        <v>0</v>
      </c>
      <c r="V12" s="561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61" t="n">
        <v>0</v>
      </c>
      <c r="AI12" s="57">
        <f>AH12-D12</f>
        <v/>
      </c>
    </row>
    <row r="13">
      <c r="A13" s="561" t="n"/>
      <c r="B13" s="561" t="n"/>
      <c r="C13" s="140" t="inlineStr">
        <is>
          <t>DG</t>
        </is>
      </c>
      <c r="D13" s="561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7">
        <f>AH13-D13</f>
        <v/>
      </c>
    </row>
    <row r="14">
      <c r="A14" s="561" t="n">
        <v>5</v>
      </c>
      <c r="B14" s="561" t="inlineStr">
        <is>
          <t>3F</t>
        </is>
      </c>
      <c r="C14" s="141" t="inlineStr">
        <is>
          <t>SL No 540430038849 (EB Unit)</t>
        </is>
      </c>
      <c r="D14" s="48" t="n">
        <v>97925</v>
      </c>
      <c r="E14" s="561" t="n">
        <v>98247</v>
      </c>
      <c r="F14" s="561" t="n">
        <v>98452</v>
      </c>
      <c r="G14" s="561" t="n">
        <v>98667</v>
      </c>
      <c r="H14" s="561" t="n">
        <v>98930</v>
      </c>
      <c r="I14" s="561" t="n">
        <v>99184</v>
      </c>
      <c r="J14" s="561" t="n">
        <v>99344</v>
      </c>
      <c r="K14" s="561" t="n">
        <v>99492</v>
      </c>
      <c r="L14" s="561" t="n">
        <v>99747</v>
      </c>
      <c r="M14" s="561" t="n">
        <v>100012</v>
      </c>
      <c r="N14" s="561" t="n">
        <v>100279</v>
      </c>
      <c r="O14" s="561" t="n">
        <v>100540</v>
      </c>
      <c r="P14" s="561" t="n">
        <v>100800</v>
      </c>
      <c r="Q14" s="561" t="n">
        <v>100947</v>
      </c>
      <c r="R14" s="561" t="n">
        <v>101087</v>
      </c>
      <c r="S14" s="561" t="n">
        <v>101252</v>
      </c>
      <c r="T14" s="561" t="n">
        <v>101496</v>
      </c>
      <c r="U14" s="33" t="n">
        <v>101745</v>
      </c>
      <c r="V14" s="561" t="n">
        <v>102006</v>
      </c>
      <c r="W14" s="561" t="n">
        <v>102250</v>
      </c>
      <c r="X14" s="561" t="n">
        <v>102417</v>
      </c>
      <c r="Y14" s="561" t="n">
        <v>102560</v>
      </c>
      <c r="Z14" s="561" t="n">
        <v>102807</v>
      </c>
      <c r="AA14" s="58" t="n">
        <v>103052</v>
      </c>
      <c r="AB14" s="58" t="n">
        <v>103294</v>
      </c>
      <c r="AC14" s="58" t="n">
        <v>103547</v>
      </c>
      <c r="AD14" s="561" t="n">
        <v>103790</v>
      </c>
      <c r="AE14" s="33" t="n">
        <v>103949</v>
      </c>
      <c r="AF14" s="33" t="n">
        <v>104087</v>
      </c>
      <c r="AG14" s="33" t="n">
        <v>104335</v>
      </c>
      <c r="AH14" s="569" t="n">
        <v>104459</v>
      </c>
      <c r="AI14" s="57">
        <f>AH14-D14</f>
        <v/>
      </c>
    </row>
    <row r="15">
      <c r="A15" s="561" t="n"/>
      <c r="B15" s="561" t="n"/>
      <c r="C15" s="140" t="inlineStr">
        <is>
          <t>DG</t>
        </is>
      </c>
      <c r="D15" s="60" t="n">
        <v>3188</v>
      </c>
      <c r="E15" s="60" t="n">
        <v>3188</v>
      </c>
      <c r="F15" s="60" t="n">
        <v>3188</v>
      </c>
      <c r="G15" s="60" t="n">
        <v>3188</v>
      </c>
      <c r="H15" s="60" t="n">
        <v>3188</v>
      </c>
      <c r="I15" s="60" t="n">
        <v>3188</v>
      </c>
      <c r="J15" s="60" t="n">
        <v>3188</v>
      </c>
      <c r="K15" s="60" t="n">
        <v>3188</v>
      </c>
      <c r="L15" s="60" t="n">
        <v>3188</v>
      </c>
      <c r="M15" s="60" t="n">
        <v>3188</v>
      </c>
      <c r="N15" s="60" t="n">
        <v>3188</v>
      </c>
      <c r="O15" s="60" t="n">
        <v>3188</v>
      </c>
      <c r="P15" s="60" t="n">
        <v>3188</v>
      </c>
      <c r="Q15" s="60" t="n">
        <v>3188</v>
      </c>
      <c r="R15" s="60" t="n">
        <v>3188</v>
      </c>
      <c r="S15" s="60" t="n">
        <v>3260</v>
      </c>
      <c r="T15" s="60" t="n">
        <v>3260</v>
      </c>
      <c r="U15" s="60" t="n">
        <v>3260</v>
      </c>
      <c r="V15" s="60" t="n">
        <v>3260</v>
      </c>
      <c r="W15" s="60" t="n">
        <v>3260</v>
      </c>
      <c r="X15" s="60" t="n">
        <v>3260</v>
      </c>
      <c r="Y15" s="60" t="n">
        <v>3260</v>
      </c>
      <c r="Z15" s="60" t="n">
        <v>3260</v>
      </c>
      <c r="AA15" s="60" t="n">
        <v>3260</v>
      </c>
      <c r="AB15" s="60" t="n">
        <v>3260</v>
      </c>
      <c r="AC15" s="60" t="n">
        <v>3260</v>
      </c>
      <c r="AD15" s="60" t="n">
        <v>3260</v>
      </c>
      <c r="AE15" s="60" t="n">
        <v>3268</v>
      </c>
      <c r="AF15" s="60" t="n">
        <v>3276</v>
      </c>
      <c r="AG15" s="60" t="n">
        <v>3276</v>
      </c>
      <c r="AH15" s="60" t="n">
        <v>3276</v>
      </c>
      <c r="AI15" s="57">
        <f>AH15-D15</f>
        <v/>
      </c>
    </row>
    <row r="16">
      <c r="A16" s="561" t="n">
        <v>6</v>
      </c>
      <c r="B16" s="561" t="inlineStr">
        <is>
          <t>3F</t>
        </is>
      </c>
      <c r="C16" s="141" t="inlineStr">
        <is>
          <t>SL No 540430038646 (EB Unit)</t>
        </is>
      </c>
      <c r="D16" s="48" t="n">
        <v>116441</v>
      </c>
      <c r="E16" s="198" t="n">
        <v>116753</v>
      </c>
      <c r="F16" s="561" t="n">
        <v>116974</v>
      </c>
      <c r="G16" s="561" t="n">
        <v>117223</v>
      </c>
      <c r="H16" s="561" t="n">
        <v>117482</v>
      </c>
      <c r="I16" s="561" t="n">
        <v>117751</v>
      </c>
      <c r="J16" s="561" t="n">
        <v>117891</v>
      </c>
      <c r="K16" s="58" t="n">
        <v>118008</v>
      </c>
      <c r="L16" s="127" t="n">
        <v>118301</v>
      </c>
      <c r="M16" s="178" t="n">
        <v>118559</v>
      </c>
      <c r="N16" s="178" t="n">
        <v>118851</v>
      </c>
      <c r="O16" s="178" t="n">
        <v>119109</v>
      </c>
      <c r="P16" s="178" t="n">
        <v>119393</v>
      </c>
      <c r="Q16" s="179" t="n">
        <v>119499</v>
      </c>
      <c r="R16" s="178" t="n">
        <v>119617</v>
      </c>
      <c r="S16" s="59" t="n">
        <v>119795</v>
      </c>
      <c r="T16" s="561" t="n">
        <v>120070</v>
      </c>
      <c r="U16" s="561" t="n">
        <v>120327</v>
      </c>
      <c r="V16" s="561" t="n">
        <v>120599</v>
      </c>
      <c r="W16" s="561" t="n">
        <v>120841</v>
      </c>
      <c r="X16" s="561" t="n">
        <v>120969</v>
      </c>
      <c r="Y16" s="561" t="n">
        <v>121065</v>
      </c>
      <c r="Z16" s="561" t="n">
        <v>121334</v>
      </c>
      <c r="AA16" s="58" t="n">
        <v>121596</v>
      </c>
      <c r="AB16" s="58" t="n">
        <v>121855</v>
      </c>
      <c r="AC16" s="58" t="n">
        <v>122119</v>
      </c>
      <c r="AD16" s="58" t="n">
        <v>122379</v>
      </c>
      <c r="AE16" s="48" t="n">
        <v>122507</v>
      </c>
      <c r="AF16" s="48" t="n">
        <v>122647</v>
      </c>
      <c r="AG16" s="48" t="n">
        <v>122934</v>
      </c>
      <c r="AH16" s="48" t="n">
        <v>123060</v>
      </c>
      <c r="AI16" s="57">
        <f>AH16-D16</f>
        <v/>
      </c>
    </row>
    <row r="17">
      <c r="A17" s="561" t="n"/>
      <c r="B17" s="561" t="n"/>
      <c r="C17" s="140" t="inlineStr">
        <is>
          <t>DG</t>
        </is>
      </c>
      <c r="D17" s="129" t="n">
        <v>4155</v>
      </c>
      <c r="E17" s="129" t="n">
        <v>4155</v>
      </c>
      <c r="F17" s="129" t="n">
        <v>4155</v>
      </c>
      <c r="G17" s="129" t="n">
        <v>4155</v>
      </c>
      <c r="H17" s="129" t="n">
        <v>4155</v>
      </c>
      <c r="I17" s="129" t="n">
        <v>4155</v>
      </c>
      <c r="J17" s="129" t="n">
        <v>4155</v>
      </c>
      <c r="K17" s="129" t="n">
        <v>4155</v>
      </c>
      <c r="L17" s="129" t="n">
        <v>4155</v>
      </c>
      <c r="M17" s="129" t="n">
        <v>4155</v>
      </c>
      <c r="N17" s="129" t="n">
        <v>4155</v>
      </c>
      <c r="O17" s="129" t="n">
        <v>4155</v>
      </c>
      <c r="P17" s="129" t="n">
        <v>4155</v>
      </c>
      <c r="Q17" s="129" t="n">
        <v>4155</v>
      </c>
      <c r="R17" s="129" t="n">
        <v>4155</v>
      </c>
      <c r="S17" s="129" t="n">
        <v>4244</v>
      </c>
      <c r="T17" s="129" t="n">
        <v>4244</v>
      </c>
      <c r="U17" s="129" t="n">
        <v>4244</v>
      </c>
      <c r="V17" s="129" t="n">
        <v>4244</v>
      </c>
      <c r="W17" s="129" t="n">
        <v>4244</v>
      </c>
      <c r="X17" s="129" t="n">
        <v>4244</v>
      </c>
      <c r="Y17" s="129" t="n">
        <v>4244</v>
      </c>
      <c r="Z17" s="129" t="n">
        <v>4244</v>
      </c>
      <c r="AA17" s="129" t="n">
        <v>4244</v>
      </c>
      <c r="AB17" s="129" t="n">
        <v>4244</v>
      </c>
      <c r="AC17" s="129" t="n">
        <v>4244</v>
      </c>
      <c r="AD17" s="129" t="n">
        <v>4244</v>
      </c>
      <c r="AE17" s="129" t="n">
        <v>4250</v>
      </c>
      <c r="AF17" s="129" t="n">
        <v>4261</v>
      </c>
      <c r="AG17" s="129" t="n">
        <v>4261</v>
      </c>
      <c r="AH17" s="129" t="n">
        <v>4261</v>
      </c>
      <c r="AI17" s="57">
        <f>AH17-D17</f>
        <v/>
      </c>
    </row>
    <row r="18">
      <c r="A18" s="561" t="n">
        <v>7</v>
      </c>
      <c r="B18" s="561" t="inlineStr">
        <is>
          <t>3F</t>
        </is>
      </c>
      <c r="C18" s="141" t="inlineStr">
        <is>
          <t>SL No 540430038843 (EB Unit)</t>
        </is>
      </c>
      <c r="D18" s="48" t="n">
        <v>378252</v>
      </c>
      <c r="E18" s="561" t="n">
        <v>379282</v>
      </c>
      <c r="F18" s="561" t="n">
        <v>380004</v>
      </c>
      <c r="G18" s="561" t="n">
        <v>380733</v>
      </c>
      <c r="H18" s="561" t="n">
        <v>381547</v>
      </c>
      <c r="I18" s="561" t="n">
        <v>382327</v>
      </c>
      <c r="J18" s="561" t="n">
        <v>382968</v>
      </c>
      <c r="K18" s="561" t="n">
        <v>383491</v>
      </c>
      <c r="L18" s="561" t="n">
        <v>384287</v>
      </c>
      <c r="M18" s="561" t="n">
        <v>385096</v>
      </c>
      <c r="N18" s="5" t="n">
        <v>385931</v>
      </c>
      <c r="O18" s="561" t="n">
        <v>386708</v>
      </c>
      <c r="P18" s="561" t="n">
        <v>387510</v>
      </c>
      <c r="Q18" s="561" t="n">
        <v>388116</v>
      </c>
      <c r="R18" s="8" t="n">
        <v>388616</v>
      </c>
      <c r="S18" s="5" t="n">
        <v>389153</v>
      </c>
      <c r="T18" s="561" t="n">
        <v>389919</v>
      </c>
      <c r="U18" s="561" t="n">
        <v>390697</v>
      </c>
      <c r="V18" s="561" t="n">
        <v>391519</v>
      </c>
      <c r="W18" s="561" t="n">
        <v>392266</v>
      </c>
      <c r="X18" s="33" t="n">
        <v>392853</v>
      </c>
      <c r="Y18" s="561" t="n">
        <v>393313</v>
      </c>
      <c r="Z18" s="561" t="n">
        <v>394041</v>
      </c>
      <c r="AA18" s="58" t="n">
        <v>394825</v>
      </c>
      <c r="AB18" s="58" t="n">
        <v>395587</v>
      </c>
      <c r="AC18" s="58" t="n">
        <v>396409</v>
      </c>
      <c r="AD18" s="58" t="n">
        <v>397183</v>
      </c>
      <c r="AE18" s="48" t="n">
        <v>397787</v>
      </c>
      <c r="AF18" s="201" t="n">
        <v>398207</v>
      </c>
      <c r="AG18" s="8" t="n">
        <v>398990</v>
      </c>
      <c r="AH18" s="128" t="n">
        <v>399411</v>
      </c>
      <c r="AI18" s="57">
        <f>AH18-D18</f>
        <v/>
      </c>
    </row>
    <row r="19">
      <c r="A19" s="561" t="n"/>
      <c r="B19" s="561" t="n"/>
      <c r="C19" s="140" t="inlineStr">
        <is>
          <t>DG</t>
        </is>
      </c>
      <c r="D19" s="561" t="n">
        <v>11338</v>
      </c>
      <c r="E19" s="561" t="n">
        <v>11338</v>
      </c>
      <c r="F19" s="561" t="n">
        <v>11338</v>
      </c>
      <c r="G19" s="561" t="n">
        <v>11338</v>
      </c>
      <c r="H19" s="561" t="n">
        <v>11338</v>
      </c>
      <c r="I19" s="561" t="n">
        <v>11338</v>
      </c>
      <c r="J19" s="561" t="n">
        <v>11338</v>
      </c>
      <c r="K19" s="561" t="n">
        <v>11338</v>
      </c>
      <c r="L19" s="561" t="n">
        <v>11338</v>
      </c>
      <c r="M19" s="561" t="n">
        <v>11338</v>
      </c>
      <c r="N19" s="561" t="n">
        <v>11338</v>
      </c>
      <c r="O19" s="561" t="n">
        <v>11338</v>
      </c>
      <c r="P19" s="561" t="n">
        <v>11338</v>
      </c>
      <c r="Q19" s="561" t="n">
        <v>11338</v>
      </c>
      <c r="R19" s="561" t="n">
        <v>11338</v>
      </c>
      <c r="S19" s="561" t="n">
        <v>11352</v>
      </c>
      <c r="T19" s="561" t="n">
        <v>11352</v>
      </c>
      <c r="U19" s="561" t="n">
        <v>11352</v>
      </c>
      <c r="V19" s="561" t="n">
        <v>11352</v>
      </c>
      <c r="W19" s="561" t="n">
        <v>11352</v>
      </c>
      <c r="X19" s="561" t="n">
        <v>11352</v>
      </c>
      <c r="Y19" s="561" t="n">
        <v>11352</v>
      </c>
      <c r="Z19" s="561" t="n">
        <v>11352</v>
      </c>
      <c r="AA19" s="561" t="n">
        <v>11352</v>
      </c>
      <c r="AB19" s="561" t="n">
        <v>11352</v>
      </c>
      <c r="AC19" s="561" t="n">
        <v>11352</v>
      </c>
      <c r="AD19" s="561" t="n">
        <v>11352</v>
      </c>
      <c r="AE19" s="561" t="n">
        <v>11352</v>
      </c>
      <c r="AF19" s="561" t="n">
        <v>11600</v>
      </c>
      <c r="AG19" s="561" t="n">
        <v>11600</v>
      </c>
      <c r="AH19" s="561" t="n">
        <v>11600</v>
      </c>
      <c r="AI19" s="57">
        <f>AH19-D19</f>
        <v/>
      </c>
    </row>
    <row r="20">
      <c r="A20" s="561" t="n">
        <v>8</v>
      </c>
      <c r="B20" s="561" t="inlineStr">
        <is>
          <t>3F</t>
        </is>
      </c>
      <c r="C20" s="141" t="inlineStr">
        <is>
          <t>SL No 540430038848 (EB Unit)</t>
        </is>
      </c>
      <c r="D20" s="48" t="n">
        <v>76796</v>
      </c>
      <c r="E20" s="561" t="n">
        <v>76998</v>
      </c>
      <c r="F20" s="561" t="n">
        <v>77124</v>
      </c>
      <c r="G20" s="561" t="n">
        <v>77248</v>
      </c>
      <c r="H20" s="561" t="n">
        <v>77371</v>
      </c>
      <c r="I20" s="561" t="n">
        <v>77504</v>
      </c>
      <c r="J20" s="561" t="n">
        <v>77607</v>
      </c>
      <c r="K20" s="561" t="n">
        <v>77752</v>
      </c>
      <c r="L20" s="561" t="n">
        <v>77884</v>
      </c>
      <c r="M20" s="561" t="n">
        <v>78029</v>
      </c>
      <c r="N20" s="561" t="n">
        <v>78157</v>
      </c>
      <c r="O20" s="561" t="n">
        <v>78281</v>
      </c>
      <c r="P20" s="561" t="n">
        <v>78281</v>
      </c>
      <c r="Q20" s="561" t="n">
        <v>78532</v>
      </c>
      <c r="R20" s="561" t="n">
        <v>78689</v>
      </c>
      <c r="S20" s="561" t="n">
        <v>78838</v>
      </c>
      <c r="T20" s="561" t="n">
        <v>78958</v>
      </c>
      <c r="U20" s="561" t="n">
        <v>79094</v>
      </c>
      <c r="V20" s="561" t="n">
        <v>79215</v>
      </c>
      <c r="W20" s="561" t="n">
        <v>79366</v>
      </c>
      <c r="X20" s="561" t="n">
        <v>79482</v>
      </c>
      <c r="Y20" s="561" t="n">
        <v>79621</v>
      </c>
      <c r="Z20" s="561" t="n">
        <v>79758</v>
      </c>
      <c r="AA20" s="8" t="n">
        <v>79905</v>
      </c>
      <c r="AB20" s="8" t="n">
        <v>80035</v>
      </c>
      <c r="AC20" s="561" t="n">
        <v>80185</v>
      </c>
      <c r="AD20" s="561" t="n">
        <v>80325</v>
      </c>
      <c r="AE20" s="8" t="n">
        <v>80476</v>
      </c>
      <c r="AF20" s="8" t="n">
        <v>80565</v>
      </c>
      <c r="AG20" s="8" t="n">
        <v>80704</v>
      </c>
      <c r="AH20" s="128" t="n">
        <v>80798</v>
      </c>
      <c r="AI20" s="57">
        <f>AH20-D20</f>
        <v/>
      </c>
    </row>
    <row r="21">
      <c r="A21" s="561" t="n"/>
      <c r="B21" s="561" t="n"/>
      <c r="C21" s="140" t="inlineStr">
        <is>
          <t>DG</t>
        </is>
      </c>
      <c r="D21" s="561" t="n">
        <v>2164</v>
      </c>
      <c r="E21" s="561" t="n">
        <v>2164</v>
      </c>
      <c r="F21" s="561" t="n">
        <v>2164</v>
      </c>
      <c r="G21" s="561" t="n">
        <v>2164</v>
      </c>
      <c r="H21" s="561" t="n">
        <v>2164</v>
      </c>
      <c r="I21" s="561" t="n">
        <v>2164</v>
      </c>
      <c r="J21" s="561" t="n">
        <v>2164</v>
      </c>
      <c r="K21" s="561" t="n">
        <v>2164</v>
      </c>
      <c r="L21" s="561" t="n">
        <v>2164</v>
      </c>
      <c r="M21" s="561" t="n">
        <v>2164</v>
      </c>
      <c r="N21" s="561" t="n">
        <v>2164</v>
      </c>
      <c r="O21" s="561" t="n">
        <v>2164</v>
      </c>
      <c r="P21" s="561" t="n">
        <v>2164</v>
      </c>
      <c r="Q21" s="561" t="n">
        <v>2164</v>
      </c>
      <c r="R21" s="561" t="n">
        <v>2164</v>
      </c>
      <c r="S21" s="561" t="n">
        <v>2201</v>
      </c>
      <c r="T21" s="561" t="n">
        <v>2201</v>
      </c>
      <c r="U21" s="561" t="n">
        <v>2201</v>
      </c>
      <c r="V21" s="561" t="n">
        <v>2201</v>
      </c>
      <c r="W21" s="561" t="n">
        <v>2201</v>
      </c>
      <c r="X21" s="561" t="n">
        <v>2201</v>
      </c>
      <c r="Y21" s="561" t="n">
        <v>2201</v>
      </c>
      <c r="Z21" s="561" t="n">
        <v>2201</v>
      </c>
      <c r="AA21" s="561" t="n">
        <v>2201</v>
      </c>
      <c r="AB21" s="561" t="n">
        <v>2201</v>
      </c>
      <c r="AC21" s="561" t="n">
        <v>2201</v>
      </c>
      <c r="AD21" s="561" t="n">
        <v>2201</v>
      </c>
      <c r="AE21" s="561" t="n">
        <v>2207</v>
      </c>
      <c r="AF21" s="561" t="n">
        <v>2212</v>
      </c>
      <c r="AG21" s="561" t="n">
        <v>2212</v>
      </c>
      <c r="AH21" s="561" t="n">
        <v>2212</v>
      </c>
      <c r="AI21" s="57">
        <f>AH21-D21</f>
        <v/>
      </c>
    </row>
    <row r="22">
      <c r="A22" s="500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01" t="n"/>
    </row>
    <row r="23">
      <c r="A23" s="561" t="n">
        <v>1</v>
      </c>
      <c r="B23" s="561" t="inlineStr">
        <is>
          <t>3F</t>
        </is>
      </c>
      <c r="C23" s="141" t="inlineStr">
        <is>
          <t>AHU1</t>
        </is>
      </c>
      <c r="D23" s="8" t="n">
        <v>34660</v>
      </c>
      <c r="E23" s="561" t="n">
        <v>34780</v>
      </c>
      <c r="F23" s="561" t="n">
        <v>34932</v>
      </c>
      <c r="G23" s="561" t="n">
        <v>35052</v>
      </c>
      <c r="H23" s="561" t="n">
        <v>35251</v>
      </c>
      <c r="I23" s="561" t="n">
        <v>35449</v>
      </c>
      <c r="J23" s="561" t="n">
        <v>35641</v>
      </c>
      <c r="K23" s="561" t="n">
        <v>35708</v>
      </c>
      <c r="L23" s="561" t="n">
        <v>35876</v>
      </c>
      <c r="M23" s="561" t="n">
        <v>35981</v>
      </c>
      <c r="N23" s="561" t="n">
        <v>36056</v>
      </c>
      <c r="O23" s="561" t="n">
        <v>36145</v>
      </c>
      <c r="P23" s="561" t="n">
        <v>36250</v>
      </c>
      <c r="Q23" s="561" t="n">
        <v>36326</v>
      </c>
      <c r="R23" s="561" t="n">
        <v>36361</v>
      </c>
      <c r="S23" s="561" t="n">
        <v>36448</v>
      </c>
      <c r="T23" s="561" t="n">
        <v>36585</v>
      </c>
      <c r="U23" s="561" t="n">
        <v>36691</v>
      </c>
      <c r="V23" s="561" t="n">
        <v>36762</v>
      </c>
      <c r="W23" s="561" t="n">
        <v>36830</v>
      </c>
      <c r="X23" s="561" t="n">
        <v>36556</v>
      </c>
      <c r="Y23" s="561" t="n">
        <v>36886</v>
      </c>
      <c r="Z23" s="561" t="n">
        <v>36963</v>
      </c>
      <c r="AA23" s="561" t="n">
        <v>37077</v>
      </c>
      <c r="AB23" s="561" t="n">
        <v>37184</v>
      </c>
      <c r="AC23" s="561" t="n">
        <v>37304</v>
      </c>
      <c r="AD23" s="561" t="n">
        <v>37426</v>
      </c>
      <c r="AE23" s="561" t="n">
        <v>37493</v>
      </c>
      <c r="AF23" s="561" t="n">
        <v>37516</v>
      </c>
      <c r="AG23" s="561" t="n">
        <v>37587</v>
      </c>
      <c r="AH23" s="8" t="n">
        <v>37637</v>
      </c>
      <c r="AI23" s="57">
        <f>AH23-D23</f>
        <v/>
      </c>
    </row>
    <row r="24">
      <c r="A24" s="561" t="n"/>
      <c r="B24" s="561" t="n"/>
      <c r="C24" s="142" t="inlineStr">
        <is>
          <t>DG</t>
        </is>
      </c>
      <c r="D24" s="561" t="n">
        <v>1882</v>
      </c>
      <c r="E24" s="561" t="n">
        <v>1882</v>
      </c>
      <c r="F24" s="561" t="n">
        <v>1882</v>
      </c>
      <c r="G24" s="561" t="n">
        <v>1882</v>
      </c>
      <c r="H24" s="561" t="n">
        <v>1882</v>
      </c>
      <c r="I24" s="561" t="n">
        <v>1882</v>
      </c>
      <c r="J24" s="561" t="n">
        <v>1882</v>
      </c>
      <c r="K24" s="561" t="n">
        <v>1882</v>
      </c>
      <c r="L24" s="561" t="n">
        <v>1882</v>
      </c>
      <c r="M24" s="561" t="n">
        <v>1882</v>
      </c>
      <c r="N24" s="561" t="n">
        <v>1882</v>
      </c>
      <c r="O24" s="33" t="n">
        <v>1882</v>
      </c>
      <c r="P24" s="33" t="n">
        <v>1882</v>
      </c>
      <c r="Q24" s="33" t="n">
        <v>1882</v>
      </c>
      <c r="R24" s="33" t="n">
        <v>1882</v>
      </c>
      <c r="S24" s="33" t="n">
        <v>1918</v>
      </c>
      <c r="T24" s="33" t="n">
        <v>1918</v>
      </c>
      <c r="U24" s="33" t="n">
        <v>1918</v>
      </c>
      <c r="V24" s="33" t="n">
        <v>1918</v>
      </c>
      <c r="W24" s="33" t="n">
        <v>1918</v>
      </c>
      <c r="X24" s="33" t="n">
        <v>1918</v>
      </c>
      <c r="Y24" s="33" t="n">
        <v>1918</v>
      </c>
      <c r="Z24" s="33" t="n">
        <v>1918</v>
      </c>
      <c r="AA24" s="33" t="n">
        <v>1918</v>
      </c>
      <c r="AB24" s="33" t="n">
        <v>1918</v>
      </c>
      <c r="AC24" s="33" t="n">
        <v>1918</v>
      </c>
      <c r="AD24" s="33" t="n">
        <v>1918</v>
      </c>
      <c r="AE24" s="33" t="n">
        <v>1918</v>
      </c>
      <c r="AF24" s="561" t="n">
        <v>1921</v>
      </c>
      <c r="AG24" s="561" t="n">
        <v>1921</v>
      </c>
      <c r="AH24" s="561" t="n">
        <v>1921</v>
      </c>
      <c r="AI24" s="57">
        <f>AH24-D24</f>
        <v/>
      </c>
    </row>
    <row r="25">
      <c r="A25" s="561" t="n">
        <v>2</v>
      </c>
      <c r="B25" s="561" t="inlineStr">
        <is>
          <t>3F</t>
        </is>
      </c>
      <c r="C25" s="141" t="inlineStr">
        <is>
          <t>AHU2</t>
        </is>
      </c>
      <c r="D25" s="8" t="n">
        <v>38471</v>
      </c>
      <c r="E25" s="561" t="n">
        <v>38607</v>
      </c>
      <c r="F25" s="561" t="n">
        <v>38752</v>
      </c>
      <c r="G25" s="561" t="n">
        <v>38885</v>
      </c>
      <c r="H25" s="561" t="n">
        <v>39076</v>
      </c>
      <c r="I25" s="561" t="n">
        <v>39276</v>
      </c>
      <c r="J25" s="561" t="n">
        <v>39464</v>
      </c>
      <c r="K25" s="561" t="n">
        <v>39525</v>
      </c>
      <c r="L25" s="561" t="n">
        <v>39708</v>
      </c>
      <c r="M25" s="561" t="n">
        <v>39829</v>
      </c>
      <c r="N25" s="561" t="n">
        <v>39960</v>
      </c>
      <c r="O25" s="561" t="n">
        <v>40073</v>
      </c>
      <c r="P25" s="561" t="n">
        <v>40191</v>
      </c>
      <c r="Q25" s="561" t="n">
        <v>40318</v>
      </c>
      <c r="R25" s="561" t="n">
        <v>40361</v>
      </c>
      <c r="S25" s="561" t="n">
        <v>40470</v>
      </c>
      <c r="T25" s="561" t="n">
        <v>40608</v>
      </c>
      <c r="U25" s="561" t="n">
        <v>40776</v>
      </c>
      <c r="V25" s="561" t="n">
        <v>40869</v>
      </c>
      <c r="W25" s="561" t="n">
        <v>40959</v>
      </c>
      <c r="X25" s="561" t="n">
        <v>41025</v>
      </c>
      <c r="Y25" s="561" t="n">
        <v>41025</v>
      </c>
      <c r="Z25" s="561" t="n">
        <v>41123</v>
      </c>
      <c r="AA25" s="561" t="n">
        <v>41224</v>
      </c>
      <c r="AB25" s="561" t="n">
        <v>41361</v>
      </c>
      <c r="AC25" s="561" t="n">
        <v>41518</v>
      </c>
      <c r="AD25" s="561" t="n">
        <v>41653</v>
      </c>
      <c r="AE25" s="561" t="n">
        <v>41731</v>
      </c>
      <c r="AF25" s="561" t="n">
        <v>41758</v>
      </c>
      <c r="AG25" s="561" t="n">
        <v>41852</v>
      </c>
      <c r="AH25" s="8" t="n">
        <v>41922</v>
      </c>
      <c r="AI25" s="57">
        <f>AH25-D25</f>
        <v/>
      </c>
    </row>
    <row r="26">
      <c r="A26" s="561" t="n"/>
      <c r="B26" s="561" t="n"/>
      <c r="C26" s="142" t="inlineStr">
        <is>
          <t>DG</t>
        </is>
      </c>
      <c r="D26" s="561" t="n">
        <v>1861</v>
      </c>
      <c r="E26" s="561" t="n">
        <v>1861</v>
      </c>
      <c r="F26" s="561" t="n">
        <v>1861</v>
      </c>
      <c r="G26" s="561" t="n">
        <v>1861</v>
      </c>
      <c r="H26" s="561" t="n">
        <v>1861</v>
      </c>
      <c r="I26" s="561" t="n">
        <v>1861</v>
      </c>
      <c r="J26" s="561" t="n">
        <v>1861</v>
      </c>
      <c r="K26" s="561" t="n">
        <v>1861</v>
      </c>
      <c r="L26" s="561" t="n">
        <v>1861</v>
      </c>
      <c r="M26" s="561" t="n">
        <v>1861</v>
      </c>
      <c r="N26" s="561" t="n">
        <v>1861</v>
      </c>
      <c r="O26" s="561" t="n">
        <v>1861</v>
      </c>
      <c r="P26" s="561" t="n">
        <v>1861</v>
      </c>
      <c r="Q26" s="561" t="n">
        <v>1861</v>
      </c>
      <c r="R26" s="561" t="n">
        <v>1903</v>
      </c>
      <c r="S26" s="561" t="n">
        <v>1903</v>
      </c>
      <c r="T26" s="561" t="n">
        <v>1903</v>
      </c>
      <c r="U26" s="561" t="n">
        <v>1903</v>
      </c>
      <c r="V26" s="561" t="n">
        <v>1903</v>
      </c>
      <c r="W26" s="561" t="n">
        <v>1903</v>
      </c>
      <c r="X26" s="561" t="n">
        <v>1903</v>
      </c>
      <c r="Y26" s="561" t="n">
        <v>1903</v>
      </c>
      <c r="Z26" s="561" t="n">
        <v>1903</v>
      </c>
      <c r="AA26" s="561" t="n">
        <v>1903</v>
      </c>
      <c r="AB26" s="561" t="n">
        <v>1903</v>
      </c>
      <c r="AC26" s="561" t="n">
        <v>1903</v>
      </c>
      <c r="AD26" s="561" t="n">
        <v>1903</v>
      </c>
      <c r="AE26" s="561" t="n">
        <v>1903</v>
      </c>
      <c r="AF26" s="561" t="n">
        <v>1909</v>
      </c>
      <c r="AG26" s="561" t="n">
        <v>1909</v>
      </c>
      <c r="AH26" s="561" t="n">
        <v>1909</v>
      </c>
      <c r="AI26" s="57">
        <f>AH26-D26</f>
        <v/>
      </c>
    </row>
    <row r="27">
      <c r="A27" s="561" t="n">
        <v>3</v>
      </c>
      <c r="B27" s="561" t="inlineStr">
        <is>
          <t>3F</t>
        </is>
      </c>
      <c r="C27" s="141" t="inlineStr">
        <is>
          <t>AHU3</t>
        </is>
      </c>
      <c r="D27" s="8" t="n">
        <v>41989</v>
      </c>
      <c r="E27" s="561" t="n">
        <v>42143</v>
      </c>
      <c r="F27" s="561" t="n">
        <v>42294</v>
      </c>
      <c r="G27" s="561" t="n">
        <v>42445</v>
      </c>
      <c r="H27" s="561" t="n">
        <v>42670</v>
      </c>
      <c r="I27" s="561" t="n">
        <v>42901</v>
      </c>
      <c r="J27" s="561" t="n">
        <v>43103</v>
      </c>
      <c r="K27" s="561" t="n">
        <v>43252</v>
      </c>
      <c r="L27" s="561" t="n">
        <v>43460</v>
      </c>
      <c r="M27" s="561" t="n">
        <v>43589</v>
      </c>
      <c r="N27" s="561" t="n">
        <v>43713</v>
      </c>
      <c r="O27" s="561" t="n">
        <v>43840</v>
      </c>
      <c r="P27" s="561" t="n">
        <v>43989</v>
      </c>
      <c r="Q27" s="561" t="n">
        <v>44089</v>
      </c>
      <c r="R27" s="561" t="n">
        <v>44130</v>
      </c>
      <c r="S27" s="561" t="n">
        <v>44217</v>
      </c>
      <c r="T27" s="561" t="n">
        <v>44341</v>
      </c>
      <c r="U27" s="561" t="n">
        <v>44471</v>
      </c>
      <c r="V27" s="561" t="n">
        <v>44597</v>
      </c>
      <c r="W27" s="561" t="n">
        <v>44713</v>
      </c>
      <c r="X27" s="561" t="n">
        <v>44783</v>
      </c>
      <c r="Y27" s="561" t="n">
        <v>44783</v>
      </c>
      <c r="Z27" s="561" t="n">
        <v>44893</v>
      </c>
      <c r="AA27" s="561" t="n">
        <v>45062</v>
      </c>
      <c r="AB27" s="561" t="n">
        <v>45234</v>
      </c>
      <c r="AC27" s="561" t="n">
        <v>45404</v>
      </c>
      <c r="AD27" s="561" t="n">
        <v>45581</v>
      </c>
      <c r="AE27" s="561" t="n">
        <v>45735</v>
      </c>
      <c r="AF27" s="561" t="n">
        <v>45749</v>
      </c>
      <c r="AG27" s="561" t="n">
        <v>45914</v>
      </c>
      <c r="AH27" s="561" t="n">
        <v>45953</v>
      </c>
      <c r="AI27" s="57">
        <f>AH27-D27</f>
        <v/>
      </c>
    </row>
    <row r="28">
      <c r="A28" s="561" t="n"/>
      <c r="B28" s="561" t="n"/>
      <c r="C28" s="142" t="inlineStr">
        <is>
          <t>DG</t>
        </is>
      </c>
      <c r="D28" s="561" t="n">
        <v>2016</v>
      </c>
      <c r="E28" s="561" t="n">
        <v>2016</v>
      </c>
      <c r="F28" s="561" t="n">
        <v>2016</v>
      </c>
      <c r="G28" s="561" t="n">
        <v>2016</v>
      </c>
      <c r="H28" s="561" t="n">
        <v>2016</v>
      </c>
      <c r="I28" s="561" t="n">
        <v>2016</v>
      </c>
      <c r="J28" s="561" t="n">
        <v>2016</v>
      </c>
      <c r="K28" s="561" t="n">
        <v>2016</v>
      </c>
      <c r="L28" s="561" t="n">
        <v>2016</v>
      </c>
      <c r="M28" s="561" t="n">
        <v>2016</v>
      </c>
      <c r="N28" s="561" t="n">
        <v>2016</v>
      </c>
      <c r="O28" s="561" t="n">
        <v>2016</v>
      </c>
      <c r="P28" s="561" t="n">
        <v>2016</v>
      </c>
      <c r="Q28" s="561" t="n">
        <v>2016</v>
      </c>
      <c r="R28" s="561" t="n">
        <v>2016</v>
      </c>
      <c r="S28" s="561" t="n">
        <v>2058</v>
      </c>
      <c r="T28" s="561" t="n">
        <v>2058</v>
      </c>
      <c r="U28" s="561" t="n">
        <v>2058</v>
      </c>
      <c r="V28" s="561" t="n">
        <v>2058</v>
      </c>
      <c r="W28" s="561" t="n">
        <v>2058</v>
      </c>
      <c r="X28" s="561" t="n">
        <v>2058</v>
      </c>
      <c r="Y28" s="561" t="n">
        <v>2058</v>
      </c>
      <c r="Z28" s="561" t="n">
        <v>2058</v>
      </c>
      <c r="AA28" s="561" t="n">
        <v>2058</v>
      </c>
      <c r="AB28" s="561" t="n">
        <v>2058</v>
      </c>
      <c r="AC28" s="561" t="n">
        <v>2058</v>
      </c>
      <c r="AD28" s="561" t="n">
        <v>2058</v>
      </c>
      <c r="AE28" s="561" t="n">
        <v>2058</v>
      </c>
      <c r="AF28" s="561" t="n">
        <v>2065</v>
      </c>
      <c r="AG28" s="561" t="n">
        <v>2065</v>
      </c>
      <c r="AH28" s="561" t="n">
        <v>2065</v>
      </c>
      <c r="AI28" s="57">
        <f>AH28-D28</f>
        <v/>
      </c>
    </row>
    <row r="29">
      <c r="A29" s="561" t="n">
        <v>4</v>
      </c>
      <c r="B29" s="561" t="inlineStr">
        <is>
          <t>3F</t>
        </is>
      </c>
      <c r="C29" s="141" t="inlineStr">
        <is>
          <t>AHU4</t>
        </is>
      </c>
      <c r="D29" s="8" t="n">
        <v>33144</v>
      </c>
      <c r="E29" s="561" t="n">
        <v>33289</v>
      </c>
      <c r="F29" s="561" t="n">
        <v>33401</v>
      </c>
      <c r="G29" s="561" t="n">
        <v>33525</v>
      </c>
      <c r="H29" s="561" t="n">
        <v>33632</v>
      </c>
      <c r="I29" s="561" t="n">
        <v>33738</v>
      </c>
      <c r="J29" s="561" t="n">
        <v>33860</v>
      </c>
      <c r="K29" s="561" t="n">
        <v>33861</v>
      </c>
      <c r="L29" s="561" t="n">
        <v>33999</v>
      </c>
      <c r="M29" s="561" t="n">
        <v>34081</v>
      </c>
      <c r="N29" s="561" t="n">
        <v>34166</v>
      </c>
      <c r="O29" s="561" t="n">
        <v>34261</v>
      </c>
      <c r="P29" s="561" t="n">
        <v>34340</v>
      </c>
      <c r="Q29" s="561" t="n">
        <v>34394</v>
      </c>
      <c r="R29" s="561" t="n">
        <v>34429</v>
      </c>
      <c r="S29" s="561" t="n">
        <v>34496</v>
      </c>
      <c r="T29" s="561" t="n">
        <v>34600</v>
      </c>
      <c r="U29" s="561" t="n">
        <v>34698</v>
      </c>
      <c r="V29" s="561" t="n">
        <v>34787</v>
      </c>
      <c r="W29" s="561" t="n">
        <v>34875</v>
      </c>
      <c r="X29" s="561" t="n">
        <v>34939</v>
      </c>
      <c r="Y29" s="561" t="n">
        <v>34939</v>
      </c>
      <c r="Z29" s="561" t="n">
        <v>35047</v>
      </c>
      <c r="AA29" s="561" t="n">
        <v>35149</v>
      </c>
      <c r="AB29" s="561" t="n">
        <v>35248</v>
      </c>
      <c r="AC29" s="561" t="n">
        <v>35353</v>
      </c>
      <c r="AD29" s="561" t="n">
        <v>35464</v>
      </c>
      <c r="AE29" s="561" t="n">
        <v>35553</v>
      </c>
      <c r="AF29" s="561" t="n">
        <v>35558</v>
      </c>
      <c r="AG29" s="561" t="n">
        <v>35666</v>
      </c>
      <c r="AH29" s="8" t="n">
        <v>35709</v>
      </c>
      <c r="AI29" s="57">
        <f>AH29-D29</f>
        <v/>
      </c>
    </row>
    <row r="30">
      <c r="A30" s="561" t="n"/>
      <c r="B30" s="561" t="n"/>
      <c r="C30" s="142" t="inlineStr">
        <is>
          <t>DG</t>
        </is>
      </c>
      <c r="D30" s="561" t="n">
        <v>1744</v>
      </c>
      <c r="E30" s="561" t="n">
        <v>1744</v>
      </c>
      <c r="F30" s="561" t="n">
        <v>1744</v>
      </c>
      <c r="G30" s="561" t="n">
        <v>1744</v>
      </c>
      <c r="H30" s="561" t="n">
        <v>1744</v>
      </c>
      <c r="I30" s="561" t="n">
        <v>1744</v>
      </c>
      <c r="J30" s="561" t="n">
        <v>1744</v>
      </c>
      <c r="K30" s="561" t="n">
        <v>1744</v>
      </c>
      <c r="L30" s="561" t="n">
        <v>1744</v>
      </c>
      <c r="M30" s="561" t="n">
        <v>1744</v>
      </c>
      <c r="N30" s="561" t="n">
        <v>1744</v>
      </c>
      <c r="O30" s="561" t="n">
        <v>1744</v>
      </c>
      <c r="P30" s="561" t="n">
        <v>1744</v>
      </c>
      <c r="Q30" s="561" t="n">
        <v>1744</v>
      </c>
      <c r="R30" s="561" t="n">
        <v>1744</v>
      </c>
      <c r="S30" s="561" t="n">
        <v>1779</v>
      </c>
      <c r="T30" s="561" t="n">
        <v>1779</v>
      </c>
      <c r="U30" s="561" t="n">
        <v>1779</v>
      </c>
      <c r="V30" s="561" t="n">
        <v>1779</v>
      </c>
      <c r="W30" s="561" t="n">
        <v>1779</v>
      </c>
      <c r="X30" s="561" t="n">
        <v>1779</v>
      </c>
      <c r="Y30" s="561" t="n">
        <v>1779</v>
      </c>
      <c r="Z30" s="561" t="n">
        <v>1779</v>
      </c>
      <c r="AA30" s="561" t="n">
        <v>1779</v>
      </c>
      <c r="AB30" s="561" t="n">
        <v>1779</v>
      </c>
      <c r="AC30" s="561" t="n">
        <v>1779</v>
      </c>
      <c r="AD30" s="561" t="n">
        <v>1779</v>
      </c>
      <c r="AE30" s="561" t="n">
        <v>1779</v>
      </c>
      <c r="AF30" s="561" t="n">
        <v>1786</v>
      </c>
      <c r="AG30" s="561" t="n">
        <v>1786</v>
      </c>
      <c r="AH30" s="561" t="n">
        <v>1786</v>
      </c>
      <c r="AI30" s="57">
        <f>AH30-D30</f>
        <v/>
      </c>
    </row>
    <row r="31">
      <c r="A31" s="561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01" t="n"/>
    </row>
    <row r="32">
      <c r="A32" s="561" t="n">
        <v>1</v>
      </c>
      <c r="B32" s="561" t="inlineStr">
        <is>
          <t>3F</t>
        </is>
      </c>
      <c r="C32" s="141" t="inlineStr">
        <is>
          <t>AHU1 - BTU</t>
        </is>
      </c>
      <c r="D32" s="161" t="n">
        <v>345400</v>
      </c>
      <c r="E32" s="44" t="n">
        <v>346008</v>
      </c>
      <c r="F32" s="150" t="n">
        <v>346419</v>
      </c>
      <c r="G32" s="150" t="n">
        <v>346968</v>
      </c>
      <c r="H32" s="150" t="n">
        <v>347443</v>
      </c>
      <c r="I32" s="44" t="n">
        <v>347969</v>
      </c>
      <c r="J32" s="150" t="n">
        <v>348406</v>
      </c>
      <c r="K32" s="150" t="n">
        <v>348406</v>
      </c>
      <c r="L32" s="150" t="n">
        <v>349481</v>
      </c>
      <c r="M32" s="44" t="n">
        <v>350187</v>
      </c>
      <c r="N32" s="150" t="n">
        <v>350810</v>
      </c>
      <c r="O32" s="150" t="n">
        <v>351468</v>
      </c>
      <c r="P32" s="150" t="n">
        <v>351963</v>
      </c>
      <c r="Q32" s="44" t="n">
        <v>352293</v>
      </c>
      <c r="R32" s="150" t="n">
        <v>352473</v>
      </c>
      <c r="S32" s="150" t="n">
        <v>353087</v>
      </c>
      <c r="T32" s="150" t="n">
        <v>353856</v>
      </c>
      <c r="U32" s="44" t="n">
        <v>354556</v>
      </c>
      <c r="V32" s="150" t="n">
        <v>355243</v>
      </c>
      <c r="W32" s="150" t="n">
        <v>355948</v>
      </c>
      <c r="X32" s="150" t="n">
        <v>356323</v>
      </c>
      <c r="Y32" s="44" t="n">
        <v>356329</v>
      </c>
      <c r="Z32" s="150" t="n">
        <v>356885</v>
      </c>
      <c r="AA32" s="150" t="n">
        <v>357547</v>
      </c>
      <c r="AB32" s="150" t="n">
        <v>358077</v>
      </c>
      <c r="AC32" s="44" t="n">
        <v>358615</v>
      </c>
      <c r="AD32" s="150" t="n">
        <v>359113</v>
      </c>
      <c r="AE32" s="150" t="n">
        <v>359666</v>
      </c>
      <c r="AF32" s="150" t="n">
        <v>359706</v>
      </c>
      <c r="AG32" s="44" t="n">
        <v>360376</v>
      </c>
      <c r="AH32" s="150" t="n">
        <v>360811</v>
      </c>
      <c r="AI32" s="57">
        <f>AH32-D32</f>
        <v/>
      </c>
    </row>
    <row r="33">
      <c r="A33" s="561" t="n">
        <v>2</v>
      </c>
      <c r="B33" s="561" t="inlineStr">
        <is>
          <t>3F</t>
        </is>
      </c>
      <c r="C33" s="141" t="inlineStr">
        <is>
          <t>AHU2 - BTU</t>
        </is>
      </c>
      <c r="D33" s="161" t="n">
        <v>320953</v>
      </c>
      <c r="E33" s="150" t="n">
        <v>321668</v>
      </c>
      <c r="F33" s="150" t="n">
        <v>322316</v>
      </c>
      <c r="G33" s="150" t="n">
        <v>322981</v>
      </c>
      <c r="H33" s="150" t="n">
        <v>323518</v>
      </c>
      <c r="I33" s="150" t="n">
        <v>324170</v>
      </c>
      <c r="J33" s="150" t="n">
        <v>324646</v>
      </c>
      <c r="K33" s="150" t="n">
        <v>324646</v>
      </c>
      <c r="L33" s="150" t="n">
        <v>325954</v>
      </c>
      <c r="M33" s="150" t="n">
        <v>326702</v>
      </c>
      <c r="N33" s="150" t="n">
        <v>327439</v>
      </c>
      <c r="O33" s="150" t="n">
        <v>328042</v>
      </c>
      <c r="P33" s="150" t="n">
        <v>328658</v>
      </c>
      <c r="Q33" s="150" t="n">
        <v>329030</v>
      </c>
      <c r="R33" s="150" t="n">
        <v>329234</v>
      </c>
      <c r="S33" s="150" t="n">
        <v>330021</v>
      </c>
      <c r="T33" s="150" t="n">
        <v>330724</v>
      </c>
      <c r="U33" s="150" t="n">
        <v>331452</v>
      </c>
      <c r="V33" s="150" t="n">
        <v>331947</v>
      </c>
      <c r="W33" s="150" t="n">
        <v>332480</v>
      </c>
      <c r="X33" s="150" t="n">
        <v>333015</v>
      </c>
      <c r="Y33" s="150" t="n">
        <v>333015</v>
      </c>
      <c r="Z33" s="150" t="n">
        <v>333752</v>
      </c>
      <c r="AA33" s="150" t="n">
        <v>334359</v>
      </c>
      <c r="AB33" s="150" t="n">
        <v>335057</v>
      </c>
      <c r="AC33" s="150" t="n">
        <v>335694</v>
      </c>
      <c r="AD33" s="150" t="n">
        <v>336323</v>
      </c>
      <c r="AE33" s="150" t="n">
        <v>336887</v>
      </c>
      <c r="AF33" s="150" t="n">
        <v>336936</v>
      </c>
      <c r="AG33" s="150" t="n">
        <v>337797</v>
      </c>
      <c r="AH33" s="150" t="n">
        <v>338439</v>
      </c>
      <c r="AI33" s="57">
        <f>AH33-D33</f>
        <v/>
      </c>
    </row>
    <row r="34">
      <c r="A34" s="561" t="n">
        <v>3</v>
      </c>
      <c r="B34" s="561" t="inlineStr">
        <is>
          <t>3F</t>
        </is>
      </c>
      <c r="C34" s="141" t="inlineStr">
        <is>
          <t>AHU3 - BTU</t>
        </is>
      </c>
      <c r="D34" s="161" t="n">
        <v>335256</v>
      </c>
      <c r="E34" s="150" t="n">
        <v>335875</v>
      </c>
      <c r="F34" s="150" t="n">
        <v>336400</v>
      </c>
      <c r="G34" s="150" t="n">
        <v>336888</v>
      </c>
      <c r="H34" s="150" t="n">
        <v>337565</v>
      </c>
      <c r="I34" s="150" t="n">
        <v>338154</v>
      </c>
      <c r="J34" s="150" t="n">
        <v>339021</v>
      </c>
      <c r="K34" s="150" t="n">
        <v>339021</v>
      </c>
      <c r="L34" s="150" t="n">
        <v>340632</v>
      </c>
      <c r="M34" s="150" t="n">
        <v>341333</v>
      </c>
      <c r="N34" s="150" t="n">
        <v>341900</v>
      </c>
      <c r="O34" s="150" t="n">
        <v>342533</v>
      </c>
      <c r="P34" s="150" t="n">
        <v>343069</v>
      </c>
      <c r="Q34" s="150" t="n">
        <v>343312</v>
      </c>
      <c r="R34" s="150" t="n">
        <v>343554</v>
      </c>
      <c r="S34" s="150" t="n">
        <v>344468</v>
      </c>
      <c r="T34" s="150" t="n">
        <v>345140</v>
      </c>
      <c r="U34" s="150" t="n">
        <v>345871</v>
      </c>
      <c r="V34" s="150" t="n">
        <v>346359</v>
      </c>
      <c r="W34" s="150" t="n">
        <v>346940</v>
      </c>
      <c r="X34" s="150" t="n">
        <v>347336</v>
      </c>
      <c r="Y34" s="150" t="n">
        <v>347336</v>
      </c>
      <c r="Z34" s="150" t="n">
        <v>348077</v>
      </c>
      <c r="AA34" s="150" t="n">
        <v>348849</v>
      </c>
      <c r="AB34" s="150" t="n">
        <v>349557</v>
      </c>
      <c r="AC34" s="150" t="n">
        <v>350075</v>
      </c>
      <c r="AD34" s="150" t="n">
        <v>350662</v>
      </c>
      <c r="AE34" s="150" t="n">
        <v>351326</v>
      </c>
      <c r="AF34" s="150" t="n">
        <v>351389</v>
      </c>
      <c r="AG34" s="150" t="n">
        <v>352341</v>
      </c>
      <c r="AH34" s="150" t="n">
        <v>353063</v>
      </c>
      <c r="AI34" s="57">
        <f>AH34-D34</f>
        <v/>
      </c>
    </row>
    <row r="35">
      <c r="A35" s="561" t="n">
        <v>4</v>
      </c>
      <c r="B35" s="561" t="inlineStr">
        <is>
          <t>3F</t>
        </is>
      </c>
      <c r="C35" s="141" t="inlineStr">
        <is>
          <t>AHU4 - BTU</t>
        </is>
      </c>
      <c r="D35" s="161" t="n">
        <v>358992</v>
      </c>
      <c r="E35" s="150" t="n">
        <v>359953</v>
      </c>
      <c r="F35" s="150" t="n">
        <v>360704</v>
      </c>
      <c r="G35" s="150" t="n">
        <v>361527</v>
      </c>
      <c r="H35" s="150" t="n">
        <v>362427</v>
      </c>
      <c r="I35" s="150" t="n">
        <v>363317</v>
      </c>
      <c r="J35" s="150" t="n">
        <v>363937</v>
      </c>
      <c r="K35" s="150" t="n">
        <v>363937</v>
      </c>
      <c r="L35" s="150" t="n">
        <v>365234</v>
      </c>
      <c r="M35" s="150" t="n">
        <v>366335</v>
      </c>
      <c r="N35" s="150" t="n">
        <v>367191</v>
      </c>
      <c r="O35" s="150" t="n">
        <v>368146</v>
      </c>
      <c r="P35" s="202" t="n">
        <v>368993</v>
      </c>
      <c r="Q35" s="150" t="n">
        <v>369464</v>
      </c>
      <c r="R35" s="150" t="n">
        <v>369699</v>
      </c>
      <c r="S35" s="150" t="n">
        <v>370527</v>
      </c>
      <c r="T35" s="150" t="n">
        <v>371468</v>
      </c>
      <c r="U35" s="150" t="n">
        <v>372372</v>
      </c>
      <c r="V35" s="150" t="n">
        <v>373227</v>
      </c>
      <c r="W35" s="150" t="n">
        <v>374083</v>
      </c>
      <c r="X35" s="150" t="n">
        <v>374557</v>
      </c>
      <c r="Y35" s="150" t="n">
        <v>374611</v>
      </c>
      <c r="Z35" s="150" t="n">
        <v>375463</v>
      </c>
      <c r="AA35" s="150" t="n">
        <v>376444</v>
      </c>
      <c r="AB35" s="150" t="n">
        <v>377302</v>
      </c>
      <c r="AC35" s="150" t="n">
        <v>378211</v>
      </c>
      <c r="AD35" s="150" t="n">
        <v>379061</v>
      </c>
      <c r="AE35" s="150" t="n">
        <v>379798</v>
      </c>
      <c r="AF35" s="150" t="n">
        <v>379916</v>
      </c>
      <c r="AG35" s="150" t="n">
        <v>380898</v>
      </c>
      <c r="AH35" s="150" t="n">
        <v>381662</v>
      </c>
      <c r="AI35" s="57">
        <f>AH35-D35</f>
        <v/>
      </c>
    </row>
    <row r="36">
      <c r="A36" s="180" t="n"/>
      <c r="B36" s="180" t="n"/>
      <c r="C36" s="143" t="n"/>
      <c r="D36" s="180" t="n"/>
      <c r="E36" s="13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  <c r="AA36" s="180" t="n"/>
      <c r="AB36" s="180" t="n"/>
      <c r="AC36" s="6" t="n"/>
      <c r="AD36" s="180" t="n"/>
      <c r="AE36" s="180" t="n"/>
      <c r="AF36" s="180" t="n"/>
      <c r="AG36" s="180" t="n"/>
      <c r="AH36" s="180" t="n"/>
      <c r="AI36" s="181" t="n"/>
    </row>
    <row r="37">
      <c r="A37" s="14" t="n"/>
      <c r="B37" s="137" t="n"/>
      <c r="C37" s="144" t="n"/>
      <c r="D37" s="138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</row>
    <row r="38">
      <c r="A38" s="93" t="n"/>
      <c r="B38" s="539" t="inlineStr">
        <is>
          <t xml:space="preserve"> Daily Energy Report</t>
        </is>
      </c>
      <c r="C38" s="520" t="n"/>
      <c r="D38" s="501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</row>
    <row r="39">
      <c r="A39" s="94" t="n"/>
      <c r="B39" s="534" t="inlineStr">
        <is>
          <t>Electricity Consumption</t>
        </is>
      </c>
      <c r="C39" s="520" t="n"/>
      <c r="D39" s="501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4" t="n"/>
    </row>
    <row r="40">
      <c r="A40" s="533" t="inlineStr">
        <is>
          <t>Sr.No</t>
        </is>
      </c>
      <c r="B40" s="533" t="inlineStr">
        <is>
          <t>Location</t>
        </is>
      </c>
      <c r="C40" s="533" t="inlineStr">
        <is>
          <t>Meter</t>
        </is>
      </c>
      <c r="D40" s="522" t="n"/>
      <c r="E40" s="95">
        <f>E2</f>
        <v/>
      </c>
      <c r="F40" s="95">
        <f>F2</f>
        <v/>
      </c>
      <c r="G40" s="95">
        <f>G2</f>
        <v/>
      </c>
      <c r="H40" s="95">
        <f>H2</f>
        <v/>
      </c>
      <c r="I40" s="95">
        <f>I2</f>
        <v/>
      </c>
      <c r="J40" s="95">
        <f>J2</f>
        <v/>
      </c>
      <c r="K40" s="95">
        <f>K2</f>
        <v/>
      </c>
      <c r="L40" s="95">
        <f>L2</f>
        <v/>
      </c>
      <c r="M40" s="95">
        <f>M2</f>
        <v/>
      </c>
      <c r="N40" s="95">
        <f>N2</f>
        <v/>
      </c>
      <c r="O40" s="95">
        <f>O2</f>
        <v/>
      </c>
      <c r="P40" s="95">
        <f>P2</f>
        <v/>
      </c>
      <c r="Q40" s="95">
        <f>Q2</f>
        <v/>
      </c>
      <c r="R40" s="95">
        <f>R2</f>
        <v/>
      </c>
      <c r="S40" s="95">
        <f>S2</f>
        <v/>
      </c>
      <c r="T40" s="95">
        <f>T2</f>
        <v/>
      </c>
      <c r="U40" s="95">
        <f>U2</f>
        <v/>
      </c>
      <c r="V40" s="95">
        <f>V2</f>
        <v/>
      </c>
      <c r="W40" s="95">
        <f>W2</f>
        <v/>
      </c>
      <c r="X40" s="95">
        <f>X2</f>
        <v/>
      </c>
      <c r="Y40" s="95">
        <f>Y2</f>
        <v/>
      </c>
      <c r="Z40" s="95">
        <f>Z2</f>
        <v/>
      </c>
      <c r="AA40" s="95">
        <f>AA2</f>
        <v/>
      </c>
      <c r="AB40" s="95">
        <f>AB2</f>
        <v/>
      </c>
      <c r="AC40" s="95">
        <f>AC2</f>
        <v/>
      </c>
      <c r="AD40" s="95">
        <f>AD2</f>
        <v/>
      </c>
      <c r="AE40" s="95">
        <f>AE2</f>
        <v/>
      </c>
      <c r="AF40" s="95">
        <f>AF2</f>
        <v/>
      </c>
      <c r="AG40" s="95">
        <f>AG2</f>
        <v/>
      </c>
      <c r="AH40" s="95">
        <f>AH2</f>
        <v/>
      </c>
      <c r="AI40" s="533" t="inlineStr">
        <is>
          <t>Consumption</t>
        </is>
      </c>
    </row>
    <row r="41">
      <c r="A41" s="516" t="n"/>
      <c r="B41" s="516" t="n"/>
      <c r="C41" s="523" t="n"/>
      <c r="D41" s="524" t="n"/>
      <c r="E41" s="96" t="inlineStr">
        <is>
          <t>Mon</t>
        </is>
      </c>
      <c r="F41" s="96" t="inlineStr">
        <is>
          <t>Tue</t>
        </is>
      </c>
      <c r="G41" s="96" t="inlineStr">
        <is>
          <t>Wed</t>
        </is>
      </c>
      <c r="H41" s="96" t="inlineStr">
        <is>
          <t>Thu</t>
        </is>
      </c>
      <c r="I41" s="96" t="inlineStr">
        <is>
          <t>Fri</t>
        </is>
      </c>
      <c r="J41" s="96" t="inlineStr">
        <is>
          <t>Sat</t>
        </is>
      </c>
      <c r="K41" s="96" t="inlineStr">
        <is>
          <t>Sun</t>
        </is>
      </c>
      <c r="L41" s="96" t="inlineStr">
        <is>
          <t>Mon</t>
        </is>
      </c>
      <c r="M41" s="96" t="inlineStr">
        <is>
          <t>Tue</t>
        </is>
      </c>
      <c r="N41" s="96" t="inlineStr">
        <is>
          <t>Wed</t>
        </is>
      </c>
      <c r="O41" s="96" t="inlineStr">
        <is>
          <t>Thu</t>
        </is>
      </c>
      <c r="P41" s="96" t="inlineStr">
        <is>
          <t>Fri</t>
        </is>
      </c>
      <c r="Q41" s="96" t="inlineStr">
        <is>
          <t>Sat</t>
        </is>
      </c>
      <c r="R41" s="96" t="inlineStr">
        <is>
          <t>Sun</t>
        </is>
      </c>
      <c r="S41" s="96" t="inlineStr">
        <is>
          <t>Mon</t>
        </is>
      </c>
      <c r="T41" s="96" t="inlineStr">
        <is>
          <t>Tue</t>
        </is>
      </c>
      <c r="U41" s="96" t="inlineStr">
        <is>
          <t>Wed</t>
        </is>
      </c>
      <c r="V41" s="96" t="inlineStr">
        <is>
          <t>Thu</t>
        </is>
      </c>
      <c r="W41" s="96" t="inlineStr">
        <is>
          <t>Fri</t>
        </is>
      </c>
      <c r="X41" s="96" t="inlineStr">
        <is>
          <t>Sat</t>
        </is>
      </c>
      <c r="Y41" s="96" t="inlineStr">
        <is>
          <t>Sun</t>
        </is>
      </c>
      <c r="Z41" s="96" t="inlineStr">
        <is>
          <t>Mon</t>
        </is>
      </c>
      <c r="AA41" s="96" t="inlineStr">
        <is>
          <t>Tue</t>
        </is>
      </c>
      <c r="AB41" s="96" t="inlineStr">
        <is>
          <t>Wed</t>
        </is>
      </c>
      <c r="AC41" s="96" t="inlineStr">
        <is>
          <t>Thu</t>
        </is>
      </c>
      <c r="AD41" s="96" t="inlineStr">
        <is>
          <t>Fri</t>
        </is>
      </c>
      <c r="AE41" s="96" t="inlineStr">
        <is>
          <t>Sat</t>
        </is>
      </c>
      <c r="AF41" s="96" t="inlineStr">
        <is>
          <t>Sun</t>
        </is>
      </c>
      <c r="AG41" s="96" t="inlineStr">
        <is>
          <t>Mon</t>
        </is>
      </c>
      <c r="AH41" s="96" t="inlineStr">
        <is>
          <t>Tue</t>
        </is>
      </c>
      <c r="AI41" s="516" t="n"/>
    </row>
    <row r="42">
      <c r="A42" s="516" t="n"/>
      <c r="B42" s="516" t="n"/>
      <c r="C42" s="523" t="n"/>
      <c r="D42" s="524" t="n"/>
      <c r="E42" s="97" t="inlineStr">
        <is>
          <t>Time</t>
        </is>
      </c>
      <c r="F42" s="97" t="inlineStr">
        <is>
          <t>Time</t>
        </is>
      </c>
      <c r="G42" s="97" t="inlineStr">
        <is>
          <t>Time</t>
        </is>
      </c>
      <c r="H42" s="97" t="inlineStr">
        <is>
          <t>Time</t>
        </is>
      </c>
      <c r="I42" s="97" t="inlineStr">
        <is>
          <t>Time</t>
        </is>
      </c>
      <c r="J42" s="97" t="inlineStr">
        <is>
          <t>Time</t>
        </is>
      </c>
      <c r="K42" s="97" t="inlineStr">
        <is>
          <t>Time</t>
        </is>
      </c>
      <c r="L42" s="97" t="inlineStr">
        <is>
          <t>Time</t>
        </is>
      </c>
      <c r="M42" s="97" t="inlineStr">
        <is>
          <t>Time</t>
        </is>
      </c>
      <c r="N42" s="97" t="inlineStr">
        <is>
          <t>Time</t>
        </is>
      </c>
      <c r="O42" s="97" t="inlineStr">
        <is>
          <t>Time</t>
        </is>
      </c>
      <c r="P42" s="97" t="inlineStr">
        <is>
          <t>Time</t>
        </is>
      </c>
      <c r="Q42" s="97" t="inlineStr">
        <is>
          <t>Time</t>
        </is>
      </c>
      <c r="R42" s="97" t="inlineStr">
        <is>
          <t>Time</t>
        </is>
      </c>
      <c r="S42" s="97" t="inlineStr">
        <is>
          <t>Time</t>
        </is>
      </c>
      <c r="T42" s="97" t="inlineStr">
        <is>
          <t>Time</t>
        </is>
      </c>
      <c r="U42" s="97" t="inlineStr">
        <is>
          <t>Time</t>
        </is>
      </c>
      <c r="V42" s="97" t="inlineStr">
        <is>
          <t>Time</t>
        </is>
      </c>
      <c r="W42" s="97" t="inlineStr">
        <is>
          <t>Time</t>
        </is>
      </c>
      <c r="X42" s="97" t="inlineStr">
        <is>
          <t>Time</t>
        </is>
      </c>
      <c r="Y42" s="97" t="inlineStr">
        <is>
          <t>Time</t>
        </is>
      </c>
      <c r="Z42" s="97" t="inlineStr">
        <is>
          <t>Time</t>
        </is>
      </c>
      <c r="AA42" s="97" t="inlineStr">
        <is>
          <t>Time</t>
        </is>
      </c>
      <c r="AB42" s="97" t="inlineStr">
        <is>
          <t>Time</t>
        </is>
      </c>
      <c r="AC42" s="97" t="inlineStr">
        <is>
          <t>Time</t>
        </is>
      </c>
      <c r="AD42" s="97" t="inlineStr">
        <is>
          <t>Time</t>
        </is>
      </c>
      <c r="AE42" s="97" t="inlineStr">
        <is>
          <t>Time</t>
        </is>
      </c>
      <c r="AF42" s="97" t="inlineStr">
        <is>
          <t>Time</t>
        </is>
      </c>
      <c r="AG42" s="97" t="inlineStr">
        <is>
          <t>Time</t>
        </is>
      </c>
      <c r="AH42" s="95">
        <f>AH4</f>
        <v/>
      </c>
      <c r="AI42" s="516" t="n"/>
    </row>
    <row r="43">
      <c r="A43" s="517" t="n"/>
      <c r="B43" s="517" t="n"/>
      <c r="C43" s="525" t="n"/>
      <c r="D43" s="526" t="n"/>
      <c r="E43" s="98" t="n">
        <v>0.3333333333333333</v>
      </c>
      <c r="F43" s="98" t="n">
        <v>0.3333333333333333</v>
      </c>
      <c r="G43" s="98" t="n">
        <v>0.3333333333333333</v>
      </c>
      <c r="H43" s="98" t="n">
        <v>0.3333333333333333</v>
      </c>
      <c r="I43" s="98" t="n">
        <v>0.3333333333333333</v>
      </c>
      <c r="J43" s="98" t="n">
        <v>0.3333333333333333</v>
      </c>
      <c r="K43" s="98" t="n">
        <v>0.3333333333333333</v>
      </c>
      <c r="L43" s="98" t="n">
        <v>0.3333333333333333</v>
      </c>
      <c r="M43" s="98" t="n">
        <v>0.3333333333333333</v>
      </c>
      <c r="N43" s="98" t="n">
        <v>0.3333333333333333</v>
      </c>
      <c r="O43" s="98" t="n">
        <v>0.3333333333333333</v>
      </c>
      <c r="P43" s="98" t="n">
        <v>0.3333333333333333</v>
      </c>
      <c r="Q43" s="98" t="n">
        <v>0.3333333333333333</v>
      </c>
      <c r="R43" s="98" t="n">
        <v>0.3333333333333333</v>
      </c>
      <c r="S43" s="98" t="n">
        <v>0.3333333333333333</v>
      </c>
      <c r="T43" s="98" t="n">
        <v>0.3333333333333333</v>
      </c>
      <c r="U43" s="98" t="n">
        <v>0.3333333333333333</v>
      </c>
      <c r="V43" s="98" t="n">
        <v>0.3333333333333333</v>
      </c>
      <c r="W43" s="98" t="n">
        <v>0.3333333333333333</v>
      </c>
      <c r="X43" s="98" t="n">
        <v>0.3333333333333333</v>
      </c>
      <c r="Y43" s="98" t="n">
        <v>0.3333333333333333</v>
      </c>
      <c r="Z43" s="98" t="n">
        <v>0.3333333333333333</v>
      </c>
      <c r="AA43" s="98" t="n">
        <v>0.3333333333333333</v>
      </c>
      <c r="AB43" s="98" t="n">
        <v>0.3333333333333333</v>
      </c>
      <c r="AC43" s="98" t="n">
        <v>0.3333333333333333</v>
      </c>
      <c r="AD43" s="98" t="n">
        <v>0.3333333333333333</v>
      </c>
      <c r="AE43" s="98" t="n">
        <v>0.3333333333333333</v>
      </c>
      <c r="AF43" s="98" t="n">
        <v>0.3333333333333333</v>
      </c>
      <c r="AG43" s="98" t="n">
        <v>0.3333333333333333</v>
      </c>
      <c r="AH43" s="98" t="n">
        <v>0.3333333333333333</v>
      </c>
      <c r="AI43" s="517" t="n"/>
    </row>
    <row r="44" ht="15" customHeight="1" s="488">
      <c r="A44" s="500" t="n">
        <v>1</v>
      </c>
      <c r="B44" s="500" t="inlineStr">
        <is>
          <t>3F</t>
        </is>
      </c>
      <c r="C44" s="500" t="inlineStr">
        <is>
          <t>SL No 540430038840 (EB Unit)</t>
        </is>
      </c>
      <c r="D44" s="501" t="n"/>
      <c r="E44" s="20">
        <f>E6-D6</f>
        <v/>
      </c>
      <c r="F44" s="20">
        <f>F6-E6</f>
        <v/>
      </c>
      <c r="G44" s="20">
        <f>G6-F6</f>
        <v/>
      </c>
      <c r="H44" s="20">
        <f>H6-G6</f>
        <v/>
      </c>
      <c r="I44" s="20">
        <f>I6-H6</f>
        <v/>
      </c>
      <c r="J44" s="20">
        <f>J6-I6</f>
        <v/>
      </c>
      <c r="K44" s="20">
        <f>K6-J6</f>
        <v/>
      </c>
      <c r="L44" s="20">
        <f>L6-K6</f>
        <v/>
      </c>
      <c r="M44" s="20">
        <f>M6-L6</f>
        <v/>
      </c>
      <c r="N44" s="20">
        <f>N6-M6</f>
        <v/>
      </c>
      <c r="O44" s="20">
        <f>O6-N6</f>
        <v/>
      </c>
      <c r="P44" s="20">
        <f>P6-O6</f>
        <v/>
      </c>
      <c r="Q44" s="20">
        <f>Q6-P6</f>
        <v/>
      </c>
      <c r="R44" s="20">
        <f>R6-Q6</f>
        <v/>
      </c>
      <c r="S44" s="20">
        <f>S6-R6</f>
        <v/>
      </c>
      <c r="T44" s="20">
        <f>T6-S6</f>
        <v/>
      </c>
      <c r="U44" s="20">
        <f>U6-T6</f>
        <v/>
      </c>
      <c r="V44" s="20">
        <f>V6-U6</f>
        <v/>
      </c>
      <c r="W44" s="20">
        <f>W6-V6</f>
        <v/>
      </c>
      <c r="X44" s="20">
        <f>X6-W6</f>
        <v/>
      </c>
      <c r="Y44" s="20">
        <f>Y6-X6</f>
        <v/>
      </c>
      <c r="Z44" s="20">
        <f>Z6-Y6</f>
        <v/>
      </c>
      <c r="AA44" s="20">
        <f>AA6-Z6</f>
        <v/>
      </c>
      <c r="AB44" s="20">
        <f>AB6-AA6</f>
        <v/>
      </c>
      <c r="AC44" s="20">
        <f>AC6-AB6</f>
        <v/>
      </c>
      <c r="AD44" s="20">
        <f>AD6-AC6</f>
        <v/>
      </c>
      <c r="AE44" s="20">
        <f>AE6-AD6</f>
        <v/>
      </c>
      <c r="AF44" s="20">
        <f>AF6-AE6</f>
        <v/>
      </c>
      <c r="AG44" s="20">
        <f>AG6-AF6</f>
        <v/>
      </c>
      <c r="AH44" s="20">
        <f>AH6-AG6</f>
        <v/>
      </c>
      <c r="AI44" s="21">
        <f>SUM(E44:AH44)</f>
        <v/>
      </c>
    </row>
    <row r="45" ht="15" customHeight="1" s="488">
      <c r="A45" s="500" t="n"/>
      <c r="B45" s="500" t="n"/>
      <c r="C45" s="529" t="inlineStr">
        <is>
          <t>DG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1">
        <f>SUM(E45:AH45)</f>
        <v/>
      </c>
    </row>
    <row r="46" ht="15" customHeight="1" s="488">
      <c r="A46" s="500" t="n">
        <v>2</v>
      </c>
      <c r="B46" s="500" t="inlineStr">
        <is>
          <t>3F</t>
        </is>
      </c>
      <c r="C46" s="500" t="inlineStr">
        <is>
          <t>SL No 540430038845 (EB Unit)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1">
        <f>SUM(E46:AH46)</f>
        <v/>
      </c>
    </row>
    <row r="47" ht="15" customHeight="1" s="488">
      <c r="A47" s="500" t="n"/>
      <c r="B47" s="500" t="n"/>
      <c r="C47" s="529" t="inlineStr">
        <is>
          <t>DG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1">
        <f>SUM(E47:AH47)</f>
        <v/>
      </c>
    </row>
    <row r="48" ht="15" customHeight="1" s="488">
      <c r="A48" s="500" t="n">
        <v>3</v>
      </c>
      <c r="B48" s="500" t="inlineStr">
        <is>
          <t>3F</t>
        </is>
      </c>
      <c r="C48" s="500" t="inlineStr">
        <is>
          <t>SL No 540430038844 (EB Unit)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1">
        <f>SUM(E48:AH48)</f>
        <v/>
      </c>
    </row>
    <row r="49" ht="15" customHeight="1" s="488">
      <c r="A49" s="500" t="n"/>
      <c r="B49" s="500" t="n"/>
      <c r="C49" s="529" t="inlineStr">
        <is>
          <t>DG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1">
        <f>SUM(E49:AH49)</f>
        <v/>
      </c>
    </row>
    <row r="50" ht="15" customHeight="1" s="488">
      <c r="A50" s="500" t="n">
        <v>4</v>
      </c>
      <c r="B50" s="500" t="inlineStr">
        <is>
          <t>3F</t>
        </is>
      </c>
      <c r="C50" s="500" t="inlineStr">
        <is>
          <t>SL No 540430038821 (EB Unit)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1">
        <f>SUM(E50:AH50)</f>
        <v/>
      </c>
    </row>
    <row r="51" ht="15" customHeight="1" s="488">
      <c r="A51" s="500" t="n"/>
      <c r="B51" s="500" t="n"/>
      <c r="C51" s="529" t="inlineStr">
        <is>
          <t>DG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1">
        <f>SUM(E51:AH51)</f>
        <v/>
      </c>
    </row>
    <row r="52" ht="15" customHeight="1" s="488">
      <c r="A52" s="500" t="n">
        <v>5</v>
      </c>
      <c r="B52" s="500" t="inlineStr">
        <is>
          <t>3F</t>
        </is>
      </c>
      <c r="C52" s="500" t="inlineStr">
        <is>
          <t>SL No 540430038849 (EB Unit)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1">
        <f>SUM(E52:AH52)</f>
        <v/>
      </c>
    </row>
    <row r="53" ht="15" customHeight="1" s="488">
      <c r="A53" s="500" t="n"/>
      <c r="B53" s="500" t="n"/>
      <c r="C53" s="529" t="inlineStr">
        <is>
          <t>DG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1">
        <f>SUM(E53:AH53)</f>
        <v/>
      </c>
    </row>
    <row r="54" ht="15" customHeight="1" s="488">
      <c r="A54" s="500" t="n">
        <v>6</v>
      </c>
      <c r="B54" s="500" t="inlineStr">
        <is>
          <t>3F</t>
        </is>
      </c>
      <c r="C54" s="500" t="inlineStr">
        <is>
          <t>SL No 540430038696 (EB Unit)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1">
        <f>SUM(E54:AH54)</f>
        <v/>
      </c>
    </row>
    <row r="55" ht="15" customHeight="1" s="488">
      <c r="A55" s="500" t="n"/>
      <c r="B55" s="500" t="n"/>
      <c r="C55" s="529" t="inlineStr">
        <is>
          <t>DG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1">
        <f>SUM(E55:AH55)</f>
        <v/>
      </c>
    </row>
    <row r="56" ht="15" customHeight="1" s="488">
      <c r="A56" s="500" t="n">
        <v>7</v>
      </c>
      <c r="B56" s="500" t="inlineStr">
        <is>
          <t>3F</t>
        </is>
      </c>
      <c r="C56" s="500" t="inlineStr">
        <is>
          <t>SL No 540430038843 (EB Unit)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1">
        <f>SUM(E56:AH56)</f>
        <v/>
      </c>
    </row>
    <row r="57" ht="15" customHeight="1" s="488">
      <c r="A57" s="500" t="n"/>
      <c r="B57" s="500" t="n"/>
      <c r="C57" s="529" t="inlineStr">
        <is>
          <t>DG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 t="n">
        <v>0</v>
      </c>
      <c r="Z57" s="20">
        <f>Z19-Y19</f>
        <v/>
      </c>
      <c r="AA57" s="20" t="n">
        <v>0</v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1">
        <f>SUM(E57:AH57)</f>
        <v/>
      </c>
    </row>
    <row r="58" ht="15" customHeight="1" s="488">
      <c r="A58" s="500" t="n">
        <v>8</v>
      </c>
      <c r="B58" s="500" t="inlineStr">
        <is>
          <t>3F</t>
        </is>
      </c>
      <c r="C58" s="500" t="inlineStr">
        <is>
          <t>SL No 540430038848 (EB Unit)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1">
        <f>SUM(E58:AH58)</f>
        <v/>
      </c>
    </row>
    <row r="59" ht="15" customHeight="1" s="488">
      <c r="A59" s="500" t="n"/>
      <c r="B59" s="500" t="n"/>
      <c r="C59" s="529" t="inlineStr">
        <is>
          <t>DG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1">
        <f>SUM(E59:AH59)</f>
        <v/>
      </c>
    </row>
    <row r="60" ht="15" customHeight="1" s="488">
      <c r="A60" s="99" t="n"/>
      <c r="B60" s="99" t="n"/>
      <c r="C60" s="511" t="inlineStr">
        <is>
          <t>Total Power - EB Unit</t>
        </is>
      </c>
      <c r="D60" s="501" t="n"/>
      <c r="E60" s="23">
        <f>SUM(E58,E56,E54,E52,E50,E48,E46,E44)</f>
        <v/>
      </c>
      <c r="F60" s="23">
        <f>SUM(F58,F56,F54,F52,F50,F48,F46,F44)</f>
        <v/>
      </c>
      <c r="G60" s="23">
        <f>SUM(G58,G56,G54,G52,G50,G48,G46,G44)</f>
        <v/>
      </c>
      <c r="H60" s="23">
        <f>SUM(H58,H56,H54,H52,H50,H48,H46,H44)</f>
        <v/>
      </c>
      <c r="I60" s="23">
        <f>SUM(I58,I56,I54,I52,I50,I48,I46,I44)</f>
        <v/>
      </c>
      <c r="J60" s="23">
        <f>SUM(J58,J56,J54,J52,J50,J48,J46,J44)</f>
        <v/>
      </c>
      <c r="K60" s="23">
        <f>SUM(K58,K56,K54,K52,K50,K48,K46,K44)</f>
        <v/>
      </c>
      <c r="L60" s="23">
        <f>SUM(L58,L56,L54,L52,L50,L48,L46,L44)</f>
        <v/>
      </c>
      <c r="M60" s="23">
        <f>SUM(M58,M56,M54,M52,M50,M48,M46,M44)</f>
        <v/>
      </c>
      <c r="N60" s="23">
        <f>SUM(N58,N56,N54,N52,N50,N48,N46,N44)</f>
        <v/>
      </c>
      <c r="O60" s="23">
        <f>SUM(O58,O56,O54,O52,O50,O48,O46,O44)</f>
        <v/>
      </c>
      <c r="P60" s="23">
        <f>SUM(P58,P56,P54,P52,P50,P48,P46,P44)</f>
        <v/>
      </c>
      <c r="Q60" s="23">
        <f>SUM(Q58,Q56,Q54,Q52,Q50,Q48,Q46,Q44)</f>
        <v/>
      </c>
      <c r="R60" s="23">
        <f>SUM(R58,R56,R54,R52,R50,R48,R46,R44)</f>
        <v/>
      </c>
      <c r="S60" s="23">
        <f>SUM(S58,S56,S54,S52,S50,S48,S46,S44)</f>
        <v/>
      </c>
      <c r="T60" s="23">
        <f>SUM(T58,T56,T54,T52,T50,T48,T46,T44)</f>
        <v/>
      </c>
      <c r="U60" s="23">
        <f>SUM(U58,U56,U54,U52,U50,U48,U46,U44)</f>
        <v/>
      </c>
      <c r="V60" s="23">
        <f>SUM(V58,V56,V54,V52,V50,V48,V46,V44)</f>
        <v/>
      </c>
      <c r="W60" s="23">
        <f>SUM(W58,W56,W54,W52,W50,W48,W46,W44)</f>
        <v/>
      </c>
      <c r="X60" s="23">
        <f>SUM(X58,X56,X54,X52,X50,X48,X46,X44)</f>
        <v/>
      </c>
      <c r="Y60" s="23">
        <f>SUM(Y58,Y56,Y54,Y52,Y50,Y48,Y46,Y44)</f>
        <v/>
      </c>
      <c r="Z60" s="23">
        <f>SUM(Z58,Z56,Z54,Z52,Z50,Z48,Z46,Z44)</f>
        <v/>
      </c>
      <c r="AA60" s="23">
        <f>SUM(AA58,AA56,AA54,AA52,AA50,AA48,AA46,AA44)</f>
        <v/>
      </c>
      <c r="AB60" s="23">
        <f>SUM(AB58,AB56,AB54,AB52,AB50,AB48,AB46,AB44)</f>
        <v/>
      </c>
      <c r="AC60" s="23">
        <f>SUM(AC58,AC56,AC54,AC52,AC50,AC48,AC46,AC44)</f>
        <v/>
      </c>
      <c r="AD60" s="23">
        <f>SUM(AD58,AD56,AD54,AD52,AD50,AD48,AD46,AD44)</f>
        <v/>
      </c>
      <c r="AE60" s="23">
        <f>SUM(AE58,AE56,AE54,AE52,AE50,AE48,AE46,AE44)</f>
        <v/>
      </c>
      <c r="AF60" s="23">
        <f>SUM(AF58,AF56,AF54,AF52,AF50,AF48,AF46,AF44)</f>
        <v/>
      </c>
      <c r="AG60" s="23">
        <f>SUM(AG58,AG56,AG54,AG52,AG50,AG48,AG46,AG44)</f>
        <v/>
      </c>
      <c r="AH60" s="23">
        <f>SUM(AH58,AH56,AH54,AH52,AH50,AH48,AH46,AH44)</f>
        <v/>
      </c>
      <c r="AI60" s="24">
        <f>SUM(E60:AH60)</f>
        <v/>
      </c>
    </row>
    <row r="61" ht="15" customHeight="1" s="488">
      <c r="A61" s="99" t="n"/>
      <c r="B61" s="99" t="n"/>
      <c r="C61" s="145" t="inlineStr">
        <is>
          <t>Total Power- DG</t>
        </is>
      </c>
      <c r="D61" s="108" t="n"/>
      <c r="E61" s="23">
        <f>SUM(E45,E47,E49,E51,E53,E55,E57,E59)</f>
        <v/>
      </c>
      <c r="F61" s="23">
        <f>SUM(F45,F47,F49,F51,F53,F55,F57,F59)</f>
        <v/>
      </c>
      <c r="G61" s="23">
        <f>SUM(G45,G47,G49,G51,G53,G55,G57,G59)</f>
        <v/>
      </c>
      <c r="H61" s="23">
        <f>SUM(H45,H47,H49,H51,H53,H55,H57,H59)</f>
        <v/>
      </c>
      <c r="I61" s="23">
        <f>SUM(I45,I47,I49,I51,I53,I55,I57,I59)</f>
        <v/>
      </c>
      <c r="J61" s="23">
        <f>SUM(J45,J47,J49,J51,J53,J55,J57,J59)</f>
        <v/>
      </c>
      <c r="K61" s="23">
        <f>SUM(K45,K47,K49,K51,K53,K55,K57,K59)</f>
        <v/>
      </c>
      <c r="L61" s="23">
        <f>SUM(L45,L47,L49,L51,L53,L55,L57,L59)</f>
        <v/>
      </c>
      <c r="M61" s="23">
        <f>SUM(M45,M47,M49,M51,M53,M55,M57,M59)</f>
        <v/>
      </c>
      <c r="N61" s="23">
        <f>SUM(N45,N47,N49,N51,N53,N55,N57,N59)</f>
        <v/>
      </c>
      <c r="O61" s="23">
        <f>SUM(O45,O47,O49,O51,O53,O55,O57,O59)</f>
        <v/>
      </c>
      <c r="P61" s="23">
        <f>SUM(P45,P47,P49,P51,P53,P55,P57,P59)</f>
        <v/>
      </c>
      <c r="Q61" s="23">
        <f>SUM(Q45,Q47,Q49,Q51,Q53,Q55,Q57,Q59)</f>
        <v/>
      </c>
      <c r="R61" s="23">
        <f>SUM(R45,R47,R49,R51,R53,R55,R57,R59)</f>
        <v/>
      </c>
      <c r="S61" s="23">
        <f>SUM(S45,S47,S49,S51,S53,S55,S57,S59)</f>
        <v/>
      </c>
      <c r="T61" s="23">
        <f>SUM(T45,T47,T49,T51,T53,T55,T57,T59)</f>
        <v/>
      </c>
      <c r="U61" s="23">
        <f>SUM(U45,U47,U49,U51,U53,U55,U57,U59)</f>
        <v/>
      </c>
      <c r="V61" s="23">
        <f>SUM(V45,V47,V49,V51,V53,V55,V57,V59)</f>
        <v/>
      </c>
      <c r="W61" s="23">
        <f>SUM(W45,W47,W49,W51,W53,W55,W57,W59)</f>
        <v/>
      </c>
      <c r="X61" s="23">
        <f>SUM(X45,X47,X49,X51,X53,X55,X57,X59)</f>
        <v/>
      </c>
      <c r="Y61" s="23">
        <f>SUM(Y45,Y47,Y49,Y51,Y53,Y55,Y57,Y59)</f>
        <v/>
      </c>
      <c r="Z61" s="23">
        <f>SUM(Z45,Z47,Z49,Z51,Z53,Z55,Z57,Z59)</f>
        <v/>
      </c>
      <c r="AA61" s="23">
        <f>SUM(AA45,AA47,AA49,AA51,AA53,AA55,AA57,AA59)</f>
        <v/>
      </c>
      <c r="AB61" s="23">
        <f>SUM(AB45,AB47,AB49,AB51,AB53,AB55,AB57,AB59)</f>
        <v/>
      </c>
      <c r="AC61" s="23">
        <f>SUM(AC45,AC47,AC49,AC51,AC53,AC55,AC57,AC59)</f>
        <v/>
      </c>
      <c r="AD61" s="23">
        <f>SUM(AD45,AD47,AD49,AD51,AD53,AD55,AD57,AD59)</f>
        <v/>
      </c>
      <c r="AE61" s="23">
        <f>SUM(AE45,AE47,AE49,AE51,AE53,AE55,AE57,AE59)</f>
        <v/>
      </c>
      <c r="AF61" s="23">
        <f>SUM(AF45,AF47,AF49,AF51,AF53,AF55,AF57,AF59)</f>
        <v/>
      </c>
      <c r="AG61" s="23">
        <f>SUM(AG45,AG47,AG49,AG51,AG53,AG55,AG57,AG59)</f>
        <v/>
      </c>
      <c r="AH61" s="23">
        <f>SUM(AH45,AH47,AH49,AH51,AH53,AH55,AH57,AH59)</f>
        <v/>
      </c>
      <c r="AI61" s="24">
        <f>SUM(E61:AH61)</f>
        <v/>
      </c>
    </row>
    <row r="62">
      <c r="A62" s="539" t="n"/>
      <c r="B62" s="539" t="n"/>
      <c r="C62" s="532" t="inlineStr">
        <is>
          <t>Total Power Cumulative</t>
        </is>
      </c>
      <c r="D62" s="501" t="n"/>
      <c r="E62" s="102">
        <f>E60</f>
        <v/>
      </c>
      <c r="F62" s="102">
        <f>F60</f>
        <v/>
      </c>
      <c r="G62" s="102">
        <f>G60</f>
        <v/>
      </c>
      <c r="H62" s="102">
        <f>H60</f>
        <v/>
      </c>
      <c r="I62" s="102">
        <f>I60</f>
        <v/>
      </c>
      <c r="J62" s="102">
        <f>J60</f>
        <v/>
      </c>
      <c r="K62" s="102">
        <f>K60</f>
        <v/>
      </c>
      <c r="L62" s="102">
        <f>L60</f>
        <v/>
      </c>
      <c r="M62" s="102">
        <f>M60</f>
        <v/>
      </c>
      <c r="N62" s="102">
        <f>N60</f>
        <v/>
      </c>
      <c r="O62" s="102">
        <f>O60</f>
        <v/>
      </c>
      <c r="P62" s="102">
        <f>P60</f>
        <v/>
      </c>
      <c r="Q62" s="102">
        <f>Q60</f>
        <v/>
      </c>
      <c r="R62" s="102">
        <f>R60</f>
        <v/>
      </c>
      <c r="S62" s="102">
        <f>S60</f>
        <v/>
      </c>
      <c r="T62" s="102">
        <f>T60</f>
        <v/>
      </c>
      <c r="U62" s="102">
        <f>U60</f>
        <v/>
      </c>
      <c r="V62" s="102">
        <f>V60</f>
        <v/>
      </c>
      <c r="W62" s="102">
        <f>W60</f>
        <v/>
      </c>
      <c r="X62" s="102">
        <f>X60</f>
        <v/>
      </c>
      <c r="Y62" s="102">
        <f>Y60</f>
        <v/>
      </c>
      <c r="Z62" s="102">
        <f>Z60</f>
        <v/>
      </c>
      <c r="AA62" s="102">
        <f>AA60</f>
        <v/>
      </c>
      <c r="AB62" s="102">
        <f>AB60</f>
        <v/>
      </c>
      <c r="AC62" s="102">
        <f>AC60</f>
        <v/>
      </c>
      <c r="AD62" s="102">
        <f>AD60</f>
        <v/>
      </c>
      <c r="AE62" s="102">
        <f>AE60</f>
        <v/>
      </c>
      <c r="AF62" s="102">
        <f>AF60</f>
        <v/>
      </c>
      <c r="AG62" s="102">
        <f>AG60</f>
        <v/>
      </c>
      <c r="AH62" s="102">
        <f>AH60</f>
        <v/>
      </c>
      <c r="AI62" s="102">
        <f>AI60</f>
        <v/>
      </c>
    </row>
    <row r="63">
      <c r="A63" s="94" t="n"/>
      <c r="B63" s="534" t="n"/>
      <c r="C63" s="146" t="n"/>
      <c r="D63" s="109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4" t="n"/>
    </row>
    <row r="64">
      <c r="A64" s="28" t="inlineStr">
        <is>
          <t>S No</t>
        </is>
      </c>
      <c r="B64" s="28" t="inlineStr">
        <is>
          <t>Location</t>
        </is>
      </c>
      <c r="C64" s="513" t="inlineStr">
        <is>
          <t>Meter</t>
        </is>
      </c>
      <c r="D64" s="50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103" t="n"/>
    </row>
    <row r="65">
      <c r="A65" s="500" t="n">
        <v>1</v>
      </c>
      <c r="B65" s="500" t="inlineStr">
        <is>
          <t>3F</t>
        </is>
      </c>
      <c r="C65" s="503" t="inlineStr">
        <is>
          <t>AHU1</t>
        </is>
      </c>
      <c r="D65" s="501" t="n"/>
      <c r="E65" s="102">
        <f>E23-D23</f>
        <v/>
      </c>
      <c r="F65" s="102">
        <f>F23-E23</f>
        <v/>
      </c>
      <c r="G65" s="102">
        <f>G23-F23</f>
        <v/>
      </c>
      <c r="H65" s="102">
        <f>H23-G23</f>
        <v/>
      </c>
      <c r="I65" s="102">
        <f>I23-H23</f>
        <v/>
      </c>
      <c r="J65" s="102">
        <f>J23-I23</f>
        <v/>
      </c>
      <c r="K65" s="102">
        <f>K23-J23</f>
        <v/>
      </c>
      <c r="L65" s="102">
        <f>L23-K23</f>
        <v/>
      </c>
      <c r="M65" s="102">
        <f>M23-L23</f>
        <v/>
      </c>
      <c r="N65" s="102">
        <f>N23-M23</f>
        <v/>
      </c>
      <c r="O65" s="102">
        <f>O23-N23</f>
        <v/>
      </c>
      <c r="P65" s="102">
        <f>P23-O23</f>
        <v/>
      </c>
      <c r="Q65" s="102">
        <f>Q23-P23</f>
        <v/>
      </c>
      <c r="R65" s="102">
        <f>R23-Q23</f>
        <v/>
      </c>
      <c r="S65" s="102">
        <f>S23-R23</f>
        <v/>
      </c>
      <c r="T65" s="102">
        <f>T23-S23</f>
        <v/>
      </c>
      <c r="U65" s="102">
        <f>U23-T23</f>
        <v/>
      </c>
      <c r="V65" s="102">
        <f>V23-U23</f>
        <v/>
      </c>
      <c r="W65" s="102">
        <f>W23-V23</f>
        <v/>
      </c>
      <c r="X65" s="102">
        <f>X23-W23</f>
        <v/>
      </c>
      <c r="Y65" s="102">
        <f>Y23-X23</f>
        <v/>
      </c>
      <c r="Z65" s="102">
        <f>Z23-Y23</f>
        <v/>
      </c>
      <c r="AA65" s="102">
        <f>AA23-Z23</f>
        <v/>
      </c>
      <c r="AB65" s="102">
        <f>AB23-AA23</f>
        <v/>
      </c>
      <c r="AC65" s="102">
        <f>AC23-AB23</f>
        <v/>
      </c>
      <c r="AD65" s="102">
        <f>AD23-AC23</f>
        <v/>
      </c>
      <c r="AE65" s="102">
        <f>AE23-AD23</f>
        <v/>
      </c>
      <c r="AF65" s="102">
        <f>AF23-AE23</f>
        <v/>
      </c>
      <c r="AG65" s="102">
        <f>AG23-AF23</f>
        <v/>
      </c>
      <c r="AH65" s="102">
        <f>AH23-AG23</f>
        <v/>
      </c>
      <c r="AI65" s="102">
        <f>SUM(E65:AH65)</f>
        <v/>
      </c>
    </row>
    <row r="66">
      <c r="A66" s="500" t="n"/>
      <c r="B66" s="500" t="n"/>
      <c r="C66" s="531" t="inlineStr">
        <is>
          <t>DG</t>
        </is>
      </c>
      <c r="D66" s="501" t="n"/>
      <c r="E66" s="102">
        <f>E24-D24</f>
        <v/>
      </c>
      <c r="F66" s="102">
        <f>F24-E24</f>
        <v/>
      </c>
      <c r="G66" s="102">
        <f>G24-F24</f>
        <v/>
      </c>
      <c r="H66" s="102">
        <f>H24-G24</f>
        <v/>
      </c>
      <c r="I66" s="102">
        <f>I24-H24</f>
        <v/>
      </c>
      <c r="J66" s="102">
        <f>J24-I24</f>
        <v/>
      </c>
      <c r="K66" s="102">
        <f>K24-J24</f>
        <v/>
      </c>
      <c r="L66" s="102">
        <f>L24-K24</f>
        <v/>
      </c>
      <c r="M66" s="102">
        <f>M24-L24</f>
        <v/>
      </c>
      <c r="N66" s="102">
        <f>N24-M24</f>
        <v/>
      </c>
      <c r="O66" s="102">
        <f>O24-N24</f>
        <v/>
      </c>
      <c r="P66" s="102">
        <f>P24-O24</f>
        <v/>
      </c>
      <c r="Q66" s="102">
        <f>Q24-P24</f>
        <v/>
      </c>
      <c r="R66" s="102">
        <f>R24-Q24</f>
        <v/>
      </c>
      <c r="S66" s="102">
        <f>S24-R24</f>
        <v/>
      </c>
      <c r="T66" s="102">
        <f>T24-S24</f>
        <v/>
      </c>
      <c r="U66" s="102">
        <f>U24-T24</f>
        <v/>
      </c>
      <c r="V66" s="102">
        <f>V24-U24</f>
        <v/>
      </c>
      <c r="W66" s="102">
        <f>W24-V24</f>
        <v/>
      </c>
      <c r="X66" s="102">
        <f>X24-W24</f>
        <v/>
      </c>
      <c r="Y66" s="102">
        <f>Y24-X24</f>
        <v/>
      </c>
      <c r="Z66" s="102">
        <f>Z24-Y24</f>
        <v/>
      </c>
      <c r="AA66" s="102">
        <f>AA24-Z24</f>
        <v/>
      </c>
      <c r="AB66" s="102">
        <f>AB24-AA24</f>
        <v/>
      </c>
      <c r="AC66" s="102">
        <f>AC24-AB24</f>
        <v/>
      </c>
      <c r="AD66" s="102">
        <f>AD24-AC24</f>
        <v/>
      </c>
      <c r="AE66" s="102">
        <f>AE24-AD24</f>
        <v/>
      </c>
      <c r="AF66" s="102">
        <f>AF24-AE24</f>
        <v/>
      </c>
      <c r="AG66" s="102">
        <f>AG24-AF24</f>
        <v/>
      </c>
      <c r="AH66" s="102">
        <f>AH24-AG24</f>
        <v/>
      </c>
      <c r="AI66" s="102">
        <f>SUM(E66:AH66)</f>
        <v/>
      </c>
    </row>
    <row r="67">
      <c r="A67" s="500" t="n">
        <v>2</v>
      </c>
      <c r="B67" s="500" t="inlineStr">
        <is>
          <t>3F</t>
        </is>
      </c>
      <c r="C67" s="503" t="inlineStr">
        <is>
          <t>AHU2</t>
        </is>
      </c>
      <c r="D67" s="501" t="n"/>
      <c r="E67" s="102">
        <f>E25-D25</f>
        <v/>
      </c>
      <c r="F67" s="102">
        <f>F25-E25</f>
        <v/>
      </c>
      <c r="G67" s="102">
        <f>G25-F25</f>
        <v/>
      </c>
      <c r="H67" s="102">
        <f>H25-G25</f>
        <v/>
      </c>
      <c r="I67" s="102">
        <f>I25-H25</f>
        <v/>
      </c>
      <c r="J67" s="102">
        <f>J25-I25</f>
        <v/>
      </c>
      <c r="K67" s="102">
        <f>K25-J25</f>
        <v/>
      </c>
      <c r="L67" s="102">
        <f>L25-K25</f>
        <v/>
      </c>
      <c r="M67" s="102">
        <f>M25-L25</f>
        <v/>
      </c>
      <c r="N67" s="102">
        <f>N25-M25</f>
        <v/>
      </c>
      <c r="O67" s="102">
        <f>O25-N25</f>
        <v/>
      </c>
      <c r="P67" s="102">
        <f>P25-O25</f>
        <v/>
      </c>
      <c r="Q67" s="102">
        <f>Q25-P25</f>
        <v/>
      </c>
      <c r="R67" s="102">
        <f>R25-Q25</f>
        <v/>
      </c>
      <c r="S67" s="102">
        <f>S25-R25</f>
        <v/>
      </c>
      <c r="T67" s="102">
        <f>T25-S25</f>
        <v/>
      </c>
      <c r="U67" s="102">
        <f>U25-T25</f>
        <v/>
      </c>
      <c r="V67" s="102">
        <f>V25-U25</f>
        <v/>
      </c>
      <c r="W67" s="102">
        <f>W25-V25</f>
        <v/>
      </c>
      <c r="X67" s="102">
        <f>X25-W25</f>
        <v/>
      </c>
      <c r="Y67" s="102">
        <f>Y25-X25</f>
        <v/>
      </c>
      <c r="Z67" s="102">
        <f>Z25-Y25</f>
        <v/>
      </c>
      <c r="AA67" s="102">
        <f>AA25-Z25</f>
        <v/>
      </c>
      <c r="AB67" s="102">
        <f>AB25-AA25</f>
        <v/>
      </c>
      <c r="AC67" s="102">
        <f>AC25-AB25</f>
        <v/>
      </c>
      <c r="AD67" s="102">
        <f>AD25-AC25</f>
        <v/>
      </c>
      <c r="AE67" s="102">
        <f>AE25-AD25</f>
        <v/>
      </c>
      <c r="AF67" s="102">
        <f>AF25-AE25</f>
        <v/>
      </c>
      <c r="AG67" s="102">
        <f>AG25-AF25</f>
        <v/>
      </c>
      <c r="AH67" s="102">
        <f>AH25-AG25</f>
        <v/>
      </c>
      <c r="AI67" s="102">
        <f>SUM(E67:AH67)</f>
        <v/>
      </c>
    </row>
    <row r="68">
      <c r="A68" s="500" t="n"/>
      <c r="B68" s="500" t="n"/>
      <c r="C68" s="531" t="inlineStr">
        <is>
          <t>DG</t>
        </is>
      </c>
      <c r="D68" s="501" t="n"/>
      <c r="E68" s="102">
        <f>E26-D26</f>
        <v/>
      </c>
      <c r="F68" s="102">
        <f>F26-E26</f>
        <v/>
      </c>
      <c r="G68" s="102">
        <f>G26-F26</f>
        <v/>
      </c>
      <c r="H68" s="102">
        <f>H26-G26</f>
        <v/>
      </c>
      <c r="I68" s="102">
        <f>I26-H26</f>
        <v/>
      </c>
      <c r="J68" s="102">
        <f>J26-I26</f>
        <v/>
      </c>
      <c r="K68" s="102">
        <f>K26-J26</f>
        <v/>
      </c>
      <c r="L68" s="102">
        <f>L26-K26</f>
        <v/>
      </c>
      <c r="M68" s="102">
        <f>M26-L26</f>
        <v/>
      </c>
      <c r="N68" s="102">
        <f>N26-M26</f>
        <v/>
      </c>
      <c r="O68" s="102">
        <f>O26-N26</f>
        <v/>
      </c>
      <c r="P68" s="102">
        <f>P26-O26</f>
        <v/>
      </c>
      <c r="Q68" s="102">
        <f>Q26-P26</f>
        <v/>
      </c>
      <c r="R68" s="102">
        <f>R26-Q26</f>
        <v/>
      </c>
      <c r="S68" s="102">
        <f>S26-R26</f>
        <v/>
      </c>
      <c r="T68" s="102">
        <f>T26-S26</f>
        <v/>
      </c>
      <c r="U68" s="102">
        <f>U26-T26</f>
        <v/>
      </c>
      <c r="V68" s="102">
        <f>V26-U26</f>
        <v/>
      </c>
      <c r="W68" s="102">
        <f>W26-V26</f>
        <v/>
      </c>
      <c r="X68" s="102">
        <f>X26-W26</f>
        <v/>
      </c>
      <c r="Y68" s="102">
        <f>Y26-X26</f>
        <v/>
      </c>
      <c r="Z68" s="102">
        <f>Z26-Y26</f>
        <v/>
      </c>
      <c r="AA68" s="102">
        <f>AA26-Z26</f>
        <v/>
      </c>
      <c r="AB68" s="102">
        <f>AB26-AA26</f>
        <v/>
      </c>
      <c r="AC68" s="102">
        <f>AC26-AB26</f>
        <v/>
      </c>
      <c r="AD68" s="102">
        <f>AD26-AC26</f>
        <v/>
      </c>
      <c r="AE68" s="102">
        <f>AE26-AD26</f>
        <v/>
      </c>
      <c r="AF68" s="102">
        <f>AF26-AE26</f>
        <v/>
      </c>
      <c r="AG68" s="102">
        <f>AG26-AF26</f>
        <v/>
      </c>
      <c r="AH68" s="102">
        <f>AH26-AG26</f>
        <v/>
      </c>
      <c r="AI68" s="102">
        <f>SUM(E68:AH68)</f>
        <v/>
      </c>
      <c r="AJ68" s="115" t="inlineStr">
        <is>
          <t>EB</t>
        </is>
      </c>
      <c r="AK68" s="116">
        <f>AI60</f>
        <v/>
      </c>
    </row>
    <row r="69">
      <c r="A69" s="500" t="n">
        <v>3</v>
      </c>
      <c r="B69" s="500" t="inlineStr">
        <is>
          <t>3F</t>
        </is>
      </c>
      <c r="C69" s="503" t="inlineStr">
        <is>
          <t>AHU3</t>
        </is>
      </c>
      <c r="D69" s="501" t="n"/>
      <c r="E69" s="102">
        <f>E27-D27</f>
        <v/>
      </c>
      <c r="F69" s="102">
        <f>F27-E27</f>
        <v/>
      </c>
      <c r="G69" s="102">
        <f>G27-F27</f>
        <v/>
      </c>
      <c r="H69" s="102">
        <f>H27-G27</f>
        <v/>
      </c>
      <c r="I69" s="102">
        <f>I27-H27</f>
        <v/>
      </c>
      <c r="J69" s="102">
        <f>J27-I27</f>
        <v/>
      </c>
      <c r="K69" s="102">
        <f>K27-J27</f>
        <v/>
      </c>
      <c r="L69" s="102">
        <f>L27-K27</f>
        <v/>
      </c>
      <c r="M69" s="102">
        <f>M27-L27</f>
        <v/>
      </c>
      <c r="N69" s="102">
        <f>N27-M27</f>
        <v/>
      </c>
      <c r="O69" s="102">
        <f>O27-N27</f>
        <v/>
      </c>
      <c r="P69" s="102">
        <f>P27-O27</f>
        <v/>
      </c>
      <c r="Q69" s="102">
        <f>Q27-P27</f>
        <v/>
      </c>
      <c r="R69" s="102">
        <f>R27-Q27</f>
        <v/>
      </c>
      <c r="S69" s="102">
        <f>S27-R27</f>
        <v/>
      </c>
      <c r="T69" s="102">
        <f>T27-S27</f>
        <v/>
      </c>
      <c r="U69" s="102">
        <f>U27-T27</f>
        <v/>
      </c>
      <c r="V69" s="102">
        <f>V27-U27</f>
        <v/>
      </c>
      <c r="W69" s="102">
        <f>W27-V27</f>
        <v/>
      </c>
      <c r="X69" s="102">
        <f>X27-W27</f>
        <v/>
      </c>
      <c r="Y69" s="102">
        <f>Y27-X27</f>
        <v/>
      </c>
      <c r="Z69" s="102">
        <f>Z27-Y27</f>
        <v/>
      </c>
      <c r="AA69" s="102">
        <f>AA27-Z27</f>
        <v/>
      </c>
      <c r="AB69" s="102">
        <f>AB27-AA27</f>
        <v/>
      </c>
      <c r="AC69" s="102">
        <f>AC27-AB27</f>
        <v/>
      </c>
      <c r="AD69" s="102">
        <f>AD27-AC27</f>
        <v/>
      </c>
      <c r="AE69" s="102">
        <f>AE27-AD27</f>
        <v/>
      </c>
      <c r="AF69" s="102">
        <f>AF27-AE27</f>
        <v/>
      </c>
      <c r="AG69" s="102">
        <f>AG27-AF27</f>
        <v/>
      </c>
      <c r="AH69" s="102">
        <f>AH27-AG27</f>
        <v/>
      </c>
      <c r="AI69" s="102">
        <f>SUM(E69:AH69)</f>
        <v/>
      </c>
      <c r="AJ69" s="115" t="inlineStr">
        <is>
          <t>AHU</t>
        </is>
      </c>
      <c r="AK69" s="116">
        <f>AI73</f>
        <v/>
      </c>
    </row>
    <row r="70">
      <c r="A70" s="500" t="n"/>
      <c r="B70" s="500" t="n"/>
      <c r="C70" s="531" t="inlineStr">
        <is>
          <t>DG</t>
        </is>
      </c>
      <c r="D70" s="501" t="n"/>
      <c r="E70" s="102">
        <f>E28-D28</f>
        <v/>
      </c>
      <c r="F70" s="102">
        <f>F28-E28</f>
        <v/>
      </c>
      <c r="G70" s="102">
        <f>G28-F28</f>
        <v/>
      </c>
      <c r="H70" s="102">
        <f>H28-G28</f>
        <v/>
      </c>
      <c r="I70" s="102">
        <f>I28-H28</f>
        <v/>
      </c>
      <c r="J70" s="102">
        <f>J28-I28</f>
        <v/>
      </c>
      <c r="K70" s="102">
        <f>K28-J28</f>
        <v/>
      </c>
      <c r="L70" s="102">
        <f>L28-K28</f>
        <v/>
      </c>
      <c r="M70" s="102">
        <f>M28-L28</f>
        <v/>
      </c>
      <c r="N70" s="102">
        <f>N28-M28</f>
        <v/>
      </c>
      <c r="O70" s="102">
        <f>O28-N28</f>
        <v/>
      </c>
      <c r="P70" s="102">
        <f>P28-O28</f>
        <v/>
      </c>
      <c r="Q70" s="102">
        <f>Q28-P28</f>
        <v/>
      </c>
      <c r="R70" s="102">
        <f>R28-Q28</f>
        <v/>
      </c>
      <c r="S70" s="102">
        <f>S28-R28</f>
        <v/>
      </c>
      <c r="T70" s="102">
        <f>T28-S28</f>
        <v/>
      </c>
      <c r="U70" s="102">
        <f>U28-T28</f>
        <v/>
      </c>
      <c r="V70" s="102">
        <f>V28-U28</f>
        <v/>
      </c>
      <c r="W70" s="102">
        <f>W28-V28</f>
        <v/>
      </c>
      <c r="X70" s="102">
        <f>X28-W28</f>
        <v/>
      </c>
      <c r="Y70" s="102">
        <f>Y28-X28</f>
        <v/>
      </c>
      <c r="Z70" s="102">
        <f>Z28-Y28</f>
        <v/>
      </c>
      <c r="AA70" s="102">
        <f>AA28-Z28</f>
        <v/>
      </c>
      <c r="AB70" s="102">
        <f>AB28-AA28</f>
        <v/>
      </c>
      <c r="AC70" s="102">
        <f>AC28-AB28</f>
        <v/>
      </c>
      <c r="AD70" s="102">
        <f>AD28-AC28</f>
        <v/>
      </c>
      <c r="AE70" s="102">
        <f>AE28-AD28</f>
        <v/>
      </c>
      <c r="AF70" s="102">
        <f>AF28-AE28</f>
        <v/>
      </c>
      <c r="AG70" s="102">
        <f>AG28-AF28</f>
        <v/>
      </c>
      <c r="AH70" s="102">
        <f>AH28-AG28</f>
        <v/>
      </c>
      <c r="AI70" s="102">
        <f>SUM(E70:AH70)</f>
        <v/>
      </c>
      <c r="AJ70" s="115" t="inlineStr">
        <is>
          <t>BTU</t>
        </is>
      </c>
      <c r="AK70" s="116">
        <f>AI79*40%</f>
        <v/>
      </c>
    </row>
    <row r="71">
      <c r="A71" s="500" t="n">
        <v>4</v>
      </c>
      <c r="B71" s="500" t="inlineStr">
        <is>
          <t>3F</t>
        </is>
      </c>
      <c r="C71" s="503" t="inlineStr">
        <is>
          <t>AHU4</t>
        </is>
      </c>
      <c r="D71" s="501" t="n"/>
      <c r="E71" s="102">
        <f>E29-D29</f>
        <v/>
      </c>
      <c r="F71" s="102">
        <f>F29-E29</f>
        <v/>
      </c>
      <c r="G71" s="102">
        <f>G29-F29</f>
        <v/>
      </c>
      <c r="H71" s="102">
        <f>H29-G29</f>
        <v/>
      </c>
      <c r="I71" s="102">
        <f>I29-H29</f>
        <v/>
      </c>
      <c r="J71" s="102">
        <f>J29-I29</f>
        <v/>
      </c>
      <c r="K71" s="102">
        <f>K29-J29</f>
        <v/>
      </c>
      <c r="L71" s="102">
        <f>L29-K29</f>
        <v/>
      </c>
      <c r="M71" s="102">
        <f>M29-L29</f>
        <v/>
      </c>
      <c r="N71" s="102">
        <f>N29-M29</f>
        <v/>
      </c>
      <c r="O71" s="102">
        <f>O29-N29</f>
        <v/>
      </c>
      <c r="P71" s="102">
        <f>P29-O29</f>
        <v/>
      </c>
      <c r="Q71" s="102">
        <f>Q29-P29</f>
        <v/>
      </c>
      <c r="R71" s="102">
        <f>R29-Q29</f>
        <v/>
      </c>
      <c r="S71" s="102">
        <f>S29-R29</f>
        <v/>
      </c>
      <c r="T71" s="102">
        <f>T29-S29</f>
        <v/>
      </c>
      <c r="U71" s="102">
        <f>U29-T29</f>
        <v/>
      </c>
      <c r="V71" s="102">
        <f>V29-U29</f>
        <v/>
      </c>
      <c r="W71" s="102">
        <f>W29-V29</f>
        <v/>
      </c>
      <c r="X71" s="102">
        <f>X29-W29</f>
        <v/>
      </c>
      <c r="Y71" s="102">
        <f>Y29-X29</f>
        <v/>
      </c>
      <c r="Z71" s="102">
        <f>Z29-Y29</f>
        <v/>
      </c>
      <c r="AA71" s="102">
        <f>AA29-Z29</f>
        <v/>
      </c>
      <c r="AB71" s="102">
        <f>AB29-AA29</f>
        <v/>
      </c>
      <c r="AC71" s="102">
        <f>AC29-AB29</f>
        <v/>
      </c>
      <c r="AD71" s="102">
        <f>AD29-AC29</f>
        <v/>
      </c>
      <c r="AE71" s="102">
        <f>AE29-AD29</f>
        <v/>
      </c>
      <c r="AF71" s="102">
        <f>AF29-AE29</f>
        <v/>
      </c>
      <c r="AG71" s="102">
        <f>AG29-AF29</f>
        <v/>
      </c>
      <c r="AH71" s="102">
        <f>AH29-AG29</f>
        <v/>
      </c>
      <c r="AI71" s="102">
        <f>SUM(E71:AH71)</f>
        <v/>
      </c>
      <c r="AJ71" s="117" t="inlineStr">
        <is>
          <t>DG</t>
        </is>
      </c>
      <c r="AK71" s="118">
        <f>AI74+AI61</f>
        <v/>
      </c>
    </row>
    <row r="72">
      <c r="A72" s="500" t="n"/>
      <c r="B72" s="500" t="n"/>
      <c r="C72" s="531" t="inlineStr">
        <is>
          <t>DG</t>
        </is>
      </c>
      <c r="D72" s="501" t="n"/>
      <c r="E72" s="102">
        <f>E30-D30</f>
        <v/>
      </c>
      <c r="F72" s="102">
        <f>F30-E30</f>
        <v/>
      </c>
      <c r="G72" s="102">
        <f>G30-F30</f>
        <v/>
      </c>
      <c r="H72" s="102">
        <f>H30-G30</f>
        <v/>
      </c>
      <c r="I72" s="102">
        <f>I30-H30</f>
        <v/>
      </c>
      <c r="J72" s="102">
        <f>J30-I30</f>
        <v/>
      </c>
      <c r="K72" s="102">
        <f>K30-J30</f>
        <v/>
      </c>
      <c r="L72" s="102">
        <f>L30-K30</f>
        <v/>
      </c>
      <c r="M72" s="102">
        <f>M30-L30</f>
        <v/>
      </c>
      <c r="N72" s="102">
        <f>N30-M30</f>
        <v/>
      </c>
      <c r="O72" s="102">
        <f>O30-N30</f>
        <v/>
      </c>
      <c r="P72" s="102">
        <f>P30-O30</f>
        <v/>
      </c>
      <c r="Q72" s="102">
        <f>Q30-P30</f>
        <v/>
      </c>
      <c r="R72" s="102">
        <f>R30-Q30</f>
        <v/>
      </c>
      <c r="S72" s="102">
        <f>S30-R30</f>
        <v/>
      </c>
      <c r="T72" s="102">
        <f>T30-S30</f>
        <v/>
      </c>
      <c r="U72" s="102">
        <f>U30-T30</f>
        <v/>
      </c>
      <c r="V72" s="102">
        <f>V30-U30</f>
        <v/>
      </c>
      <c r="W72" s="102">
        <f>W30-V30</f>
        <v/>
      </c>
      <c r="X72" s="102">
        <f>X30-W30</f>
        <v/>
      </c>
      <c r="Y72" s="102">
        <f>Y30-X30</f>
        <v/>
      </c>
      <c r="Z72" s="102">
        <f>Z30-Y30</f>
        <v/>
      </c>
      <c r="AA72" s="102">
        <f>AA30-Z30</f>
        <v/>
      </c>
      <c r="AB72" s="102">
        <f>AB30-AA30</f>
        <v/>
      </c>
      <c r="AC72" s="102">
        <f>AC30-AB30</f>
        <v/>
      </c>
      <c r="AD72" s="102">
        <f>AD30-AC30</f>
        <v/>
      </c>
      <c r="AE72" s="102">
        <f>AE30-AD30</f>
        <v/>
      </c>
      <c r="AF72" s="102">
        <f>AF30-AE30</f>
        <v/>
      </c>
      <c r="AG72" s="102">
        <f>AG30-AF30</f>
        <v/>
      </c>
      <c r="AH72" s="102">
        <f>AH30-AG30</f>
        <v/>
      </c>
      <c r="AI72" s="102">
        <f>SUM(E72:AH72)</f>
        <v/>
      </c>
    </row>
    <row r="73" ht="15" customHeight="1" s="488">
      <c r="A73" s="99" t="n"/>
      <c r="B73" s="99" t="n"/>
      <c r="C73" s="511" t="inlineStr">
        <is>
          <t>Total AHU Power Consumption</t>
        </is>
      </c>
      <c r="D73" s="501" t="n"/>
      <c r="E73" s="23">
        <f>SUM(E65,E67,E69,E71)</f>
        <v/>
      </c>
      <c r="F73" s="23">
        <f>SUM(F65,F67,F69,F71)</f>
        <v/>
      </c>
      <c r="G73" s="23">
        <f>SUM(G65,G67,G69,G71)</f>
        <v/>
      </c>
      <c r="H73" s="23">
        <f>SUM(H65,H67,H69,H71)</f>
        <v/>
      </c>
      <c r="I73" s="23">
        <f>SUM(I65,I67,I69,I71)</f>
        <v/>
      </c>
      <c r="J73" s="23">
        <f>SUM(J65,J67,J69,J71)</f>
        <v/>
      </c>
      <c r="K73" s="23">
        <f>SUM(K65,K67,K69,K71)</f>
        <v/>
      </c>
      <c r="L73" s="23">
        <f>SUM(L65,L67,L69,L71)</f>
        <v/>
      </c>
      <c r="M73" s="23">
        <f>SUM(M65,M67,M69,M71)</f>
        <v/>
      </c>
      <c r="N73" s="23">
        <f>SUM(N65,N67,N69,N71)</f>
        <v/>
      </c>
      <c r="O73" s="23">
        <f>SUM(O65,O67,O69,O71)</f>
        <v/>
      </c>
      <c r="P73" s="23">
        <f>SUM(P65,P67,P69,P71)</f>
        <v/>
      </c>
      <c r="Q73" s="23">
        <f>SUM(Q65,Q67,Q69,Q71)</f>
        <v/>
      </c>
      <c r="R73" s="23">
        <f>SUM(R65,R67,R69,R71)</f>
        <v/>
      </c>
      <c r="S73" s="23">
        <f>SUM(S65,S67,S69,S71)</f>
        <v/>
      </c>
      <c r="T73" s="23">
        <f>SUM(T65,T67,T69,T71)</f>
        <v/>
      </c>
      <c r="U73" s="23">
        <f>SUM(U65,U67,U69,U71)</f>
        <v/>
      </c>
      <c r="V73" s="23">
        <f>SUM(V65,V67,V69,V71)</f>
        <v/>
      </c>
      <c r="W73" s="23">
        <f>SUM(W65,W67,W69,W71)</f>
        <v/>
      </c>
      <c r="X73" s="23">
        <f>SUM(X65,X67,X69,X71)</f>
        <v/>
      </c>
      <c r="Y73" s="23">
        <f>SUM(Y65,Y67,Y69,Y71)</f>
        <v/>
      </c>
      <c r="Z73" s="23">
        <f>SUM(Z65,Z67,Z69,Z71)</f>
        <v/>
      </c>
      <c r="AA73" s="23">
        <f>SUM(AA65,AA67,AA69,AA71)</f>
        <v/>
      </c>
      <c r="AB73" s="23">
        <f>SUM(AB65,AB67,AB69,AB71)</f>
        <v/>
      </c>
      <c r="AC73" s="23">
        <f>SUM(AC65,AC67,AC69,AC71)</f>
        <v/>
      </c>
      <c r="AD73" s="23">
        <f>SUM(AD65,AD67,AD69,AD71)</f>
        <v/>
      </c>
      <c r="AE73" s="23">
        <f>SUM(AE65,AE67,AE69,AE71)</f>
        <v/>
      </c>
      <c r="AF73" s="23">
        <f>SUM(AF65,AF67,AF69,AF71)</f>
        <v/>
      </c>
      <c r="AG73" s="23">
        <f>SUM(AG65,AG67,AG69,AG71)</f>
        <v/>
      </c>
      <c r="AH73" s="23">
        <f>SUM(AH65,AH67,AH69,AH71)</f>
        <v/>
      </c>
      <c r="AI73" s="24">
        <f>SUM(E73:AH73)</f>
        <v/>
      </c>
    </row>
    <row r="74" ht="15" customHeight="1" s="488">
      <c r="A74" s="99" t="n"/>
      <c r="B74" s="99" t="n"/>
      <c r="C74" s="502" t="inlineStr">
        <is>
          <t>Total AHU DG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4">
        <f>SUM(E74:AH74)</f>
        <v/>
      </c>
    </row>
    <row r="75">
      <c r="A75" s="500" t="n">
        <v>1</v>
      </c>
      <c r="B75" s="500" t="inlineStr">
        <is>
          <t>3F</t>
        </is>
      </c>
      <c r="C75" s="500" t="inlineStr">
        <is>
          <t>AHU1 - BTU</t>
        </is>
      </c>
      <c r="D75" s="501" t="n"/>
      <c r="E75" s="102">
        <f>E32-D32</f>
        <v/>
      </c>
      <c r="F75" s="102">
        <f>F32-E32</f>
        <v/>
      </c>
      <c r="G75" s="102">
        <f>G32-F32</f>
        <v/>
      </c>
      <c r="H75" s="102">
        <f>H32-G32</f>
        <v/>
      </c>
      <c r="I75" s="102">
        <f>I32-H32</f>
        <v/>
      </c>
      <c r="J75" s="102">
        <f>J32-I32</f>
        <v/>
      </c>
      <c r="K75" s="102">
        <f>K32-J32</f>
        <v/>
      </c>
      <c r="L75" s="102">
        <f>L32-K32</f>
        <v/>
      </c>
      <c r="M75" s="102">
        <f>M32-L32</f>
        <v/>
      </c>
      <c r="N75" s="102">
        <f>N32-M32</f>
        <v/>
      </c>
      <c r="O75" s="102">
        <f>O32-N32</f>
        <v/>
      </c>
      <c r="P75" s="102">
        <f>P32-O32</f>
        <v/>
      </c>
      <c r="Q75" s="102">
        <f>Q32-P32</f>
        <v/>
      </c>
      <c r="R75" s="102">
        <f>R32-Q32</f>
        <v/>
      </c>
      <c r="S75" s="102">
        <f>S32-R32</f>
        <v/>
      </c>
      <c r="T75" s="102">
        <f>T32-S32</f>
        <v/>
      </c>
      <c r="U75" s="102">
        <f>U32-T32</f>
        <v/>
      </c>
      <c r="V75" s="102">
        <f>V32-U32</f>
        <v/>
      </c>
      <c r="W75" s="102">
        <f>W32-V32</f>
        <v/>
      </c>
      <c r="X75" s="102">
        <f>X32-W32</f>
        <v/>
      </c>
      <c r="Y75" s="102">
        <f>Y32-X32</f>
        <v/>
      </c>
      <c r="Z75" s="102">
        <f>Z32-Y32</f>
        <v/>
      </c>
      <c r="AA75" s="102">
        <f>AA32-Z32</f>
        <v/>
      </c>
      <c r="AB75" s="102">
        <f>AB32-AA32</f>
        <v/>
      </c>
      <c r="AC75" s="102">
        <f>AC32-AB32</f>
        <v/>
      </c>
      <c r="AD75" s="102">
        <f>AD32-AC32</f>
        <v/>
      </c>
      <c r="AE75" s="102">
        <f>AE32-AD32</f>
        <v/>
      </c>
      <c r="AF75" s="102">
        <f>AF32-AE32</f>
        <v/>
      </c>
      <c r="AG75" s="102">
        <f>AG32-AF32</f>
        <v/>
      </c>
      <c r="AH75" s="102">
        <f>AH32-AG32</f>
        <v/>
      </c>
      <c r="AI75" s="102">
        <f>SUM(E75:AH75)</f>
        <v/>
      </c>
    </row>
    <row r="76">
      <c r="A76" s="500" t="n">
        <v>2</v>
      </c>
      <c r="B76" s="500" t="inlineStr">
        <is>
          <t>3F</t>
        </is>
      </c>
      <c r="C76" s="500" t="inlineStr">
        <is>
          <t>AHU2 - BTU</t>
        </is>
      </c>
      <c r="D76" s="501" t="n"/>
      <c r="E76" s="102">
        <f>E33-D33</f>
        <v/>
      </c>
      <c r="F76" s="102">
        <f>F33-E33</f>
        <v/>
      </c>
      <c r="G76" s="102">
        <f>G33-F33</f>
        <v/>
      </c>
      <c r="H76" s="102">
        <f>H33-G33</f>
        <v/>
      </c>
      <c r="I76" s="102">
        <f>I33-H33</f>
        <v/>
      </c>
      <c r="J76" s="102">
        <f>J33-I33</f>
        <v/>
      </c>
      <c r="K76" s="102">
        <f>K33-J33</f>
        <v/>
      </c>
      <c r="L76" s="102">
        <f>L33-K33</f>
        <v/>
      </c>
      <c r="M76" s="102">
        <f>M33-L33</f>
        <v/>
      </c>
      <c r="N76" s="102">
        <f>N33-M33</f>
        <v/>
      </c>
      <c r="O76" s="102">
        <f>O33-N33</f>
        <v/>
      </c>
      <c r="P76" s="102">
        <f>P33-O33</f>
        <v/>
      </c>
      <c r="Q76" s="102">
        <f>Q33-P33</f>
        <v/>
      </c>
      <c r="R76" s="102">
        <f>R33-Q33</f>
        <v/>
      </c>
      <c r="S76" s="102">
        <f>S33-R33</f>
        <v/>
      </c>
      <c r="T76" s="102">
        <f>T33-S33</f>
        <v/>
      </c>
      <c r="U76" s="102">
        <f>U33-T33</f>
        <v/>
      </c>
      <c r="V76" s="102">
        <f>V33-U33</f>
        <v/>
      </c>
      <c r="W76" s="102">
        <f>W33-V33</f>
        <v/>
      </c>
      <c r="X76" s="102">
        <f>X33-W33</f>
        <v/>
      </c>
      <c r="Y76" s="102">
        <f>Y33-X33</f>
        <v/>
      </c>
      <c r="Z76" s="102">
        <f>Z33-Y33</f>
        <v/>
      </c>
      <c r="AA76" s="102">
        <f>AA33-Z33</f>
        <v/>
      </c>
      <c r="AB76" s="102">
        <f>AB33-AA33</f>
        <v/>
      </c>
      <c r="AC76" s="102">
        <f>AC33-AB33</f>
        <v/>
      </c>
      <c r="AD76" s="102">
        <f>AD33-AC33</f>
        <v/>
      </c>
      <c r="AE76" s="102">
        <f>AE33-AD33</f>
        <v/>
      </c>
      <c r="AF76" s="102">
        <f>AF33-AE33</f>
        <v/>
      </c>
      <c r="AG76" s="102">
        <f>AG33-AF33</f>
        <v/>
      </c>
      <c r="AH76" s="102">
        <f>AH33-AG33</f>
        <v/>
      </c>
      <c r="AI76" s="102">
        <f>SUM(E76:AH76)</f>
        <v/>
      </c>
    </row>
    <row r="77">
      <c r="A77" s="500" t="n">
        <v>3</v>
      </c>
      <c r="B77" s="500" t="inlineStr">
        <is>
          <t>3F</t>
        </is>
      </c>
      <c r="C77" s="500" t="inlineStr">
        <is>
          <t>AHU3 - BTU</t>
        </is>
      </c>
      <c r="D77" s="501" t="n"/>
      <c r="E77" s="102">
        <f>E34-D34</f>
        <v/>
      </c>
      <c r="F77" s="102">
        <f>F34-E34</f>
        <v/>
      </c>
      <c r="G77" s="102">
        <f>G34-F34</f>
        <v/>
      </c>
      <c r="H77" s="102">
        <f>H34-G34</f>
        <v/>
      </c>
      <c r="I77" s="102">
        <f>I34-H34</f>
        <v/>
      </c>
      <c r="J77" s="102">
        <f>J34-I34</f>
        <v/>
      </c>
      <c r="K77" s="102">
        <f>K34-J34</f>
        <v/>
      </c>
      <c r="L77" s="102">
        <f>L34-K34</f>
        <v/>
      </c>
      <c r="M77" s="102">
        <f>M34-L34</f>
        <v/>
      </c>
      <c r="N77" s="102">
        <f>N34-M34</f>
        <v/>
      </c>
      <c r="O77" s="102">
        <f>O34-N34</f>
        <v/>
      </c>
      <c r="P77" s="102">
        <f>P34-O34</f>
        <v/>
      </c>
      <c r="Q77" s="102">
        <f>Q34-P34</f>
        <v/>
      </c>
      <c r="R77" s="102">
        <f>R34-Q34</f>
        <v/>
      </c>
      <c r="S77" s="102">
        <f>S34-R34</f>
        <v/>
      </c>
      <c r="T77" s="102">
        <f>T34-S34</f>
        <v/>
      </c>
      <c r="U77" s="102">
        <f>U34-T34</f>
        <v/>
      </c>
      <c r="V77" s="102">
        <f>V34-U34</f>
        <v/>
      </c>
      <c r="W77" s="102">
        <f>W34-V34</f>
        <v/>
      </c>
      <c r="X77" s="102">
        <f>X34-W34</f>
        <v/>
      </c>
      <c r="Y77" s="102">
        <f>Y34-X34</f>
        <v/>
      </c>
      <c r="Z77" s="102">
        <f>Z34-Y34</f>
        <v/>
      </c>
      <c r="AA77" s="102">
        <f>AA34-Z34</f>
        <v/>
      </c>
      <c r="AB77" s="102">
        <f>AB34-AA34</f>
        <v/>
      </c>
      <c r="AC77" s="102">
        <f>AC34-AB34</f>
        <v/>
      </c>
      <c r="AD77" s="102">
        <f>AD34-AC34</f>
        <v/>
      </c>
      <c r="AE77" s="102">
        <f>AE34-AD34</f>
        <v/>
      </c>
      <c r="AF77" s="102">
        <f>AF34-AE34</f>
        <v/>
      </c>
      <c r="AG77" s="102">
        <f>AG34-AF34</f>
        <v/>
      </c>
      <c r="AH77" s="102">
        <f>AH34-AG34</f>
        <v/>
      </c>
      <c r="AI77" s="102">
        <f>SUM(E77:AH77)</f>
        <v/>
      </c>
    </row>
    <row r="78">
      <c r="A78" s="500" t="n">
        <v>4</v>
      </c>
      <c r="B78" s="500" t="inlineStr">
        <is>
          <t>3F</t>
        </is>
      </c>
      <c r="C78" s="500" t="inlineStr">
        <is>
          <t>AHU4 - BTU</t>
        </is>
      </c>
      <c r="D78" s="501" t="n"/>
      <c r="E78" s="102">
        <f>E35-D35</f>
        <v/>
      </c>
      <c r="F78" s="102">
        <f>F35-E35</f>
        <v/>
      </c>
      <c r="G78" s="102">
        <f>G35-F35</f>
        <v/>
      </c>
      <c r="H78" s="102">
        <f>H35-G35</f>
        <v/>
      </c>
      <c r="I78" s="102">
        <f>I35-H35</f>
        <v/>
      </c>
      <c r="J78" s="102">
        <f>J35-I35</f>
        <v/>
      </c>
      <c r="K78" s="102">
        <f>K35-J35</f>
        <v/>
      </c>
      <c r="L78" s="102">
        <f>L35-K35</f>
        <v/>
      </c>
      <c r="M78" s="102">
        <f>M35-L35</f>
        <v/>
      </c>
      <c r="N78" s="102">
        <f>N35-M35</f>
        <v/>
      </c>
      <c r="O78" s="102">
        <f>O35-N35</f>
        <v/>
      </c>
      <c r="P78" s="102">
        <f>P35-O35</f>
        <v/>
      </c>
      <c r="Q78" s="102">
        <f>Q35-P35</f>
        <v/>
      </c>
      <c r="R78" s="102">
        <f>R35-Q35</f>
        <v/>
      </c>
      <c r="S78" s="102">
        <f>S35-R35</f>
        <v/>
      </c>
      <c r="T78" s="102">
        <f>T35-S35</f>
        <v/>
      </c>
      <c r="U78" s="102">
        <f>U35-T35</f>
        <v/>
      </c>
      <c r="V78" s="102">
        <f>V35-U35</f>
        <v/>
      </c>
      <c r="W78" s="102">
        <f>W35-V35</f>
        <v/>
      </c>
      <c r="X78" s="102">
        <f>X35-W35</f>
        <v/>
      </c>
      <c r="Y78" s="102">
        <f>Y35-X35</f>
        <v/>
      </c>
      <c r="Z78" s="102">
        <f>Z35-Y35</f>
        <v/>
      </c>
      <c r="AA78" s="102">
        <f>AA35-Z35</f>
        <v/>
      </c>
      <c r="AB78" s="102">
        <f>AB35-AA35</f>
        <v/>
      </c>
      <c r="AC78" s="102">
        <f>AC35-AB35</f>
        <v/>
      </c>
      <c r="AD78" s="102">
        <f>AD35-AC35</f>
        <v/>
      </c>
      <c r="AE78" s="102">
        <f>AE35-AD35</f>
        <v/>
      </c>
      <c r="AF78" s="102">
        <f>AF35-AE35</f>
        <v/>
      </c>
      <c r="AG78" s="102">
        <f>AG35-AF35</f>
        <v/>
      </c>
      <c r="AH78" s="102">
        <f>AH35-AG35</f>
        <v/>
      </c>
      <c r="AI78" s="102">
        <f>SUM(E78:AH78)</f>
        <v/>
      </c>
    </row>
    <row r="79" ht="15" customHeight="1" s="488">
      <c r="A79" s="99" t="n"/>
      <c r="B79" s="99" t="n"/>
      <c r="C79" s="511" t="inlineStr">
        <is>
          <t>Total BTU Consumption</t>
        </is>
      </c>
      <c r="D79" s="501" t="n"/>
      <c r="E79" s="23">
        <f>SUM(E75:E78)</f>
        <v/>
      </c>
      <c r="F79" s="23">
        <f>SUM(F75:F78)</f>
        <v/>
      </c>
      <c r="G79" s="23">
        <f>SUM(G75:G78)</f>
        <v/>
      </c>
      <c r="H79" s="23">
        <f>SUM(H75:H78)</f>
        <v/>
      </c>
      <c r="I79" s="23">
        <f>SUM(I75:I78)</f>
        <v/>
      </c>
      <c r="J79" s="23">
        <f>SUM(J75:J78)</f>
        <v/>
      </c>
      <c r="K79" s="23">
        <f>SUM(K75:K78)</f>
        <v/>
      </c>
      <c r="L79" s="23">
        <f>SUM(L75:L78)</f>
        <v/>
      </c>
      <c r="M79" s="23">
        <f>SUM(M75:M78)</f>
        <v/>
      </c>
      <c r="N79" s="23">
        <f>SUM(N75:N78)</f>
        <v/>
      </c>
      <c r="O79" s="23">
        <f>SUM(O75:O78)</f>
        <v/>
      </c>
      <c r="P79" s="23">
        <f>SUM(P75:P78)</f>
        <v/>
      </c>
      <c r="Q79" s="23">
        <f>SUM(Q75:Q78)</f>
        <v/>
      </c>
      <c r="R79" s="23">
        <f>SUM(R75:R78)</f>
        <v/>
      </c>
      <c r="S79" s="23">
        <f>SUM(S75:S78)</f>
        <v/>
      </c>
      <c r="T79" s="23">
        <f>SUM(T75:T78)</f>
        <v/>
      </c>
      <c r="U79" s="23">
        <f>SUM(U75:U78)</f>
        <v/>
      </c>
      <c r="V79" s="23">
        <f>SUM(V75:V78)</f>
        <v/>
      </c>
      <c r="W79" s="23">
        <f>SUM(W75:W78)</f>
        <v/>
      </c>
      <c r="X79" s="23">
        <f>SUM(X75:X78)</f>
        <v/>
      </c>
      <c r="Y79" s="23">
        <f>SUM(Y75:Y78)</f>
        <v/>
      </c>
      <c r="Z79" s="23">
        <f>SUM(Z75:Z78)</f>
        <v/>
      </c>
      <c r="AA79" s="23">
        <f>SUM(AA75:AA78)</f>
        <v/>
      </c>
      <c r="AB79" s="23">
        <f>SUM(AB75:AB78)</f>
        <v/>
      </c>
      <c r="AC79" s="23">
        <f>SUM(AC75:AC78)</f>
        <v/>
      </c>
      <c r="AD79" s="23">
        <f>SUM(AD75:AD78)</f>
        <v/>
      </c>
      <c r="AE79" s="23">
        <f>SUM(AE75:AE78)</f>
        <v/>
      </c>
      <c r="AF79" s="23">
        <f>SUM(AF75:AF78)</f>
        <v/>
      </c>
      <c r="AG79" s="23">
        <f>SUM(AG75:AG78)</f>
        <v/>
      </c>
      <c r="AH79" s="23">
        <f>SUM(AH75:AH78)</f>
        <v/>
      </c>
      <c r="AI79" s="24">
        <f>SUM(AI75:AI78)</f>
        <v/>
      </c>
    </row>
    <row r="87">
      <c r="AG87" s="64" t="n"/>
    </row>
  </sheetData>
  <mergeCells count="49">
    <mergeCell ref="C77:D77"/>
    <mergeCell ref="C62:D62"/>
    <mergeCell ref="C68:D68"/>
    <mergeCell ref="C40:D43"/>
    <mergeCell ref="C58:D58"/>
    <mergeCell ref="A31:AI31"/>
    <mergeCell ref="C45:D45"/>
    <mergeCell ref="E1:AH1"/>
    <mergeCell ref="C74:D74"/>
    <mergeCell ref="B2:B5"/>
    <mergeCell ref="C64:D64"/>
    <mergeCell ref="C79:D79"/>
    <mergeCell ref="B38:D38"/>
    <mergeCell ref="D2:D5"/>
    <mergeCell ref="C73:D73"/>
    <mergeCell ref="AI40:AI43"/>
    <mergeCell ref="C47:D47"/>
    <mergeCell ref="C54:D54"/>
    <mergeCell ref="C65:D65"/>
    <mergeCell ref="C55:D55"/>
    <mergeCell ref="C50:D50"/>
    <mergeCell ref="C44:D44"/>
    <mergeCell ref="C75:D75"/>
    <mergeCell ref="C56:D56"/>
    <mergeCell ref="C59:D59"/>
    <mergeCell ref="A1:D1"/>
    <mergeCell ref="C49:D49"/>
    <mergeCell ref="C46:D46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I2:AI5"/>
    <mergeCell ref="C72:D72"/>
    <mergeCell ref="C67:D67"/>
    <mergeCell ref="C57:D57"/>
    <mergeCell ref="C66:D66"/>
    <mergeCell ref="A22:AI22"/>
    <mergeCell ref="C53:D53"/>
    <mergeCell ref="B39:D39"/>
    <mergeCell ref="C78:D78"/>
    <mergeCell ref="C69:D69"/>
    <mergeCell ref="A40:A4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L87"/>
  <sheetViews>
    <sheetView topLeftCell="AC54" zoomScale="80" zoomScaleNormal="80" workbookViewId="0">
      <selection activeCell="AK65" sqref="AK65:AL72"/>
    </sheetView>
  </sheetViews>
  <sheetFormatPr baseColWidth="8" defaultRowHeight="14.5"/>
  <cols>
    <col width="14" customWidth="1" style="488" min="1" max="1"/>
    <col width="27" customWidth="1" style="488" min="2" max="2"/>
    <col width="32" bestFit="1" customWidth="1" style="488" min="3" max="3"/>
    <col width="20" customWidth="1" style="488" min="4" max="4"/>
    <col width="23" customWidth="1" style="488" min="5" max="35"/>
    <col width="18" customWidth="1" style="488" min="36" max="36"/>
    <col width="14" customWidth="1" style="488" min="37" max="37"/>
    <col width="18" customWidth="1" style="488" min="38" max="38"/>
  </cols>
  <sheetData>
    <row r="1" ht="26" customHeight="1" s="488">
      <c r="A1" s="573" t="n"/>
      <c r="B1" s="505" t="n"/>
      <c r="C1" s="505" t="n"/>
      <c r="D1" s="506" t="n"/>
      <c r="E1" s="581" t="inlineStr">
        <is>
          <t>AUG- 2025</t>
        </is>
      </c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159" t="n"/>
      <c r="AJ1" s="50" t="n"/>
    </row>
    <row r="2">
      <c r="A2" s="508" t="inlineStr">
        <is>
          <t>Sr.No</t>
        </is>
      </c>
      <c r="B2" s="508" t="inlineStr">
        <is>
          <t>Location</t>
        </is>
      </c>
      <c r="C2" s="580" t="inlineStr">
        <is>
          <t>Meter</t>
        </is>
      </c>
      <c r="D2" s="562" t="inlineStr">
        <is>
          <t>Previous Reading</t>
        </is>
      </c>
      <c r="E2" s="51" t="n">
        <v>45870</v>
      </c>
      <c r="F2" s="51" t="n">
        <v>45871</v>
      </c>
      <c r="G2" s="51" t="n">
        <v>45872</v>
      </c>
      <c r="H2" s="51" t="n">
        <v>45873</v>
      </c>
      <c r="I2" s="51" t="n">
        <v>45874</v>
      </c>
      <c r="J2" s="51" t="n">
        <v>45875</v>
      </c>
      <c r="K2" s="51" t="n">
        <v>45876</v>
      </c>
      <c r="L2" s="51" t="n">
        <v>45877</v>
      </c>
      <c r="M2" s="51" t="n">
        <v>45878</v>
      </c>
      <c r="N2" s="51" t="n">
        <v>45879</v>
      </c>
      <c r="O2" s="51" t="n">
        <v>45880</v>
      </c>
      <c r="P2" s="51" t="n">
        <v>45881</v>
      </c>
      <c r="Q2" s="51" t="n">
        <v>45882</v>
      </c>
      <c r="R2" s="51" t="n">
        <v>45883</v>
      </c>
      <c r="S2" s="51" t="n">
        <v>45884</v>
      </c>
      <c r="T2" s="51" t="n">
        <v>45885</v>
      </c>
      <c r="U2" s="51" t="n">
        <v>45886</v>
      </c>
      <c r="V2" s="51" t="n">
        <v>45887</v>
      </c>
      <c r="W2" s="51" t="n">
        <v>45888</v>
      </c>
      <c r="X2" s="51" t="n">
        <v>45889</v>
      </c>
      <c r="Y2" s="51" t="n">
        <v>45890</v>
      </c>
      <c r="Z2" s="51" t="n">
        <v>45891</v>
      </c>
      <c r="AA2" s="51" t="n">
        <v>45892</v>
      </c>
      <c r="AB2" s="51" t="n">
        <v>45893</v>
      </c>
      <c r="AC2" s="51" t="n">
        <v>45894</v>
      </c>
      <c r="AD2" s="51" t="n">
        <v>45895</v>
      </c>
      <c r="AE2" s="51" t="n">
        <v>45896</v>
      </c>
      <c r="AF2" s="51" t="n">
        <v>45897</v>
      </c>
      <c r="AG2" s="51" t="n">
        <v>45898</v>
      </c>
      <c r="AH2" s="51" t="n">
        <v>45899</v>
      </c>
      <c r="AI2" s="51" t="n">
        <v>45900</v>
      </c>
      <c r="AJ2" s="518" t="inlineStr">
        <is>
          <t>Consumption</t>
        </is>
      </c>
    </row>
    <row r="3">
      <c r="A3" s="509" t="n"/>
      <c r="B3" s="509" t="n"/>
      <c r="C3" s="509" t="n"/>
      <c r="D3" s="509" t="n"/>
      <c r="E3" s="96" t="inlineStr">
        <is>
          <t>Fri</t>
        </is>
      </c>
      <c r="F3" s="96" t="inlineStr">
        <is>
          <t>Sat</t>
        </is>
      </c>
      <c r="G3" s="96" t="inlineStr">
        <is>
          <t>Sun</t>
        </is>
      </c>
      <c r="H3" s="96" t="inlineStr">
        <is>
          <t>Mon</t>
        </is>
      </c>
      <c r="I3" s="96" t="inlineStr">
        <is>
          <t>Tue</t>
        </is>
      </c>
      <c r="J3" s="96" t="inlineStr">
        <is>
          <t>Wed</t>
        </is>
      </c>
      <c r="K3" s="96" t="inlineStr">
        <is>
          <t>Thu</t>
        </is>
      </c>
      <c r="L3" s="96" t="inlineStr">
        <is>
          <t>Fri</t>
        </is>
      </c>
      <c r="M3" s="96" t="inlineStr">
        <is>
          <t>Sat</t>
        </is>
      </c>
      <c r="N3" s="96" t="inlineStr">
        <is>
          <t>Sun</t>
        </is>
      </c>
      <c r="O3" s="96" t="inlineStr">
        <is>
          <t>Mon</t>
        </is>
      </c>
      <c r="P3" s="96" t="inlineStr">
        <is>
          <t>Tue</t>
        </is>
      </c>
      <c r="Q3" s="96" t="inlineStr">
        <is>
          <t>Wed</t>
        </is>
      </c>
      <c r="R3" s="96" t="inlineStr">
        <is>
          <t>Thu</t>
        </is>
      </c>
      <c r="S3" s="96" t="inlineStr">
        <is>
          <t>Fri</t>
        </is>
      </c>
      <c r="T3" s="96" t="inlineStr">
        <is>
          <t>Sat</t>
        </is>
      </c>
      <c r="U3" s="96" t="inlineStr">
        <is>
          <t>Sun</t>
        </is>
      </c>
      <c r="V3" s="96" t="inlineStr">
        <is>
          <t>Mon</t>
        </is>
      </c>
      <c r="W3" s="96" t="inlineStr">
        <is>
          <t>Tue</t>
        </is>
      </c>
      <c r="X3" s="96" t="inlineStr">
        <is>
          <t>Wed</t>
        </is>
      </c>
      <c r="Y3" s="96" t="inlineStr">
        <is>
          <t>Thu</t>
        </is>
      </c>
      <c r="Z3" s="96" t="inlineStr">
        <is>
          <t>Fri</t>
        </is>
      </c>
      <c r="AA3" s="96" t="inlineStr">
        <is>
          <t>Sat</t>
        </is>
      </c>
      <c r="AB3" s="96" t="inlineStr">
        <is>
          <t>Sun</t>
        </is>
      </c>
      <c r="AC3" s="96" t="inlineStr">
        <is>
          <t>Mon</t>
        </is>
      </c>
      <c r="AD3" s="96" t="inlineStr">
        <is>
          <t>Tue</t>
        </is>
      </c>
      <c r="AE3" s="96" t="inlineStr">
        <is>
          <t>Wed</t>
        </is>
      </c>
      <c r="AF3" s="96" t="inlineStr">
        <is>
          <t>Thu</t>
        </is>
      </c>
      <c r="AG3" s="96" t="inlineStr">
        <is>
          <t>Fri</t>
        </is>
      </c>
      <c r="AH3" s="96" t="inlineStr">
        <is>
          <t>Sat</t>
        </is>
      </c>
      <c r="AI3" s="96" t="inlineStr">
        <is>
          <t>Sun</t>
        </is>
      </c>
      <c r="AJ3" s="509" t="n"/>
    </row>
    <row r="4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2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53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3" t="n">
        <v>0.3333333333333333</v>
      </c>
      <c r="AJ5" s="510" t="n"/>
    </row>
    <row r="6">
      <c r="A6" s="48" t="n">
        <v>1</v>
      </c>
      <c r="B6" s="561" t="inlineStr">
        <is>
          <t>3F</t>
        </is>
      </c>
      <c r="C6" s="139" t="inlineStr">
        <is>
          <t>SL No 540430038840 (EB Unit)</t>
        </is>
      </c>
      <c r="D6" s="48" t="n">
        <v>129726</v>
      </c>
      <c r="E6" s="48" t="n">
        <v>129984</v>
      </c>
      <c r="F6" s="48" t="n">
        <v>130203</v>
      </c>
      <c r="G6" s="48" t="n">
        <v>130405</v>
      </c>
      <c r="H6" s="48" t="n">
        <v>130673</v>
      </c>
      <c r="I6" s="48" t="n">
        <v>130960</v>
      </c>
      <c r="J6" s="48" t="n">
        <v>131234</v>
      </c>
      <c r="K6" s="48" t="n">
        <v>131571</v>
      </c>
      <c r="L6" s="48" t="n">
        <v>131787</v>
      </c>
      <c r="M6" s="48" t="n">
        <v>131986</v>
      </c>
      <c r="N6" s="48" t="n">
        <v>132192</v>
      </c>
      <c r="O6" s="58" t="n">
        <v>132461</v>
      </c>
      <c r="P6" s="184" t="n">
        <v>132731</v>
      </c>
      <c r="Q6" s="48" t="n">
        <v>132992</v>
      </c>
      <c r="R6" s="59" t="n">
        <v>133259</v>
      </c>
      <c r="S6" s="561" t="n">
        <v>133471</v>
      </c>
      <c r="T6" s="561" t="n">
        <v>133679</v>
      </c>
      <c r="U6" s="561" t="n">
        <v>133890</v>
      </c>
      <c r="V6" s="125" t="n">
        <v>134167</v>
      </c>
      <c r="W6" s="561" t="n">
        <v>134443</v>
      </c>
      <c r="X6" s="561" t="n">
        <v>134722</v>
      </c>
      <c r="Y6" s="561" t="n">
        <v>135007</v>
      </c>
      <c r="Z6" s="561" t="n">
        <v>135286</v>
      </c>
      <c r="AA6" s="561" t="n">
        <v>135502</v>
      </c>
      <c r="AB6" s="561" t="n">
        <v>135688</v>
      </c>
      <c r="AC6" s="561" t="n">
        <v>135986</v>
      </c>
      <c r="AD6" s="561" t="n">
        <v>136252</v>
      </c>
      <c r="AE6" s="561" t="n">
        <v>136541</v>
      </c>
      <c r="AF6" s="561" t="n">
        <v>136802</v>
      </c>
      <c r="AG6" s="48" t="n">
        <v>137069</v>
      </c>
      <c r="AH6" s="169" t="n">
        <v>137288</v>
      </c>
      <c r="AI6" s="48" t="n">
        <v>137403</v>
      </c>
      <c r="AJ6" s="57">
        <f>AI6-D6</f>
        <v/>
      </c>
    </row>
    <row r="7">
      <c r="A7" s="8" t="n"/>
      <c r="B7" s="8" t="n"/>
      <c r="C7" s="140" t="inlineStr">
        <is>
          <t>DG</t>
        </is>
      </c>
      <c r="D7" s="48" t="n">
        <v>4175</v>
      </c>
      <c r="E7" s="48" t="n">
        <v>4175</v>
      </c>
      <c r="F7" s="48" t="n">
        <v>4175</v>
      </c>
      <c r="G7" s="48" t="n">
        <v>4175</v>
      </c>
      <c r="H7" s="48" t="n">
        <v>4175</v>
      </c>
      <c r="I7" s="48" t="n">
        <v>4175</v>
      </c>
      <c r="J7" s="48" t="n">
        <v>4175</v>
      </c>
      <c r="K7" s="48" t="n">
        <v>4175</v>
      </c>
      <c r="L7" s="48" t="n">
        <v>4175</v>
      </c>
      <c r="M7" s="48" t="n">
        <v>4175</v>
      </c>
      <c r="N7" s="48" t="n">
        <v>4175</v>
      </c>
      <c r="O7" s="48" t="n">
        <v>4175</v>
      </c>
      <c r="P7" s="48" t="n">
        <v>4175</v>
      </c>
      <c r="Q7" s="48" t="n">
        <v>4175</v>
      </c>
      <c r="R7" s="48" t="n">
        <v>4175</v>
      </c>
      <c r="S7" s="48" t="n">
        <v>4175</v>
      </c>
      <c r="T7" s="48" t="n">
        <v>4175</v>
      </c>
      <c r="U7" s="48" t="n">
        <v>4175</v>
      </c>
      <c r="V7" s="48" t="n">
        <v>4175</v>
      </c>
      <c r="W7" s="48" t="n">
        <v>4175</v>
      </c>
      <c r="X7" s="8" t="n">
        <v>4175</v>
      </c>
      <c r="Y7" s="8" t="n">
        <v>4175</v>
      </c>
      <c r="Z7" s="8" t="n">
        <v>4175</v>
      </c>
      <c r="AA7" s="8" t="n">
        <v>4175</v>
      </c>
      <c r="AB7" s="8" t="n">
        <v>4175</v>
      </c>
      <c r="AC7" s="8" t="n">
        <v>4175</v>
      </c>
      <c r="AD7" s="8" t="n">
        <v>4175</v>
      </c>
      <c r="AE7" s="8" t="n">
        <v>4175</v>
      </c>
      <c r="AF7" s="8" t="n">
        <v>4175</v>
      </c>
      <c r="AG7" s="8" t="n">
        <v>4175</v>
      </c>
      <c r="AH7" s="8" t="n">
        <v>4175</v>
      </c>
      <c r="AI7" s="8" t="n">
        <v>4175</v>
      </c>
      <c r="AJ7" s="57">
        <f>AI7-D7</f>
        <v/>
      </c>
    </row>
    <row r="8">
      <c r="A8" s="561" t="n">
        <v>2</v>
      </c>
      <c r="B8" s="561" t="inlineStr">
        <is>
          <t>3F</t>
        </is>
      </c>
      <c r="C8" s="141" t="inlineStr">
        <is>
          <t>SL No 540430038845 (EB Unit)</t>
        </is>
      </c>
      <c r="D8" s="48" t="n">
        <v>1956</v>
      </c>
      <c r="E8" s="48" t="n">
        <v>1956</v>
      </c>
      <c r="F8" s="48" t="n">
        <v>1956</v>
      </c>
      <c r="G8" s="48" t="n">
        <v>1956</v>
      </c>
      <c r="H8" s="48" t="n">
        <v>1956</v>
      </c>
      <c r="I8" s="48" t="n">
        <v>1956</v>
      </c>
      <c r="J8" s="48" t="n">
        <v>1956</v>
      </c>
      <c r="K8" s="48" t="n">
        <v>1956</v>
      </c>
      <c r="L8" s="48" t="n">
        <v>1956</v>
      </c>
      <c r="M8" s="48" t="n">
        <v>1956</v>
      </c>
      <c r="N8" s="48" t="n">
        <v>1956</v>
      </c>
      <c r="O8" s="48" t="n">
        <v>1956</v>
      </c>
      <c r="P8" s="48" t="n">
        <v>1956</v>
      </c>
      <c r="Q8" s="48" t="n">
        <v>1956</v>
      </c>
      <c r="R8" s="48" t="n">
        <v>1956</v>
      </c>
      <c r="S8" s="48" t="n">
        <v>1956</v>
      </c>
      <c r="T8" s="48" t="n">
        <v>1956</v>
      </c>
      <c r="U8" s="48" t="n">
        <v>1956</v>
      </c>
      <c r="V8" s="48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61" t="n">
        <v>1956</v>
      </c>
      <c r="AI8" s="561" t="n">
        <v>1956</v>
      </c>
      <c r="AJ8" s="57">
        <f>AI8-D8</f>
        <v/>
      </c>
    </row>
    <row r="9">
      <c r="A9" s="561" t="n"/>
      <c r="B9" s="561" t="n"/>
      <c r="C9" s="140" t="inlineStr">
        <is>
          <t>DG</t>
        </is>
      </c>
      <c r="D9" s="48" t="n">
        <v>28.6</v>
      </c>
      <c r="E9" s="48" t="n">
        <v>28.6</v>
      </c>
      <c r="F9" s="48" t="n">
        <v>28.6</v>
      </c>
      <c r="G9" s="48" t="n">
        <v>28.6</v>
      </c>
      <c r="H9" s="48" t="n">
        <v>28.6</v>
      </c>
      <c r="I9" s="48" t="n">
        <v>28.6</v>
      </c>
      <c r="J9" s="48" t="n">
        <v>28.6</v>
      </c>
      <c r="K9" s="48" t="n">
        <v>28.6</v>
      </c>
      <c r="L9" s="48" t="n">
        <v>28.6</v>
      </c>
      <c r="M9" s="48" t="n">
        <v>28.6</v>
      </c>
      <c r="N9" s="48" t="n">
        <v>28.6</v>
      </c>
      <c r="O9" s="48" t="n">
        <v>28.6</v>
      </c>
      <c r="P9" s="48" t="n">
        <v>28.6</v>
      </c>
      <c r="Q9" s="48" t="n">
        <v>28.6</v>
      </c>
      <c r="R9" s="48" t="n">
        <v>28.6</v>
      </c>
      <c r="S9" s="48" t="n">
        <v>28.6</v>
      </c>
      <c r="T9" s="48" t="n">
        <v>28.6</v>
      </c>
      <c r="U9" s="48" t="n">
        <v>28.6</v>
      </c>
      <c r="V9" s="48" t="n">
        <v>28.6</v>
      </c>
      <c r="W9" s="48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61" t="n">
        <v>28.6</v>
      </c>
      <c r="AI9" s="561" t="n">
        <v>28.6</v>
      </c>
      <c r="AJ9" s="57">
        <f>AI9-D9</f>
        <v/>
      </c>
    </row>
    <row r="10">
      <c r="A10" s="561" t="n">
        <v>3</v>
      </c>
      <c r="B10" s="561" t="inlineStr">
        <is>
          <t>3F</t>
        </is>
      </c>
      <c r="C10" s="141" t="inlineStr">
        <is>
          <t>SL No 540430038844 (EB Unit)</t>
        </is>
      </c>
      <c r="D10" s="48" t="n">
        <v>189365</v>
      </c>
      <c r="E10" s="561" t="n">
        <v>189738</v>
      </c>
      <c r="F10" s="561" t="n">
        <v>190033</v>
      </c>
      <c r="G10" s="561" t="n">
        <v>190307</v>
      </c>
      <c r="H10" s="561" t="n">
        <v>190703</v>
      </c>
      <c r="I10" s="561" t="n">
        <v>191130</v>
      </c>
      <c r="J10" s="561" t="n">
        <v>191544</v>
      </c>
      <c r="K10" s="561" t="n">
        <v>191958</v>
      </c>
      <c r="L10" s="561" t="n">
        <v>192368</v>
      </c>
      <c r="M10" s="561" t="n">
        <v>192635</v>
      </c>
      <c r="N10" s="561" t="n">
        <v>192906</v>
      </c>
      <c r="O10" s="561" t="n">
        <v>193302</v>
      </c>
      <c r="P10" s="561" t="n">
        <v>193699</v>
      </c>
      <c r="Q10" s="561" t="n">
        <v>194108</v>
      </c>
      <c r="R10" s="561" t="n">
        <v>194475</v>
      </c>
      <c r="S10" s="561" t="n">
        <v>194759</v>
      </c>
      <c r="T10" s="561" t="n">
        <v>195038</v>
      </c>
      <c r="U10" s="561" t="n">
        <v>195321</v>
      </c>
      <c r="V10" s="561" t="n">
        <v>195735</v>
      </c>
      <c r="W10" s="561" t="n">
        <v>196151</v>
      </c>
      <c r="X10" s="561" t="n">
        <v>196571</v>
      </c>
      <c r="Y10" s="561" t="n">
        <v>196996</v>
      </c>
      <c r="Z10" s="561" t="n">
        <v>197414</v>
      </c>
      <c r="AA10" s="8" t="n">
        <v>197702</v>
      </c>
      <c r="AB10" s="8" t="n">
        <v>197982</v>
      </c>
      <c r="AC10" s="561" t="n">
        <v>198390</v>
      </c>
      <c r="AD10" s="561" t="n">
        <v>198484</v>
      </c>
      <c r="AE10" s="8" t="n">
        <v>199212</v>
      </c>
      <c r="AF10" s="8" t="n">
        <v>199600</v>
      </c>
      <c r="AG10" s="8" t="n">
        <v>200003</v>
      </c>
      <c r="AH10" s="128" t="n">
        <v>200291</v>
      </c>
      <c r="AI10" s="48" t="n">
        <v>200443</v>
      </c>
      <c r="AJ10" s="57">
        <f>AI10-D10</f>
        <v/>
      </c>
    </row>
    <row r="11">
      <c r="A11" s="561" t="n"/>
      <c r="B11" s="561" t="n"/>
      <c r="C11" s="140" t="inlineStr">
        <is>
          <t>DG</t>
        </is>
      </c>
      <c r="D11" s="48" t="n">
        <v>6242</v>
      </c>
      <c r="E11" s="48" t="n">
        <v>6242</v>
      </c>
      <c r="F11" s="48" t="n">
        <v>6242</v>
      </c>
      <c r="G11" s="48" t="n">
        <v>6242</v>
      </c>
      <c r="H11" s="561" t="n">
        <v>6242</v>
      </c>
      <c r="I11" s="561" t="n">
        <v>6242</v>
      </c>
      <c r="J11" s="561" t="n">
        <v>6242</v>
      </c>
      <c r="K11" s="561" t="n">
        <v>6242</v>
      </c>
      <c r="L11" s="561" t="n">
        <v>6242</v>
      </c>
      <c r="M11" s="561" t="n">
        <v>6242</v>
      </c>
      <c r="N11" s="561" t="n">
        <v>6242</v>
      </c>
      <c r="O11" s="561" t="n">
        <v>6242</v>
      </c>
      <c r="P11" s="561" t="n">
        <v>6242</v>
      </c>
      <c r="Q11" s="561" t="n">
        <v>6242</v>
      </c>
      <c r="R11" s="561" t="n">
        <v>6242</v>
      </c>
      <c r="S11" s="561" t="n">
        <v>6242</v>
      </c>
      <c r="T11" s="561" t="n">
        <v>6242</v>
      </c>
      <c r="U11" s="561" t="n">
        <v>6242</v>
      </c>
      <c r="V11" s="561" t="n">
        <v>6242</v>
      </c>
      <c r="W11" s="561" t="n">
        <v>6242</v>
      </c>
      <c r="X11" s="561" t="n">
        <v>6242</v>
      </c>
      <c r="Y11" s="561" t="n">
        <v>6242</v>
      </c>
      <c r="Z11" s="561" t="n">
        <v>6242</v>
      </c>
      <c r="AA11" s="561" t="n">
        <v>6242</v>
      </c>
      <c r="AB11" s="561" t="n">
        <v>6242</v>
      </c>
      <c r="AC11" s="561" t="n">
        <v>6242</v>
      </c>
      <c r="AD11" s="561" t="n">
        <v>6242</v>
      </c>
      <c r="AE11" s="561" t="n">
        <v>6242</v>
      </c>
      <c r="AF11" s="561" t="n">
        <v>6242</v>
      </c>
      <c r="AG11" s="561" t="n">
        <v>6242</v>
      </c>
      <c r="AH11" s="561" t="n">
        <v>6242</v>
      </c>
      <c r="AI11" s="561" t="n">
        <v>6242</v>
      </c>
      <c r="AJ11" s="57">
        <f>AI11-D11</f>
        <v/>
      </c>
    </row>
    <row r="12">
      <c r="A12" s="561" t="n">
        <v>4</v>
      </c>
      <c r="B12" s="561" t="inlineStr">
        <is>
          <t>3F</t>
        </is>
      </c>
      <c r="C12" s="141" t="inlineStr">
        <is>
          <t>SL No 540430038821 (EB Unit)</t>
        </is>
      </c>
      <c r="D12" s="48" t="n">
        <v>0</v>
      </c>
      <c r="E12" s="48" t="n">
        <v>0</v>
      </c>
      <c r="F12" s="48" t="n">
        <v>0</v>
      </c>
      <c r="G12" s="48" t="n">
        <v>0</v>
      </c>
      <c r="H12" s="48" t="n">
        <v>0</v>
      </c>
      <c r="I12" s="48" t="n">
        <v>0</v>
      </c>
      <c r="J12" s="48" t="n">
        <v>0</v>
      </c>
      <c r="K12" s="48" t="n">
        <v>0</v>
      </c>
      <c r="L12" s="48" t="n">
        <v>0</v>
      </c>
      <c r="M12" s="48" t="n">
        <v>0</v>
      </c>
      <c r="N12" s="48" t="n">
        <v>0</v>
      </c>
      <c r="O12" s="48" t="n">
        <v>0</v>
      </c>
      <c r="P12" s="48" t="n">
        <v>0</v>
      </c>
      <c r="Q12" s="48" t="n">
        <v>0</v>
      </c>
      <c r="R12" s="48" t="n">
        <v>0</v>
      </c>
      <c r="S12" s="48" t="n">
        <v>0</v>
      </c>
      <c r="T12" s="48" t="n">
        <v>0</v>
      </c>
      <c r="U12" s="48" t="n">
        <v>0</v>
      </c>
      <c r="V12" s="48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61" t="n">
        <v>0</v>
      </c>
      <c r="AI12" s="561" t="n">
        <v>0</v>
      </c>
      <c r="AJ12" s="57">
        <f>AI12-D12</f>
        <v/>
      </c>
    </row>
    <row r="13">
      <c r="A13" s="561" t="n"/>
      <c r="B13" s="561" t="n"/>
      <c r="C13" s="140" t="inlineStr">
        <is>
          <t>DG</t>
        </is>
      </c>
      <c r="D13" s="48" t="n">
        <v>0</v>
      </c>
      <c r="E13" s="48" t="n">
        <v>0</v>
      </c>
      <c r="F13" s="48" t="n">
        <v>0</v>
      </c>
      <c r="G13" s="48" t="n">
        <v>0</v>
      </c>
      <c r="H13" s="48" t="n">
        <v>0</v>
      </c>
      <c r="I13" s="48" t="n">
        <v>0</v>
      </c>
      <c r="J13" s="48" t="n">
        <v>0</v>
      </c>
      <c r="K13" s="48" t="n">
        <v>0</v>
      </c>
      <c r="L13" s="48" t="n">
        <v>0</v>
      </c>
      <c r="M13" s="48" t="n">
        <v>0</v>
      </c>
      <c r="N13" s="48" t="n">
        <v>0</v>
      </c>
      <c r="O13" s="48" t="n">
        <v>0</v>
      </c>
      <c r="P13" s="48" t="n">
        <v>0</v>
      </c>
      <c r="Q13" s="48" t="n">
        <v>0</v>
      </c>
      <c r="R13" s="48" t="n">
        <v>0</v>
      </c>
      <c r="S13" s="48" t="n">
        <v>0</v>
      </c>
      <c r="T13" s="48" t="n">
        <v>0</v>
      </c>
      <c r="U13" s="48" t="n">
        <v>0</v>
      </c>
      <c r="V13" s="48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61" t="n">
        <v>0</v>
      </c>
      <c r="AJ13" s="57">
        <f>AI13-D13</f>
        <v/>
      </c>
    </row>
    <row r="14">
      <c r="A14" s="561" t="n">
        <v>5</v>
      </c>
      <c r="B14" s="561" t="inlineStr">
        <is>
          <t>3F</t>
        </is>
      </c>
      <c r="C14" s="141" t="inlineStr">
        <is>
          <t>SL No 540430038849 (EB Unit)</t>
        </is>
      </c>
      <c r="D14" s="48" t="n">
        <v>91678</v>
      </c>
      <c r="E14" s="561" t="n">
        <v>91896</v>
      </c>
      <c r="F14" s="561" t="n">
        <v>92057</v>
      </c>
      <c r="G14" s="561" t="n">
        <v>92185</v>
      </c>
      <c r="H14" s="561" t="n">
        <v>92427</v>
      </c>
      <c r="I14" s="561" t="n">
        <v>92681</v>
      </c>
      <c r="J14" s="561" t="n">
        <v>92920</v>
      </c>
      <c r="K14" s="561" t="n">
        <v>93161</v>
      </c>
      <c r="L14" s="561" t="n">
        <v>93411</v>
      </c>
      <c r="M14" s="561" t="n">
        <v>93531</v>
      </c>
      <c r="N14" s="561" t="n">
        <v>93639</v>
      </c>
      <c r="O14" s="561" t="n">
        <v>93873</v>
      </c>
      <c r="P14" s="561" t="n">
        <v>94109</v>
      </c>
      <c r="Q14" s="561" t="n">
        <v>94358</v>
      </c>
      <c r="R14" s="561" t="n">
        <v>94584</v>
      </c>
      <c r="S14" s="561" t="n">
        <v>94704</v>
      </c>
      <c r="T14" s="561" t="n">
        <v>94816</v>
      </c>
      <c r="U14" s="33" t="n">
        <v>94927</v>
      </c>
      <c r="V14" s="561" t="n">
        <v>95165</v>
      </c>
      <c r="W14" s="561" t="n">
        <v>95406</v>
      </c>
      <c r="X14" s="561" t="n">
        <v>95601</v>
      </c>
      <c r="Y14" s="561" t="n">
        <v>95915</v>
      </c>
      <c r="Z14" s="561" t="n">
        <v>96179</v>
      </c>
      <c r="AA14" s="8" t="n">
        <v>96317</v>
      </c>
      <c r="AB14" s="8" t="n">
        <v>96446</v>
      </c>
      <c r="AC14" s="561" t="n">
        <v>96701</v>
      </c>
      <c r="AD14" s="561" t="n">
        <v>96944</v>
      </c>
      <c r="AE14" s="8" t="n">
        <v>97198</v>
      </c>
      <c r="AF14" s="8" t="n">
        <v>97438</v>
      </c>
      <c r="AG14" s="8" t="n">
        <v>97696</v>
      </c>
      <c r="AH14" s="128" t="n">
        <v>97853</v>
      </c>
      <c r="AI14" s="48" t="n">
        <v>97925</v>
      </c>
      <c r="AJ14" s="57">
        <f>AI14-D14</f>
        <v/>
      </c>
    </row>
    <row r="15">
      <c r="A15" s="561" t="n"/>
      <c r="B15" s="561" t="n"/>
      <c r="C15" s="140" t="inlineStr">
        <is>
          <t>DG</t>
        </is>
      </c>
      <c r="D15" s="48" t="n">
        <v>3188</v>
      </c>
      <c r="E15" s="48" t="n">
        <v>3188</v>
      </c>
      <c r="F15" s="48" t="n">
        <v>3188</v>
      </c>
      <c r="G15" s="48" t="n">
        <v>3188</v>
      </c>
      <c r="H15" s="561" t="n">
        <v>3188</v>
      </c>
      <c r="I15" s="561" t="n">
        <v>3188</v>
      </c>
      <c r="J15" s="561" t="n">
        <v>3188</v>
      </c>
      <c r="K15" s="561" t="n">
        <v>3188</v>
      </c>
      <c r="L15" s="561" t="n">
        <v>3188</v>
      </c>
      <c r="M15" s="561" t="n">
        <v>3188</v>
      </c>
      <c r="N15" s="561" t="n">
        <v>3188</v>
      </c>
      <c r="O15" s="561" t="n">
        <v>3188</v>
      </c>
      <c r="P15" s="561" t="n">
        <v>3188</v>
      </c>
      <c r="Q15" s="561" t="n">
        <v>3188</v>
      </c>
      <c r="R15" s="561" t="n">
        <v>3188</v>
      </c>
      <c r="S15" s="561" t="n">
        <v>3188</v>
      </c>
      <c r="T15" s="561" t="n">
        <v>3188</v>
      </c>
      <c r="U15" s="561" t="n">
        <v>3188</v>
      </c>
      <c r="V15" s="561" t="n">
        <v>3188</v>
      </c>
      <c r="W15" s="561" t="n">
        <v>3188</v>
      </c>
      <c r="X15" s="60" t="n">
        <v>3188</v>
      </c>
      <c r="Y15" s="60" t="n">
        <v>3188</v>
      </c>
      <c r="Z15" s="60" t="n">
        <v>3188</v>
      </c>
      <c r="AA15" s="60" t="n">
        <v>3188</v>
      </c>
      <c r="AB15" s="60" t="n">
        <v>3188</v>
      </c>
      <c r="AC15" s="60" t="n">
        <v>3188</v>
      </c>
      <c r="AD15" s="60" t="n">
        <v>3188</v>
      </c>
      <c r="AE15" s="60" t="n">
        <v>3188</v>
      </c>
      <c r="AF15" s="60" t="n">
        <v>3188</v>
      </c>
      <c r="AG15" s="60" t="n">
        <v>3188</v>
      </c>
      <c r="AH15" s="60" t="n">
        <v>3188</v>
      </c>
      <c r="AI15" s="60" t="n">
        <v>3188</v>
      </c>
      <c r="AJ15" s="57">
        <f>AI15-D15</f>
        <v/>
      </c>
    </row>
    <row r="16">
      <c r="A16" s="561" t="n">
        <v>6</v>
      </c>
      <c r="B16" s="561" t="inlineStr">
        <is>
          <t>3F</t>
        </is>
      </c>
      <c r="C16" s="141" t="inlineStr">
        <is>
          <t>SL No 540430038646 (EB Unit)</t>
        </is>
      </c>
      <c r="D16" s="48" t="n">
        <v>110040</v>
      </c>
      <c r="E16" s="198" t="n">
        <v>110257</v>
      </c>
      <c r="F16" s="561" t="n">
        <v>110388</v>
      </c>
      <c r="G16" s="561" t="n">
        <v>110486</v>
      </c>
      <c r="H16" s="561" t="n">
        <v>110747</v>
      </c>
      <c r="I16" s="561" t="n">
        <v>110991</v>
      </c>
      <c r="J16" s="561" t="n">
        <v>111221</v>
      </c>
      <c r="K16" s="58" t="n">
        <v>111514</v>
      </c>
      <c r="L16" s="127" t="n">
        <v>111784</v>
      </c>
      <c r="M16" s="178" t="n">
        <v>111850</v>
      </c>
      <c r="N16" s="178" t="n">
        <v>111984</v>
      </c>
      <c r="O16" s="178" t="n">
        <v>112228</v>
      </c>
      <c r="P16" s="178" t="n">
        <v>112492</v>
      </c>
      <c r="Q16" s="179" t="n">
        <v>112764</v>
      </c>
      <c r="R16" s="178" t="n">
        <v>112998</v>
      </c>
      <c r="S16" s="59" t="n">
        <v>113092</v>
      </c>
      <c r="T16" s="561" t="n">
        <v>113175</v>
      </c>
      <c r="U16" s="561" t="n">
        <v>113290</v>
      </c>
      <c r="V16" s="561" t="n">
        <v>113559</v>
      </c>
      <c r="W16" s="561" t="n">
        <v>113829</v>
      </c>
      <c r="X16" s="561" t="n">
        <v>114091</v>
      </c>
      <c r="Y16" s="561" t="n">
        <v>114361</v>
      </c>
      <c r="Z16" s="561" t="n">
        <v>114633</v>
      </c>
      <c r="AA16" s="561" t="n">
        <v>114762</v>
      </c>
      <c r="AB16" s="8" t="n">
        <v>114867</v>
      </c>
      <c r="AC16" s="561" t="n">
        <v>115152</v>
      </c>
      <c r="AD16" s="561" t="n">
        <v>115414</v>
      </c>
      <c r="AE16" s="8" t="n">
        <v>115707</v>
      </c>
      <c r="AF16" s="8" t="n">
        <v>115882</v>
      </c>
      <c r="AG16" s="561" t="n">
        <v>116245</v>
      </c>
      <c r="AH16" s="128" t="n">
        <v>116371</v>
      </c>
      <c r="AI16" s="48" t="n">
        <v>116441</v>
      </c>
      <c r="AJ16" s="57">
        <f>AI16-D16</f>
        <v/>
      </c>
    </row>
    <row r="17">
      <c r="A17" s="561" t="n"/>
      <c r="B17" s="561" t="n"/>
      <c r="C17" s="140" t="inlineStr">
        <is>
          <t>DG</t>
        </is>
      </c>
      <c r="D17" s="48" t="n">
        <v>4155</v>
      </c>
      <c r="E17" s="48" t="n">
        <v>4155</v>
      </c>
      <c r="F17" s="48" t="n">
        <v>4155</v>
      </c>
      <c r="G17" s="48" t="n">
        <v>4155</v>
      </c>
      <c r="H17" s="561" t="n">
        <v>4155</v>
      </c>
      <c r="I17" s="561" t="n">
        <v>4155</v>
      </c>
      <c r="J17" s="561" t="n">
        <v>4155</v>
      </c>
      <c r="K17" s="561" t="n">
        <v>4155</v>
      </c>
      <c r="L17" s="561" t="n">
        <v>4155</v>
      </c>
      <c r="M17" s="561" t="n">
        <v>4155</v>
      </c>
      <c r="N17" s="561" t="n">
        <v>4155</v>
      </c>
      <c r="O17" s="561" t="n">
        <v>4155</v>
      </c>
      <c r="P17" s="561" t="n">
        <v>4155</v>
      </c>
      <c r="Q17" s="561" t="n">
        <v>4155</v>
      </c>
      <c r="R17" s="561" t="n">
        <v>4155</v>
      </c>
      <c r="S17" s="561" t="n">
        <v>4155</v>
      </c>
      <c r="T17" s="561" t="n">
        <v>4155</v>
      </c>
      <c r="U17" s="561" t="n">
        <v>4155</v>
      </c>
      <c r="V17" s="561" t="n">
        <v>4155</v>
      </c>
      <c r="W17" s="561" t="n">
        <v>4155</v>
      </c>
      <c r="X17" s="129" t="n">
        <v>4155</v>
      </c>
      <c r="Y17" s="129" t="n">
        <v>4155</v>
      </c>
      <c r="Z17" s="129" t="n">
        <v>4155</v>
      </c>
      <c r="AA17" s="129" t="n">
        <v>4155</v>
      </c>
      <c r="AB17" s="129" t="n">
        <v>4155</v>
      </c>
      <c r="AC17" s="129" t="n">
        <v>4155</v>
      </c>
      <c r="AD17" s="129" t="n">
        <v>4155</v>
      </c>
      <c r="AE17" s="129" t="n">
        <v>4155</v>
      </c>
      <c r="AF17" s="129" t="n">
        <v>4155</v>
      </c>
      <c r="AG17" s="129" t="n">
        <v>4155</v>
      </c>
      <c r="AH17" s="129" t="n">
        <v>4155</v>
      </c>
      <c r="AI17" s="129" t="n">
        <v>4155</v>
      </c>
      <c r="AJ17" s="57">
        <f>AI17-D17</f>
        <v/>
      </c>
    </row>
    <row r="18">
      <c r="A18" s="561" t="n">
        <v>7</v>
      </c>
      <c r="B18" s="561" t="inlineStr">
        <is>
          <t>3F</t>
        </is>
      </c>
      <c r="C18" s="141" t="inlineStr">
        <is>
          <t>SL No 540430038843 (EB Unit)</t>
        </is>
      </c>
      <c r="D18" s="48" t="n">
        <v>357388</v>
      </c>
      <c r="E18" s="561" t="n">
        <v>358179</v>
      </c>
      <c r="F18" s="561" t="n">
        <v>358800</v>
      </c>
      <c r="G18" s="561" t="n">
        <v>359312</v>
      </c>
      <c r="H18" s="561" t="n">
        <v>360031</v>
      </c>
      <c r="I18" s="561" t="n">
        <v>360852</v>
      </c>
      <c r="J18" s="561" t="n">
        <v>361601</v>
      </c>
      <c r="K18" s="561" t="n">
        <v>362383</v>
      </c>
      <c r="L18" s="561" t="n">
        <v>363177</v>
      </c>
      <c r="M18" s="561" t="n">
        <v>363653</v>
      </c>
      <c r="N18" s="5" t="n">
        <v>364145</v>
      </c>
      <c r="O18" s="561" t="n">
        <v>364885</v>
      </c>
      <c r="P18" s="561" t="n">
        <v>365687</v>
      </c>
      <c r="Q18" s="561" t="n">
        <v>366465</v>
      </c>
      <c r="R18" s="8" t="n">
        <v>367268</v>
      </c>
      <c r="S18" s="5" t="n">
        <v>367558</v>
      </c>
      <c r="T18" s="561" t="n">
        <v>367968</v>
      </c>
      <c r="U18" s="561" t="n">
        <v>368435</v>
      </c>
      <c r="V18" s="561" t="n">
        <v>369200</v>
      </c>
      <c r="W18" s="561" t="n">
        <v>369977</v>
      </c>
      <c r="X18" s="33" t="n">
        <v>370759</v>
      </c>
      <c r="Y18" s="561" t="n">
        <v>371538</v>
      </c>
      <c r="Z18" s="561" t="n">
        <v>372321</v>
      </c>
      <c r="AA18" s="8" t="n">
        <v>372938</v>
      </c>
      <c r="AB18" s="8" t="n">
        <v>373420</v>
      </c>
      <c r="AC18" s="561" t="n">
        <v>374161</v>
      </c>
      <c r="AD18" s="561" t="n">
        <v>374931</v>
      </c>
      <c r="AE18" s="8" t="n">
        <v>375767</v>
      </c>
      <c r="AF18" s="170" t="n">
        <v>376562</v>
      </c>
      <c r="AG18" s="8" t="n">
        <v>377376</v>
      </c>
      <c r="AH18" s="128" t="n">
        <v>378032</v>
      </c>
      <c r="AI18" s="48" t="n">
        <v>378252</v>
      </c>
      <c r="AJ18" s="57">
        <f>AI18-D18</f>
        <v/>
      </c>
    </row>
    <row r="19">
      <c r="A19" s="561" t="n"/>
      <c r="B19" s="561" t="n"/>
      <c r="C19" s="140" t="inlineStr">
        <is>
          <t>DG</t>
        </is>
      </c>
      <c r="D19" s="48" t="n">
        <v>11338</v>
      </c>
      <c r="E19" s="48" t="n">
        <v>11338</v>
      </c>
      <c r="F19" s="48" t="n">
        <v>11338</v>
      </c>
      <c r="G19" s="48" t="n">
        <v>11338</v>
      </c>
      <c r="H19" s="48" t="n">
        <v>11338</v>
      </c>
      <c r="I19" s="48" t="n">
        <v>11338</v>
      </c>
      <c r="J19" s="48" t="n">
        <v>11338</v>
      </c>
      <c r="K19" s="48" t="n">
        <v>11338</v>
      </c>
      <c r="L19" s="48" t="n">
        <v>11338</v>
      </c>
      <c r="M19" s="48" t="n">
        <v>11338</v>
      </c>
      <c r="N19" s="48" t="n">
        <v>11338</v>
      </c>
      <c r="O19" s="48" t="n">
        <v>11338</v>
      </c>
      <c r="P19" s="48" t="n">
        <v>11338</v>
      </c>
      <c r="Q19" s="48" t="n">
        <v>11338</v>
      </c>
      <c r="R19" s="48" t="n">
        <v>11338</v>
      </c>
      <c r="S19" s="48" t="n">
        <v>11338</v>
      </c>
      <c r="T19" s="48" t="n">
        <v>11338</v>
      </c>
      <c r="U19" s="48" t="n">
        <v>11338</v>
      </c>
      <c r="V19" s="48" t="n">
        <v>11338</v>
      </c>
      <c r="W19" s="48" t="n">
        <v>11338</v>
      </c>
      <c r="X19" s="48" t="n">
        <v>11338</v>
      </c>
      <c r="Y19" s="48" t="n">
        <v>11338</v>
      </c>
      <c r="Z19" s="48" t="n">
        <v>11338</v>
      </c>
      <c r="AA19" s="48" t="n">
        <v>11338</v>
      </c>
      <c r="AB19" s="48" t="n">
        <v>11338</v>
      </c>
      <c r="AC19" s="48" t="n">
        <v>11338</v>
      </c>
      <c r="AD19" s="48" t="n">
        <v>11338</v>
      </c>
      <c r="AE19" s="48" t="n">
        <v>11338</v>
      </c>
      <c r="AF19" s="48" t="n">
        <v>11338</v>
      </c>
      <c r="AG19" s="48" t="n">
        <v>11338</v>
      </c>
      <c r="AH19" s="48" t="n">
        <v>11338</v>
      </c>
      <c r="AI19" s="48" t="n">
        <v>11338</v>
      </c>
      <c r="AJ19" s="57">
        <f>AI19-D19</f>
        <v/>
      </c>
    </row>
    <row r="20">
      <c r="A20" s="561" t="n">
        <v>8</v>
      </c>
      <c r="B20" s="561" t="inlineStr">
        <is>
          <t>3F</t>
        </is>
      </c>
      <c r="C20" s="141" t="inlineStr">
        <is>
          <t>SL No 540430038848 (EB Unit)</t>
        </is>
      </c>
      <c r="D20" s="48" t="n">
        <v>72776</v>
      </c>
      <c r="E20" s="561" t="n">
        <v>72915</v>
      </c>
      <c r="F20" s="561" t="n">
        <v>73044</v>
      </c>
      <c r="G20" s="561" t="n">
        <v>73171</v>
      </c>
      <c r="H20" s="561" t="n">
        <v>73298</v>
      </c>
      <c r="I20" s="561" t="n">
        <v>73437</v>
      </c>
      <c r="J20" s="561" t="n">
        <v>73555</v>
      </c>
      <c r="K20" s="561" t="n">
        <v>73702</v>
      </c>
      <c r="L20" s="561" t="n">
        <v>73842</v>
      </c>
      <c r="M20" s="561" t="n">
        <v>73969</v>
      </c>
      <c r="N20" s="561" t="n">
        <v>74088</v>
      </c>
      <c r="O20" s="561" t="n">
        <v>74260</v>
      </c>
      <c r="P20" s="561" t="n">
        <v>74407</v>
      </c>
      <c r="Q20" s="561" t="n">
        <v>74533</v>
      </c>
      <c r="R20" s="561" t="n">
        <v>74662</v>
      </c>
      <c r="S20" s="561" t="n">
        <v>74777</v>
      </c>
      <c r="T20" s="561" t="n">
        <v>74912</v>
      </c>
      <c r="U20" s="561" t="n">
        <v>75039</v>
      </c>
      <c r="V20" s="561" t="n">
        <v>75190</v>
      </c>
      <c r="W20" s="561" t="n">
        <v>75318</v>
      </c>
      <c r="X20" s="561" t="n">
        <v>75463</v>
      </c>
      <c r="Y20" s="561" t="n">
        <v>75585</v>
      </c>
      <c r="Z20" s="561" t="n">
        <v>75732</v>
      </c>
      <c r="AA20" s="8" t="n">
        <v>75846</v>
      </c>
      <c r="AB20" s="8" t="n">
        <v>75980</v>
      </c>
      <c r="AC20" s="561" t="n">
        <v>76117</v>
      </c>
      <c r="AD20" s="561" t="n">
        <v>76255</v>
      </c>
      <c r="AE20" s="8" t="n">
        <v>76380</v>
      </c>
      <c r="AF20" s="8" t="n">
        <v>76513</v>
      </c>
      <c r="AG20" s="8" t="n">
        <v>76628</v>
      </c>
      <c r="AH20" s="128" t="n">
        <v>76747</v>
      </c>
      <c r="AI20" s="48" t="n">
        <v>76796</v>
      </c>
      <c r="AJ20" s="57">
        <f>AI20-D20</f>
        <v/>
      </c>
    </row>
    <row r="21">
      <c r="A21" s="561" t="n"/>
      <c r="B21" s="561" t="n"/>
      <c r="C21" s="140" t="inlineStr">
        <is>
          <t>DG</t>
        </is>
      </c>
      <c r="D21" s="48" t="n">
        <v>2164</v>
      </c>
      <c r="E21" s="48" t="n">
        <v>2164</v>
      </c>
      <c r="F21" s="48" t="n">
        <v>2164</v>
      </c>
      <c r="G21" s="561" t="n">
        <v>2164</v>
      </c>
      <c r="H21" s="561" t="n">
        <v>2164</v>
      </c>
      <c r="I21" s="561" t="n">
        <v>2164</v>
      </c>
      <c r="J21" s="561" t="n">
        <v>2164</v>
      </c>
      <c r="K21" s="561" t="n">
        <v>2164</v>
      </c>
      <c r="L21" s="561" t="n">
        <v>2164</v>
      </c>
      <c r="M21" s="561" t="n">
        <v>2164</v>
      </c>
      <c r="N21" s="561" t="n">
        <v>2164</v>
      </c>
      <c r="O21" s="561" t="n">
        <v>2164</v>
      </c>
      <c r="P21" s="561" t="n">
        <v>2164</v>
      </c>
      <c r="Q21" s="561" t="n">
        <v>2164</v>
      </c>
      <c r="R21" s="561" t="n">
        <v>2164</v>
      </c>
      <c r="S21" s="561" t="n">
        <v>2164</v>
      </c>
      <c r="T21" s="561" t="n">
        <v>2164</v>
      </c>
      <c r="U21" s="561" t="n">
        <v>2164</v>
      </c>
      <c r="V21" s="561" t="n">
        <v>2164</v>
      </c>
      <c r="W21" s="561" t="n">
        <v>2164</v>
      </c>
      <c r="X21" s="561" t="n">
        <v>2164</v>
      </c>
      <c r="Y21" s="561" t="n">
        <v>2164</v>
      </c>
      <c r="Z21" s="561" t="n">
        <v>2164</v>
      </c>
      <c r="AA21" s="561" t="n">
        <v>2164</v>
      </c>
      <c r="AB21" s="561" t="n">
        <v>2164</v>
      </c>
      <c r="AC21" s="561" t="n">
        <v>2164</v>
      </c>
      <c r="AD21" s="561" t="n">
        <v>2164</v>
      </c>
      <c r="AE21" s="561" t="n">
        <v>2164</v>
      </c>
      <c r="AF21" s="561" t="n">
        <v>2164</v>
      </c>
      <c r="AG21" s="561" t="n">
        <v>2164</v>
      </c>
      <c r="AH21" s="561" t="n">
        <v>2164</v>
      </c>
      <c r="AI21" s="561" t="n">
        <v>2164</v>
      </c>
      <c r="AJ21" s="57">
        <f>AI21-D21</f>
        <v/>
      </c>
    </row>
    <row r="22">
      <c r="A22" s="500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20" t="n"/>
      <c r="AJ22" s="501" t="n"/>
    </row>
    <row r="23">
      <c r="A23" s="561" t="n">
        <v>1</v>
      </c>
      <c r="B23" s="561" t="inlineStr">
        <is>
          <t>3F</t>
        </is>
      </c>
      <c r="C23" s="141" t="inlineStr">
        <is>
          <t>AHU1</t>
        </is>
      </c>
      <c r="D23" s="8" t="n">
        <v>31560</v>
      </c>
      <c r="E23" s="561" t="n">
        <v>31633</v>
      </c>
      <c r="F23" s="561" t="n">
        <v>31706</v>
      </c>
      <c r="G23" s="561" t="n">
        <v>31752</v>
      </c>
      <c r="H23" s="561" t="n">
        <v>31839</v>
      </c>
      <c r="I23" s="561" t="n">
        <v>31942</v>
      </c>
      <c r="J23" s="561" t="n">
        <v>32043</v>
      </c>
      <c r="K23" s="561" t="n">
        <v>32158</v>
      </c>
      <c r="L23" s="561" t="n">
        <v>32300</v>
      </c>
      <c r="M23" s="561" t="n">
        <v>32300</v>
      </c>
      <c r="N23" s="561" t="n">
        <v>32315</v>
      </c>
      <c r="O23" s="561" t="n">
        <v>32420</v>
      </c>
      <c r="P23" s="561" t="n">
        <v>32573</v>
      </c>
      <c r="Q23" s="561" t="n">
        <v>32694</v>
      </c>
      <c r="R23" s="561" t="n">
        <v>32835</v>
      </c>
      <c r="S23" s="561" t="n">
        <v>32835</v>
      </c>
      <c r="T23" s="561" t="n">
        <v>32931</v>
      </c>
      <c r="U23" s="561" t="n">
        <v>32989</v>
      </c>
      <c r="V23" s="561" t="n">
        <v>33129</v>
      </c>
      <c r="W23" s="561" t="n">
        <v>33305</v>
      </c>
      <c r="X23" s="561" t="n">
        <v>33471</v>
      </c>
      <c r="Y23" s="561" t="n">
        <v>33640</v>
      </c>
      <c r="Z23" s="561" t="n">
        <v>33793</v>
      </c>
      <c r="AA23" s="561" t="n">
        <v>33893</v>
      </c>
      <c r="AB23" s="561" t="n">
        <v>33893</v>
      </c>
      <c r="AC23" s="561" t="n">
        <v>34018</v>
      </c>
      <c r="AD23" s="561" t="n">
        <v>34107</v>
      </c>
      <c r="AE23" s="561" t="n">
        <v>34189</v>
      </c>
      <c r="AF23" s="561" t="n">
        <v>34336</v>
      </c>
      <c r="AG23" s="561" t="n">
        <v>34505</v>
      </c>
      <c r="AH23" s="8" t="n">
        <v>34660</v>
      </c>
      <c r="AI23" s="8" t="n">
        <v>34660</v>
      </c>
      <c r="AJ23" s="7">
        <f>AI23-D23</f>
        <v/>
      </c>
    </row>
    <row r="24">
      <c r="A24" s="561" t="n"/>
      <c r="B24" s="561" t="n"/>
      <c r="C24" s="142" t="inlineStr">
        <is>
          <t>DG</t>
        </is>
      </c>
      <c r="D24" s="8" t="n">
        <v>1882</v>
      </c>
      <c r="E24" s="8" t="n">
        <v>1882</v>
      </c>
      <c r="F24" s="8" t="n">
        <v>1882</v>
      </c>
      <c r="G24" s="561" t="n">
        <v>1882</v>
      </c>
      <c r="H24" s="561" t="n">
        <v>1882</v>
      </c>
      <c r="I24" s="561" t="n">
        <v>1882</v>
      </c>
      <c r="J24" s="561" t="n">
        <v>1882</v>
      </c>
      <c r="K24" s="561" t="n">
        <v>1882</v>
      </c>
      <c r="L24" s="561" t="n">
        <v>1882</v>
      </c>
      <c r="M24" s="561" t="n">
        <v>1882</v>
      </c>
      <c r="N24" s="561" t="n">
        <v>1882</v>
      </c>
      <c r="O24" s="561" t="n">
        <v>1882</v>
      </c>
      <c r="P24" s="561" t="n">
        <v>1882</v>
      </c>
      <c r="Q24" s="561" t="n">
        <v>1882</v>
      </c>
      <c r="R24" s="561" t="n">
        <v>1882</v>
      </c>
      <c r="S24" s="561" t="n">
        <v>1882</v>
      </c>
      <c r="T24" s="561" t="n">
        <v>1882</v>
      </c>
      <c r="U24" s="561" t="n">
        <v>1882</v>
      </c>
      <c r="V24" s="561" t="n">
        <v>1882</v>
      </c>
      <c r="W24" s="561" t="n">
        <v>1882</v>
      </c>
      <c r="X24" s="561" t="n">
        <v>1882</v>
      </c>
      <c r="Y24" s="561" t="n">
        <v>1882</v>
      </c>
      <c r="Z24" s="561" t="n">
        <v>1882</v>
      </c>
      <c r="AA24" s="561" t="n">
        <v>1882</v>
      </c>
      <c r="AB24" s="561" t="n">
        <v>1882</v>
      </c>
      <c r="AC24" s="561" t="n">
        <v>1882</v>
      </c>
      <c r="AD24" s="561" t="n">
        <v>1882</v>
      </c>
      <c r="AE24" s="561" t="n">
        <v>1882</v>
      </c>
      <c r="AF24" s="561" t="n">
        <v>1882</v>
      </c>
      <c r="AG24" s="561" t="n">
        <v>1882</v>
      </c>
      <c r="AH24" s="561" t="n">
        <v>1882</v>
      </c>
      <c r="AI24" s="561" t="n">
        <v>1882</v>
      </c>
      <c r="AJ24" s="7">
        <f>AI24-D24</f>
        <v/>
      </c>
    </row>
    <row r="25">
      <c r="A25" s="561" t="n">
        <v>2</v>
      </c>
      <c r="B25" s="561" t="inlineStr">
        <is>
          <t>3F</t>
        </is>
      </c>
      <c r="C25" s="141" t="inlineStr">
        <is>
          <t>AHU2</t>
        </is>
      </c>
      <c r="D25" s="8" t="n">
        <v>35090</v>
      </c>
      <c r="E25" s="561" t="n">
        <v>35275</v>
      </c>
      <c r="F25" s="561" t="n">
        <v>35398</v>
      </c>
      <c r="G25" s="561" t="n">
        <v>35418</v>
      </c>
      <c r="H25" s="561" t="n">
        <v>35562</v>
      </c>
      <c r="I25" s="561" t="n">
        <v>35734</v>
      </c>
      <c r="J25" s="561" t="n">
        <v>35851</v>
      </c>
      <c r="K25" s="561" t="n">
        <v>36046</v>
      </c>
      <c r="L25" s="561" t="n">
        <v>36265</v>
      </c>
      <c r="M25" s="561" t="n">
        <v>36265</v>
      </c>
      <c r="N25" s="561" t="n">
        <v>36265</v>
      </c>
      <c r="O25" s="561" t="n">
        <v>36411</v>
      </c>
      <c r="P25" s="561" t="n">
        <v>36590</v>
      </c>
      <c r="Q25" s="561" t="n">
        <v>36727</v>
      </c>
      <c r="R25" s="561" t="n">
        <v>36853</v>
      </c>
      <c r="S25" s="561" t="n">
        <v>36853</v>
      </c>
      <c r="T25" s="561" t="n">
        <v>36916</v>
      </c>
      <c r="U25" s="561" t="n">
        <v>36971</v>
      </c>
      <c r="V25" s="561" t="n">
        <v>37084</v>
      </c>
      <c r="W25" s="561" t="n">
        <v>37214</v>
      </c>
      <c r="X25" s="561" t="n">
        <v>37356</v>
      </c>
      <c r="Y25" s="561" t="n">
        <v>37487</v>
      </c>
      <c r="Z25" s="561" t="n">
        <v>37602</v>
      </c>
      <c r="AA25" s="561" t="n">
        <v>37664</v>
      </c>
      <c r="AB25" s="561" t="n">
        <v>37684</v>
      </c>
      <c r="AC25" s="561" t="n">
        <v>37796</v>
      </c>
      <c r="AD25" s="561" t="n">
        <v>37916</v>
      </c>
      <c r="AE25" s="561" t="n">
        <v>38020</v>
      </c>
      <c r="AF25" s="561" t="n">
        <v>38196</v>
      </c>
      <c r="AG25" s="561" t="n">
        <v>38357</v>
      </c>
      <c r="AH25" s="8" t="n">
        <v>38471</v>
      </c>
      <c r="AI25" s="8" t="n">
        <v>38471</v>
      </c>
      <c r="AJ25" s="7">
        <f>AI25-D25</f>
        <v/>
      </c>
    </row>
    <row r="26">
      <c r="A26" s="561" t="n"/>
      <c r="B26" s="561" t="n"/>
      <c r="C26" s="142" t="inlineStr">
        <is>
          <t>DG</t>
        </is>
      </c>
      <c r="D26" s="8" t="n">
        <v>1861</v>
      </c>
      <c r="E26" s="8" t="n">
        <v>1861</v>
      </c>
      <c r="F26" s="8" t="n">
        <v>1861</v>
      </c>
      <c r="G26" s="561" t="n">
        <v>1861</v>
      </c>
      <c r="H26" s="561" t="n">
        <v>1861</v>
      </c>
      <c r="I26" s="561" t="n">
        <v>1861</v>
      </c>
      <c r="J26" s="561" t="n">
        <v>1861</v>
      </c>
      <c r="K26" s="561" t="n">
        <v>1861</v>
      </c>
      <c r="L26" s="561" t="n">
        <v>1861</v>
      </c>
      <c r="M26" s="561" t="n">
        <v>1861</v>
      </c>
      <c r="N26" s="561" t="n">
        <v>1861</v>
      </c>
      <c r="O26" s="561" t="n">
        <v>1861</v>
      </c>
      <c r="P26" s="561" t="n">
        <v>1861</v>
      </c>
      <c r="Q26" s="561" t="n">
        <v>1861</v>
      </c>
      <c r="R26" s="561" t="n">
        <v>1861</v>
      </c>
      <c r="S26" s="561" t="n">
        <v>1861</v>
      </c>
      <c r="T26" s="561" t="n">
        <v>1861</v>
      </c>
      <c r="U26" s="561" t="n">
        <v>1861</v>
      </c>
      <c r="V26" s="561" t="n">
        <v>1861</v>
      </c>
      <c r="W26" s="561" t="n">
        <v>1861</v>
      </c>
      <c r="X26" s="561" t="n">
        <v>1861</v>
      </c>
      <c r="Y26" s="561" t="n">
        <v>1861</v>
      </c>
      <c r="Z26" s="561" t="n">
        <v>1861</v>
      </c>
      <c r="AA26" s="561" t="n">
        <v>1861</v>
      </c>
      <c r="AB26" s="561" t="n">
        <v>1861</v>
      </c>
      <c r="AC26" s="561" t="n">
        <v>1861</v>
      </c>
      <c r="AD26" s="561" t="n">
        <v>1861</v>
      </c>
      <c r="AE26" s="561" t="n">
        <v>1861</v>
      </c>
      <c r="AF26" s="561" t="n">
        <v>1861</v>
      </c>
      <c r="AG26" s="561" t="n">
        <v>1861</v>
      </c>
      <c r="AH26" s="561" t="n">
        <v>1861</v>
      </c>
      <c r="AI26" s="561" t="n">
        <v>1861</v>
      </c>
      <c r="AJ26" s="7">
        <f>AI26-D26</f>
        <v/>
      </c>
    </row>
    <row r="27">
      <c r="A27" s="561" t="n">
        <v>3</v>
      </c>
      <c r="B27" s="561" t="inlineStr">
        <is>
          <t>3F</t>
        </is>
      </c>
      <c r="C27" s="141" t="inlineStr">
        <is>
          <t>AHU3</t>
        </is>
      </c>
      <c r="D27" s="8" t="n">
        <v>38186</v>
      </c>
      <c r="E27" s="561" t="n">
        <v>38286</v>
      </c>
      <c r="F27" s="561" t="n">
        <v>38442</v>
      </c>
      <c r="G27" s="561" t="n">
        <v>38474</v>
      </c>
      <c r="H27" s="561" t="n">
        <v>38606</v>
      </c>
      <c r="I27" s="561" t="n">
        <v>38767</v>
      </c>
      <c r="J27" s="561" t="n">
        <v>38921</v>
      </c>
      <c r="K27" s="561" t="n">
        <v>39079</v>
      </c>
      <c r="L27" s="561" t="n">
        <v>39224</v>
      </c>
      <c r="M27" s="561" t="n">
        <v>39224</v>
      </c>
      <c r="N27" s="561" t="n">
        <v>39224</v>
      </c>
      <c r="O27" s="561" t="n">
        <v>39531</v>
      </c>
      <c r="P27" s="561" t="n">
        <v>39693</v>
      </c>
      <c r="Q27" s="561" t="n">
        <v>39816</v>
      </c>
      <c r="R27" s="561" t="n">
        <v>39948</v>
      </c>
      <c r="S27" s="561" t="n">
        <v>39948</v>
      </c>
      <c r="T27" s="561" t="n">
        <v>40005</v>
      </c>
      <c r="U27" s="561" t="n">
        <v>40053</v>
      </c>
      <c r="V27" s="561" t="n">
        <v>40180</v>
      </c>
      <c r="W27" s="561" t="n">
        <v>40319</v>
      </c>
      <c r="X27" s="561" t="n">
        <v>40427</v>
      </c>
      <c r="Y27" s="561" t="n">
        <v>40576</v>
      </c>
      <c r="Z27" s="561" t="n">
        <v>40720</v>
      </c>
      <c r="AA27" s="561" t="n">
        <v>40808</v>
      </c>
      <c r="AB27" s="561" t="n">
        <v>40808</v>
      </c>
      <c r="AC27" s="561" t="n">
        <v>40950</v>
      </c>
      <c r="AD27" s="561" t="n">
        <v>41061</v>
      </c>
      <c r="AE27" s="561" t="n">
        <v>41370</v>
      </c>
      <c r="AF27" s="561" t="n">
        <v>41596</v>
      </c>
      <c r="AG27" s="561" t="n">
        <v>41818</v>
      </c>
      <c r="AH27" s="561" t="n">
        <v>41989</v>
      </c>
      <c r="AI27" s="8" t="n">
        <v>41989</v>
      </c>
      <c r="AJ27" s="7">
        <f>AI27-D27</f>
        <v/>
      </c>
    </row>
    <row r="28">
      <c r="A28" s="561" t="n"/>
      <c r="B28" s="561" t="n"/>
      <c r="C28" s="142" t="inlineStr">
        <is>
          <t>DG</t>
        </is>
      </c>
      <c r="D28" s="8" t="n">
        <v>2016</v>
      </c>
      <c r="E28" s="8" t="n">
        <v>2016</v>
      </c>
      <c r="F28" s="8" t="n">
        <v>2016</v>
      </c>
      <c r="G28" s="561" t="n">
        <v>2016</v>
      </c>
      <c r="H28" s="561" t="n">
        <v>2016</v>
      </c>
      <c r="I28" s="561" t="n">
        <v>2016</v>
      </c>
      <c r="J28" s="561" t="n">
        <v>2016</v>
      </c>
      <c r="K28" s="561" t="n">
        <v>2016</v>
      </c>
      <c r="L28" s="561" t="n">
        <v>2016</v>
      </c>
      <c r="M28" s="561" t="n">
        <v>2016</v>
      </c>
      <c r="N28" s="561" t="n">
        <v>2016</v>
      </c>
      <c r="O28" s="561" t="n">
        <v>2016</v>
      </c>
      <c r="P28" s="561" t="n">
        <v>2016</v>
      </c>
      <c r="Q28" s="561" t="n">
        <v>2016</v>
      </c>
      <c r="R28" s="561" t="n">
        <v>2016</v>
      </c>
      <c r="S28" s="561" t="n">
        <v>2016</v>
      </c>
      <c r="T28" s="561" t="n">
        <v>2016</v>
      </c>
      <c r="U28" s="561" t="n">
        <v>2016</v>
      </c>
      <c r="V28" s="561" t="n">
        <v>2016</v>
      </c>
      <c r="W28" s="561" t="n">
        <v>2016</v>
      </c>
      <c r="X28" s="561" t="n">
        <v>2016</v>
      </c>
      <c r="Y28" s="561" t="n">
        <v>2016</v>
      </c>
      <c r="Z28" s="561" t="n">
        <v>2016</v>
      </c>
      <c r="AA28" s="561" t="n">
        <v>2016</v>
      </c>
      <c r="AB28" s="561" t="n">
        <v>2016</v>
      </c>
      <c r="AC28" s="561" t="n">
        <v>2016</v>
      </c>
      <c r="AD28" s="561" t="n">
        <v>2016</v>
      </c>
      <c r="AE28" s="561" t="n">
        <v>2016</v>
      </c>
      <c r="AF28" s="561" t="n">
        <v>2016</v>
      </c>
      <c r="AG28" s="561" t="n">
        <v>2016</v>
      </c>
      <c r="AH28" s="561" t="n">
        <v>2016</v>
      </c>
      <c r="AI28" s="561" t="n">
        <v>2016</v>
      </c>
      <c r="AJ28" s="7">
        <f>AI28-D28</f>
        <v/>
      </c>
    </row>
    <row r="29">
      <c r="A29" s="561" t="n">
        <v>4</v>
      </c>
      <c r="B29" s="561" t="inlineStr">
        <is>
          <t>3F</t>
        </is>
      </c>
      <c r="C29" s="141" t="inlineStr">
        <is>
          <t>AHU4</t>
        </is>
      </c>
      <c r="D29" s="8" t="n">
        <v>30931</v>
      </c>
      <c r="E29" s="561" t="n">
        <v>31022</v>
      </c>
      <c r="F29" s="561" t="n">
        <v>31062</v>
      </c>
      <c r="G29" s="561" t="n">
        <v>31078</v>
      </c>
      <c r="H29" s="561" t="n">
        <v>31171</v>
      </c>
      <c r="I29" s="561" t="n">
        <v>31264</v>
      </c>
      <c r="J29" s="561" t="n">
        <v>31362</v>
      </c>
      <c r="K29" s="561" t="n">
        <v>31456</v>
      </c>
      <c r="L29" s="561" t="n">
        <v>31543</v>
      </c>
      <c r="M29" s="561" t="n">
        <v>31543</v>
      </c>
      <c r="N29" s="561" t="n">
        <v>31543</v>
      </c>
      <c r="O29" s="561" t="n">
        <v>31652</v>
      </c>
      <c r="P29" s="561" t="n">
        <v>31730</v>
      </c>
      <c r="Q29" s="561" t="n">
        <v>31793</v>
      </c>
      <c r="R29" s="561" t="n">
        <v>31858</v>
      </c>
      <c r="S29" s="561" t="n">
        <v>31858</v>
      </c>
      <c r="T29" s="561" t="n">
        <v>31900</v>
      </c>
      <c r="U29" s="561" t="n">
        <v>31934</v>
      </c>
      <c r="V29" s="561" t="n">
        <v>32015</v>
      </c>
      <c r="W29" s="561" t="n">
        <v>32100</v>
      </c>
      <c r="X29" s="561" t="n">
        <v>32200</v>
      </c>
      <c r="Y29" s="561" t="n">
        <v>32302</v>
      </c>
      <c r="Z29" s="561" t="n">
        <v>32412</v>
      </c>
      <c r="AA29" s="561" t="n">
        <v>32416</v>
      </c>
      <c r="AB29" s="561" t="n">
        <v>32416</v>
      </c>
      <c r="AC29" s="561" t="n">
        <v>32529</v>
      </c>
      <c r="AD29" s="561" t="n">
        <v>32627</v>
      </c>
      <c r="AE29" s="561" t="n">
        <v>32733</v>
      </c>
      <c r="AF29" s="561" t="n">
        <v>32902</v>
      </c>
      <c r="AG29" s="561" t="n">
        <v>33035</v>
      </c>
      <c r="AH29" s="8" t="n">
        <v>33144</v>
      </c>
      <c r="AI29" s="8" t="n">
        <v>33144</v>
      </c>
      <c r="AJ29" s="7">
        <f>AI29-D29</f>
        <v/>
      </c>
    </row>
    <row r="30">
      <c r="A30" s="561" t="n"/>
      <c r="B30" s="561" t="n"/>
      <c r="C30" s="142" t="inlineStr">
        <is>
          <t>DG</t>
        </is>
      </c>
      <c r="D30" s="8" t="n">
        <v>1744</v>
      </c>
      <c r="E30" s="8" t="n">
        <v>1744</v>
      </c>
      <c r="F30" s="8" t="n">
        <v>1744</v>
      </c>
      <c r="G30" s="561" t="n">
        <v>1744</v>
      </c>
      <c r="H30" s="561" t="n">
        <v>1744</v>
      </c>
      <c r="I30" s="561" t="n">
        <v>1744</v>
      </c>
      <c r="J30" s="561" t="n">
        <v>1744</v>
      </c>
      <c r="K30" s="561" t="n">
        <v>1744</v>
      </c>
      <c r="L30" s="561" t="n">
        <v>1744</v>
      </c>
      <c r="M30" s="561" t="n">
        <v>1744</v>
      </c>
      <c r="N30" s="561" t="n">
        <v>1744</v>
      </c>
      <c r="O30" s="561" t="n">
        <v>1744</v>
      </c>
      <c r="P30" s="561" t="n">
        <v>1744</v>
      </c>
      <c r="Q30" s="561" t="n">
        <v>1744</v>
      </c>
      <c r="R30" s="561" t="n">
        <v>1744</v>
      </c>
      <c r="S30" s="561" t="n">
        <v>1744</v>
      </c>
      <c r="T30" s="561" t="n">
        <v>1744</v>
      </c>
      <c r="U30" s="561" t="n">
        <v>1744</v>
      </c>
      <c r="V30" s="561" t="n">
        <v>1744</v>
      </c>
      <c r="W30" s="561" t="n">
        <v>1744</v>
      </c>
      <c r="X30" s="561" t="n">
        <v>1744</v>
      </c>
      <c r="Y30" s="561" t="n">
        <v>1744</v>
      </c>
      <c r="Z30" s="561" t="n">
        <v>1744</v>
      </c>
      <c r="AA30" s="561" t="n">
        <v>1744</v>
      </c>
      <c r="AB30" s="561" t="n">
        <v>1744</v>
      </c>
      <c r="AC30" s="561" t="n">
        <v>1744</v>
      </c>
      <c r="AD30" s="561" t="n">
        <v>1744</v>
      </c>
      <c r="AE30" s="561" t="n">
        <v>1744</v>
      </c>
      <c r="AF30" s="561" t="n">
        <v>1744</v>
      </c>
      <c r="AG30" s="561" t="n">
        <v>1744</v>
      </c>
      <c r="AH30" s="561" t="n">
        <v>1744</v>
      </c>
      <c r="AI30" s="561" t="n">
        <v>1744</v>
      </c>
      <c r="AJ30" s="7">
        <f>AI30-D30</f>
        <v/>
      </c>
    </row>
    <row r="31">
      <c r="A31" s="561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20" t="n"/>
      <c r="AJ31" s="501" t="n"/>
    </row>
    <row r="32">
      <c r="A32" s="561" t="n">
        <v>1</v>
      </c>
      <c r="B32" s="561" t="inlineStr">
        <is>
          <t>3F</t>
        </is>
      </c>
      <c r="C32" s="141" t="inlineStr">
        <is>
          <t>AHU1 - BTU</t>
        </is>
      </c>
      <c r="D32" s="161" t="n">
        <v>322263</v>
      </c>
      <c r="E32" s="44" t="n">
        <v>323352</v>
      </c>
      <c r="F32" s="150" t="n">
        <v>324270</v>
      </c>
      <c r="G32" s="150" t="n">
        <v>324854</v>
      </c>
      <c r="H32" s="150" t="n">
        <v>325967</v>
      </c>
      <c r="I32" s="44" t="n">
        <v>327156</v>
      </c>
      <c r="J32" s="150" t="n">
        <v>328550</v>
      </c>
      <c r="K32" s="150" t="n">
        <v>329388</v>
      </c>
      <c r="L32" s="150" t="n">
        <v>330305</v>
      </c>
      <c r="M32" s="44" t="n">
        <v>330305</v>
      </c>
      <c r="N32" s="150" t="n">
        <v>330521</v>
      </c>
      <c r="O32" s="150" t="n">
        <v>331757</v>
      </c>
      <c r="P32" s="150" t="n">
        <v>333267</v>
      </c>
      <c r="Q32" s="44" t="n">
        <v>334565</v>
      </c>
      <c r="R32" s="150" t="n">
        <v>335539</v>
      </c>
      <c r="S32" s="150" t="n">
        <v>335539</v>
      </c>
      <c r="T32" s="150" t="n">
        <v>336061</v>
      </c>
      <c r="U32" s="44" t="n">
        <v>336455</v>
      </c>
      <c r="V32" s="150" t="n">
        <v>337768</v>
      </c>
      <c r="W32" s="150" t="n">
        <v>339318</v>
      </c>
      <c r="X32" s="150" t="n">
        <v>340373</v>
      </c>
      <c r="Y32" s="44" t="n">
        <v>340936</v>
      </c>
      <c r="Z32" s="150" t="n">
        <v>341615</v>
      </c>
      <c r="AA32" s="150" t="n">
        <v>342092</v>
      </c>
      <c r="AB32" s="150" t="n">
        <v>342111</v>
      </c>
      <c r="AC32" s="44" t="n">
        <v>342685</v>
      </c>
      <c r="AD32" s="150" t="n">
        <v>343238</v>
      </c>
      <c r="AE32" s="150" t="n">
        <v>343699</v>
      </c>
      <c r="AF32" s="150" t="n">
        <v>344329</v>
      </c>
      <c r="AG32" s="44" t="n">
        <v>344978</v>
      </c>
      <c r="AH32" s="150" t="n">
        <v>345400</v>
      </c>
      <c r="AI32" s="161" t="n">
        <v>345400</v>
      </c>
      <c r="AJ32" s="7">
        <f>AI32-D32</f>
        <v/>
      </c>
    </row>
    <row r="33">
      <c r="A33" s="561" t="n">
        <v>2</v>
      </c>
      <c r="B33" s="561" t="inlineStr">
        <is>
          <t>3F</t>
        </is>
      </c>
      <c r="C33" s="141" t="inlineStr">
        <is>
          <t>AHU2 - BTU</t>
        </is>
      </c>
      <c r="D33" s="161" t="n">
        <v>300479</v>
      </c>
      <c r="E33" s="150" t="n">
        <v>301330</v>
      </c>
      <c r="F33" s="150" t="n">
        <v>302186</v>
      </c>
      <c r="G33" s="150" t="n">
        <v>302186</v>
      </c>
      <c r="H33" s="150" t="n">
        <v>303550</v>
      </c>
      <c r="I33" s="150" t="n">
        <v>304510</v>
      </c>
      <c r="J33" s="150" t="n">
        <v>305363</v>
      </c>
      <c r="K33" s="150" t="n">
        <v>306411</v>
      </c>
      <c r="L33" s="150" t="n">
        <v>307453</v>
      </c>
      <c r="M33" s="150" t="n">
        <v>307453</v>
      </c>
      <c r="N33" s="150" t="n">
        <v>307564</v>
      </c>
      <c r="O33" s="150" t="n">
        <v>308518</v>
      </c>
      <c r="P33" s="150" t="n">
        <v>309429</v>
      </c>
      <c r="Q33" s="150" t="n">
        <v>310447</v>
      </c>
      <c r="R33" s="150" t="n">
        <v>310964</v>
      </c>
      <c r="S33" s="150" t="n">
        <v>310964</v>
      </c>
      <c r="T33" s="150" t="n">
        <v>311492</v>
      </c>
      <c r="U33" s="150" t="n">
        <v>311884</v>
      </c>
      <c r="V33" s="150" t="n">
        <v>312965</v>
      </c>
      <c r="W33" s="150" t="n">
        <v>314229</v>
      </c>
      <c r="X33" s="150" t="n">
        <v>315102</v>
      </c>
      <c r="Y33" s="150" t="n">
        <v>315759</v>
      </c>
      <c r="Z33" s="150" t="n">
        <v>316517</v>
      </c>
      <c r="AA33" s="150" t="n">
        <v>316976</v>
      </c>
      <c r="AB33" s="150" t="n">
        <v>316990</v>
      </c>
      <c r="AC33" s="150" t="n">
        <v>317751</v>
      </c>
      <c r="AD33" s="150" t="n">
        <v>318386</v>
      </c>
      <c r="AE33" s="150" t="n">
        <v>318848</v>
      </c>
      <c r="AF33" s="150" t="n">
        <v>319648</v>
      </c>
      <c r="AG33" s="150" t="n">
        <v>320417</v>
      </c>
      <c r="AH33" s="150" t="n">
        <v>320953</v>
      </c>
      <c r="AI33" s="161" t="n">
        <v>320953</v>
      </c>
      <c r="AJ33" s="7">
        <f>AI33-D33</f>
        <v/>
      </c>
    </row>
    <row r="34">
      <c r="A34" s="561" t="n">
        <v>3</v>
      </c>
      <c r="B34" s="561" t="inlineStr">
        <is>
          <t>3F</t>
        </is>
      </c>
      <c r="C34" s="141" t="inlineStr">
        <is>
          <t>AHU3 - BTU</t>
        </is>
      </c>
      <c r="D34" s="161" t="n">
        <v>312610</v>
      </c>
      <c r="E34" s="150" t="n">
        <v>313661</v>
      </c>
      <c r="F34" s="150" t="n">
        <v>314469</v>
      </c>
      <c r="G34" s="150" t="n">
        <v>314759</v>
      </c>
      <c r="H34" s="150" t="n">
        <v>316092</v>
      </c>
      <c r="I34" s="150" t="n">
        <v>317041</v>
      </c>
      <c r="J34" s="150" t="n">
        <v>317956</v>
      </c>
      <c r="K34" s="150" t="n">
        <v>318978</v>
      </c>
      <c r="L34" s="150" t="n">
        <v>319705</v>
      </c>
      <c r="M34" s="150" t="n">
        <v>319705</v>
      </c>
      <c r="N34" s="150" t="n">
        <v>320110</v>
      </c>
      <c r="O34" s="150" t="n">
        <v>321645</v>
      </c>
      <c r="P34" s="150" t="n">
        <v>322818</v>
      </c>
      <c r="Q34" s="150" t="n">
        <v>323842</v>
      </c>
      <c r="R34" s="150" t="n">
        <v>324452</v>
      </c>
      <c r="S34" s="150" t="n">
        <v>324452</v>
      </c>
      <c r="T34" s="150" t="n">
        <v>325078</v>
      </c>
      <c r="U34" s="150" t="n">
        <v>325602</v>
      </c>
      <c r="V34" s="150" t="n">
        <v>326648</v>
      </c>
      <c r="W34" s="150" t="n">
        <v>327549</v>
      </c>
      <c r="X34" s="150" t="n">
        <v>328463</v>
      </c>
      <c r="Y34" s="150" t="n">
        <v>329047</v>
      </c>
      <c r="Z34" s="150" t="n">
        <v>329749</v>
      </c>
      <c r="AA34" s="150" t="n">
        <v>330255</v>
      </c>
      <c r="AB34" s="150" t="n">
        <v>330264</v>
      </c>
      <c r="AC34" s="150" t="n">
        <v>331017</v>
      </c>
      <c r="AD34" s="150" t="n">
        <v>331861</v>
      </c>
      <c r="AE34" s="150" t="n">
        <v>332763</v>
      </c>
      <c r="AF34" s="150" t="n">
        <v>333608</v>
      </c>
      <c r="AG34" s="150" t="n">
        <v>334603</v>
      </c>
      <c r="AH34" s="150" t="n">
        <v>335256</v>
      </c>
      <c r="AI34" s="161" t="n">
        <v>335256</v>
      </c>
      <c r="AJ34" s="7">
        <f>AI34-D34</f>
        <v/>
      </c>
    </row>
    <row r="35">
      <c r="A35" s="561" t="n">
        <v>4</v>
      </c>
      <c r="B35" s="561" t="inlineStr">
        <is>
          <t>3F</t>
        </is>
      </c>
      <c r="C35" s="141" t="inlineStr">
        <is>
          <t>AHU4 - BTU</t>
        </is>
      </c>
      <c r="D35" s="161" t="n">
        <v>337491</v>
      </c>
      <c r="E35" s="150" t="n">
        <v>338457</v>
      </c>
      <c r="F35" s="150" t="n">
        <v>339026</v>
      </c>
      <c r="G35" s="150" t="n">
        <v>339026</v>
      </c>
      <c r="H35" s="150" t="n">
        <v>340091</v>
      </c>
      <c r="I35" s="150" t="n">
        <v>341102</v>
      </c>
      <c r="J35" s="150" t="n">
        <v>342103</v>
      </c>
      <c r="K35" s="150" t="n">
        <v>343092</v>
      </c>
      <c r="L35" s="150" t="n">
        <v>344103</v>
      </c>
      <c r="M35" s="150" t="n">
        <v>344103</v>
      </c>
      <c r="N35" s="150" t="n">
        <v>344400</v>
      </c>
      <c r="O35" s="150" t="n">
        <v>345485</v>
      </c>
      <c r="P35" s="150" t="n">
        <v>346471</v>
      </c>
      <c r="Q35" s="150" t="n">
        <v>347315</v>
      </c>
      <c r="R35" s="150" t="n">
        <v>347995</v>
      </c>
      <c r="S35" s="150" t="n">
        <v>347995</v>
      </c>
      <c r="T35" s="150" t="n">
        <v>348332</v>
      </c>
      <c r="U35" s="150" t="n">
        <v>348523</v>
      </c>
      <c r="V35" s="150" t="n">
        <v>349471</v>
      </c>
      <c r="W35" s="150" t="n">
        <v>350523</v>
      </c>
      <c r="X35" s="150" t="n">
        <v>351547</v>
      </c>
      <c r="Y35" s="150" t="n">
        <v>352461</v>
      </c>
      <c r="Z35" s="150" t="n">
        <v>353303</v>
      </c>
      <c r="AA35" s="150" t="n">
        <v>353486</v>
      </c>
      <c r="AB35" s="150" t="n">
        <v>353544</v>
      </c>
      <c r="AC35" s="150" t="n">
        <v>354459</v>
      </c>
      <c r="AD35" s="150" t="n">
        <v>355467</v>
      </c>
      <c r="AE35" s="150" t="n">
        <v>356180</v>
      </c>
      <c r="AF35" s="150" t="n">
        <v>357263</v>
      </c>
      <c r="AG35" s="150" t="n">
        <v>358394</v>
      </c>
      <c r="AH35" s="150" t="n">
        <v>358992</v>
      </c>
      <c r="AI35" s="161" t="n">
        <v>358992</v>
      </c>
      <c r="AJ35" s="7">
        <f>AI35-D35</f>
        <v/>
      </c>
    </row>
    <row r="36">
      <c r="A36" s="180" t="n"/>
      <c r="B36" s="180" t="n"/>
      <c r="C36" s="143" t="n"/>
      <c r="D36" s="180" t="n"/>
      <c r="E36" s="13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  <c r="AA36" s="180" t="n"/>
      <c r="AB36" s="180" t="n"/>
      <c r="AC36" s="6" t="n"/>
      <c r="AD36" s="180" t="n"/>
      <c r="AE36" s="180" t="n"/>
      <c r="AF36" s="180" t="n"/>
      <c r="AG36" s="180" t="n"/>
      <c r="AH36" s="180" t="n"/>
      <c r="AI36" s="180" t="n"/>
      <c r="AJ36" s="181" t="n"/>
    </row>
    <row r="37">
      <c r="A37" s="14" t="n"/>
      <c r="B37" s="137" t="n"/>
      <c r="C37" s="144" t="n"/>
      <c r="D37" s="138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</row>
    <row r="38">
      <c r="A38" s="93" t="n"/>
      <c r="B38" s="539" t="inlineStr">
        <is>
          <t xml:space="preserve"> Daily Energy Report</t>
        </is>
      </c>
      <c r="C38" s="520" t="n"/>
      <c r="D38" s="501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</row>
    <row r="39">
      <c r="A39" s="94" t="n"/>
      <c r="B39" s="534" t="inlineStr">
        <is>
          <t>Electricity Consumption</t>
        </is>
      </c>
      <c r="C39" s="520" t="n"/>
      <c r="D39" s="501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4" t="n"/>
      <c r="AJ39" s="94" t="n"/>
    </row>
    <row r="40">
      <c r="A40" s="533" t="inlineStr">
        <is>
          <t>Sr.No</t>
        </is>
      </c>
      <c r="B40" s="533" t="inlineStr">
        <is>
          <t>Location</t>
        </is>
      </c>
      <c r="C40" s="533" t="inlineStr">
        <is>
          <t>Meter</t>
        </is>
      </c>
      <c r="D40" s="522" t="n"/>
      <c r="E40" s="95">
        <f>E2</f>
        <v/>
      </c>
      <c r="F40" s="95">
        <f>F2</f>
        <v/>
      </c>
      <c r="G40" s="95">
        <f>G2</f>
        <v/>
      </c>
      <c r="H40" s="95">
        <f>H2</f>
        <v/>
      </c>
      <c r="I40" s="95">
        <f>I2</f>
        <v/>
      </c>
      <c r="J40" s="95">
        <f>J2</f>
        <v/>
      </c>
      <c r="K40" s="95">
        <f>K2</f>
        <v/>
      </c>
      <c r="L40" s="95">
        <f>L2</f>
        <v/>
      </c>
      <c r="M40" s="95">
        <f>M2</f>
        <v/>
      </c>
      <c r="N40" s="95">
        <f>N2</f>
        <v/>
      </c>
      <c r="O40" s="95">
        <f>O2</f>
        <v/>
      </c>
      <c r="P40" s="95">
        <f>P2</f>
        <v/>
      </c>
      <c r="Q40" s="95">
        <f>Q2</f>
        <v/>
      </c>
      <c r="R40" s="95">
        <f>R2</f>
        <v/>
      </c>
      <c r="S40" s="95">
        <f>S2</f>
        <v/>
      </c>
      <c r="T40" s="95">
        <f>T2</f>
        <v/>
      </c>
      <c r="U40" s="95">
        <f>U2</f>
        <v/>
      </c>
      <c r="V40" s="95">
        <f>V2</f>
        <v/>
      </c>
      <c r="W40" s="95">
        <f>W2</f>
        <v/>
      </c>
      <c r="X40" s="95">
        <f>X2</f>
        <v/>
      </c>
      <c r="Y40" s="95">
        <f>Y2</f>
        <v/>
      </c>
      <c r="Z40" s="95">
        <f>Z2</f>
        <v/>
      </c>
      <c r="AA40" s="95">
        <f>AA2</f>
        <v/>
      </c>
      <c r="AB40" s="95">
        <f>AB2</f>
        <v/>
      </c>
      <c r="AC40" s="95">
        <f>AC2</f>
        <v/>
      </c>
      <c r="AD40" s="95">
        <f>AD2</f>
        <v/>
      </c>
      <c r="AE40" s="95">
        <f>AE2</f>
        <v/>
      </c>
      <c r="AF40" s="95">
        <f>AF2</f>
        <v/>
      </c>
      <c r="AG40" s="95">
        <f>AG2</f>
        <v/>
      </c>
      <c r="AH40" s="95">
        <f>AH2</f>
        <v/>
      </c>
      <c r="AI40" s="95">
        <f>AI2</f>
        <v/>
      </c>
      <c r="AJ40" s="533" t="inlineStr">
        <is>
          <t>Consumption</t>
        </is>
      </c>
    </row>
    <row r="41">
      <c r="A41" s="516" t="n"/>
      <c r="B41" s="516" t="n"/>
      <c r="C41" s="523" t="n"/>
      <c r="D41" s="524" t="n"/>
      <c r="E41" s="96" t="inlineStr">
        <is>
          <t>TUE</t>
        </is>
      </c>
      <c r="F41" s="96" t="inlineStr">
        <is>
          <t>WED</t>
        </is>
      </c>
      <c r="G41" s="96" t="inlineStr">
        <is>
          <t>THU</t>
        </is>
      </c>
      <c r="H41" s="96" t="inlineStr">
        <is>
          <t>FRI</t>
        </is>
      </c>
      <c r="I41" s="96" t="inlineStr">
        <is>
          <t>SAT</t>
        </is>
      </c>
      <c r="J41" s="96" t="inlineStr">
        <is>
          <t>SUN</t>
        </is>
      </c>
      <c r="K41" s="96" t="inlineStr">
        <is>
          <t>MON</t>
        </is>
      </c>
      <c r="L41" s="96" t="inlineStr">
        <is>
          <t>TUE</t>
        </is>
      </c>
      <c r="M41" s="96" t="inlineStr">
        <is>
          <t>WED</t>
        </is>
      </c>
      <c r="N41" s="96" t="inlineStr">
        <is>
          <t>THU</t>
        </is>
      </c>
      <c r="O41" s="96" t="inlineStr">
        <is>
          <t>FRI</t>
        </is>
      </c>
      <c r="P41" s="96" t="inlineStr">
        <is>
          <t>SAT</t>
        </is>
      </c>
      <c r="Q41" s="96" t="inlineStr">
        <is>
          <t>SUN</t>
        </is>
      </c>
      <c r="R41" s="96" t="inlineStr">
        <is>
          <t>MON</t>
        </is>
      </c>
      <c r="S41" s="96" t="inlineStr">
        <is>
          <t>TUE</t>
        </is>
      </c>
      <c r="T41" s="96" t="inlineStr">
        <is>
          <t>WED</t>
        </is>
      </c>
      <c r="U41" s="96" t="inlineStr">
        <is>
          <t>THU</t>
        </is>
      </c>
      <c r="V41" s="96" t="inlineStr">
        <is>
          <t>FRI</t>
        </is>
      </c>
      <c r="W41" s="96" t="inlineStr">
        <is>
          <t>SAT</t>
        </is>
      </c>
      <c r="X41" s="96" t="inlineStr">
        <is>
          <t>SUN</t>
        </is>
      </c>
      <c r="Y41" s="96" t="inlineStr">
        <is>
          <t>MON</t>
        </is>
      </c>
      <c r="Z41" s="96" t="inlineStr">
        <is>
          <t>TUE</t>
        </is>
      </c>
      <c r="AA41" s="96" t="inlineStr">
        <is>
          <t>WED</t>
        </is>
      </c>
      <c r="AB41" s="96" t="inlineStr">
        <is>
          <t>THU</t>
        </is>
      </c>
      <c r="AC41" s="96" t="inlineStr">
        <is>
          <t>FRI</t>
        </is>
      </c>
      <c r="AD41" s="96" t="inlineStr">
        <is>
          <t>SAT</t>
        </is>
      </c>
      <c r="AE41" s="96" t="inlineStr">
        <is>
          <t>SUN</t>
        </is>
      </c>
      <c r="AF41" s="96" t="inlineStr">
        <is>
          <t>MON</t>
        </is>
      </c>
      <c r="AG41" s="96" t="inlineStr">
        <is>
          <t>TUE</t>
        </is>
      </c>
      <c r="AH41" s="96" t="inlineStr">
        <is>
          <t>WED</t>
        </is>
      </c>
      <c r="AI41" s="96" t="inlineStr">
        <is>
          <t>FRI</t>
        </is>
      </c>
      <c r="AJ41" s="516" t="n"/>
    </row>
    <row r="42">
      <c r="A42" s="516" t="n"/>
      <c r="B42" s="516" t="n"/>
      <c r="C42" s="523" t="n"/>
      <c r="D42" s="524" t="n"/>
      <c r="E42" s="97" t="inlineStr">
        <is>
          <t>Time</t>
        </is>
      </c>
      <c r="F42" s="97" t="inlineStr">
        <is>
          <t>Time</t>
        </is>
      </c>
      <c r="G42" s="97" t="inlineStr">
        <is>
          <t>Time</t>
        </is>
      </c>
      <c r="H42" s="97" t="inlineStr">
        <is>
          <t>Time</t>
        </is>
      </c>
      <c r="I42" s="97" t="inlineStr">
        <is>
          <t>Time</t>
        </is>
      </c>
      <c r="J42" s="97" t="inlineStr">
        <is>
          <t>Time</t>
        </is>
      </c>
      <c r="K42" s="97" t="inlineStr">
        <is>
          <t>Time</t>
        </is>
      </c>
      <c r="L42" s="97" t="inlineStr">
        <is>
          <t>Time</t>
        </is>
      </c>
      <c r="M42" s="97" t="inlineStr">
        <is>
          <t>Time</t>
        </is>
      </c>
      <c r="N42" s="97" t="inlineStr">
        <is>
          <t>Time</t>
        </is>
      </c>
      <c r="O42" s="97" t="inlineStr">
        <is>
          <t>Time</t>
        </is>
      </c>
      <c r="P42" s="97" t="inlineStr">
        <is>
          <t>Time</t>
        </is>
      </c>
      <c r="Q42" s="97" t="inlineStr">
        <is>
          <t>Time</t>
        </is>
      </c>
      <c r="R42" s="97" t="inlineStr">
        <is>
          <t>Time</t>
        </is>
      </c>
      <c r="S42" s="97" t="inlineStr">
        <is>
          <t>Time</t>
        </is>
      </c>
      <c r="T42" s="97" t="inlineStr">
        <is>
          <t>Time</t>
        </is>
      </c>
      <c r="U42" s="97" t="inlineStr">
        <is>
          <t>Time</t>
        </is>
      </c>
      <c r="V42" s="97" t="inlineStr">
        <is>
          <t>Time</t>
        </is>
      </c>
      <c r="W42" s="97" t="inlineStr">
        <is>
          <t>Time</t>
        </is>
      </c>
      <c r="X42" s="97" t="inlineStr">
        <is>
          <t>Time</t>
        </is>
      </c>
      <c r="Y42" s="97" t="inlineStr">
        <is>
          <t>Time</t>
        </is>
      </c>
      <c r="Z42" s="97" t="inlineStr">
        <is>
          <t>Time</t>
        </is>
      </c>
      <c r="AA42" s="97" t="inlineStr">
        <is>
          <t>Time</t>
        </is>
      </c>
      <c r="AB42" s="97" t="inlineStr">
        <is>
          <t>Time</t>
        </is>
      </c>
      <c r="AC42" s="97" t="inlineStr">
        <is>
          <t>Time</t>
        </is>
      </c>
      <c r="AD42" s="97" t="inlineStr">
        <is>
          <t>Time</t>
        </is>
      </c>
      <c r="AE42" s="97" t="inlineStr">
        <is>
          <t>Time</t>
        </is>
      </c>
      <c r="AF42" s="97" t="inlineStr">
        <is>
          <t>Time</t>
        </is>
      </c>
      <c r="AG42" s="97" t="inlineStr">
        <is>
          <t>Time</t>
        </is>
      </c>
      <c r="AH42" s="95">
        <f>AH4</f>
        <v/>
      </c>
      <c r="AI42" s="95">
        <f>AI4</f>
        <v/>
      </c>
      <c r="AJ42" s="516" t="n"/>
    </row>
    <row r="43">
      <c r="A43" s="517" t="n"/>
      <c r="B43" s="517" t="n"/>
      <c r="C43" s="525" t="n"/>
      <c r="D43" s="526" t="n"/>
      <c r="E43" s="98" t="n">
        <v>0.3333333333333333</v>
      </c>
      <c r="F43" s="98" t="n">
        <v>0.3333333333333333</v>
      </c>
      <c r="G43" s="98" t="n">
        <v>0.3333333333333333</v>
      </c>
      <c r="H43" s="98" t="n">
        <v>0.3333333333333333</v>
      </c>
      <c r="I43" s="98" t="n">
        <v>0.3333333333333333</v>
      </c>
      <c r="J43" s="98" t="n">
        <v>0.3333333333333333</v>
      </c>
      <c r="K43" s="98" t="n">
        <v>0.3333333333333333</v>
      </c>
      <c r="L43" s="98" t="n">
        <v>0.3333333333333333</v>
      </c>
      <c r="M43" s="98" t="n">
        <v>0.3333333333333333</v>
      </c>
      <c r="N43" s="98" t="n">
        <v>0.3333333333333333</v>
      </c>
      <c r="O43" s="98" t="n">
        <v>0.3333333333333333</v>
      </c>
      <c r="P43" s="98" t="n">
        <v>0.3333333333333333</v>
      </c>
      <c r="Q43" s="98" t="n">
        <v>0.3333333333333333</v>
      </c>
      <c r="R43" s="98" t="n">
        <v>0.3333333333333333</v>
      </c>
      <c r="S43" s="98" t="n">
        <v>0.3333333333333333</v>
      </c>
      <c r="T43" s="98" t="n">
        <v>0.3333333333333333</v>
      </c>
      <c r="U43" s="98" t="n">
        <v>0.3333333333333333</v>
      </c>
      <c r="V43" s="98" t="n">
        <v>0.3333333333333333</v>
      </c>
      <c r="W43" s="98" t="n">
        <v>0.3333333333333333</v>
      </c>
      <c r="X43" s="98" t="n">
        <v>0.3333333333333333</v>
      </c>
      <c r="Y43" s="98" t="n">
        <v>0.3333333333333333</v>
      </c>
      <c r="Z43" s="98" t="n">
        <v>0.3333333333333333</v>
      </c>
      <c r="AA43" s="98" t="n">
        <v>0.3333333333333333</v>
      </c>
      <c r="AB43" s="98" t="n">
        <v>0.3333333333333333</v>
      </c>
      <c r="AC43" s="98" t="n">
        <v>0.3333333333333333</v>
      </c>
      <c r="AD43" s="98" t="n">
        <v>0.3333333333333333</v>
      </c>
      <c r="AE43" s="98" t="n">
        <v>0.3333333333333333</v>
      </c>
      <c r="AF43" s="98" t="n">
        <v>0.3333333333333333</v>
      </c>
      <c r="AG43" s="98" t="n">
        <v>0.3333333333333333</v>
      </c>
      <c r="AH43" s="98" t="n">
        <v>0.3333333333333333</v>
      </c>
      <c r="AI43" s="98" t="n">
        <v>0.3333333333333333</v>
      </c>
      <c r="AJ43" s="517" t="n"/>
    </row>
    <row r="44" ht="15" customHeight="1" s="488">
      <c r="A44" s="500" t="n">
        <v>1</v>
      </c>
      <c r="B44" s="500" t="inlineStr">
        <is>
          <t>3F</t>
        </is>
      </c>
      <c r="C44" s="500" t="inlineStr">
        <is>
          <t>SL No 540430038840 (EB Unit)</t>
        </is>
      </c>
      <c r="D44" s="501" t="n"/>
      <c r="E44" s="20">
        <f>E6-D6</f>
        <v/>
      </c>
      <c r="F44" s="20">
        <f>F6-E6</f>
        <v/>
      </c>
      <c r="G44" s="20">
        <f>G6-F6</f>
        <v/>
      </c>
      <c r="H44" s="20">
        <f>H6-G6</f>
        <v/>
      </c>
      <c r="I44" s="20">
        <f>I6-H6</f>
        <v/>
      </c>
      <c r="J44" s="20">
        <f>J6-I6</f>
        <v/>
      </c>
      <c r="K44" s="20">
        <f>K6-J6</f>
        <v/>
      </c>
      <c r="L44" s="20">
        <f>L6-K6</f>
        <v/>
      </c>
      <c r="M44" s="20">
        <f>M6-L6</f>
        <v/>
      </c>
      <c r="N44" s="20">
        <f>N6-M6</f>
        <v/>
      </c>
      <c r="O44" s="20">
        <f>O6-N6</f>
        <v/>
      </c>
      <c r="P44" s="20">
        <f>P6-O6</f>
        <v/>
      </c>
      <c r="Q44" s="20">
        <f>Q6-P6</f>
        <v/>
      </c>
      <c r="R44" s="20">
        <f>R6-Q6</f>
        <v/>
      </c>
      <c r="S44" s="20">
        <f>S6-R6</f>
        <v/>
      </c>
      <c r="T44" s="20">
        <f>T6-S6</f>
        <v/>
      </c>
      <c r="U44" s="20">
        <f>U6-T6</f>
        <v/>
      </c>
      <c r="V44" s="20">
        <f>V6-U6</f>
        <v/>
      </c>
      <c r="W44" s="20">
        <f>W6-V6</f>
        <v/>
      </c>
      <c r="X44" s="20">
        <f>X6-W6</f>
        <v/>
      </c>
      <c r="Y44" s="20">
        <f>Y6-X6</f>
        <v/>
      </c>
      <c r="Z44" s="20">
        <f>Z6-Y6</f>
        <v/>
      </c>
      <c r="AA44" s="20">
        <f>AA6-Z6</f>
        <v/>
      </c>
      <c r="AB44" s="20">
        <f>AB6-AA6</f>
        <v/>
      </c>
      <c r="AC44" s="20">
        <f>AC6-AB6</f>
        <v/>
      </c>
      <c r="AD44" s="20">
        <f>AD6-AC6</f>
        <v/>
      </c>
      <c r="AE44" s="20">
        <f>AE6-AD6</f>
        <v/>
      </c>
      <c r="AF44" s="20">
        <f>AF6-AE6</f>
        <v/>
      </c>
      <c r="AG44" s="20">
        <f>AG6-AF6</f>
        <v/>
      </c>
      <c r="AH44" s="20">
        <f>AH6-AG6</f>
        <v/>
      </c>
      <c r="AI44" s="20">
        <f>AI6-AH6</f>
        <v/>
      </c>
      <c r="AJ44" s="21">
        <f>SUM(E44:AI44)</f>
        <v/>
      </c>
    </row>
    <row r="45" ht="15" customHeight="1" s="488">
      <c r="A45" s="500" t="n"/>
      <c r="B45" s="500" t="n"/>
      <c r="C45" s="529" t="inlineStr">
        <is>
          <t>DG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5" customHeight="1" s="488">
      <c r="A46" s="500" t="n">
        <v>2</v>
      </c>
      <c r="B46" s="500" t="inlineStr">
        <is>
          <t>3F</t>
        </is>
      </c>
      <c r="C46" s="500" t="inlineStr">
        <is>
          <t>SL No 540430038845 (EB Unit)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/>
      <c r="B47" s="500" t="n"/>
      <c r="C47" s="529" t="inlineStr">
        <is>
          <t>DG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5" customHeight="1" s="488">
      <c r="A48" s="500" t="n">
        <v>3</v>
      </c>
      <c r="B48" s="500" t="inlineStr">
        <is>
          <t>3F</t>
        </is>
      </c>
      <c r="C48" s="500" t="inlineStr">
        <is>
          <t>SL No 540430038844 (EB Unit)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/>
      <c r="B49" s="500" t="n"/>
      <c r="C49" s="529" t="inlineStr">
        <is>
          <t>DG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5" customHeight="1" s="488">
      <c r="A50" s="500" t="n">
        <v>4</v>
      </c>
      <c r="B50" s="500" t="inlineStr">
        <is>
          <t>3F</t>
        </is>
      </c>
      <c r="C50" s="500" t="inlineStr">
        <is>
          <t>SL No 540430038821 (EB Unit)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/>
      <c r="B51" s="500" t="n"/>
      <c r="C51" s="529" t="inlineStr">
        <is>
          <t>DG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5" customHeight="1" s="488">
      <c r="A52" s="500" t="n">
        <v>5</v>
      </c>
      <c r="B52" s="500" t="inlineStr">
        <is>
          <t>3F</t>
        </is>
      </c>
      <c r="C52" s="500" t="inlineStr">
        <is>
          <t>SL No 540430038849 (EB Unit)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/>
      <c r="B53" s="500" t="n"/>
      <c r="C53" s="529" t="inlineStr">
        <is>
          <t>DG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5" customHeight="1" s="488">
      <c r="A54" s="500" t="n">
        <v>6</v>
      </c>
      <c r="B54" s="500" t="inlineStr">
        <is>
          <t>3F</t>
        </is>
      </c>
      <c r="C54" s="500" t="inlineStr">
        <is>
          <t>SL No 540430038696 (EB Unit)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21">
        <f>SUM(E54:AI54)</f>
        <v/>
      </c>
    </row>
    <row r="55" ht="15" customHeight="1" s="488">
      <c r="A55" s="500" t="n"/>
      <c r="B55" s="500" t="n"/>
      <c r="C55" s="529" t="inlineStr">
        <is>
          <t>DG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21">
        <f>SUM(E55:AI55)</f>
        <v/>
      </c>
    </row>
    <row r="56" ht="15" customHeight="1" s="488">
      <c r="A56" s="500" t="n">
        <v>7</v>
      </c>
      <c r="B56" s="500" t="inlineStr">
        <is>
          <t>3F</t>
        </is>
      </c>
      <c r="C56" s="500" t="inlineStr">
        <is>
          <t>SL No 540430038843 (EB Unit)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21">
        <f>SUM(E56:AI56)</f>
        <v/>
      </c>
    </row>
    <row r="57" ht="15" customHeight="1" s="488">
      <c r="A57" s="500" t="n"/>
      <c r="B57" s="500" t="n"/>
      <c r="C57" s="529" t="inlineStr">
        <is>
          <t>DG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 t="n">
        <v>0</v>
      </c>
      <c r="Z57" s="20">
        <f>Z19-Y19</f>
        <v/>
      </c>
      <c r="AA57" s="20" t="n">
        <v>0</v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21">
        <f>SUM(E57:AI57)</f>
        <v/>
      </c>
    </row>
    <row r="58" ht="15" customHeight="1" s="488">
      <c r="A58" s="500" t="n">
        <v>8</v>
      </c>
      <c r="B58" s="500" t="inlineStr">
        <is>
          <t>3F</t>
        </is>
      </c>
      <c r="C58" s="500" t="inlineStr">
        <is>
          <t>SL No 540430038848 (EB Unit)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/>
      <c r="B59" s="500" t="n"/>
      <c r="C59" s="529" t="inlineStr">
        <is>
          <t>DG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5" customHeight="1" s="488">
      <c r="A60" s="99" t="n"/>
      <c r="B60" s="99" t="n"/>
      <c r="C60" s="511" t="inlineStr">
        <is>
          <t>Total Power - EB Unit</t>
        </is>
      </c>
      <c r="D60" s="501" t="n"/>
      <c r="E60" s="23">
        <f>SUM(E58,E56,E54,E52,E50,E48,E46,E44)</f>
        <v/>
      </c>
      <c r="F60" s="23">
        <f>SUM(F58,F56,F54,F52,F50,F48,F46,F44)</f>
        <v/>
      </c>
      <c r="G60" s="23">
        <f>SUM(G58,G56,G54,G52,G50,G48,G46,G44)</f>
        <v/>
      </c>
      <c r="H60" s="23">
        <f>SUM(H58,H56,H54,H52,H50,H48,H46,H44)</f>
        <v/>
      </c>
      <c r="I60" s="23">
        <f>SUM(I58,I56,I54,I52,I50,I48,I46,I44)</f>
        <v/>
      </c>
      <c r="J60" s="23">
        <f>SUM(J58,J56,J54,J52,J50,J48,J46,J44)</f>
        <v/>
      </c>
      <c r="K60" s="23">
        <f>SUM(K58,K56,K54,K52,K50,K48,K46,K44)</f>
        <v/>
      </c>
      <c r="L60" s="23">
        <f>SUM(L58,L56,L54,L52,L50,L48,L46,L44)</f>
        <v/>
      </c>
      <c r="M60" s="23">
        <f>SUM(M58,M56,M54,M52,M50,M48,M46,M44)</f>
        <v/>
      </c>
      <c r="N60" s="23">
        <f>SUM(N58,N56,N54,N52,N50,N48,N46,N44)</f>
        <v/>
      </c>
      <c r="O60" s="23">
        <f>SUM(O58,O56,O54,O52,O50,O48,O46,O44)</f>
        <v/>
      </c>
      <c r="P60" s="23">
        <f>SUM(P58,P56,P54,P52,P50,P48,P46,P44)</f>
        <v/>
      </c>
      <c r="Q60" s="23">
        <f>SUM(Q58,Q56,Q54,Q52,Q50,Q48,Q46,Q44)</f>
        <v/>
      </c>
      <c r="R60" s="23">
        <f>SUM(R58,R56,R54,R52,R50,R48,R46,R44)</f>
        <v/>
      </c>
      <c r="S60" s="23">
        <f>SUM(S58,S56,S54,S52,S50,S48,S46,S44)</f>
        <v/>
      </c>
      <c r="T60" s="23">
        <f>SUM(T58,T56,T54,T52,T50,T48,T46,T44)</f>
        <v/>
      </c>
      <c r="U60" s="23">
        <f>SUM(U58,U56,U54,U52,U50,U48,U46,U44)</f>
        <v/>
      </c>
      <c r="V60" s="23">
        <f>SUM(V58,V56,V54,V52,V50,V48,V46,V44)</f>
        <v/>
      </c>
      <c r="W60" s="23">
        <f>SUM(W58,W56,W54,W52,W50,W48,W46,W44)</f>
        <v/>
      </c>
      <c r="X60" s="23">
        <f>SUM(X58,X56,X54,X52,X50,X48,X46,X44)</f>
        <v/>
      </c>
      <c r="Y60" s="23">
        <f>SUM(Y58,Y56,Y54,Y52,Y50,Y48,Y46,Y44)</f>
        <v/>
      </c>
      <c r="Z60" s="23">
        <f>SUM(Z58,Z56,Z54,Z52,Z50,Z48,Z46,Z44)</f>
        <v/>
      </c>
      <c r="AA60" s="23">
        <f>SUM(AA58,AA56,AA54,AA52,AA50,AA48,AA46,AA44)</f>
        <v/>
      </c>
      <c r="AB60" s="23">
        <f>SUM(AB58,AB56,AB54,AB52,AB50,AB48,AB46,AB44)</f>
        <v/>
      </c>
      <c r="AC60" s="23">
        <f>SUM(AC58,AC56,AC54,AC52,AC50,AC48,AC46,AC44)</f>
        <v/>
      </c>
      <c r="AD60" s="23">
        <f>SUM(AD58,AD56,AD54,AD52,AD50,AD48,AD46,AD44)</f>
        <v/>
      </c>
      <c r="AE60" s="23">
        <f>SUM(AE58,AE56,AE54,AE52,AE50,AE48,AE46,AE44)</f>
        <v/>
      </c>
      <c r="AF60" s="23">
        <f>SUM(AF58,AF56,AF54,AF52,AF50,AF48,AF46,AF44)</f>
        <v/>
      </c>
      <c r="AG60" s="23">
        <f>SUM(AG58,AG56,AG54,AG52,AG50,AG48,AG46,AG44)</f>
        <v/>
      </c>
      <c r="AH60" s="23">
        <f>SUM(AH58,AH56,AH54,AH52,AH50,AH48,AH46,AH44)</f>
        <v/>
      </c>
      <c r="AI60" s="23">
        <f>SUM(AI58,AI56,AI54,AI52,AI50,AI48,AI46,AI44)</f>
        <v/>
      </c>
      <c r="AJ60" s="24">
        <f>SUM(E60:AI60)</f>
        <v/>
      </c>
    </row>
    <row r="61" ht="15" customHeight="1" s="488">
      <c r="A61" s="99" t="n"/>
      <c r="B61" s="99" t="n"/>
      <c r="C61" s="145" t="inlineStr">
        <is>
          <t>Total Power- DG</t>
        </is>
      </c>
      <c r="D61" s="108" t="n"/>
      <c r="E61" s="23">
        <f>SUM(E45,E47,E49,E51,E53,E55,E57,E59)</f>
        <v/>
      </c>
      <c r="F61" s="23">
        <f>SUM(F45,F47,F49,F51,F53,F55,F57,F59)</f>
        <v/>
      </c>
      <c r="G61" s="23">
        <f>SUM(G45,G47,G49,G51,G53,G55,G57,G59)</f>
        <v/>
      </c>
      <c r="H61" s="23">
        <f>SUM(H45,H47,H49,H51,H53,H55,H57,H59)</f>
        <v/>
      </c>
      <c r="I61" s="23">
        <f>SUM(I45,I47,I49,I51,I53,I55,I57,I59)</f>
        <v/>
      </c>
      <c r="J61" s="23">
        <f>SUM(J45,J47,J49,J51,J53,J55,J57,J59)</f>
        <v/>
      </c>
      <c r="K61" s="23">
        <f>SUM(K45,K47,K49,K51,K53,K55,K57,K59)</f>
        <v/>
      </c>
      <c r="L61" s="23">
        <f>SUM(L45,L47,L49,L51,L53,L55,L57,L59)</f>
        <v/>
      </c>
      <c r="M61" s="23">
        <f>SUM(M45,M47,M49,M51,M53,M55,M57,M59)</f>
        <v/>
      </c>
      <c r="N61" s="23">
        <f>SUM(N45,N47,N49,N51,N53,N55,N57,N59)</f>
        <v/>
      </c>
      <c r="O61" s="23">
        <f>SUM(O45,O47,O49,O51,O53,O55,O57,O59)</f>
        <v/>
      </c>
      <c r="P61" s="23">
        <f>SUM(P45,P47,P49,P51,P53,P55,P57,P59)</f>
        <v/>
      </c>
      <c r="Q61" s="23">
        <f>SUM(Q45,Q47,Q49,Q51,Q53,Q55,Q57,Q59)</f>
        <v/>
      </c>
      <c r="R61" s="23">
        <f>SUM(R45,R47,R49,R51,R53,R55,R57,R59)</f>
        <v/>
      </c>
      <c r="S61" s="23">
        <f>SUM(S45,S47,S49,S51,S53,S55,S57,S59)</f>
        <v/>
      </c>
      <c r="T61" s="23">
        <f>SUM(T45,T47,T49,T51,T53,T55,T57,T59)</f>
        <v/>
      </c>
      <c r="U61" s="23">
        <f>SUM(U45,U47,U49,U51,U53,U55,U57,U59)</f>
        <v/>
      </c>
      <c r="V61" s="23">
        <f>SUM(V45,V47,V49,V51,V53,V55,V57,V59)</f>
        <v/>
      </c>
      <c r="W61" s="23">
        <f>SUM(W45,W47,W49,W51,W53,W55,W57,W59)</f>
        <v/>
      </c>
      <c r="X61" s="23">
        <f>SUM(X45,X47,X49,X51,X53,X55,X57,X59)</f>
        <v/>
      </c>
      <c r="Y61" s="23">
        <f>SUM(Y45,Y47,Y49,Y51,Y53,Y55,Y57,Y59)</f>
        <v/>
      </c>
      <c r="Z61" s="23">
        <f>SUM(Z45,Z47,Z49,Z51,Z53,Z55,Z57,Z59)</f>
        <v/>
      </c>
      <c r="AA61" s="23">
        <f>SUM(AA45,AA47,AA49,AA51,AA53,AA55,AA57,AA59)</f>
        <v/>
      </c>
      <c r="AB61" s="23">
        <f>SUM(AB45,AB47,AB49,AB51,AB53,AB55,AB57,AB59)</f>
        <v/>
      </c>
      <c r="AC61" s="23">
        <f>SUM(AC45,AC47,AC49,AC51,AC53,AC55,AC57,AC59)</f>
        <v/>
      </c>
      <c r="AD61" s="23">
        <f>SUM(AD45,AD47,AD49,AD51,AD53,AD55,AD57,AD59)</f>
        <v/>
      </c>
      <c r="AE61" s="23">
        <f>SUM(AE45,AE47,AE49,AE51,AE53,AE55,AE57,AE59)</f>
        <v/>
      </c>
      <c r="AF61" s="23">
        <f>SUM(AF45,AF47,AF49,AF51,AF53,AF55,AF57,AF59)</f>
        <v/>
      </c>
      <c r="AG61" s="23">
        <f>SUM(AG45,AG47,AG49,AG51,AG53,AG55,AG57,AG59)</f>
        <v/>
      </c>
      <c r="AH61" s="23">
        <f>SUM(AH45,AH47,AH49,AH51,AH53,AH55,AH57,AH59)</f>
        <v/>
      </c>
      <c r="AI61" s="23">
        <f>SUM(AI45,AI47,AI49,AI51,AI53,AI55,AI57,AI59)</f>
        <v/>
      </c>
      <c r="AJ61" s="24">
        <f>SUM(E61:AH61)</f>
        <v/>
      </c>
    </row>
    <row r="62">
      <c r="A62" s="539" t="n"/>
      <c r="B62" s="539" t="n"/>
      <c r="C62" s="532" t="inlineStr">
        <is>
          <t>Total Power Cumulative</t>
        </is>
      </c>
      <c r="D62" s="501" t="n"/>
      <c r="E62" s="102">
        <f>E60</f>
        <v/>
      </c>
      <c r="F62" s="102">
        <f>F60</f>
        <v/>
      </c>
      <c r="G62" s="102">
        <f>G60</f>
        <v/>
      </c>
      <c r="H62" s="102">
        <f>H60</f>
        <v/>
      </c>
      <c r="I62" s="102">
        <f>I60</f>
        <v/>
      </c>
      <c r="J62" s="102">
        <f>J60</f>
        <v/>
      </c>
      <c r="K62" s="102">
        <f>K60</f>
        <v/>
      </c>
      <c r="L62" s="102">
        <f>L60</f>
        <v/>
      </c>
      <c r="M62" s="102">
        <f>M60</f>
        <v/>
      </c>
      <c r="N62" s="102">
        <f>N60</f>
        <v/>
      </c>
      <c r="O62" s="102">
        <f>O60</f>
        <v/>
      </c>
      <c r="P62" s="102">
        <f>P60</f>
        <v/>
      </c>
      <c r="Q62" s="102">
        <f>Q60</f>
        <v/>
      </c>
      <c r="R62" s="102">
        <f>R60</f>
        <v/>
      </c>
      <c r="S62" s="102">
        <f>S60</f>
        <v/>
      </c>
      <c r="T62" s="102">
        <f>T60</f>
        <v/>
      </c>
      <c r="U62" s="102">
        <f>U60</f>
        <v/>
      </c>
      <c r="V62" s="102">
        <f>V60</f>
        <v/>
      </c>
      <c r="W62" s="102">
        <f>W60</f>
        <v/>
      </c>
      <c r="X62" s="102">
        <f>X60</f>
        <v/>
      </c>
      <c r="Y62" s="102">
        <f>Y60</f>
        <v/>
      </c>
      <c r="Z62" s="102">
        <f>Z60</f>
        <v/>
      </c>
      <c r="AA62" s="102">
        <f>AA60</f>
        <v/>
      </c>
      <c r="AB62" s="102">
        <f>AB60</f>
        <v/>
      </c>
      <c r="AC62" s="102">
        <f>AC60</f>
        <v/>
      </c>
      <c r="AD62" s="102">
        <f>AD60</f>
        <v/>
      </c>
      <c r="AE62" s="102">
        <f>AE60</f>
        <v/>
      </c>
      <c r="AF62" s="102">
        <f>AF60</f>
        <v/>
      </c>
      <c r="AG62" s="102">
        <f>AG60</f>
        <v/>
      </c>
      <c r="AH62" s="102">
        <f>AH60</f>
        <v/>
      </c>
      <c r="AI62" s="102">
        <f>AI60</f>
        <v/>
      </c>
      <c r="AJ62" s="102">
        <f>AJ60</f>
        <v/>
      </c>
    </row>
    <row r="63">
      <c r="A63" s="94" t="n"/>
      <c r="B63" s="534" t="n"/>
      <c r="C63" s="146" t="n"/>
      <c r="D63" s="109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4" t="n"/>
      <c r="AJ63" s="94" t="n"/>
    </row>
    <row r="64">
      <c r="A64" s="28" t="inlineStr">
        <is>
          <t>S No</t>
        </is>
      </c>
      <c r="B64" s="28" t="inlineStr">
        <is>
          <t>Location</t>
        </is>
      </c>
      <c r="C64" s="513" t="inlineStr">
        <is>
          <t>Meter</t>
        </is>
      </c>
      <c r="D64" s="50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103" t="n"/>
    </row>
    <row r="65">
      <c r="A65" s="500" t="n">
        <v>1</v>
      </c>
      <c r="B65" s="500" t="inlineStr">
        <is>
          <t>3F</t>
        </is>
      </c>
      <c r="C65" s="503" t="inlineStr">
        <is>
          <t>AHU1</t>
        </is>
      </c>
      <c r="D65" s="501" t="n"/>
      <c r="E65" s="102">
        <f>E23-D23</f>
        <v/>
      </c>
      <c r="F65" s="102">
        <f>F23-E23</f>
        <v/>
      </c>
      <c r="G65" s="102">
        <f>G23-F23</f>
        <v/>
      </c>
      <c r="H65" s="102">
        <f>H23-G23</f>
        <v/>
      </c>
      <c r="I65" s="102">
        <f>I23-H23</f>
        <v/>
      </c>
      <c r="J65" s="102">
        <f>J23-I23</f>
        <v/>
      </c>
      <c r="K65" s="102">
        <f>K23-J23</f>
        <v/>
      </c>
      <c r="L65" s="102">
        <f>L23-K23</f>
        <v/>
      </c>
      <c r="M65" s="102">
        <f>M23-L23</f>
        <v/>
      </c>
      <c r="N65" s="102">
        <f>N23-M23</f>
        <v/>
      </c>
      <c r="O65" s="102">
        <f>O23-N23</f>
        <v/>
      </c>
      <c r="P65" s="102">
        <f>P23-O23</f>
        <v/>
      </c>
      <c r="Q65" s="102">
        <f>Q23-P23</f>
        <v/>
      </c>
      <c r="R65" s="102">
        <f>R23-Q23</f>
        <v/>
      </c>
      <c r="S65" s="102">
        <f>S23-R23</f>
        <v/>
      </c>
      <c r="T65" s="102">
        <f>T23-S23</f>
        <v/>
      </c>
      <c r="U65" s="102">
        <f>U23-T23</f>
        <v/>
      </c>
      <c r="V65" s="102">
        <f>V23-U23</f>
        <v/>
      </c>
      <c r="W65" s="102">
        <f>W23-V23</f>
        <v/>
      </c>
      <c r="X65" s="102">
        <f>X23-W23</f>
        <v/>
      </c>
      <c r="Y65" s="102">
        <f>Y23-X23</f>
        <v/>
      </c>
      <c r="Z65" s="102">
        <f>Z23-Y23</f>
        <v/>
      </c>
      <c r="AA65" s="102">
        <f>AA23-Z23</f>
        <v/>
      </c>
      <c r="AB65" s="102">
        <f>AB23-AA23</f>
        <v/>
      </c>
      <c r="AC65" s="102">
        <f>AC23-AB23</f>
        <v/>
      </c>
      <c r="AD65" s="102">
        <f>AD23-AC23</f>
        <v/>
      </c>
      <c r="AE65" s="102">
        <f>AE23-AD23</f>
        <v/>
      </c>
      <c r="AF65" s="102">
        <f>AF23-AE23</f>
        <v/>
      </c>
      <c r="AG65" s="102">
        <f>AG23-AF23</f>
        <v/>
      </c>
      <c r="AH65" s="102">
        <f>AH23-AG23</f>
        <v/>
      </c>
      <c r="AI65" s="102">
        <f>AI23-AH23</f>
        <v/>
      </c>
      <c r="AJ65" s="102">
        <f>SUM(E65:AI65)</f>
        <v/>
      </c>
    </row>
    <row r="66">
      <c r="A66" s="500" t="n"/>
      <c r="B66" s="500" t="n"/>
      <c r="C66" s="531" t="inlineStr">
        <is>
          <t>DG</t>
        </is>
      </c>
      <c r="D66" s="501" t="n"/>
      <c r="E66" s="102">
        <f>E24-D24</f>
        <v/>
      </c>
      <c r="F66" s="102">
        <f>F24-E24</f>
        <v/>
      </c>
      <c r="G66" s="102">
        <f>G24-F24</f>
        <v/>
      </c>
      <c r="H66" s="102">
        <f>H24-G24</f>
        <v/>
      </c>
      <c r="I66" s="102">
        <f>I24-H24</f>
        <v/>
      </c>
      <c r="J66" s="102">
        <f>J24-I24</f>
        <v/>
      </c>
      <c r="K66" s="102">
        <f>K24-J24</f>
        <v/>
      </c>
      <c r="L66" s="102">
        <f>L24-K24</f>
        <v/>
      </c>
      <c r="M66" s="102">
        <f>M24-L24</f>
        <v/>
      </c>
      <c r="N66" s="102">
        <f>N24-M24</f>
        <v/>
      </c>
      <c r="O66" s="102">
        <f>O24-N24</f>
        <v/>
      </c>
      <c r="P66" s="102">
        <f>P24-O24</f>
        <v/>
      </c>
      <c r="Q66" s="102">
        <f>Q24-P24</f>
        <v/>
      </c>
      <c r="R66" s="102">
        <f>R24-Q24</f>
        <v/>
      </c>
      <c r="S66" s="102">
        <f>S24-R24</f>
        <v/>
      </c>
      <c r="T66" s="102">
        <f>T24-S24</f>
        <v/>
      </c>
      <c r="U66" s="102">
        <f>U24-T24</f>
        <v/>
      </c>
      <c r="V66" s="102">
        <f>V24-U24</f>
        <v/>
      </c>
      <c r="W66" s="102">
        <f>W24-V24</f>
        <v/>
      </c>
      <c r="X66" s="102">
        <f>X24-W24</f>
        <v/>
      </c>
      <c r="Y66" s="102">
        <f>Y24-X24</f>
        <v/>
      </c>
      <c r="Z66" s="102">
        <f>Z24-Y24</f>
        <v/>
      </c>
      <c r="AA66" s="102">
        <f>AA24-Z24</f>
        <v/>
      </c>
      <c r="AB66" s="102">
        <f>AB24-AA24</f>
        <v/>
      </c>
      <c r="AC66" s="102">
        <f>AC24-AB24</f>
        <v/>
      </c>
      <c r="AD66" s="102">
        <f>AD24-AC24</f>
        <v/>
      </c>
      <c r="AE66" s="102">
        <f>AE24-AD24</f>
        <v/>
      </c>
      <c r="AF66" s="102">
        <f>AF24-AE24</f>
        <v/>
      </c>
      <c r="AG66" s="102">
        <f>AG24-AF24</f>
        <v/>
      </c>
      <c r="AH66" s="102">
        <f>AH24-AG24</f>
        <v/>
      </c>
      <c r="AI66" s="102">
        <f>AI24-AH24</f>
        <v/>
      </c>
      <c r="AJ66" s="102">
        <f>SUM(E66:AI66)</f>
        <v/>
      </c>
    </row>
    <row r="67">
      <c r="A67" s="500" t="n">
        <v>2</v>
      </c>
      <c r="B67" s="500" t="inlineStr">
        <is>
          <t>3F</t>
        </is>
      </c>
      <c r="C67" s="503" t="inlineStr">
        <is>
          <t>AHU2</t>
        </is>
      </c>
      <c r="D67" s="501" t="n"/>
      <c r="E67" s="102">
        <f>E25-D25</f>
        <v/>
      </c>
      <c r="F67" s="102">
        <f>F25-E25</f>
        <v/>
      </c>
      <c r="G67" s="102">
        <f>G25-F25</f>
        <v/>
      </c>
      <c r="H67" s="102">
        <f>H25-G25</f>
        <v/>
      </c>
      <c r="I67" s="102">
        <f>I25-H25</f>
        <v/>
      </c>
      <c r="J67" s="102">
        <f>J25-I25</f>
        <v/>
      </c>
      <c r="K67" s="102">
        <f>K25-J25</f>
        <v/>
      </c>
      <c r="L67" s="102">
        <f>L25-K25</f>
        <v/>
      </c>
      <c r="M67" s="102">
        <f>M25-L25</f>
        <v/>
      </c>
      <c r="N67" s="102">
        <f>N25-M25</f>
        <v/>
      </c>
      <c r="O67" s="102">
        <f>O25-N25</f>
        <v/>
      </c>
      <c r="P67" s="102">
        <f>P25-O25</f>
        <v/>
      </c>
      <c r="Q67" s="102">
        <f>Q25-P25</f>
        <v/>
      </c>
      <c r="R67" s="102">
        <f>R25-Q25</f>
        <v/>
      </c>
      <c r="S67" s="102">
        <f>S25-R25</f>
        <v/>
      </c>
      <c r="T67" s="102">
        <f>T25-S25</f>
        <v/>
      </c>
      <c r="U67" s="102">
        <f>U25-T25</f>
        <v/>
      </c>
      <c r="V67" s="102">
        <f>V25-U25</f>
        <v/>
      </c>
      <c r="W67" s="102">
        <f>W25-V25</f>
        <v/>
      </c>
      <c r="X67" s="102">
        <f>X25-W25</f>
        <v/>
      </c>
      <c r="Y67" s="102">
        <f>Y25-X25</f>
        <v/>
      </c>
      <c r="Z67" s="102">
        <f>Z25-Y25</f>
        <v/>
      </c>
      <c r="AA67" s="102">
        <f>AA25-Z25</f>
        <v/>
      </c>
      <c r="AB67" s="102">
        <f>AB25-AA25</f>
        <v/>
      </c>
      <c r="AC67" s="102">
        <f>AC25-AB25</f>
        <v/>
      </c>
      <c r="AD67" s="102">
        <f>AD25-AC25</f>
        <v/>
      </c>
      <c r="AE67" s="102">
        <f>AE25-AD25</f>
        <v/>
      </c>
      <c r="AF67" s="102">
        <f>AF25-AE25</f>
        <v/>
      </c>
      <c r="AG67" s="102">
        <f>AG25-AF25</f>
        <v/>
      </c>
      <c r="AH67" s="102">
        <f>AH25-AG25</f>
        <v/>
      </c>
      <c r="AI67" s="102">
        <f>AI25-AH25</f>
        <v/>
      </c>
      <c r="AJ67" s="102">
        <f>SUM(E67:AI67)</f>
        <v/>
      </c>
    </row>
    <row r="68">
      <c r="A68" s="500" t="n"/>
      <c r="B68" s="500" t="n"/>
      <c r="C68" s="531" t="inlineStr">
        <is>
          <t>DG</t>
        </is>
      </c>
      <c r="D68" s="501" t="n"/>
      <c r="E68" s="102">
        <f>E26-D26</f>
        <v/>
      </c>
      <c r="F68" s="102">
        <f>F26-E26</f>
        <v/>
      </c>
      <c r="G68" s="102">
        <f>G26-F26</f>
        <v/>
      </c>
      <c r="H68" s="102">
        <f>H26-G26</f>
        <v/>
      </c>
      <c r="I68" s="102">
        <f>I26-H26</f>
        <v/>
      </c>
      <c r="J68" s="102">
        <f>J26-I26</f>
        <v/>
      </c>
      <c r="K68" s="102">
        <f>K26-J26</f>
        <v/>
      </c>
      <c r="L68" s="102">
        <f>L26-K26</f>
        <v/>
      </c>
      <c r="M68" s="102">
        <f>M26-L26</f>
        <v/>
      </c>
      <c r="N68" s="102">
        <f>N26-M26</f>
        <v/>
      </c>
      <c r="O68" s="102">
        <f>O26-N26</f>
        <v/>
      </c>
      <c r="P68" s="102">
        <f>P26-O26</f>
        <v/>
      </c>
      <c r="Q68" s="102">
        <f>Q26-P26</f>
        <v/>
      </c>
      <c r="R68" s="102">
        <f>R26-Q26</f>
        <v/>
      </c>
      <c r="S68" s="102">
        <f>S26-R26</f>
        <v/>
      </c>
      <c r="T68" s="102">
        <f>T26-S26</f>
        <v/>
      </c>
      <c r="U68" s="102">
        <f>U26-T26</f>
        <v/>
      </c>
      <c r="V68" s="102">
        <f>V26-U26</f>
        <v/>
      </c>
      <c r="W68" s="102">
        <f>W26-V26</f>
        <v/>
      </c>
      <c r="X68" s="102">
        <f>X26-W26</f>
        <v/>
      </c>
      <c r="Y68" s="102">
        <f>Y26-X26</f>
        <v/>
      </c>
      <c r="Z68" s="102">
        <f>Z26-Y26</f>
        <v/>
      </c>
      <c r="AA68" s="102">
        <f>AA26-Z26</f>
        <v/>
      </c>
      <c r="AB68" s="102">
        <f>AB26-AA26</f>
        <v/>
      </c>
      <c r="AC68" s="102">
        <f>AC26-AB26</f>
        <v/>
      </c>
      <c r="AD68" s="102">
        <f>AD26-AC26</f>
        <v/>
      </c>
      <c r="AE68" s="102">
        <f>AE26-AD26</f>
        <v/>
      </c>
      <c r="AF68" s="102">
        <f>AF26-AE26</f>
        <v/>
      </c>
      <c r="AG68" s="102">
        <f>AG26-AF26</f>
        <v/>
      </c>
      <c r="AH68" s="102">
        <f>AH26-AG26</f>
        <v/>
      </c>
      <c r="AI68" s="102">
        <f>AI26-AH26</f>
        <v/>
      </c>
      <c r="AJ68" s="102">
        <f>SUM(E68:AI68)</f>
        <v/>
      </c>
      <c r="AK68" s="115" t="inlineStr">
        <is>
          <t>EB</t>
        </is>
      </c>
      <c r="AL68" s="116">
        <f>AJ60</f>
        <v/>
      </c>
    </row>
    <row r="69">
      <c r="A69" s="500" t="n">
        <v>3</v>
      </c>
      <c r="B69" s="500" t="inlineStr">
        <is>
          <t>3F</t>
        </is>
      </c>
      <c r="C69" s="503" t="inlineStr">
        <is>
          <t>AHU3</t>
        </is>
      </c>
      <c r="D69" s="501" t="n"/>
      <c r="E69" s="102">
        <f>E27-D27</f>
        <v/>
      </c>
      <c r="F69" s="102">
        <f>F27-E27</f>
        <v/>
      </c>
      <c r="G69" s="102">
        <f>G27-F27</f>
        <v/>
      </c>
      <c r="H69" s="102">
        <f>H27-G27</f>
        <v/>
      </c>
      <c r="I69" s="102">
        <f>I27-H27</f>
        <v/>
      </c>
      <c r="J69" s="102">
        <f>J27-I27</f>
        <v/>
      </c>
      <c r="K69" s="102">
        <f>K27-J27</f>
        <v/>
      </c>
      <c r="L69" s="102">
        <f>L27-K27</f>
        <v/>
      </c>
      <c r="M69" s="102">
        <f>M27-L27</f>
        <v/>
      </c>
      <c r="N69" s="102">
        <f>N27-M27</f>
        <v/>
      </c>
      <c r="O69" s="102">
        <f>O27-N27</f>
        <v/>
      </c>
      <c r="P69" s="102">
        <f>P27-O27</f>
        <v/>
      </c>
      <c r="Q69" s="102">
        <f>Q27-P27</f>
        <v/>
      </c>
      <c r="R69" s="102">
        <f>R27-Q27</f>
        <v/>
      </c>
      <c r="S69" s="102">
        <f>S27-R27</f>
        <v/>
      </c>
      <c r="T69" s="102">
        <f>T27-S27</f>
        <v/>
      </c>
      <c r="U69" s="102">
        <f>U27-T27</f>
        <v/>
      </c>
      <c r="V69" s="102">
        <f>V27-U27</f>
        <v/>
      </c>
      <c r="W69" s="102">
        <f>W27-V27</f>
        <v/>
      </c>
      <c r="X69" s="102">
        <f>X27-W27</f>
        <v/>
      </c>
      <c r="Y69" s="102">
        <f>Y27-X27</f>
        <v/>
      </c>
      <c r="Z69" s="102">
        <f>Z27-Y27</f>
        <v/>
      </c>
      <c r="AA69" s="102">
        <f>AA27-Z27</f>
        <v/>
      </c>
      <c r="AB69" s="102">
        <f>AB27-AA27</f>
        <v/>
      </c>
      <c r="AC69" s="102">
        <f>AC27-AB27</f>
        <v/>
      </c>
      <c r="AD69" s="102">
        <f>AD27-AC27</f>
        <v/>
      </c>
      <c r="AE69" s="102">
        <f>AE27-AD27</f>
        <v/>
      </c>
      <c r="AF69" s="102">
        <f>AF27-AE27</f>
        <v/>
      </c>
      <c r="AG69" s="102">
        <f>AG27-AF27</f>
        <v/>
      </c>
      <c r="AH69" s="102">
        <f>AH27-AG27</f>
        <v/>
      </c>
      <c r="AI69" s="102">
        <f>AI27-AH27</f>
        <v/>
      </c>
      <c r="AJ69" s="102">
        <f>SUM(E69:AI69)</f>
        <v/>
      </c>
      <c r="AK69" s="115" t="inlineStr">
        <is>
          <t>AHU</t>
        </is>
      </c>
      <c r="AL69" s="116">
        <f>AJ73</f>
        <v/>
      </c>
    </row>
    <row r="70">
      <c r="A70" s="500" t="n"/>
      <c r="B70" s="500" t="n"/>
      <c r="C70" s="531" t="inlineStr">
        <is>
          <t>DG</t>
        </is>
      </c>
      <c r="D70" s="501" t="n"/>
      <c r="E70" s="102">
        <f>E28-D28</f>
        <v/>
      </c>
      <c r="F70" s="102">
        <f>F28-E28</f>
        <v/>
      </c>
      <c r="G70" s="102">
        <f>G28-F28</f>
        <v/>
      </c>
      <c r="H70" s="102">
        <f>H28-G28</f>
        <v/>
      </c>
      <c r="I70" s="102">
        <f>I28-H28</f>
        <v/>
      </c>
      <c r="J70" s="102">
        <f>J28-I28</f>
        <v/>
      </c>
      <c r="K70" s="102">
        <f>K28-J28</f>
        <v/>
      </c>
      <c r="L70" s="102">
        <f>L28-K28</f>
        <v/>
      </c>
      <c r="M70" s="102">
        <f>M28-L28</f>
        <v/>
      </c>
      <c r="N70" s="102">
        <f>N28-M28</f>
        <v/>
      </c>
      <c r="O70" s="102">
        <f>O28-N28</f>
        <v/>
      </c>
      <c r="P70" s="102">
        <f>P28-O28</f>
        <v/>
      </c>
      <c r="Q70" s="102">
        <f>Q28-P28</f>
        <v/>
      </c>
      <c r="R70" s="102">
        <f>R28-Q28</f>
        <v/>
      </c>
      <c r="S70" s="102">
        <f>S28-R28</f>
        <v/>
      </c>
      <c r="T70" s="102">
        <f>T28-S28</f>
        <v/>
      </c>
      <c r="U70" s="102">
        <f>U28-T28</f>
        <v/>
      </c>
      <c r="V70" s="102">
        <f>V28-U28</f>
        <v/>
      </c>
      <c r="W70" s="102">
        <f>W28-V28</f>
        <v/>
      </c>
      <c r="X70" s="102">
        <f>X28-W28</f>
        <v/>
      </c>
      <c r="Y70" s="102">
        <f>Y28-X28</f>
        <v/>
      </c>
      <c r="Z70" s="102">
        <f>Z28-Y28</f>
        <v/>
      </c>
      <c r="AA70" s="102">
        <f>AA28-Z28</f>
        <v/>
      </c>
      <c r="AB70" s="102">
        <f>AB28-AA28</f>
        <v/>
      </c>
      <c r="AC70" s="102">
        <f>AC28-AB28</f>
        <v/>
      </c>
      <c r="AD70" s="102">
        <f>AD28-AC28</f>
        <v/>
      </c>
      <c r="AE70" s="102">
        <f>AE28-AD28</f>
        <v/>
      </c>
      <c r="AF70" s="102">
        <f>AF28-AE28</f>
        <v/>
      </c>
      <c r="AG70" s="102">
        <f>AG28-AF28</f>
        <v/>
      </c>
      <c r="AH70" s="102">
        <f>AH28-AG28</f>
        <v/>
      </c>
      <c r="AI70" s="102">
        <f>AI28-AH28</f>
        <v/>
      </c>
      <c r="AJ70" s="102">
        <f>SUM(E70:AI70)</f>
        <v/>
      </c>
      <c r="AK70" s="115" t="inlineStr">
        <is>
          <t>BTU</t>
        </is>
      </c>
      <c r="AL70" s="116">
        <f>AJ79*40%</f>
        <v/>
      </c>
    </row>
    <row r="71">
      <c r="A71" s="500" t="n">
        <v>4</v>
      </c>
      <c r="B71" s="500" t="inlineStr">
        <is>
          <t>3F</t>
        </is>
      </c>
      <c r="C71" s="503" t="inlineStr">
        <is>
          <t>AHU4</t>
        </is>
      </c>
      <c r="D71" s="501" t="n"/>
      <c r="E71" s="102">
        <f>E29-D29</f>
        <v/>
      </c>
      <c r="F71" s="102">
        <f>F29-E29</f>
        <v/>
      </c>
      <c r="G71" s="102">
        <f>G29-F29</f>
        <v/>
      </c>
      <c r="H71" s="102">
        <f>H29-G29</f>
        <v/>
      </c>
      <c r="I71" s="102">
        <f>I29-H29</f>
        <v/>
      </c>
      <c r="J71" s="102">
        <f>J29-I29</f>
        <v/>
      </c>
      <c r="K71" s="102">
        <f>K29-J29</f>
        <v/>
      </c>
      <c r="L71" s="102">
        <f>L29-K29</f>
        <v/>
      </c>
      <c r="M71" s="102">
        <f>M29-L29</f>
        <v/>
      </c>
      <c r="N71" s="102">
        <f>N29-M29</f>
        <v/>
      </c>
      <c r="O71" s="102">
        <f>O29-N29</f>
        <v/>
      </c>
      <c r="P71" s="102">
        <f>P29-O29</f>
        <v/>
      </c>
      <c r="Q71" s="102">
        <f>Q29-P29</f>
        <v/>
      </c>
      <c r="R71" s="102">
        <f>R29-Q29</f>
        <v/>
      </c>
      <c r="S71" s="102">
        <f>S29-R29</f>
        <v/>
      </c>
      <c r="T71" s="102">
        <f>T29-S29</f>
        <v/>
      </c>
      <c r="U71" s="102">
        <f>U29-T29</f>
        <v/>
      </c>
      <c r="V71" s="102">
        <f>V29-U29</f>
        <v/>
      </c>
      <c r="W71" s="102">
        <f>W29-V29</f>
        <v/>
      </c>
      <c r="X71" s="102">
        <f>X29-W29</f>
        <v/>
      </c>
      <c r="Y71" s="102">
        <f>Y29-X29</f>
        <v/>
      </c>
      <c r="Z71" s="102">
        <f>Z29-Y29</f>
        <v/>
      </c>
      <c r="AA71" s="102">
        <f>AA29-Z29</f>
        <v/>
      </c>
      <c r="AB71" s="102">
        <f>AB29-AA29</f>
        <v/>
      </c>
      <c r="AC71" s="102">
        <f>AC29-AB29</f>
        <v/>
      </c>
      <c r="AD71" s="102">
        <f>AD29-AC29</f>
        <v/>
      </c>
      <c r="AE71" s="102">
        <f>AE29-AD29</f>
        <v/>
      </c>
      <c r="AF71" s="102">
        <f>AF29-AE29</f>
        <v/>
      </c>
      <c r="AG71" s="102">
        <f>AG29-AF29</f>
        <v/>
      </c>
      <c r="AH71" s="102">
        <f>AH29-AG29</f>
        <v/>
      </c>
      <c r="AI71" s="102">
        <f>AI29-AH29</f>
        <v/>
      </c>
      <c r="AJ71" s="102">
        <f>SUM(E71:AI71)</f>
        <v/>
      </c>
      <c r="AK71" s="117" t="inlineStr">
        <is>
          <t>DG</t>
        </is>
      </c>
      <c r="AL71" s="118">
        <f>AJ74+AJ61</f>
        <v/>
      </c>
    </row>
    <row r="72">
      <c r="A72" s="500" t="n"/>
      <c r="B72" s="500" t="n"/>
      <c r="C72" s="531" t="inlineStr">
        <is>
          <t>DG</t>
        </is>
      </c>
      <c r="D72" s="501" t="n"/>
      <c r="E72" s="102">
        <f>E30-D30</f>
        <v/>
      </c>
      <c r="F72" s="102">
        <f>F30-E30</f>
        <v/>
      </c>
      <c r="G72" s="102">
        <f>G30-F30</f>
        <v/>
      </c>
      <c r="H72" s="102">
        <f>H30-G30</f>
        <v/>
      </c>
      <c r="I72" s="102">
        <f>I30-H30</f>
        <v/>
      </c>
      <c r="J72" s="102">
        <f>J30-I30</f>
        <v/>
      </c>
      <c r="K72" s="102">
        <f>K30-J30</f>
        <v/>
      </c>
      <c r="L72" s="102">
        <f>L30-K30</f>
        <v/>
      </c>
      <c r="M72" s="102">
        <f>M30-L30</f>
        <v/>
      </c>
      <c r="N72" s="102">
        <f>N30-M30</f>
        <v/>
      </c>
      <c r="O72" s="102">
        <f>O30-N30</f>
        <v/>
      </c>
      <c r="P72" s="102">
        <f>P30-O30</f>
        <v/>
      </c>
      <c r="Q72" s="102">
        <f>Q30-P30</f>
        <v/>
      </c>
      <c r="R72" s="102">
        <f>R30-Q30</f>
        <v/>
      </c>
      <c r="S72" s="102">
        <f>S30-R30</f>
        <v/>
      </c>
      <c r="T72" s="102">
        <f>T30-S30</f>
        <v/>
      </c>
      <c r="U72" s="102">
        <f>U30-T30</f>
        <v/>
      </c>
      <c r="V72" s="102">
        <f>V30-U30</f>
        <v/>
      </c>
      <c r="W72" s="102">
        <f>W30-V30</f>
        <v/>
      </c>
      <c r="X72" s="102">
        <f>X30-W30</f>
        <v/>
      </c>
      <c r="Y72" s="102">
        <f>Y30-X30</f>
        <v/>
      </c>
      <c r="Z72" s="102">
        <f>Z30-Y30</f>
        <v/>
      </c>
      <c r="AA72" s="102">
        <f>AA30-Z30</f>
        <v/>
      </c>
      <c r="AB72" s="102">
        <f>AB30-AA30</f>
        <v/>
      </c>
      <c r="AC72" s="102">
        <f>AC30-AB30</f>
        <v/>
      </c>
      <c r="AD72" s="102">
        <f>AD30-AC30</f>
        <v/>
      </c>
      <c r="AE72" s="102">
        <f>AE30-AD30</f>
        <v/>
      </c>
      <c r="AF72" s="102">
        <f>AF30-AE30</f>
        <v/>
      </c>
      <c r="AG72" s="102">
        <f>AG30-AF30</f>
        <v/>
      </c>
      <c r="AH72" s="102">
        <f>AH30-AG30</f>
        <v/>
      </c>
      <c r="AI72" s="102">
        <f>AI30-AH30</f>
        <v/>
      </c>
      <c r="AJ72" s="102">
        <f>SUM(E72:AI72)</f>
        <v/>
      </c>
    </row>
    <row r="73" ht="15" customHeight="1" s="488">
      <c r="A73" s="99" t="n"/>
      <c r="B73" s="99" t="n"/>
      <c r="C73" s="511" t="inlineStr">
        <is>
          <t>Total AHU Power Consumption</t>
        </is>
      </c>
      <c r="D73" s="501" t="n"/>
      <c r="E73" s="23">
        <f>SUM(E65,E67,E69,E71)</f>
        <v/>
      </c>
      <c r="F73" s="23">
        <f>SUM(F65,F67,F69,F71)</f>
        <v/>
      </c>
      <c r="G73" s="23">
        <f>SUM(G65,G67,G69,G71)</f>
        <v/>
      </c>
      <c r="H73" s="23">
        <f>SUM(H65,H67,H69,H71)</f>
        <v/>
      </c>
      <c r="I73" s="23">
        <f>SUM(I65,I67,I69,I71)</f>
        <v/>
      </c>
      <c r="J73" s="23">
        <f>SUM(J65,J67,J69,J71)</f>
        <v/>
      </c>
      <c r="K73" s="23">
        <f>SUM(K65,K67,K69,K71)</f>
        <v/>
      </c>
      <c r="L73" s="23">
        <f>SUM(L65,L67,L69,L71)</f>
        <v/>
      </c>
      <c r="M73" s="23">
        <f>SUM(M65,M67,M69,M71)</f>
        <v/>
      </c>
      <c r="N73" s="23">
        <f>SUM(N65,N67,N69,N71)</f>
        <v/>
      </c>
      <c r="O73" s="23">
        <f>SUM(O65,O67,O69,O71)</f>
        <v/>
      </c>
      <c r="P73" s="23">
        <f>SUM(P65,P67,P69,P71)</f>
        <v/>
      </c>
      <c r="Q73" s="23">
        <f>SUM(Q65,Q67,Q69,Q71)</f>
        <v/>
      </c>
      <c r="R73" s="23">
        <f>SUM(R65,R67,R69,R71)</f>
        <v/>
      </c>
      <c r="S73" s="23">
        <f>SUM(S65,S67,S69,S71)</f>
        <v/>
      </c>
      <c r="T73" s="23">
        <f>SUM(T65,T67,T69,T71)</f>
        <v/>
      </c>
      <c r="U73" s="23">
        <f>SUM(U65,U67,U69,U71)</f>
        <v/>
      </c>
      <c r="V73" s="23">
        <f>SUM(V65,V67,V69,V71)</f>
        <v/>
      </c>
      <c r="W73" s="23">
        <f>SUM(W65,W67,W69,W71)</f>
        <v/>
      </c>
      <c r="X73" s="23">
        <f>SUM(X65,X67,X69,X71)</f>
        <v/>
      </c>
      <c r="Y73" s="23">
        <f>SUM(Y65,Y67,Y69,Y71)</f>
        <v/>
      </c>
      <c r="Z73" s="23">
        <f>SUM(Z65,Z67,Z69,Z71)</f>
        <v/>
      </c>
      <c r="AA73" s="23">
        <f>SUM(AA65,AA67,AA69,AA71)</f>
        <v/>
      </c>
      <c r="AB73" s="23">
        <f>SUM(AB65,AB67,AB69,AB71)</f>
        <v/>
      </c>
      <c r="AC73" s="23">
        <f>SUM(AC65,AC67,AC69,AC71)</f>
        <v/>
      </c>
      <c r="AD73" s="23">
        <f>SUM(AD65,AD67,AD69,AD71)</f>
        <v/>
      </c>
      <c r="AE73" s="23">
        <f>SUM(AE65,AE67,AE69,AE71)</f>
        <v/>
      </c>
      <c r="AF73" s="23">
        <f>SUM(AF65,AF67,AF69,AF71)</f>
        <v/>
      </c>
      <c r="AG73" s="23">
        <f>SUM(AG65,AG67,AG69,AG71)</f>
        <v/>
      </c>
      <c r="AH73" s="23">
        <f>SUM(AH65,AH67,AH69,AH71)</f>
        <v/>
      </c>
      <c r="AI73" s="23">
        <f>SUM(AI65,AI67,AI69,AI71)</f>
        <v/>
      </c>
      <c r="AJ73" s="24">
        <f>SUM(E73:AI73)</f>
        <v/>
      </c>
    </row>
    <row r="74" ht="15" customHeight="1" s="488">
      <c r="A74" s="99" t="n"/>
      <c r="B74" s="99" t="n"/>
      <c r="C74" s="502" t="inlineStr">
        <is>
          <t>Total AHU DG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</row>
    <row r="75">
      <c r="A75" s="500" t="n">
        <v>1</v>
      </c>
      <c r="B75" s="500" t="inlineStr">
        <is>
          <t>3F</t>
        </is>
      </c>
      <c r="C75" s="500" t="inlineStr">
        <is>
          <t>AHU1 - BTU</t>
        </is>
      </c>
      <c r="D75" s="501" t="n"/>
      <c r="E75" s="102">
        <f>E32-D32</f>
        <v/>
      </c>
      <c r="F75" s="102">
        <f>F32-E32</f>
        <v/>
      </c>
      <c r="G75" s="102">
        <f>G32-F32</f>
        <v/>
      </c>
      <c r="H75" s="102">
        <f>H32-G32</f>
        <v/>
      </c>
      <c r="I75" s="102">
        <f>I32-H32</f>
        <v/>
      </c>
      <c r="J75" s="102">
        <f>J32-I32</f>
        <v/>
      </c>
      <c r="K75" s="102">
        <f>K32-J32</f>
        <v/>
      </c>
      <c r="L75" s="102">
        <f>L32-K32</f>
        <v/>
      </c>
      <c r="M75" s="102">
        <f>M32-L32</f>
        <v/>
      </c>
      <c r="N75" s="102">
        <f>N32-M32</f>
        <v/>
      </c>
      <c r="O75" s="102">
        <f>O32-N32</f>
        <v/>
      </c>
      <c r="P75" s="102">
        <f>P32-O32</f>
        <v/>
      </c>
      <c r="Q75" s="102">
        <f>Q32-P32</f>
        <v/>
      </c>
      <c r="R75" s="102">
        <f>R32-Q32</f>
        <v/>
      </c>
      <c r="S75" s="102">
        <f>S32-R32</f>
        <v/>
      </c>
      <c r="T75" s="102">
        <f>T32-S32</f>
        <v/>
      </c>
      <c r="U75" s="102">
        <f>U32-T32</f>
        <v/>
      </c>
      <c r="V75" s="102">
        <f>V32-U32</f>
        <v/>
      </c>
      <c r="W75" s="102">
        <f>W32-V32</f>
        <v/>
      </c>
      <c r="X75" s="102">
        <f>X32-W32</f>
        <v/>
      </c>
      <c r="Y75" s="102">
        <f>Y32-X32</f>
        <v/>
      </c>
      <c r="Z75" s="102">
        <f>Z32-Y32</f>
        <v/>
      </c>
      <c r="AA75" s="102">
        <f>AA32-Z32</f>
        <v/>
      </c>
      <c r="AB75" s="102">
        <f>AB32-AA32</f>
        <v/>
      </c>
      <c r="AC75" s="102">
        <f>AC32-AB32</f>
        <v/>
      </c>
      <c r="AD75" s="102">
        <f>AD32-AC32</f>
        <v/>
      </c>
      <c r="AE75" s="102">
        <f>AE32-AD32</f>
        <v/>
      </c>
      <c r="AF75" s="102">
        <f>AF32-AE32</f>
        <v/>
      </c>
      <c r="AG75" s="102">
        <f>AG32-AF32</f>
        <v/>
      </c>
      <c r="AH75" s="102">
        <f>AH32-AG32</f>
        <v/>
      </c>
      <c r="AI75" s="102">
        <f>AI32-AH32</f>
        <v/>
      </c>
      <c r="AJ75" s="102">
        <f>SUM(E75:AI75)</f>
        <v/>
      </c>
    </row>
    <row r="76">
      <c r="A76" s="500" t="n">
        <v>2</v>
      </c>
      <c r="B76" s="500" t="inlineStr">
        <is>
          <t>3F</t>
        </is>
      </c>
      <c r="C76" s="500" t="inlineStr">
        <is>
          <t>AHU2 - BTU</t>
        </is>
      </c>
      <c r="D76" s="501" t="n"/>
      <c r="E76" s="102">
        <f>E33-D33</f>
        <v/>
      </c>
      <c r="F76" s="102">
        <f>F33-E33</f>
        <v/>
      </c>
      <c r="G76" s="102">
        <f>G33-F33</f>
        <v/>
      </c>
      <c r="H76" s="102">
        <f>H33-G33</f>
        <v/>
      </c>
      <c r="I76" s="102">
        <f>I33-H33</f>
        <v/>
      </c>
      <c r="J76" s="102">
        <f>J33-I33</f>
        <v/>
      </c>
      <c r="K76" s="102">
        <f>K33-J33</f>
        <v/>
      </c>
      <c r="L76" s="102">
        <f>L33-K33</f>
        <v/>
      </c>
      <c r="M76" s="102">
        <f>M33-L33</f>
        <v/>
      </c>
      <c r="N76" s="102">
        <f>N33-M33</f>
        <v/>
      </c>
      <c r="O76" s="102">
        <f>O33-N33</f>
        <v/>
      </c>
      <c r="P76" s="102">
        <f>P33-O33</f>
        <v/>
      </c>
      <c r="Q76" s="102">
        <f>Q33-P33</f>
        <v/>
      </c>
      <c r="R76" s="102">
        <f>R33-Q33</f>
        <v/>
      </c>
      <c r="S76" s="102">
        <f>S33-R33</f>
        <v/>
      </c>
      <c r="T76" s="102">
        <f>T33-S33</f>
        <v/>
      </c>
      <c r="U76" s="102">
        <f>U33-T33</f>
        <v/>
      </c>
      <c r="V76" s="102">
        <f>V33-U33</f>
        <v/>
      </c>
      <c r="W76" s="102">
        <f>W33-V33</f>
        <v/>
      </c>
      <c r="X76" s="102">
        <f>X33-W33</f>
        <v/>
      </c>
      <c r="Y76" s="102">
        <f>Y33-X33</f>
        <v/>
      </c>
      <c r="Z76" s="102">
        <f>Z33-Y33</f>
        <v/>
      </c>
      <c r="AA76" s="102">
        <f>AA33-Z33</f>
        <v/>
      </c>
      <c r="AB76" s="102">
        <f>AB33-AA33</f>
        <v/>
      </c>
      <c r="AC76" s="102">
        <f>AC33-AB33</f>
        <v/>
      </c>
      <c r="AD76" s="102">
        <f>AD33-AC33</f>
        <v/>
      </c>
      <c r="AE76" s="102">
        <f>AE33-AD33</f>
        <v/>
      </c>
      <c r="AF76" s="102">
        <f>AF33-AE33</f>
        <v/>
      </c>
      <c r="AG76" s="102">
        <f>AG33-AF33</f>
        <v/>
      </c>
      <c r="AH76" s="102">
        <f>AH33-AG33</f>
        <v/>
      </c>
      <c r="AI76" s="102">
        <f>AI33-AH33</f>
        <v/>
      </c>
      <c r="AJ76" s="102">
        <f>SUM(E76:AI76)</f>
        <v/>
      </c>
    </row>
    <row r="77">
      <c r="A77" s="500" t="n">
        <v>3</v>
      </c>
      <c r="B77" s="500" t="inlineStr">
        <is>
          <t>3F</t>
        </is>
      </c>
      <c r="C77" s="500" t="inlineStr">
        <is>
          <t>AHU3 - BTU</t>
        </is>
      </c>
      <c r="D77" s="501" t="n"/>
      <c r="E77" s="102">
        <f>E34-D34</f>
        <v/>
      </c>
      <c r="F77" s="102">
        <f>F34-E34</f>
        <v/>
      </c>
      <c r="G77" s="102">
        <f>G34-F34</f>
        <v/>
      </c>
      <c r="H77" s="102">
        <f>H34-G34</f>
        <v/>
      </c>
      <c r="I77" s="102">
        <f>I34-H34</f>
        <v/>
      </c>
      <c r="J77" s="102">
        <f>J34-I34</f>
        <v/>
      </c>
      <c r="K77" s="102">
        <f>K34-J34</f>
        <v/>
      </c>
      <c r="L77" s="102">
        <f>L34-K34</f>
        <v/>
      </c>
      <c r="M77" s="102">
        <f>M34-L34</f>
        <v/>
      </c>
      <c r="N77" s="102">
        <f>N34-M34</f>
        <v/>
      </c>
      <c r="O77" s="102">
        <f>O34-N34</f>
        <v/>
      </c>
      <c r="P77" s="102">
        <f>P34-O34</f>
        <v/>
      </c>
      <c r="Q77" s="102">
        <f>Q34-P34</f>
        <v/>
      </c>
      <c r="R77" s="102">
        <f>R34-Q34</f>
        <v/>
      </c>
      <c r="S77" s="102">
        <f>S34-R34</f>
        <v/>
      </c>
      <c r="T77" s="102">
        <f>T34-S34</f>
        <v/>
      </c>
      <c r="U77" s="102">
        <f>U34-T34</f>
        <v/>
      </c>
      <c r="V77" s="102">
        <f>V34-U34</f>
        <v/>
      </c>
      <c r="W77" s="102">
        <f>W34-V34</f>
        <v/>
      </c>
      <c r="X77" s="102">
        <f>X34-W34</f>
        <v/>
      </c>
      <c r="Y77" s="102">
        <f>Y34-X34</f>
        <v/>
      </c>
      <c r="Z77" s="102">
        <f>Z34-Y34</f>
        <v/>
      </c>
      <c r="AA77" s="102">
        <f>AA34-Z34</f>
        <v/>
      </c>
      <c r="AB77" s="102">
        <f>AB34-AA34</f>
        <v/>
      </c>
      <c r="AC77" s="102">
        <f>AC34-AB34</f>
        <v/>
      </c>
      <c r="AD77" s="102">
        <f>AD34-AC34</f>
        <v/>
      </c>
      <c r="AE77" s="102">
        <f>AE34-AD34</f>
        <v/>
      </c>
      <c r="AF77" s="102">
        <f>AF34-AE34</f>
        <v/>
      </c>
      <c r="AG77" s="102">
        <f>AG34-AF34</f>
        <v/>
      </c>
      <c r="AH77" s="102">
        <f>AH34-AG34</f>
        <v/>
      </c>
      <c r="AI77" s="102">
        <f>AI34-AH34</f>
        <v/>
      </c>
      <c r="AJ77" s="102">
        <f>SUM(E77:AI77)</f>
        <v/>
      </c>
    </row>
    <row r="78">
      <c r="A78" s="500" t="n">
        <v>4</v>
      </c>
      <c r="B78" s="500" t="inlineStr">
        <is>
          <t>3F</t>
        </is>
      </c>
      <c r="C78" s="500" t="inlineStr">
        <is>
          <t>AHU4 - BTU</t>
        </is>
      </c>
      <c r="D78" s="501" t="n"/>
      <c r="E78" s="102">
        <f>E35-D35</f>
        <v/>
      </c>
      <c r="F78" s="102">
        <f>F35-E35</f>
        <v/>
      </c>
      <c r="G78" s="102">
        <f>G35-F35</f>
        <v/>
      </c>
      <c r="H78" s="102">
        <f>H35-G35</f>
        <v/>
      </c>
      <c r="I78" s="102">
        <f>I35-H35</f>
        <v/>
      </c>
      <c r="J78" s="102">
        <f>J35-I35</f>
        <v/>
      </c>
      <c r="K78" s="102">
        <f>K35-J35</f>
        <v/>
      </c>
      <c r="L78" s="102">
        <f>L35-K35</f>
        <v/>
      </c>
      <c r="M78" s="102">
        <f>M35-L35</f>
        <v/>
      </c>
      <c r="N78" s="102">
        <f>N35-M35</f>
        <v/>
      </c>
      <c r="O78" s="102">
        <f>O35-N35</f>
        <v/>
      </c>
      <c r="P78" s="102">
        <f>P35-O35</f>
        <v/>
      </c>
      <c r="Q78" s="102">
        <f>Q35-P35</f>
        <v/>
      </c>
      <c r="R78" s="102">
        <f>R35-Q35</f>
        <v/>
      </c>
      <c r="S78" s="102">
        <f>S35-R35</f>
        <v/>
      </c>
      <c r="T78" s="102">
        <f>T35-S35</f>
        <v/>
      </c>
      <c r="U78" s="102">
        <f>U35-T35</f>
        <v/>
      </c>
      <c r="V78" s="102">
        <f>V35-U35</f>
        <v/>
      </c>
      <c r="W78" s="102">
        <f>W35-V35</f>
        <v/>
      </c>
      <c r="X78" s="102">
        <f>X35-W35</f>
        <v/>
      </c>
      <c r="Y78" s="102">
        <f>Y35-X35</f>
        <v/>
      </c>
      <c r="Z78" s="102">
        <f>Z35-Y35</f>
        <v/>
      </c>
      <c r="AA78" s="102">
        <f>AA35-Z35</f>
        <v/>
      </c>
      <c r="AB78" s="102">
        <f>AB35-AA35</f>
        <v/>
      </c>
      <c r="AC78" s="102">
        <f>AC35-AB35</f>
        <v/>
      </c>
      <c r="AD78" s="102">
        <f>AD35-AC35</f>
        <v/>
      </c>
      <c r="AE78" s="102">
        <f>AE35-AD35</f>
        <v/>
      </c>
      <c r="AF78" s="102">
        <f>AF35-AE35</f>
        <v/>
      </c>
      <c r="AG78" s="102">
        <f>AG35-AF35</f>
        <v/>
      </c>
      <c r="AH78" s="102">
        <f>AH35-AG35</f>
        <v/>
      </c>
      <c r="AI78" s="102">
        <f>AI35-AH35</f>
        <v/>
      </c>
      <c r="AJ78" s="102">
        <f>SUM(E78:AI78)</f>
        <v/>
      </c>
    </row>
    <row r="79" ht="15" customHeight="1" s="488">
      <c r="A79" s="99" t="n"/>
      <c r="B79" s="99" t="n"/>
      <c r="C79" s="511" t="inlineStr">
        <is>
          <t>Total BTU Consumption</t>
        </is>
      </c>
      <c r="D79" s="501" t="n"/>
      <c r="E79" s="23">
        <f>SUM(E75:E78)</f>
        <v/>
      </c>
      <c r="F79" s="23">
        <f>SUM(F75:F78)</f>
        <v/>
      </c>
      <c r="G79" s="23">
        <f>SUM(G75:G78)</f>
        <v/>
      </c>
      <c r="H79" s="23">
        <f>SUM(H75:H78)</f>
        <v/>
      </c>
      <c r="I79" s="23">
        <f>SUM(I75:I78)</f>
        <v/>
      </c>
      <c r="J79" s="23">
        <f>SUM(J75:J78)</f>
        <v/>
      </c>
      <c r="K79" s="23">
        <f>SUM(K75:K78)</f>
        <v/>
      </c>
      <c r="L79" s="23">
        <f>SUM(L75:L78)</f>
        <v/>
      </c>
      <c r="M79" s="23">
        <f>SUM(M75:M78)</f>
        <v/>
      </c>
      <c r="N79" s="23">
        <f>SUM(N75:N78)</f>
        <v/>
      </c>
      <c r="O79" s="23">
        <f>SUM(O75:O78)</f>
        <v/>
      </c>
      <c r="P79" s="23">
        <f>SUM(P75:P78)</f>
        <v/>
      </c>
      <c r="Q79" s="23">
        <f>SUM(Q75:Q78)</f>
        <v/>
      </c>
      <c r="R79" s="23">
        <f>SUM(R75:R78)</f>
        <v/>
      </c>
      <c r="S79" s="23">
        <f>SUM(S75:S78)</f>
        <v/>
      </c>
      <c r="T79" s="23">
        <f>SUM(T75:T78)</f>
        <v/>
      </c>
      <c r="U79" s="23">
        <f>SUM(U75:U78)</f>
        <v/>
      </c>
      <c r="V79" s="23">
        <f>SUM(V75:V78)</f>
        <v/>
      </c>
      <c r="W79" s="23">
        <f>SUM(W75:W78)</f>
        <v/>
      </c>
      <c r="X79" s="23">
        <f>SUM(X75:X78)</f>
        <v/>
      </c>
      <c r="Y79" s="23">
        <f>SUM(Y75:Y78)</f>
        <v/>
      </c>
      <c r="Z79" s="23">
        <f>SUM(Z75:Z78)</f>
        <v/>
      </c>
      <c r="AA79" s="23">
        <f>SUM(AA75:AA78)</f>
        <v/>
      </c>
      <c r="AB79" s="23">
        <f>SUM(AB75:AB78)</f>
        <v/>
      </c>
      <c r="AC79" s="23">
        <f>SUM(AC75:AC78)</f>
        <v/>
      </c>
      <c r="AD79" s="23">
        <f>SUM(AD75:AD78)</f>
        <v/>
      </c>
      <c r="AE79" s="23">
        <f>SUM(AE75:AE78)</f>
        <v/>
      </c>
      <c r="AF79" s="23">
        <f>SUM(AF75:AF78)</f>
        <v/>
      </c>
      <c r="AG79" s="23">
        <f>SUM(AG75:AG78)</f>
        <v/>
      </c>
      <c r="AH79" s="23">
        <f>SUM(AH75:AH78)</f>
        <v/>
      </c>
      <c r="AI79" s="23">
        <f>SUM(AI75:AI78)</f>
        <v/>
      </c>
      <c r="AJ79" s="24">
        <f>SUM(AJ75:AJ78)</f>
        <v/>
      </c>
    </row>
    <row r="87">
      <c r="AG87" s="64" t="n"/>
    </row>
  </sheetData>
  <mergeCells count="49">
    <mergeCell ref="C77:D77"/>
    <mergeCell ref="AJ40:AJ43"/>
    <mergeCell ref="C62:D62"/>
    <mergeCell ref="C68:D68"/>
    <mergeCell ref="C40:D43"/>
    <mergeCell ref="C58:D58"/>
    <mergeCell ref="C45:D45"/>
    <mergeCell ref="AJ2:AJ5"/>
    <mergeCell ref="E1:AH1"/>
    <mergeCell ref="C74:D74"/>
    <mergeCell ref="B2:B5"/>
    <mergeCell ref="C64:D64"/>
    <mergeCell ref="C79:D79"/>
    <mergeCell ref="B38:D38"/>
    <mergeCell ref="D2:D5"/>
    <mergeCell ref="C73:D73"/>
    <mergeCell ref="C47:D47"/>
    <mergeCell ref="C54:D54"/>
    <mergeCell ref="C65:D65"/>
    <mergeCell ref="C55:D55"/>
    <mergeCell ref="C50:D50"/>
    <mergeCell ref="C44:D44"/>
    <mergeCell ref="C75:D75"/>
    <mergeCell ref="C56:D56"/>
    <mergeCell ref="C59:D59"/>
    <mergeCell ref="A1:D1"/>
    <mergeCell ref="C49:D49"/>
    <mergeCell ref="C46:D46"/>
    <mergeCell ref="B40:B43"/>
    <mergeCell ref="A22:AJ22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31:AJ31"/>
    <mergeCell ref="C72:D72"/>
    <mergeCell ref="C67:D67"/>
    <mergeCell ref="C57:D57"/>
    <mergeCell ref="C66:D66"/>
    <mergeCell ref="C53:D53"/>
    <mergeCell ref="B39:D39"/>
    <mergeCell ref="C78:D78"/>
    <mergeCell ref="C69:D69"/>
    <mergeCell ref="A40:A4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87"/>
  <sheetViews>
    <sheetView topLeftCell="AD56" zoomScale="96" zoomScaleNormal="96" workbookViewId="0">
      <selection activeCell="AL70" sqref="AL70"/>
    </sheetView>
  </sheetViews>
  <sheetFormatPr baseColWidth="8" defaultRowHeight="14.5"/>
  <cols>
    <col width="14" customWidth="1" style="488" min="1" max="1"/>
    <col width="27" customWidth="1" style="488" min="2" max="2"/>
    <col width="32" bestFit="1" customWidth="1" style="488" min="3" max="3"/>
    <col width="20" customWidth="1" style="488" min="4" max="4"/>
    <col width="23" customWidth="1" style="488" min="5" max="35"/>
    <col width="18" customWidth="1" style="488" min="36" max="36"/>
    <col width="14" customWidth="1" style="488" min="37" max="37"/>
    <col width="18" customWidth="1" style="488" min="38" max="38"/>
  </cols>
  <sheetData>
    <row r="1" ht="26" customHeight="1" s="488">
      <c r="A1" s="573" t="n"/>
      <c r="B1" s="505" t="n"/>
      <c r="C1" s="505" t="n"/>
      <c r="D1" s="506" t="n"/>
      <c r="E1" s="581" t="inlineStr">
        <is>
          <t>JULY- 2025</t>
        </is>
      </c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159" t="n"/>
      <c r="AJ1" s="50" t="n"/>
    </row>
    <row r="2">
      <c r="A2" s="508" t="inlineStr">
        <is>
          <t>Sr.No</t>
        </is>
      </c>
      <c r="B2" s="508" t="inlineStr">
        <is>
          <t>Location</t>
        </is>
      </c>
      <c r="C2" s="580" t="inlineStr">
        <is>
          <t>Meter</t>
        </is>
      </c>
      <c r="D2" s="562" t="inlineStr">
        <is>
          <t>Previous Reading</t>
        </is>
      </c>
      <c r="E2" s="51" t="n">
        <v>45839</v>
      </c>
      <c r="F2" s="51" t="n">
        <v>45840</v>
      </c>
      <c r="G2" s="51" t="n">
        <v>45841</v>
      </c>
      <c r="H2" s="51" t="n">
        <v>45842</v>
      </c>
      <c r="I2" s="51" t="n">
        <v>45843</v>
      </c>
      <c r="J2" s="51" t="n">
        <v>45844</v>
      </c>
      <c r="K2" s="51" t="n">
        <v>45845</v>
      </c>
      <c r="L2" s="51" t="n">
        <v>45846</v>
      </c>
      <c r="M2" s="51" t="n">
        <v>45847</v>
      </c>
      <c r="N2" s="51" t="n">
        <v>45848</v>
      </c>
      <c r="O2" s="51" t="n">
        <v>45849</v>
      </c>
      <c r="P2" s="51" t="n">
        <v>45850</v>
      </c>
      <c r="Q2" s="51" t="n">
        <v>45851</v>
      </c>
      <c r="R2" s="51" t="n">
        <v>45852</v>
      </c>
      <c r="S2" s="51" t="n">
        <v>45853</v>
      </c>
      <c r="T2" s="51" t="n">
        <v>45854</v>
      </c>
      <c r="U2" s="51" t="n">
        <v>45855</v>
      </c>
      <c r="V2" s="51" t="n">
        <v>45856</v>
      </c>
      <c r="W2" s="51" t="n">
        <v>45857</v>
      </c>
      <c r="X2" s="51" t="n">
        <v>45858</v>
      </c>
      <c r="Y2" s="51" t="n">
        <v>45859</v>
      </c>
      <c r="Z2" s="51" t="n">
        <v>45860</v>
      </c>
      <c r="AA2" s="51" t="n">
        <v>45861</v>
      </c>
      <c r="AB2" s="51" t="n">
        <v>45862</v>
      </c>
      <c r="AC2" s="51" t="n">
        <v>45863</v>
      </c>
      <c r="AD2" s="51" t="n">
        <v>45864</v>
      </c>
      <c r="AE2" s="51" t="n">
        <v>45865</v>
      </c>
      <c r="AF2" s="51" t="n">
        <v>45866</v>
      </c>
      <c r="AG2" s="51" t="n">
        <v>45867</v>
      </c>
      <c r="AH2" s="51" t="n">
        <v>45868</v>
      </c>
      <c r="AI2" s="51" t="n">
        <v>45869</v>
      </c>
      <c r="AJ2" s="518" t="inlineStr">
        <is>
          <t>Consumption</t>
        </is>
      </c>
    </row>
    <row r="3">
      <c r="A3" s="509" t="n"/>
      <c r="B3" s="509" t="n"/>
      <c r="C3" s="509" t="n"/>
      <c r="D3" s="509" t="n"/>
      <c r="E3" s="96" t="inlineStr">
        <is>
          <t>TUE</t>
        </is>
      </c>
      <c r="F3" s="96" t="inlineStr">
        <is>
          <t>WED</t>
        </is>
      </c>
      <c r="G3" s="96" t="inlineStr">
        <is>
          <t>THU</t>
        </is>
      </c>
      <c r="H3" s="96" t="inlineStr">
        <is>
          <t>FRI</t>
        </is>
      </c>
      <c r="I3" s="96" t="inlineStr">
        <is>
          <t>SAT</t>
        </is>
      </c>
      <c r="J3" s="96" t="inlineStr">
        <is>
          <t>SUN</t>
        </is>
      </c>
      <c r="K3" s="96" t="inlineStr">
        <is>
          <t>MON</t>
        </is>
      </c>
      <c r="L3" s="96" t="inlineStr">
        <is>
          <t>TUE</t>
        </is>
      </c>
      <c r="M3" s="96" t="inlineStr">
        <is>
          <t>WED</t>
        </is>
      </c>
      <c r="N3" s="96" t="inlineStr">
        <is>
          <t>THU</t>
        </is>
      </c>
      <c r="O3" s="96" t="inlineStr">
        <is>
          <t>FRI</t>
        </is>
      </c>
      <c r="P3" s="96" t="inlineStr">
        <is>
          <t>SAT</t>
        </is>
      </c>
      <c r="Q3" s="96" t="inlineStr">
        <is>
          <t>SUN</t>
        </is>
      </c>
      <c r="R3" s="96" t="inlineStr">
        <is>
          <t>MON</t>
        </is>
      </c>
      <c r="S3" s="96" t="inlineStr">
        <is>
          <t>TUE</t>
        </is>
      </c>
      <c r="T3" s="96" t="inlineStr">
        <is>
          <t>WED</t>
        </is>
      </c>
      <c r="U3" s="96" t="inlineStr">
        <is>
          <t>THU</t>
        </is>
      </c>
      <c r="V3" s="96" t="inlineStr">
        <is>
          <t>FRI</t>
        </is>
      </c>
      <c r="W3" s="96" t="inlineStr">
        <is>
          <t>SAT</t>
        </is>
      </c>
      <c r="X3" s="96" t="inlineStr">
        <is>
          <t>SUN</t>
        </is>
      </c>
      <c r="Y3" s="96" t="inlineStr">
        <is>
          <t>MON</t>
        </is>
      </c>
      <c r="Z3" s="96" t="inlineStr">
        <is>
          <t>TUE</t>
        </is>
      </c>
      <c r="AA3" s="96" t="inlineStr">
        <is>
          <t>WED</t>
        </is>
      </c>
      <c r="AB3" s="96" t="inlineStr">
        <is>
          <t>THU</t>
        </is>
      </c>
      <c r="AC3" s="96" t="inlineStr">
        <is>
          <t>FRI</t>
        </is>
      </c>
      <c r="AD3" s="96" t="inlineStr">
        <is>
          <t>SAT</t>
        </is>
      </c>
      <c r="AE3" s="96" t="inlineStr">
        <is>
          <t>SUN</t>
        </is>
      </c>
      <c r="AF3" s="96" t="inlineStr">
        <is>
          <t>MON</t>
        </is>
      </c>
      <c r="AG3" s="96" t="inlineStr">
        <is>
          <t>TUE</t>
        </is>
      </c>
      <c r="AH3" s="96" t="inlineStr">
        <is>
          <t>WED</t>
        </is>
      </c>
      <c r="AI3" s="96" t="inlineStr">
        <is>
          <t>FRI</t>
        </is>
      </c>
      <c r="AJ3" s="509" t="n"/>
    </row>
    <row r="4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2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53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3" t="n">
        <v>0.3333333333333333</v>
      </c>
      <c r="AJ5" s="510" t="n"/>
    </row>
    <row r="6">
      <c r="A6" s="48" t="n">
        <v>1</v>
      </c>
      <c r="B6" s="561" t="inlineStr">
        <is>
          <t>3F</t>
        </is>
      </c>
      <c r="C6" s="139" t="inlineStr">
        <is>
          <t>SL No 540430038840 (EB Unit)</t>
        </is>
      </c>
      <c r="D6" s="169" t="n">
        <v>121887</v>
      </c>
      <c r="E6" s="48" t="n">
        <v>122258</v>
      </c>
      <c r="F6" s="48" t="n">
        <v>122537</v>
      </c>
      <c r="G6" s="48" t="n">
        <v>122822</v>
      </c>
      <c r="H6" s="48" t="n">
        <v>123086</v>
      </c>
      <c r="I6" s="48" t="n">
        <v>123298</v>
      </c>
      <c r="J6" s="48" t="n">
        <v>123509</v>
      </c>
      <c r="K6" s="48" t="n">
        <v>123768</v>
      </c>
      <c r="L6" s="48" t="n">
        <v>124053</v>
      </c>
      <c r="M6" s="48" t="n">
        <v>124348</v>
      </c>
      <c r="N6" s="48" t="n">
        <v>124588</v>
      </c>
      <c r="O6" s="561" t="n">
        <v>124844</v>
      </c>
      <c r="P6" s="58" t="n">
        <v>125058</v>
      </c>
      <c r="Q6" s="48" t="n">
        <v>125266</v>
      </c>
      <c r="R6" s="59" t="n">
        <v>125537</v>
      </c>
      <c r="S6" s="561" t="n">
        <v>125798</v>
      </c>
      <c r="T6" s="561" t="n">
        <v>126085</v>
      </c>
      <c r="U6" s="561" t="n">
        <v>126357</v>
      </c>
      <c r="V6" s="125" t="n">
        <v>126630</v>
      </c>
      <c r="W6" s="561" t="n">
        <v>126845</v>
      </c>
      <c r="X6" s="561" t="n">
        <v>127055</v>
      </c>
      <c r="Y6" s="561" t="n">
        <v>127329</v>
      </c>
      <c r="Z6" s="561" t="n">
        <v>127600</v>
      </c>
      <c r="AA6" s="561" t="n">
        <v>127877</v>
      </c>
      <c r="AB6" s="561" t="n">
        <v>128171</v>
      </c>
      <c r="AC6" s="561" t="n">
        <v>128449</v>
      </c>
      <c r="AD6" s="561" t="n">
        <v>128540</v>
      </c>
      <c r="AE6" s="561" t="n">
        <v>128631</v>
      </c>
      <c r="AF6" s="561" t="n">
        <v>128896</v>
      </c>
      <c r="AG6" s="48" t="n">
        <v>129149</v>
      </c>
      <c r="AH6" s="169" t="n">
        <v>129459</v>
      </c>
      <c r="AI6" s="48" t="n">
        <v>129726</v>
      </c>
      <c r="AJ6" s="57">
        <f>AI6-D6</f>
        <v/>
      </c>
    </row>
    <row r="7">
      <c r="A7" s="8" t="n"/>
      <c r="B7" s="8" t="n"/>
      <c r="C7" s="140" t="inlineStr">
        <is>
          <t>DG</t>
        </is>
      </c>
      <c r="D7" s="128" t="n">
        <v>4176</v>
      </c>
      <c r="E7" s="8" t="n">
        <v>4176</v>
      </c>
      <c r="F7" s="8" t="n">
        <v>4176</v>
      </c>
      <c r="G7" s="8" t="n">
        <v>4176</v>
      </c>
      <c r="H7" s="8" t="n">
        <v>4176</v>
      </c>
      <c r="I7" s="8" t="n">
        <v>4176</v>
      </c>
      <c r="J7" s="8" t="n">
        <v>4176</v>
      </c>
      <c r="K7" s="8" t="n">
        <v>4176</v>
      </c>
      <c r="L7" s="8" t="n">
        <v>4176</v>
      </c>
      <c r="M7" s="8" t="n">
        <v>4176</v>
      </c>
      <c r="N7" s="8" t="n">
        <v>4176</v>
      </c>
      <c r="O7" s="8" t="n">
        <v>4176</v>
      </c>
      <c r="P7" s="8" t="n">
        <v>4176</v>
      </c>
      <c r="Q7" s="8" t="n">
        <v>4176</v>
      </c>
      <c r="R7" s="8" t="n">
        <v>4176</v>
      </c>
      <c r="S7" s="8" t="n">
        <v>4176</v>
      </c>
      <c r="T7" s="8" t="n">
        <v>4176</v>
      </c>
      <c r="U7" s="8" t="n">
        <v>4176</v>
      </c>
      <c r="V7" s="8" t="n">
        <v>4176</v>
      </c>
      <c r="W7" s="8" t="n">
        <v>4176</v>
      </c>
      <c r="X7" s="8" t="n">
        <v>4176</v>
      </c>
      <c r="Y7" s="8" t="n">
        <v>4176</v>
      </c>
      <c r="Z7" s="8" t="n">
        <v>4176</v>
      </c>
      <c r="AA7" s="8" t="n">
        <v>4176</v>
      </c>
      <c r="AB7" s="8" t="n">
        <v>4176</v>
      </c>
      <c r="AC7" s="8" t="n">
        <v>4176</v>
      </c>
      <c r="AD7" s="8" t="n">
        <v>4176</v>
      </c>
      <c r="AE7" s="8" t="n">
        <v>4176</v>
      </c>
      <c r="AF7" s="8" t="n">
        <v>4176</v>
      </c>
      <c r="AG7" s="8" t="n">
        <v>4176</v>
      </c>
      <c r="AH7" s="128" t="n">
        <v>4176</v>
      </c>
      <c r="AI7" s="48" t="n">
        <v>4176</v>
      </c>
      <c r="AJ7" s="57">
        <f>AI7-D7</f>
        <v/>
      </c>
    </row>
    <row r="8">
      <c r="A8" s="561" t="n">
        <v>2</v>
      </c>
      <c r="B8" s="561" t="inlineStr">
        <is>
          <t>3F</t>
        </is>
      </c>
      <c r="C8" s="141" t="inlineStr">
        <is>
          <t>SL No 540430038845 (EB Unit)</t>
        </is>
      </c>
      <c r="D8" s="58" t="n">
        <v>1956</v>
      </c>
      <c r="E8" s="561" t="n">
        <v>1956</v>
      </c>
      <c r="F8" s="561" t="n">
        <v>1956</v>
      </c>
      <c r="G8" s="561" t="n">
        <v>1956</v>
      </c>
      <c r="H8" s="561" t="n">
        <v>1956</v>
      </c>
      <c r="I8" s="561" t="n">
        <v>1956</v>
      </c>
      <c r="J8" s="561" t="n">
        <v>1956</v>
      </c>
      <c r="K8" s="561" t="n">
        <v>1956</v>
      </c>
      <c r="L8" s="561" t="n">
        <v>1956</v>
      </c>
      <c r="M8" s="561" t="n">
        <v>1956</v>
      </c>
      <c r="N8" s="561" t="n">
        <v>1956</v>
      </c>
      <c r="O8" s="561" t="n">
        <v>1956</v>
      </c>
      <c r="P8" s="561" t="n">
        <v>1956</v>
      </c>
      <c r="Q8" s="561" t="n">
        <v>1956</v>
      </c>
      <c r="R8" s="561" t="n">
        <v>1956</v>
      </c>
      <c r="S8" s="561" t="n">
        <v>1956</v>
      </c>
      <c r="T8" s="561" t="n">
        <v>1956</v>
      </c>
      <c r="U8" s="561" t="n">
        <v>1956</v>
      </c>
      <c r="V8" s="561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8" t="n">
        <v>1956</v>
      </c>
      <c r="AI8" s="48" t="n">
        <v>1956</v>
      </c>
      <c r="AJ8" s="57">
        <f>AI8-D8</f>
        <v/>
      </c>
    </row>
    <row r="9">
      <c r="A9" s="561" t="n"/>
      <c r="B9" s="561" t="n"/>
      <c r="C9" s="140" t="inlineStr">
        <is>
          <t>DG</t>
        </is>
      </c>
      <c r="D9" s="58" t="n">
        <v>28.6</v>
      </c>
      <c r="E9" s="561" t="n">
        <v>28.6</v>
      </c>
      <c r="F9" s="561" t="n">
        <v>28.6</v>
      </c>
      <c r="G9" s="561" t="n">
        <v>28.6</v>
      </c>
      <c r="H9" s="561" t="n">
        <v>28.6</v>
      </c>
      <c r="I9" s="561" t="n">
        <v>28.6</v>
      </c>
      <c r="J9" s="561" t="n">
        <v>28.6</v>
      </c>
      <c r="K9" s="561" t="n">
        <v>28.6</v>
      </c>
      <c r="L9" s="561" t="n">
        <v>28.6</v>
      </c>
      <c r="M9" s="561" t="n">
        <v>28.6</v>
      </c>
      <c r="N9" s="561" t="n">
        <v>28.6</v>
      </c>
      <c r="O9" s="561" t="n">
        <v>28.6</v>
      </c>
      <c r="P9" s="561" t="n">
        <v>28.6</v>
      </c>
      <c r="Q9" s="561" t="n">
        <v>28.6</v>
      </c>
      <c r="R9" s="561" t="n">
        <v>28.6</v>
      </c>
      <c r="S9" s="561" t="n">
        <v>28.6</v>
      </c>
      <c r="T9" s="561" t="n">
        <v>28.6</v>
      </c>
      <c r="U9" s="561" t="n">
        <v>28.6</v>
      </c>
      <c r="V9" s="561" t="n">
        <v>28.6</v>
      </c>
      <c r="W9" s="561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8" t="n">
        <v>28.6</v>
      </c>
      <c r="AI9" s="48" t="n">
        <v>28.6</v>
      </c>
      <c r="AJ9" s="57">
        <f>AI9-D9</f>
        <v/>
      </c>
    </row>
    <row r="10">
      <c r="A10" s="561" t="n">
        <v>3</v>
      </c>
      <c r="B10" s="561" t="inlineStr">
        <is>
          <t>3F</t>
        </is>
      </c>
      <c r="C10" s="141" t="inlineStr">
        <is>
          <t>SL No 540430038844 (EB Unit)</t>
        </is>
      </c>
      <c r="D10" s="128" t="n">
        <v>177601</v>
      </c>
      <c r="E10" s="561" t="n">
        <v>178152</v>
      </c>
      <c r="F10" s="561" t="n">
        <v>178565</v>
      </c>
      <c r="G10" s="561" t="n">
        <v>178987</v>
      </c>
      <c r="H10" s="561" t="n">
        <v>179383</v>
      </c>
      <c r="I10" s="561" t="n">
        <v>179664</v>
      </c>
      <c r="J10" s="561" t="n">
        <v>179955</v>
      </c>
      <c r="K10" s="561" t="n">
        <v>180329</v>
      </c>
      <c r="L10" s="561" t="n">
        <v>180751</v>
      </c>
      <c r="M10" s="561" t="n">
        <v>181190</v>
      </c>
      <c r="N10" s="561" t="n">
        <v>181542</v>
      </c>
      <c r="O10" s="561" t="n">
        <v>181922</v>
      </c>
      <c r="P10" s="561" t="n">
        <v>182209</v>
      </c>
      <c r="Q10" s="561" t="n">
        <v>182488</v>
      </c>
      <c r="R10" s="561" t="n">
        <v>182883</v>
      </c>
      <c r="S10" s="561" t="n">
        <v>183279</v>
      </c>
      <c r="T10" s="561" t="n">
        <v>183698</v>
      </c>
      <c r="U10" s="561" t="n">
        <v>184108</v>
      </c>
      <c r="V10" s="561" t="n">
        <v>184511</v>
      </c>
      <c r="W10" s="561" t="n">
        <v>184716</v>
      </c>
      <c r="X10" s="561" t="n">
        <v>185078</v>
      </c>
      <c r="Y10" s="561" t="n">
        <v>185477</v>
      </c>
      <c r="Z10" s="561" t="n">
        <v>185887</v>
      </c>
      <c r="AA10" s="8" t="n">
        <v>186297</v>
      </c>
      <c r="AB10" s="8" t="n">
        <v>186737</v>
      </c>
      <c r="AC10" s="561" t="n">
        <v>187156</v>
      </c>
      <c r="AD10" s="561" t="n">
        <v>187456</v>
      </c>
      <c r="AE10" s="8" t="n">
        <v>187732</v>
      </c>
      <c r="AF10" s="8" t="n">
        <v>188128</v>
      </c>
      <c r="AG10" s="8" t="n">
        <v>188535</v>
      </c>
      <c r="AH10" s="128" t="n">
        <v>188971</v>
      </c>
      <c r="AI10" s="48" t="n">
        <v>189365</v>
      </c>
      <c r="AJ10" s="57">
        <f>AI10-D10</f>
        <v/>
      </c>
    </row>
    <row r="11">
      <c r="A11" s="561" t="n"/>
      <c r="B11" s="561" t="n"/>
      <c r="C11" s="140" t="inlineStr">
        <is>
          <t>DG</t>
        </is>
      </c>
      <c r="D11" s="58" t="n">
        <v>6242</v>
      </c>
      <c r="E11" s="561" t="n">
        <v>6242</v>
      </c>
      <c r="F11" s="561" t="n">
        <v>6242</v>
      </c>
      <c r="G11" s="561" t="n">
        <v>6242</v>
      </c>
      <c r="H11" s="561" t="n">
        <v>6242</v>
      </c>
      <c r="I11" s="561" t="n">
        <v>6242</v>
      </c>
      <c r="J11" s="561" t="n">
        <v>6242</v>
      </c>
      <c r="K11" s="561" t="n">
        <v>6242</v>
      </c>
      <c r="L11" s="561" t="n">
        <v>6242</v>
      </c>
      <c r="M11" s="561" t="n">
        <v>6242</v>
      </c>
      <c r="N11" s="561" t="n">
        <v>6242</v>
      </c>
      <c r="O11" s="561" t="n">
        <v>6242</v>
      </c>
      <c r="P11" s="561" t="n">
        <v>6242</v>
      </c>
      <c r="Q11" s="561" t="n">
        <v>6242</v>
      </c>
      <c r="R11" s="561" t="n">
        <v>6242</v>
      </c>
      <c r="S11" s="561" t="n">
        <v>6242</v>
      </c>
      <c r="T11" s="561" t="n">
        <v>6242</v>
      </c>
      <c r="U11" s="561" t="n">
        <v>6242</v>
      </c>
      <c r="V11" s="561" t="n">
        <v>6242</v>
      </c>
      <c r="W11" s="561" t="n">
        <v>6242</v>
      </c>
      <c r="X11" s="561" t="n">
        <v>6242</v>
      </c>
      <c r="Y11" s="561" t="n">
        <v>6242</v>
      </c>
      <c r="Z11" s="561" t="n">
        <v>6242</v>
      </c>
      <c r="AA11" s="561" t="n">
        <v>6242</v>
      </c>
      <c r="AB11" s="561" t="n">
        <v>6242</v>
      </c>
      <c r="AC11" s="561" t="n">
        <v>6242</v>
      </c>
      <c r="AD11" s="561" t="n">
        <v>6242</v>
      </c>
      <c r="AE11" s="561" t="n">
        <v>6242</v>
      </c>
      <c r="AF11" s="561" t="n">
        <v>6242</v>
      </c>
      <c r="AG11" s="561" t="n">
        <v>6242</v>
      </c>
      <c r="AH11" s="58" t="n">
        <v>6242</v>
      </c>
      <c r="AI11" s="48" t="n">
        <v>6242</v>
      </c>
      <c r="AJ11" s="57">
        <f>AI11-D11</f>
        <v/>
      </c>
    </row>
    <row r="12">
      <c r="A12" s="561" t="n">
        <v>4</v>
      </c>
      <c r="B12" s="561" t="inlineStr">
        <is>
          <t>3F</t>
        </is>
      </c>
      <c r="C12" s="141" t="inlineStr">
        <is>
          <t>SL No 540430038821 (EB Unit)</t>
        </is>
      </c>
      <c r="D12" s="58" t="n">
        <v>0</v>
      </c>
      <c r="E12" s="561" t="n">
        <v>0</v>
      </c>
      <c r="F12" s="561" t="n">
        <v>0</v>
      </c>
      <c r="G12" s="561" t="n">
        <v>0</v>
      </c>
      <c r="H12" s="561" t="n">
        <v>0</v>
      </c>
      <c r="I12" s="561" t="n">
        <v>0</v>
      </c>
      <c r="J12" s="561" t="n">
        <v>0</v>
      </c>
      <c r="K12" s="561" t="n">
        <v>0</v>
      </c>
      <c r="L12" s="561" t="n">
        <v>0</v>
      </c>
      <c r="M12" s="561" t="n">
        <v>0</v>
      </c>
      <c r="N12" s="561" t="n">
        <v>0</v>
      </c>
      <c r="O12" s="561" t="n">
        <v>0</v>
      </c>
      <c r="P12" s="561" t="n">
        <v>0</v>
      </c>
      <c r="Q12" s="561" t="n">
        <v>0</v>
      </c>
      <c r="R12" s="561" t="n">
        <v>0</v>
      </c>
      <c r="S12" s="561" t="n">
        <v>0</v>
      </c>
      <c r="T12" s="561" t="n">
        <v>0</v>
      </c>
      <c r="U12" s="561" t="n">
        <v>0</v>
      </c>
      <c r="V12" s="561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8" t="n">
        <v>0</v>
      </c>
      <c r="AI12" s="48" t="n">
        <v>0</v>
      </c>
      <c r="AJ12" s="57">
        <f>AI12-D12</f>
        <v/>
      </c>
    </row>
    <row r="13">
      <c r="A13" s="561" t="n"/>
      <c r="B13" s="561" t="n"/>
      <c r="C13" s="140" t="inlineStr">
        <is>
          <t>DG</t>
        </is>
      </c>
      <c r="D13" s="58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8" t="n">
        <v>0</v>
      </c>
      <c r="AI13" s="48" t="n">
        <v>0</v>
      </c>
      <c r="AJ13" s="57">
        <f>AI13-D13</f>
        <v/>
      </c>
    </row>
    <row r="14">
      <c r="A14" s="561" t="n">
        <v>5</v>
      </c>
      <c r="B14" s="561" t="inlineStr">
        <is>
          <t>3F</t>
        </is>
      </c>
      <c r="C14" s="141" t="inlineStr">
        <is>
          <t>SL No 540430038849 (EB Unit)</t>
        </is>
      </c>
      <c r="D14" s="128" t="n">
        <v>85219</v>
      </c>
      <c r="E14" s="561" t="n">
        <v>85521</v>
      </c>
      <c r="F14" s="561" t="n">
        <v>85757</v>
      </c>
      <c r="G14" s="561" t="n">
        <v>85997</v>
      </c>
      <c r="H14" s="561" t="n">
        <v>86223</v>
      </c>
      <c r="I14" s="561" t="n">
        <v>86359</v>
      </c>
      <c r="J14" s="561" t="n">
        <v>86473</v>
      </c>
      <c r="K14" s="561" t="n">
        <v>86688</v>
      </c>
      <c r="L14" s="561" t="n">
        <v>86931</v>
      </c>
      <c r="M14" s="561" t="n">
        <v>87176</v>
      </c>
      <c r="N14" s="561" t="n">
        <v>87381</v>
      </c>
      <c r="O14" s="561" t="n">
        <v>87601</v>
      </c>
      <c r="P14" s="561" t="n">
        <v>87736</v>
      </c>
      <c r="Q14" s="561" t="n">
        <v>87857</v>
      </c>
      <c r="R14" s="561" t="n">
        <v>88062</v>
      </c>
      <c r="S14" s="561" t="n">
        <v>88294</v>
      </c>
      <c r="T14" s="561" t="n">
        <v>88535</v>
      </c>
      <c r="U14" s="33" t="n">
        <v>88777</v>
      </c>
      <c r="V14" s="561" t="n">
        <v>89018</v>
      </c>
      <c r="W14" s="561" t="n">
        <v>89153</v>
      </c>
      <c r="X14" s="561" t="n">
        <v>89271</v>
      </c>
      <c r="Y14" s="561" t="n">
        <v>89490</v>
      </c>
      <c r="Z14" s="561" t="n">
        <v>89724</v>
      </c>
      <c r="AA14" s="8" t="n">
        <v>89963</v>
      </c>
      <c r="AB14" s="8" t="n">
        <v>90226</v>
      </c>
      <c r="AC14" s="561" t="n">
        <v>90469</v>
      </c>
      <c r="AD14" s="561" t="n">
        <v>90570</v>
      </c>
      <c r="AE14" s="8" t="n">
        <v>90703</v>
      </c>
      <c r="AF14" s="8" t="n">
        <v>90937</v>
      </c>
      <c r="AG14" s="8" t="n">
        <v>91182</v>
      </c>
      <c r="AH14" s="128" t="n">
        <v>91443</v>
      </c>
      <c r="AI14" s="48" t="n">
        <v>91678</v>
      </c>
      <c r="AJ14" s="57">
        <f>AI14-D14</f>
        <v/>
      </c>
    </row>
    <row r="15">
      <c r="A15" s="561" t="n"/>
      <c r="B15" s="561" t="n"/>
      <c r="C15" s="140" t="inlineStr">
        <is>
          <t>DG</t>
        </is>
      </c>
      <c r="D15" s="58" t="n">
        <v>3188</v>
      </c>
      <c r="E15" s="561" t="n">
        <v>3188</v>
      </c>
      <c r="F15" s="561" t="n">
        <v>3188</v>
      </c>
      <c r="G15" s="561" t="n">
        <v>3188</v>
      </c>
      <c r="H15" s="561" t="n">
        <v>3188</v>
      </c>
      <c r="I15" s="561" t="n">
        <v>3188</v>
      </c>
      <c r="J15" s="561" t="n">
        <v>3188</v>
      </c>
      <c r="K15" s="561" t="n">
        <v>3188</v>
      </c>
      <c r="L15" s="561" t="n">
        <v>3188</v>
      </c>
      <c r="M15" s="561" t="n">
        <v>3188</v>
      </c>
      <c r="N15" s="561" t="n">
        <v>3188</v>
      </c>
      <c r="O15" s="561" t="n">
        <v>3188</v>
      </c>
      <c r="P15" s="561" t="n">
        <v>3188</v>
      </c>
      <c r="Q15" s="561" t="n">
        <v>3188</v>
      </c>
      <c r="R15" s="561" t="n">
        <v>3188</v>
      </c>
      <c r="S15" s="561" t="n">
        <v>3188</v>
      </c>
      <c r="T15" s="561" t="n">
        <v>3188</v>
      </c>
      <c r="U15" s="60" t="n">
        <v>3188</v>
      </c>
      <c r="V15" s="60" t="n">
        <v>3188</v>
      </c>
      <c r="W15" s="60" t="n">
        <v>3188</v>
      </c>
      <c r="X15" s="60" t="n">
        <v>3188</v>
      </c>
      <c r="Y15" s="60" t="n">
        <v>3188</v>
      </c>
      <c r="Z15" s="60" t="n">
        <v>3188</v>
      </c>
      <c r="AA15" s="60" t="n">
        <v>3188</v>
      </c>
      <c r="AB15" s="60" t="n">
        <v>3188</v>
      </c>
      <c r="AC15" s="60" t="n">
        <v>3188</v>
      </c>
      <c r="AD15" s="60" t="n">
        <v>3188</v>
      </c>
      <c r="AE15" s="60" t="n">
        <v>3188</v>
      </c>
      <c r="AF15" s="561" t="n">
        <v>3188</v>
      </c>
      <c r="AG15" s="561" t="n">
        <v>3188</v>
      </c>
      <c r="AH15" s="58" t="n">
        <v>3188</v>
      </c>
      <c r="AI15" s="48" t="n">
        <v>3188</v>
      </c>
      <c r="AJ15" s="57">
        <f>AI15-D15</f>
        <v/>
      </c>
    </row>
    <row r="16">
      <c r="A16" s="561" t="n">
        <v>6</v>
      </c>
      <c r="B16" s="561" t="inlineStr">
        <is>
          <t>3F</t>
        </is>
      </c>
      <c r="C16" s="141" t="inlineStr">
        <is>
          <t>SL No 540430038646 (EB Unit)</t>
        </is>
      </c>
      <c r="D16" s="128" t="n">
        <v>103012</v>
      </c>
      <c r="E16" s="177" t="n">
        <v>103406</v>
      </c>
      <c r="F16" s="561" t="n">
        <v>103649</v>
      </c>
      <c r="G16" s="561" t="n">
        <v>103933</v>
      </c>
      <c r="H16" s="561" t="n">
        <v>104186</v>
      </c>
      <c r="I16" s="561" t="n">
        <v>104295</v>
      </c>
      <c r="J16" s="561" t="n">
        <v>104391</v>
      </c>
      <c r="K16" s="58" t="n">
        <v>104639</v>
      </c>
      <c r="L16" s="127" t="n">
        <v>104891</v>
      </c>
      <c r="M16" s="178" t="n">
        <v>105179</v>
      </c>
      <c r="N16" s="178" t="n">
        <v>105401</v>
      </c>
      <c r="O16" s="178" t="n">
        <v>105644</v>
      </c>
      <c r="P16" s="178" t="n">
        <v>105746</v>
      </c>
      <c r="Q16" s="179" t="n">
        <v>105849</v>
      </c>
      <c r="R16" s="178" t="n">
        <v>106079</v>
      </c>
      <c r="S16" s="59" t="n">
        <v>106332</v>
      </c>
      <c r="T16" s="561" t="n">
        <v>106573</v>
      </c>
      <c r="U16" s="561" t="n">
        <v>106827</v>
      </c>
      <c r="V16" s="561" t="n">
        <v>107048</v>
      </c>
      <c r="W16" s="561" t="n">
        <v>107174</v>
      </c>
      <c r="X16" s="561" t="n">
        <v>107262</v>
      </c>
      <c r="Y16" s="561" t="n">
        <v>107525</v>
      </c>
      <c r="Z16" s="561" t="n">
        <v>107762</v>
      </c>
      <c r="AA16" s="561" t="n">
        <v>108037</v>
      </c>
      <c r="AB16" s="8" t="n">
        <v>108316</v>
      </c>
      <c r="AC16" s="561" t="n">
        <v>108572</v>
      </c>
      <c r="AD16" s="561" t="n">
        <v>108805</v>
      </c>
      <c r="AE16" s="8" t="n">
        <v>108970</v>
      </c>
      <c r="AF16" s="8" t="n">
        <v>109230</v>
      </c>
      <c r="AG16" s="561" t="n">
        <v>109509</v>
      </c>
      <c r="AH16" s="128" t="n">
        <v>109772</v>
      </c>
      <c r="AI16" s="48" t="n">
        <v>110040</v>
      </c>
      <c r="AJ16" s="57">
        <f>AI16-D16</f>
        <v/>
      </c>
    </row>
    <row r="17">
      <c r="A17" s="561" t="n"/>
      <c r="B17" s="561" t="n"/>
      <c r="C17" s="140" t="inlineStr">
        <is>
          <t>DG</t>
        </is>
      </c>
      <c r="D17" s="58" t="n">
        <v>4155</v>
      </c>
      <c r="E17" s="561" t="n">
        <v>4155</v>
      </c>
      <c r="F17" s="561" t="n">
        <v>4155</v>
      </c>
      <c r="G17" s="561" t="n">
        <v>4155</v>
      </c>
      <c r="H17" s="561" t="n">
        <v>4155</v>
      </c>
      <c r="I17" s="561" t="n">
        <v>4155</v>
      </c>
      <c r="J17" s="561" t="n">
        <v>4155</v>
      </c>
      <c r="K17" s="561" t="n">
        <v>4155</v>
      </c>
      <c r="L17" s="561" t="n">
        <v>4155</v>
      </c>
      <c r="M17" s="561" t="n">
        <v>4155</v>
      </c>
      <c r="N17" s="561" t="n">
        <v>4155</v>
      </c>
      <c r="O17" s="561" t="n">
        <v>4155</v>
      </c>
      <c r="P17" s="561" t="n">
        <v>4155</v>
      </c>
      <c r="Q17" s="561" t="n">
        <v>4155</v>
      </c>
      <c r="R17" s="561" t="n">
        <v>4155</v>
      </c>
      <c r="S17" s="561" t="n">
        <v>4155</v>
      </c>
      <c r="T17" s="561" t="n">
        <v>4155</v>
      </c>
      <c r="U17" s="129" t="n">
        <v>4155</v>
      </c>
      <c r="V17" s="129" t="n">
        <v>4155</v>
      </c>
      <c r="W17" s="129" t="n">
        <v>4155</v>
      </c>
      <c r="X17" s="129" t="n">
        <v>4155</v>
      </c>
      <c r="Y17" s="129" t="n">
        <v>4155</v>
      </c>
      <c r="Z17" s="129" t="n">
        <v>4155</v>
      </c>
      <c r="AA17" s="129" t="n">
        <v>4155</v>
      </c>
      <c r="AB17" s="129" t="n">
        <v>4155</v>
      </c>
      <c r="AC17" s="129" t="n">
        <v>4155</v>
      </c>
      <c r="AD17" s="129" t="n">
        <v>4155</v>
      </c>
      <c r="AE17" s="129" t="n">
        <v>4155</v>
      </c>
      <c r="AF17" s="561" t="n">
        <v>4155</v>
      </c>
      <c r="AG17" s="561" t="n">
        <v>4155</v>
      </c>
      <c r="AH17" s="58" t="n">
        <v>4155</v>
      </c>
      <c r="AI17" s="48" t="n">
        <v>4155</v>
      </c>
      <c r="AJ17" s="57">
        <f>AI17-D17</f>
        <v/>
      </c>
    </row>
    <row r="18">
      <c r="A18" s="561" t="n">
        <v>7</v>
      </c>
      <c r="B18" s="561" t="inlineStr">
        <is>
          <t>3F</t>
        </is>
      </c>
      <c r="C18" s="141" t="inlineStr">
        <is>
          <t>SL No 540430038843 (EB Unit)</t>
        </is>
      </c>
      <c r="D18" s="128" t="n">
        <v>335272</v>
      </c>
      <c r="E18" s="561" t="n">
        <v>336369</v>
      </c>
      <c r="F18" s="561" t="n">
        <v>337172</v>
      </c>
      <c r="G18" s="561" t="n">
        <v>337996</v>
      </c>
      <c r="H18" s="561" t="n">
        <v>338746</v>
      </c>
      <c r="I18" s="561" t="n">
        <v>339321</v>
      </c>
      <c r="J18" s="561" t="n">
        <v>339688</v>
      </c>
      <c r="K18" s="561" t="n">
        <v>340463</v>
      </c>
      <c r="L18" s="561" t="n">
        <v>341238</v>
      </c>
      <c r="M18" s="561" t="n">
        <v>342025</v>
      </c>
      <c r="N18" s="5" t="n">
        <v>342710</v>
      </c>
      <c r="O18" s="561" t="n">
        <v>343416</v>
      </c>
      <c r="P18" s="561" t="n">
        <v>343960</v>
      </c>
      <c r="Q18" s="561" t="n">
        <v>344403</v>
      </c>
      <c r="R18" s="8" t="n">
        <v>345142</v>
      </c>
      <c r="S18" s="5" t="n">
        <v>345894</v>
      </c>
      <c r="T18" s="561" t="n">
        <v>346691</v>
      </c>
      <c r="U18" s="561" t="n">
        <v>347485</v>
      </c>
      <c r="V18" s="561" t="n">
        <v>348250</v>
      </c>
      <c r="W18" s="561" t="n">
        <v>348781</v>
      </c>
      <c r="X18" s="33" t="n">
        <v>349208</v>
      </c>
      <c r="Y18" s="561" t="n">
        <v>349928</v>
      </c>
      <c r="Z18" s="561" t="n">
        <v>350704</v>
      </c>
      <c r="AA18" s="8" t="n">
        <v>351483</v>
      </c>
      <c r="AB18" s="8" t="n">
        <v>352300</v>
      </c>
      <c r="AC18" s="561" t="n">
        <v>353078</v>
      </c>
      <c r="AD18" s="561" t="n">
        <v>353837</v>
      </c>
      <c r="AE18" s="8" t="n">
        <v>354305</v>
      </c>
      <c r="AF18" s="170" t="n">
        <v>355025</v>
      </c>
      <c r="AG18" s="8" t="n">
        <v>355806</v>
      </c>
      <c r="AH18" s="128" t="n">
        <v>356626</v>
      </c>
      <c r="AI18" s="48" t="n">
        <v>357388</v>
      </c>
      <c r="AJ18" s="57">
        <f>AI18-D18</f>
        <v/>
      </c>
    </row>
    <row r="19">
      <c r="A19" s="561" t="n"/>
      <c r="B19" s="561" t="n"/>
      <c r="C19" s="140" t="inlineStr">
        <is>
          <t>DG</t>
        </is>
      </c>
      <c r="D19" s="58" t="n">
        <v>11338</v>
      </c>
      <c r="E19" s="48" t="n">
        <v>11338</v>
      </c>
      <c r="F19" s="48" t="n">
        <v>11338</v>
      </c>
      <c r="G19" s="48" t="n">
        <v>11338</v>
      </c>
      <c r="H19" s="48" t="n">
        <v>11338</v>
      </c>
      <c r="I19" s="48" t="n">
        <v>11338</v>
      </c>
      <c r="J19" s="48" t="n">
        <v>11338</v>
      </c>
      <c r="K19" s="48" t="n">
        <v>11338</v>
      </c>
      <c r="L19" s="48" t="n">
        <v>11338</v>
      </c>
      <c r="M19" s="48" t="n">
        <v>11338</v>
      </c>
      <c r="N19" s="48" t="n">
        <v>11338</v>
      </c>
      <c r="O19" s="48" t="n">
        <v>11338</v>
      </c>
      <c r="P19" s="48" t="n">
        <v>11338</v>
      </c>
      <c r="Q19" s="561" t="n">
        <v>11338</v>
      </c>
      <c r="R19" s="561" t="n">
        <v>11338</v>
      </c>
      <c r="S19" s="561" t="n">
        <v>11338</v>
      </c>
      <c r="T19" s="561" t="n">
        <v>11338</v>
      </c>
      <c r="U19" s="561" t="n">
        <v>11338</v>
      </c>
      <c r="V19" s="561" t="n">
        <v>11338</v>
      </c>
      <c r="W19" s="561" t="n">
        <v>11338</v>
      </c>
      <c r="X19" s="561" t="n">
        <v>11338</v>
      </c>
      <c r="Y19" s="561" t="n">
        <v>11388</v>
      </c>
      <c r="Z19" s="561" t="n">
        <v>11388</v>
      </c>
      <c r="AA19" s="561" t="n">
        <v>11338</v>
      </c>
      <c r="AB19" s="561" t="n">
        <v>11338</v>
      </c>
      <c r="AC19" s="561" t="n">
        <v>11338</v>
      </c>
      <c r="AD19" s="561" t="n">
        <v>11338</v>
      </c>
      <c r="AE19" s="561" t="n">
        <v>11338</v>
      </c>
      <c r="AF19" s="561" t="n">
        <v>11338</v>
      </c>
      <c r="AG19" s="561" t="n">
        <v>11338</v>
      </c>
      <c r="AH19" s="58" t="n">
        <v>11338</v>
      </c>
      <c r="AI19" s="48" t="n">
        <v>11338</v>
      </c>
      <c r="AJ19" s="57">
        <f>AI19-D19</f>
        <v/>
      </c>
    </row>
    <row r="20">
      <c r="A20" s="561" t="n">
        <v>8</v>
      </c>
      <c r="B20" s="561" t="inlineStr">
        <is>
          <t>3F</t>
        </is>
      </c>
      <c r="C20" s="141" t="inlineStr">
        <is>
          <t>SL No 540430038848 (EB Unit)</t>
        </is>
      </c>
      <c r="D20" s="128" t="n">
        <v>68756</v>
      </c>
      <c r="E20" s="561" t="n">
        <v>68923</v>
      </c>
      <c r="F20" s="561" t="n">
        <v>69072</v>
      </c>
      <c r="G20" s="561" t="n">
        <v>69206</v>
      </c>
      <c r="H20" s="561" t="n">
        <v>69330</v>
      </c>
      <c r="I20" s="561" t="n">
        <v>69445</v>
      </c>
      <c r="J20" s="561" t="n">
        <v>69590</v>
      </c>
      <c r="K20" s="561" t="n">
        <v>69726</v>
      </c>
      <c r="L20" s="561" t="n">
        <v>69880</v>
      </c>
      <c r="M20" s="561" t="n">
        <v>70027</v>
      </c>
      <c r="N20" s="561" t="n">
        <v>70153</v>
      </c>
      <c r="O20" s="561" t="n">
        <v>70271</v>
      </c>
      <c r="P20" s="561" t="n">
        <v>70401</v>
      </c>
      <c r="Q20" s="561" t="n">
        <v>70520</v>
      </c>
      <c r="R20" s="561" t="n">
        <v>70666</v>
      </c>
      <c r="S20" s="561" t="n">
        <v>70787</v>
      </c>
      <c r="T20" s="561" t="n">
        <v>70933</v>
      </c>
      <c r="U20" s="561" t="n">
        <v>71061</v>
      </c>
      <c r="V20" s="561" t="n">
        <v>71202</v>
      </c>
      <c r="W20" s="561" t="n">
        <v>71311</v>
      </c>
      <c r="X20" s="561" t="n">
        <v>71443</v>
      </c>
      <c r="Y20" s="561" t="n">
        <v>71570</v>
      </c>
      <c r="Z20" s="561" t="n">
        <v>71706</v>
      </c>
      <c r="AA20" s="8" t="n">
        <v>71826</v>
      </c>
      <c r="AB20" s="8" t="n">
        <v>71906</v>
      </c>
      <c r="AC20" s="561" t="n">
        <v>72107</v>
      </c>
      <c r="AD20" s="561" t="n">
        <v>72175</v>
      </c>
      <c r="AE20" s="8" t="n">
        <v>72250</v>
      </c>
      <c r="AF20" s="8" t="n">
        <v>72404</v>
      </c>
      <c r="AG20" s="8" t="n">
        <v>72523</v>
      </c>
      <c r="AH20" s="128" t="n">
        <v>72662</v>
      </c>
      <c r="AI20" s="48" t="n">
        <v>72776</v>
      </c>
      <c r="AJ20" s="57">
        <f>AI20-D20</f>
        <v/>
      </c>
    </row>
    <row r="21">
      <c r="A21" s="561" t="n"/>
      <c r="B21" s="561" t="n"/>
      <c r="C21" s="140" t="inlineStr">
        <is>
          <t>DG</t>
        </is>
      </c>
      <c r="D21" s="58" t="n">
        <v>2164</v>
      </c>
      <c r="E21" s="561" t="n">
        <v>2164</v>
      </c>
      <c r="F21" s="561" t="n">
        <v>2164</v>
      </c>
      <c r="G21" s="561" t="n">
        <v>2164</v>
      </c>
      <c r="H21" s="561" t="n">
        <v>2164</v>
      </c>
      <c r="I21" s="561" t="n">
        <v>2164</v>
      </c>
      <c r="J21" s="561" t="n">
        <v>2164</v>
      </c>
      <c r="K21" s="561" t="n">
        <v>2164</v>
      </c>
      <c r="L21" s="561" t="n">
        <v>2164</v>
      </c>
      <c r="M21" s="561" t="n">
        <v>2164</v>
      </c>
      <c r="N21" s="561" t="n">
        <v>2164</v>
      </c>
      <c r="O21" s="561" t="n">
        <v>2164</v>
      </c>
      <c r="P21" s="561" t="n">
        <v>2164</v>
      </c>
      <c r="Q21" s="561" t="n">
        <v>2164</v>
      </c>
      <c r="R21" s="561" t="n">
        <v>2164</v>
      </c>
      <c r="S21" s="561" t="n">
        <v>2164</v>
      </c>
      <c r="T21" s="561" t="n">
        <v>2164</v>
      </c>
      <c r="U21" s="561" t="n">
        <v>2164</v>
      </c>
      <c r="V21" s="561" t="n">
        <v>2164</v>
      </c>
      <c r="W21" s="561" t="n">
        <v>2164</v>
      </c>
      <c r="X21" s="561" t="n">
        <v>2164</v>
      </c>
      <c r="Y21" s="561" t="n">
        <v>2164</v>
      </c>
      <c r="Z21" s="561" t="n">
        <v>2164</v>
      </c>
      <c r="AA21" s="561" t="n">
        <v>2164</v>
      </c>
      <c r="AB21" s="561" t="n">
        <v>2164</v>
      </c>
      <c r="AC21" s="561" t="n">
        <v>2164</v>
      </c>
      <c r="AD21" s="561" t="n">
        <v>2164</v>
      </c>
      <c r="AE21" s="561" t="n">
        <v>2164</v>
      </c>
      <c r="AF21" s="561" t="n">
        <v>2164</v>
      </c>
      <c r="AG21" s="561" t="n">
        <v>2164</v>
      </c>
      <c r="AH21" s="58" t="n">
        <v>2164</v>
      </c>
      <c r="AI21" s="48" t="n">
        <v>2164</v>
      </c>
      <c r="AJ21" s="57">
        <f>AI21-D21</f>
        <v/>
      </c>
    </row>
    <row r="22">
      <c r="A22" s="500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20" t="n"/>
      <c r="AJ22" s="501" t="n"/>
    </row>
    <row r="23">
      <c r="A23" s="561" t="n">
        <v>1</v>
      </c>
      <c r="B23" s="561" t="inlineStr">
        <is>
          <t>3F</t>
        </is>
      </c>
      <c r="C23" s="141" t="inlineStr">
        <is>
          <t>AHU1</t>
        </is>
      </c>
      <c r="D23" s="8" t="n">
        <v>29197</v>
      </c>
      <c r="E23" s="561" t="n">
        <v>29293</v>
      </c>
      <c r="F23" s="561" t="n">
        <v>29351</v>
      </c>
      <c r="G23" s="561" t="n">
        <v>29438</v>
      </c>
      <c r="H23" s="561" t="n">
        <v>29516</v>
      </c>
      <c r="I23" s="561" t="n">
        <v>29550</v>
      </c>
      <c r="J23" s="561" t="n">
        <v>29550</v>
      </c>
      <c r="K23" s="561" t="n">
        <v>29618</v>
      </c>
      <c r="L23" s="561" t="n">
        <v>29674</v>
      </c>
      <c r="M23" s="561" t="n">
        <v>29731</v>
      </c>
      <c r="N23" s="561" t="n">
        <v>29797</v>
      </c>
      <c r="O23" s="561" t="n">
        <v>29844</v>
      </c>
      <c r="P23" s="561" t="n">
        <v>29871</v>
      </c>
      <c r="Q23" s="561" t="n">
        <v>29871</v>
      </c>
      <c r="R23" s="561" t="n">
        <v>29954</v>
      </c>
      <c r="S23" s="561" t="n">
        <v>30073</v>
      </c>
      <c r="T23" s="561" t="n">
        <v>30180</v>
      </c>
      <c r="U23" s="561" t="n">
        <v>30336</v>
      </c>
      <c r="V23" s="561" t="n">
        <v>30460</v>
      </c>
      <c r="W23" s="561" t="n">
        <v>30525</v>
      </c>
      <c r="X23" s="561" t="n">
        <v>30525</v>
      </c>
      <c r="Y23" s="561" t="n">
        <v>30606</v>
      </c>
      <c r="Z23" s="561" t="n">
        <v>30686</v>
      </c>
      <c r="AA23" s="561" t="n">
        <v>30814</v>
      </c>
      <c r="AB23" s="561" t="n">
        <v>30923</v>
      </c>
      <c r="AC23" s="561" t="n">
        <v>31059</v>
      </c>
      <c r="AD23" s="561" t="n">
        <v>31110</v>
      </c>
      <c r="AE23" s="561" t="n">
        <v>31110</v>
      </c>
      <c r="AF23" s="561" t="n">
        <v>31247</v>
      </c>
      <c r="AG23" s="561" t="n">
        <v>31381</v>
      </c>
      <c r="AH23" s="8" t="n">
        <v>31479</v>
      </c>
      <c r="AI23" s="8" t="n">
        <v>31560</v>
      </c>
      <c r="AJ23" s="7">
        <f>AI23-D23</f>
        <v/>
      </c>
    </row>
    <row r="24">
      <c r="A24" s="561" t="n"/>
      <c r="B24" s="561" t="n"/>
      <c r="C24" s="142" t="inlineStr">
        <is>
          <t>DG</t>
        </is>
      </c>
      <c r="D24" s="561" t="n">
        <v>1882</v>
      </c>
      <c r="E24" s="561" t="n">
        <v>1882</v>
      </c>
      <c r="F24" s="561" t="n">
        <v>1882</v>
      </c>
      <c r="G24" s="561" t="n">
        <v>1882</v>
      </c>
      <c r="H24" s="561" t="n">
        <v>1882</v>
      </c>
      <c r="I24" s="561" t="n">
        <v>1882</v>
      </c>
      <c r="J24" s="561" t="n">
        <v>1882</v>
      </c>
      <c r="K24" s="561" t="n">
        <v>1882</v>
      </c>
      <c r="L24" s="561" t="n">
        <v>1882</v>
      </c>
      <c r="M24" s="561" t="n">
        <v>1882</v>
      </c>
      <c r="N24" s="561" t="n">
        <v>1882</v>
      </c>
      <c r="O24" s="561" t="n">
        <v>1882</v>
      </c>
      <c r="P24" s="561" t="n">
        <v>1882</v>
      </c>
      <c r="Q24" s="561" t="n">
        <v>1882</v>
      </c>
      <c r="R24" s="561" t="n">
        <v>1882</v>
      </c>
      <c r="S24" s="561" t="n">
        <v>1882</v>
      </c>
      <c r="T24" s="561" t="n">
        <v>1882</v>
      </c>
      <c r="U24" s="561" t="n">
        <v>1882</v>
      </c>
      <c r="V24" s="561" t="n">
        <v>1882</v>
      </c>
      <c r="W24" s="561" t="n">
        <v>1882</v>
      </c>
      <c r="X24" s="561" t="n">
        <v>1882</v>
      </c>
      <c r="Y24" s="561" t="n">
        <v>1882</v>
      </c>
      <c r="Z24" s="561" t="n">
        <v>1882</v>
      </c>
      <c r="AA24" s="561" t="n">
        <v>1882</v>
      </c>
      <c r="AB24" s="561" t="n">
        <v>1882</v>
      </c>
      <c r="AC24" s="561" t="n">
        <v>1882</v>
      </c>
      <c r="AD24" s="561" t="n">
        <v>1882</v>
      </c>
      <c r="AE24" s="561" t="n">
        <v>1882</v>
      </c>
      <c r="AF24" s="561" t="n">
        <v>1882</v>
      </c>
      <c r="AG24" s="561" t="n">
        <v>1882</v>
      </c>
      <c r="AH24" s="561" t="n">
        <v>1882</v>
      </c>
      <c r="AI24" s="8" t="n">
        <v>1882</v>
      </c>
      <c r="AJ24" s="7">
        <f>AI24-D24</f>
        <v/>
      </c>
    </row>
    <row r="25">
      <c r="A25" s="561" t="n">
        <v>2</v>
      </c>
      <c r="B25" s="561" t="inlineStr">
        <is>
          <t>3F</t>
        </is>
      </c>
      <c r="C25" s="141" t="inlineStr">
        <is>
          <t>AHU2</t>
        </is>
      </c>
      <c r="D25" s="8" t="n">
        <v>31895</v>
      </c>
      <c r="E25" s="561" t="n">
        <v>32095</v>
      </c>
      <c r="F25" s="561" t="n">
        <v>32233</v>
      </c>
      <c r="G25" s="561" t="n">
        <v>32371</v>
      </c>
      <c r="H25" s="561" t="n">
        <v>32493</v>
      </c>
      <c r="I25" s="561" t="n">
        <v>32564</v>
      </c>
      <c r="J25" s="561" t="n">
        <v>32564</v>
      </c>
      <c r="K25" s="561" t="n">
        <v>32696</v>
      </c>
      <c r="L25" s="561" t="n">
        <v>32803</v>
      </c>
      <c r="M25" s="561" t="n">
        <v>32922</v>
      </c>
      <c r="N25" s="561" t="n">
        <v>33026</v>
      </c>
      <c r="O25" s="561" t="n">
        <v>33148</v>
      </c>
      <c r="P25" s="561" t="n">
        <v>33216</v>
      </c>
      <c r="Q25" s="561" t="n">
        <v>33216</v>
      </c>
      <c r="R25" s="561" t="n">
        <v>33330</v>
      </c>
      <c r="S25" s="561" t="n">
        <v>33467</v>
      </c>
      <c r="T25" s="561" t="n">
        <v>33548</v>
      </c>
      <c r="U25" s="561" t="n">
        <v>33663</v>
      </c>
      <c r="V25" s="561" t="n">
        <v>33779</v>
      </c>
      <c r="W25" s="561" t="n">
        <v>33843</v>
      </c>
      <c r="X25" s="561" t="n">
        <v>33843</v>
      </c>
      <c r="Y25" s="561" t="n">
        <v>33953</v>
      </c>
      <c r="Z25" s="561" t="n">
        <v>34063</v>
      </c>
      <c r="AA25" s="561" t="n">
        <v>34185</v>
      </c>
      <c r="AB25" s="561" t="n">
        <v>34334</v>
      </c>
      <c r="AC25" s="561" t="n">
        <v>34442</v>
      </c>
      <c r="AD25" s="561" t="n">
        <v>34550</v>
      </c>
      <c r="AE25" s="561" t="n">
        <v>34550</v>
      </c>
      <c r="AF25" s="561" t="n">
        <v>34676</v>
      </c>
      <c r="AG25" s="561" t="n">
        <v>34808</v>
      </c>
      <c r="AH25" s="8" t="n">
        <v>34992</v>
      </c>
      <c r="AI25" s="8" t="n">
        <v>35090</v>
      </c>
      <c r="AJ25" s="7">
        <f>AI25-D25</f>
        <v/>
      </c>
    </row>
    <row r="26">
      <c r="A26" s="561" t="n"/>
      <c r="B26" s="561" t="n"/>
      <c r="C26" s="142" t="inlineStr">
        <is>
          <t>DG</t>
        </is>
      </c>
      <c r="D26" s="561" t="n">
        <v>1861</v>
      </c>
      <c r="E26" s="561" t="n">
        <v>1861</v>
      </c>
      <c r="F26" s="561" t="n">
        <v>1861</v>
      </c>
      <c r="G26" s="561" t="n">
        <v>1861</v>
      </c>
      <c r="H26" s="561" t="n">
        <v>1861</v>
      </c>
      <c r="I26" s="561" t="n">
        <v>1861</v>
      </c>
      <c r="J26" s="561" t="n">
        <v>1861</v>
      </c>
      <c r="K26" s="561" t="n">
        <v>1861</v>
      </c>
      <c r="L26" s="561" t="n">
        <v>1861</v>
      </c>
      <c r="M26" s="561" t="n">
        <v>1861</v>
      </c>
      <c r="N26" s="561" t="n">
        <v>1861</v>
      </c>
      <c r="O26" s="561" t="n">
        <v>1861</v>
      </c>
      <c r="P26" s="561" t="n">
        <v>1861</v>
      </c>
      <c r="Q26" s="561" t="n">
        <v>1861</v>
      </c>
      <c r="R26" s="561" t="n">
        <v>1861</v>
      </c>
      <c r="S26" s="561" t="n">
        <v>1861</v>
      </c>
      <c r="T26" s="561" t="n">
        <v>1861</v>
      </c>
      <c r="U26" s="561" t="n">
        <v>1861</v>
      </c>
      <c r="V26" s="561" t="n">
        <v>1861</v>
      </c>
      <c r="W26" s="561" t="n">
        <v>1861</v>
      </c>
      <c r="X26" s="561" t="n">
        <v>1861</v>
      </c>
      <c r="Y26" s="561" t="n">
        <v>1861</v>
      </c>
      <c r="Z26" s="561" t="n">
        <v>1861</v>
      </c>
      <c r="AA26" s="561" t="n">
        <v>1861</v>
      </c>
      <c r="AB26" s="561" t="n">
        <v>1861</v>
      </c>
      <c r="AC26" s="561" t="n">
        <v>1861</v>
      </c>
      <c r="AD26" s="561" t="n">
        <v>1861</v>
      </c>
      <c r="AE26" s="561" t="n">
        <v>1861</v>
      </c>
      <c r="AF26" s="561" t="n">
        <v>1861</v>
      </c>
      <c r="AG26" s="561" t="n">
        <v>1861</v>
      </c>
      <c r="AH26" s="561" t="n">
        <v>1861</v>
      </c>
      <c r="AI26" s="8" t="n">
        <v>1861</v>
      </c>
      <c r="AJ26" s="7">
        <f>AI26-D26</f>
        <v/>
      </c>
    </row>
    <row r="27">
      <c r="A27" s="561" t="n">
        <v>3</v>
      </c>
      <c r="B27" s="561" t="inlineStr">
        <is>
          <t>3F</t>
        </is>
      </c>
      <c r="C27" s="141" t="inlineStr">
        <is>
          <t>AHU3</t>
        </is>
      </c>
      <c r="D27" s="561" t="n">
        <v>34710</v>
      </c>
      <c r="E27" s="561" t="n">
        <v>34905</v>
      </c>
      <c r="F27" s="561" t="n">
        <v>35056</v>
      </c>
      <c r="G27" s="561" t="n">
        <v>35193</v>
      </c>
      <c r="H27" s="561" t="n">
        <v>35343</v>
      </c>
      <c r="I27" s="561" t="n">
        <v>35418</v>
      </c>
      <c r="J27" s="561" t="n">
        <v>35418</v>
      </c>
      <c r="K27" s="561" t="n">
        <v>35528</v>
      </c>
      <c r="L27" s="561" t="n">
        <v>35637</v>
      </c>
      <c r="M27" s="561" t="n">
        <v>35734</v>
      </c>
      <c r="N27" s="561" t="n">
        <v>35819</v>
      </c>
      <c r="O27" s="561" t="n">
        <v>35911</v>
      </c>
      <c r="P27" s="561" t="n">
        <v>35967</v>
      </c>
      <c r="Q27" s="561" t="n">
        <v>35967</v>
      </c>
      <c r="R27" s="561" t="n">
        <v>36073</v>
      </c>
      <c r="S27" s="561" t="n">
        <v>36207</v>
      </c>
      <c r="T27" s="561" t="n">
        <v>36321</v>
      </c>
      <c r="U27" s="561" t="n">
        <v>36462</v>
      </c>
      <c r="V27" s="561" t="n">
        <v>36657</v>
      </c>
      <c r="W27" s="561" t="n">
        <v>36724</v>
      </c>
      <c r="X27" s="561" t="n">
        <v>36724</v>
      </c>
      <c r="Y27" s="561" t="n">
        <v>36883</v>
      </c>
      <c r="Z27" s="561" t="n">
        <v>37063</v>
      </c>
      <c r="AA27" s="561" t="n">
        <v>37197</v>
      </c>
      <c r="AB27" s="561" t="n">
        <v>37339</v>
      </c>
      <c r="AC27" s="561" t="n">
        <v>37496</v>
      </c>
      <c r="AD27" s="561" t="n">
        <v>37585</v>
      </c>
      <c r="AE27" s="561" t="n">
        <v>37585</v>
      </c>
      <c r="AF27" s="561" t="n">
        <v>37751</v>
      </c>
      <c r="AG27" s="561" t="n">
        <v>37921</v>
      </c>
      <c r="AH27" s="561" t="n">
        <v>38086</v>
      </c>
      <c r="AI27" s="8" t="n">
        <v>38186</v>
      </c>
      <c r="AJ27" s="7">
        <f>AI27-D27</f>
        <v/>
      </c>
    </row>
    <row r="28">
      <c r="A28" s="561" t="n"/>
      <c r="B28" s="561" t="n"/>
      <c r="C28" s="142" t="inlineStr">
        <is>
          <t>DG</t>
        </is>
      </c>
      <c r="D28" s="561" t="n">
        <v>2016</v>
      </c>
      <c r="E28" s="561" t="n">
        <v>2016</v>
      </c>
      <c r="F28" s="561" t="n">
        <v>2016</v>
      </c>
      <c r="G28" s="561" t="n">
        <v>2016</v>
      </c>
      <c r="H28" s="561" t="n">
        <v>2016</v>
      </c>
      <c r="I28" s="561" t="n">
        <v>2016</v>
      </c>
      <c r="J28" s="561" t="n">
        <v>2016</v>
      </c>
      <c r="K28" s="561" t="n">
        <v>2016</v>
      </c>
      <c r="L28" s="561" t="n">
        <v>2016</v>
      </c>
      <c r="M28" s="561" t="n">
        <v>2016</v>
      </c>
      <c r="N28" s="561" t="n">
        <v>2016</v>
      </c>
      <c r="O28" s="561" t="n">
        <v>2016</v>
      </c>
      <c r="P28" s="561" t="n">
        <v>2016</v>
      </c>
      <c r="Q28" s="561" t="n">
        <v>2016</v>
      </c>
      <c r="R28" s="561" t="n">
        <v>2016</v>
      </c>
      <c r="S28" s="561" t="n">
        <v>2016</v>
      </c>
      <c r="T28" s="561" t="n">
        <v>2016</v>
      </c>
      <c r="U28" s="561" t="n">
        <v>2016</v>
      </c>
      <c r="V28" s="561" t="n">
        <v>2016</v>
      </c>
      <c r="W28" s="561" t="n">
        <v>2016</v>
      </c>
      <c r="X28" s="561" t="n">
        <v>2016</v>
      </c>
      <c r="Y28" s="561" t="n">
        <v>2016</v>
      </c>
      <c r="Z28" s="561" t="n">
        <v>2016</v>
      </c>
      <c r="AA28" s="561" t="n">
        <v>2016</v>
      </c>
      <c r="AB28" s="561" t="n">
        <v>2016</v>
      </c>
      <c r="AC28" s="561" t="n">
        <v>2016</v>
      </c>
      <c r="AD28" s="561" t="n">
        <v>2016</v>
      </c>
      <c r="AE28" s="561" t="n">
        <v>2016</v>
      </c>
      <c r="AF28" s="561" t="n">
        <v>2016</v>
      </c>
      <c r="AG28" s="561" t="n">
        <v>2016</v>
      </c>
      <c r="AH28" s="561" t="n">
        <v>2016</v>
      </c>
      <c r="AI28" s="8" t="n">
        <v>2016</v>
      </c>
      <c r="AJ28" s="7">
        <f>AI28-D28</f>
        <v/>
      </c>
    </row>
    <row r="29">
      <c r="A29" s="561" t="n">
        <v>4</v>
      </c>
      <c r="B29" s="561" t="inlineStr">
        <is>
          <t>3F</t>
        </is>
      </c>
      <c r="C29" s="141" t="inlineStr">
        <is>
          <t>AHU4</t>
        </is>
      </c>
      <c r="D29" s="8" t="n">
        <v>28719</v>
      </c>
      <c r="E29" s="561" t="n">
        <v>28867</v>
      </c>
      <c r="F29" s="561" t="n">
        <v>28968</v>
      </c>
      <c r="G29" s="561" t="n">
        <v>29063</v>
      </c>
      <c r="H29" s="561" t="n">
        <v>29166</v>
      </c>
      <c r="I29" s="561" t="n">
        <v>29226</v>
      </c>
      <c r="J29" s="561" t="n">
        <v>29226</v>
      </c>
      <c r="K29" s="561" t="n">
        <v>29315</v>
      </c>
      <c r="L29" s="561" t="n">
        <v>29401</v>
      </c>
      <c r="M29" s="561" t="n">
        <v>29485</v>
      </c>
      <c r="N29" s="561" t="n">
        <v>29561</v>
      </c>
      <c r="O29" s="561" t="n">
        <v>29635</v>
      </c>
      <c r="P29" s="561" t="n">
        <v>29635</v>
      </c>
      <c r="Q29" s="561" t="n">
        <v>29684</v>
      </c>
      <c r="R29" s="561" t="n">
        <v>29779</v>
      </c>
      <c r="S29" s="561" t="n">
        <v>29858</v>
      </c>
      <c r="T29" s="561" t="n">
        <v>29922</v>
      </c>
      <c r="U29" s="561" t="n">
        <v>30001</v>
      </c>
      <c r="V29" s="561" t="n">
        <v>30063</v>
      </c>
      <c r="W29" s="561" t="n">
        <v>30091</v>
      </c>
      <c r="X29" s="561" t="n">
        <v>30091</v>
      </c>
      <c r="Y29" s="561" t="n">
        <v>30157</v>
      </c>
      <c r="Z29" s="561" t="n">
        <v>30220</v>
      </c>
      <c r="AA29" s="561" t="n">
        <v>30287</v>
      </c>
      <c r="AB29" s="561" t="n">
        <v>30380</v>
      </c>
      <c r="AC29" s="561" t="n">
        <v>30484</v>
      </c>
      <c r="AD29" s="561" t="n">
        <v>30549</v>
      </c>
      <c r="AE29" s="561" t="n">
        <v>30549</v>
      </c>
      <c r="AF29" s="561" t="n">
        <v>30658</v>
      </c>
      <c r="AG29" s="561" t="n">
        <v>30760</v>
      </c>
      <c r="AH29" s="8" t="n">
        <v>30853</v>
      </c>
      <c r="AI29" s="8" t="n">
        <v>30931</v>
      </c>
      <c r="AJ29" s="7">
        <f>AI29-D29</f>
        <v/>
      </c>
    </row>
    <row r="30">
      <c r="A30" s="561" t="n"/>
      <c r="B30" s="561" t="n"/>
      <c r="C30" s="142" t="inlineStr">
        <is>
          <t>DG</t>
        </is>
      </c>
      <c r="D30" s="561" t="n">
        <v>1744</v>
      </c>
      <c r="E30" s="561" t="n">
        <v>1744</v>
      </c>
      <c r="F30" s="561" t="n">
        <v>1744</v>
      </c>
      <c r="G30" s="561" t="n">
        <v>1744</v>
      </c>
      <c r="H30" s="561" t="n">
        <v>1744</v>
      </c>
      <c r="I30" s="561" t="n">
        <v>1744</v>
      </c>
      <c r="J30" s="561" t="n">
        <v>1744</v>
      </c>
      <c r="K30" s="561" t="n">
        <v>1744</v>
      </c>
      <c r="L30" s="561" t="n">
        <v>1744</v>
      </c>
      <c r="M30" s="561" t="n">
        <v>1744</v>
      </c>
      <c r="N30" s="561" t="n">
        <v>1744</v>
      </c>
      <c r="O30" s="561" t="n">
        <v>1744</v>
      </c>
      <c r="P30" s="561" t="n">
        <v>1744</v>
      </c>
      <c r="Q30" s="561" t="n">
        <v>1744</v>
      </c>
      <c r="R30" s="561" t="n">
        <v>1744</v>
      </c>
      <c r="S30" s="561" t="n">
        <v>1744</v>
      </c>
      <c r="T30" s="561" t="n">
        <v>1744</v>
      </c>
      <c r="U30" s="561" t="n">
        <v>1744</v>
      </c>
      <c r="V30" s="561" t="n">
        <v>1744</v>
      </c>
      <c r="W30" s="561" t="n">
        <v>1744</v>
      </c>
      <c r="X30" s="561" t="n">
        <v>1744</v>
      </c>
      <c r="Y30" s="561" t="n">
        <v>1744</v>
      </c>
      <c r="Z30" s="561" t="n">
        <v>1744</v>
      </c>
      <c r="AA30" s="561" t="n">
        <v>1744</v>
      </c>
      <c r="AB30" s="561" t="n">
        <v>1744</v>
      </c>
      <c r="AC30" s="561" t="n">
        <v>1744</v>
      </c>
      <c r="AD30" s="561" t="n">
        <v>1744</v>
      </c>
      <c r="AE30" s="561" t="n">
        <v>1744</v>
      </c>
      <c r="AF30" s="561" t="n">
        <v>1744</v>
      </c>
      <c r="AG30" s="561" t="n">
        <v>1744</v>
      </c>
      <c r="AH30" s="561" t="n">
        <v>1744</v>
      </c>
      <c r="AI30" s="8" t="n">
        <v>1744</v>
      </c>
      <c r="AJ30" s="7">
        <f>AI30-D30</f>
        <v/>
      </c>
    </row>
    <row r="31">
      <c r="A31" s="561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20" t="n"/>
      <c r="AJ31" s="501" t="n"/>
    </row>
    <row r="32">
      <c r="A32" s="561" t="n">
        <v>1</v>
      </c>
      <c r="B32" s="561" t="inlineStr">
        <is>
          <t>3F</t>
        </is>
      </c>
      <c r="C32" s="141" t="inlineStr">
        <is>
          <t>AHU1 - BTU</t>
        </is>
      </c>
      <c r="D32" s="150" t="n">
        <v>291798</v>
      </c>
      <c r="E32" s="44" t="n">
        <v>293068</v>
      </c>
      <c r="F32" s="150" t="n">
        <v>294337</v>
      </c>
      <c r="G32" s="150" t="n">
        <v>295601</v>
      </c>
      <c r="H32" s="150" t="n">
        <v>296557</v>
      </c>
      <c r="I32" s="44" t="n">
        <v>297287</v>
      </c>
      <c r="J32" s="150" t="n">
        <v>297287</v>
      </c>
      <c r="K32" s="150" t="n">
        <v>298846</v>
      </c>
      <c r="L32" s="150" t="n">
        <v>300013</v>
      </c>
      <c r="M32" s="44" t="n">
        <v>301206</v>
      </c>
      <c r="N32" s="150" t="n">
        <v>302104</v>
      </c>
      <c r="O32" s="150" t="n">
        <v>302935</v>
      </c>
      <c r="P32" s="150" t="n">
        <v>303270</v>
      </c>
      <c r="Q32" s="44" t="n">
        <v>303270</v>
      </c>
      <c r="R32" s="150" t="n">
        <v>304551</v>
      </c>
      <c r="S32" s="150" t="n">
        <v>305964</v>
      </c>
      <c r="T32" s="150" t="n">
        <v>306846</v>
      </c>
      <c r="U32" s="44" t="n">
        <v>307968</v>
      </c>
      <c r="V32" s="150" t="n">
        <v>308971</v>
      </c>
      <c r="W32" s="150" t="n">
        <v>310288</v>
      </c>
      <c r="X32" s="150" t="n">
        <v>310288</v>
      </c>
      <c r="Y32" s="44" t="n">
        <v>311594</v>
      </c>
      <c r="Z32" s="150" t="n">
        <v>313252</v>
      </c>
      <c r="AA32" s="150" t="n">
        <v>314047</v>
      </c>
      <c r="AB32" s="150" t="n">
        <v>315016</v>
      </c>
      <c r="AC32" s="44" t="n">
        <v>316403</v>
      </c>
      <c r="AD32" s="150" t="n">
        <v>317257</v>
      </c>
      <c r="AE32" s="150" t="n">
        <v>317257</v>
      </c>
      <c r="AF32" s="150" t="n">
        <v>318952</v>
      </c>
      <c r="AG32" s="44" t="n">
        <v>320167</v>
      </c>
      <c r="AH32" s="150" t="n">
        <v>321228</v>
      </c>
      <c r="AI32" s="161" t="n">
        <v>322263</v>
      </c>
      <c r="AJ32" s="7">
        <f>AI32-D32</f>
        <v/>
      </c>
    </row>
    <row r="33">
      <c r="A33" s="561" t="n">
        <v>2</v>
      </c>
      <c r="B33" s="561" t="inlineStr">
        <is>
          <t>3F</t>
        </is>
      </c>
      <c r="C33" s="141" t="inlineStr">
        <is>
          <t>AHU2 - BTU</t>
        </is>
      </c>
      <c r="D33" s="150" t="n">
        <v>279049</v>
      </c>
      <c r="E33" s="150" t="n">
        <v>279832</v>
      </c>
      <c r="F33" s="150" t="n">
        <v>280712</v>
      </c>
      <c r="G33" s="150" t="n">
        <v>281416</v>
      </c>
      <c r="H33" s="150" t="n">
        <v>282094</v>
      </c>
      <c r="I33" s="150" t="n">
        <v>282428</v>
      </c>
      <c r="J33" s="150" t="n">
        <v>282428</v>
      </c>
      <c r="K33" s="150" t="n">
        <v>283309</v>
      </c>
      <c r="L33" s="150" t="n">
        <v>284319</v>
      </c>
      <c r="M33" s="150" t="n">
        <v>285116</v>
      </c>
      <c r="N33" s="150" t="n">
        <v>285827</v>
      </c>
      <c r="O33" s="150" t="n">
        <v>286593</v>
      </c>
      <c r="P33" s="150" t="n">
        <v>287210</v>
      </c>
      <c r="Q33" s="150" t="n">
        <v>287210</v>
      </c>
      <c r="R33" s="150" t="n">
        <v>288184</v>
      </c>
      <c r="S33" s="150" t="n">
        <v>289016</v>
      </c>
      <c r="T33" s="150" t="n">
        <v>289760</v>
      </c>
      <c r="U33" s="150" t="n">
        <v>290548</v>
      </c>
      <c r="V33" s="150" t="n">
        <v>291341</v>
      </c>
      <c r="W33" s="150" t="n">
        <v>291713</v>
      </c>
      <c r="X33" s="150" t="n">
        <v>291713</v>
      </c>
      <c r="Y33" s="150" t="n">
        <v>292668</v>
      </c>
      <c r="Z33" s="150" t="n">
        <v>293359</v>
      </c>
      <c r="AA33" s="150" t="n">
        <v>294020</v>
      </c>
      <c r="AB33" s="150" t="n">
        <v>295088</v>
      </c>
      <c r="AC33" s="150" t="n">
        <v>296041</v>
      </c>
      <c r="AD33" s="150" t="n">
        <v>296847</v>
      </c>
      <c r="AE33" s="150" t="n">
        <v>296847</v>
      </c>
      <c r="AF33" s="150" t="n">
        <v>297987</v>
      </c>
      <c r="AG33" s="150" t="n">
        <v>298190</v>
      </c>
      <c r="AH33" s="150" t="n">
        <v>299330</v>
      </c>
      <c r="AI33" s="161" t="n">
        <v>300479</v>
      </c>
      <c r="AJ33" s="7">
        <f>AI33-D33</f>
        <v/>
      </c>
    </row>
    <row r="34">
      <c r="A34" s="561" t="n">
        <v>3</v>
      </c>
      <c r="B34" s="561" t="inlineStr">
        <is>
          <t>3F</t>
        </is>
      </c>
      <c r="C34" s="141" t="inlineStr">
        <is>
          <t>AHU3 - BTU</t>
        </is>
      </c>
      <c r="D34" s="150" t="n">
        <v>283579</v>
      </c>
      <c r="E34" s="150" t="n">
        <v>284646</v>
      </c>
      <c r="F34" s="150" t="n">
        <v>285803</v>
      </c>
      <c r="G34" s="150" t="n">
        <v>286915</v>
      </c>
      <c r="H34" s="150" t="n">
        <v>287648</v>
      </c>
      <c r="I34" s="150" t="n">
        <v>288613</v>
      </c>
      <c r="J34" s="150" t="n">
        <v>288613</v>
      </c>
      <c r="K34" s="150" t="n">
        <v>289741</v>
      </c>
      <c r="L34" s="150" t="n">
        <v>290969</v>
      </c>
      <c r="M34" s="150" t="n">
        <v>291951</v>
      </c>
      <c r="N34" s="150" t="n">
        <v>292772</v>
      </c>
      <c r="O34" s="150" t="n">
        <v>293809</v>
      </c>
      <c r="P34" s="150" t="n">
        <v>294418</v>
      </c>
      <c r="Q34" s="150" t="n">
        <v>294418</v>
      </c>
      <c r="R34" s="150" t="n">
        <v>295504</v>
      </c>
      <c r="S34" s="150" t="n">
        <v>296909</v>
      </c>
      <c r="T34" s="150" t="n">
        <v>297939</v>
      </c>
      <c r="U34" s="150" t="n">
        <v>299298</v>
      </c>
      <c r="V34" s="150" t="n">
        <v>300298</v>
      </c>
      <c r="W34" s="150" t="n">
        <v>301108</v>
      </c>
      <c r="X34" s="150" t="n">
        <v>301108</v>
      </c>
      <c r="Y34" s="150" t="n">
        <v>301434</v>
      </c>
      <c r="Z34" s="150" t="n">
        <v>303587</v>
      </c>
      <c r="AA34" s="150" t="n">
        <v>304685</v>
      </c>
      <c r="AB34" s="150" t="n">
        <v>305839</v>
      </c>
      <c r="AC34" s="150" t="n">
        <v>307156</v>
      </c>
      <c r="AD34" s="150" t="n">
        <v>308119</v>
      </c>
      <c r="AE34" s="150" t="n">
        <v>308119</v>
      </c>
      <c r="AF34" s="150" t="n">
        <v>309370</v>
      </c>
      <c r="AG34" s="150" t="n">
        <v>310380</v>
      </c>
      <c r="AH34" s="150" t="n">
        <v>311549</v>
      </c>
      <c r="AI34" s="161" t="n">
        <v>312610</v>
      </c>
      <c r="AJ34" s="7">
        <f>AI34-D34</f>
        <v/>
      </c>
    </row>
    <row r="35">
      <c r="A35" s="561" t="n">
        <v>4</v>
      </c>
      <c r="B35" s="561" t="inlineStr">
        <is>
          <t>3F</t>
        </is>
      </c>
      <c r="C35" s="141" t="inlineStr">
        <is>
          <t>AHU4 - BTU</t>
        </is>
      </c>
      <c r="D35" s="150" t="n">
        <v>309779</v>
      </c>
      <c r="E35" s="150" t="n">
        <v>310939</v>
      </c>
      <c r="F35" s="150" t="n">
        <v>311987</v>
      </c>
      <c r="G35" s="150" t="n">
        <v>313180</v>
      </c>
      <c r="H35" s="150" t="n">
        <v>314310</v>
      </c>
      <c r="I35" s="150" t="n">
        <v>314935</v>
      </c>
      <c r="J35" s="150" t="n">
        <v>314935</v>
      </c>
      <c r="K35" s="150" t="n">
        <v>316129</v>
      </c>
      <c r="L35" s="150" t="n">
        <v>317166</v>
      </c>
      <c r="M35" s="150" t="n">
        <v>318136</v>
      </c>
      <c r="N35" s="150" t="n">
        <v>319101</v>
      </c>
      <c r="O35" s="150" t="n">
        <v>319980</v>
      </c>
      <c r="P35" s="150" t="n">
        <v>320534</v>
      </c>
      <c r="Q35" s="150" t="n">
        <v>320534</v>
      </c>
      <c r="R35" s="150" t="n">
        <v>321773</v>
      </c>
      <c r="S35" s="150" t="n">
        <v>323058</v>
      </c>
      <c r="T35" s="150" t="n">
        <v>324106</v>
      </c>
      <c r="U35" s="150" t="n">
        <v>325311</v>
      </c>
      <c r="V35" s="150" t="n">
        <v>326379</v>
      </c>
      <c r="W35" s="150" t="n">
        <v>326895</v>
      </c>
      <c r="X35" s="150" t="n">
        <v>326995</v>
      </c>
      <c r="Y35" s="150" t="n">
        <v>328090</v>
      </c>
      <c r="Z35" s="150" t="n">
        <v>329090</v>
      </c>
      <c r="AA35" s="150" t="n">
        <v>330169</v>
      </c>
      <c r="AB35" s="150" t="n">
        <v>331247</v>
      </c>
      <c r="AC35" s="150" t="n">
        <v>332505</v>
      </c>
      <c r="AD35" s="150" t="n">
        <v>333257</v>
      </c>
      <c r="AE35" s="150" t="n">
        <v>333257</v>
      </c>
      <c r="AF35" s="150" t="n">
        <v>334613</v>
      </c>
      <c r="AG35" s="150" t="n">
        <v>335642</v>
      </c>
      <c r="AH35" s="150" t="n">
        <v>336645</v>
      </c>
      <c r="AI35" s="161" t="n">
        <v>337491</v>
      </c>
      <c r="AJ35" s="7">
        <f>AI35-D35</f>
        <v/>
      </c>
    </row>
    <row r="36">
      <c r="A36" s="180" t="n"/>
      <c r="B36" s="180" t="n"/>
      <c r="C36" s="143" t="n"/>
      <c r="D36" s="180" t="n"/>
      <c r="E36" s="13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  <c r="AA36" s="180" t="n"/>
      <c r="AB36" s="180" t="n"/>
      <c r="AC36" s="6" t="n"/>
      <c r="AD36" s="180" t="n"/>
      <c r="AE36" s="180" t="n"/>
      <c r="AF36" s="180" t="n"/>
      <c r="AG36" s="180" t="n"/>
      <c r="AH36" s="180" t="n"/>
      <c r="AI36" s="180" t="n"/>
      <c r="AJ36" s="181" t="n"/>
    </row>
    <row r="37">
      <c r="A37" s="14" t="n"/>
      <c r="B37" s="137" t="n"/>
      <c r="C37" s="144" t="n"/>
      <c r="D37" s="138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</row>
    <row r="38">
      <c r="A38" s="93" t="n"/>
      <c r="B38" s="539" t="inlineStr">
        <is>
          <t xml:space="preserve"> Daily Energy Report</t>
        </is>
      </c>
      <c r="C38" s="520" t="n"/>
      <c r="D38" s="501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</row>
    <row r="39">
      <c r="A39" s="94" t="n"/>
      <c r="B39" s="534" t="inlineStr">
        <is>
          <t>Electricity Consumption</t>
        </is>
      </c>
      <c r="C39" s="520" t="n"/>
      <c r="D39" s="501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4" t="n"/>
      <c r="AJ39" s="94" t="n"/>
    </row>
    <row r="40">
      <c r="A40" s="533" t="inlineStr">
        <is>
          <t>Sr.No</t>
        </is>
      </c>
      <c r="B40" s="533" t="inlineStr">
        <is>
          <t>Location</t>
        </is>
      </c>
      <c r="C40" s="533" t="inlineStr">
        <is>
          <t>Meter</t>
        </is>
      </c>
      <c r="D40" s="522" t="n"/>
      <c r="E40" s="95">
        <f>E2</f>
        <v/>
      </c>
      <c r="F40" s="95">
        <f>F2</f>
        <v/>
      </c>
      <c r="G40" s="95">
        <f>G2</f>
        <v/>
      </c>
      <c r="H40" s="95">
        <f>H2</f>
        <v/>
      </c>
      <c r="I40" s="95">
        <f>I2</f>
        <v/>
      </c>
      <c r="J40" s="95">
        <f>J2</f>
        <v/>
      </c>
      <c r="K40" s="95">
        <f>K2</f>
        <v/>
      </c>
      <c r="L40" s="95">
        <f>L2</f>
        <v/>
      </c>
      <c r="M40" s="95">
        <f>M2</f>
        <v/>
      </c>
      <c r="N40" s="95">
        <f>N2</f>
        <v/>
      </c>
      <c r="O40" s="95">
        <f>O2</f>
        <v/>
      </c>
      <c r="P40" s="95">
        <f>P2</f>
        <v/>
      </c>
      <c r="Q40" s="95">
        <f>Q2</f>
        <v/>
      </c>
      <c r="R40" s="95">
        <f>R2</f>
        <v/>
      </c>
      <c r="S40" s="95">
        <f>S2</f>
        <v/>
      </c>
      <c r="T40" s="95">
        <f>T2</f>
        <v/>
      </c>
      <c r="U40" s="95">
        <f>U2</f>
        <v/>
      </c>
      <c r="V40" s="95">
        <f>V2</f>
        <v/>
      </c>
      <c r="W40" s="95">
        <f>W2</f>
        <v/>
      </c>
      <c r="X40" s="95">
        <f>X2</f>
        <v/>
      </c>
      <c r="Y40" s="95">
        <f>Y2</f>
        <v/>
      </c>
      <c r="Z40" s="95">
        <f>Z2</f>
        <v/>
      </c>
      <c r="AA40" s="95">
        <f>AA2</f>
        <v/>
      </c>
      <c r="AB40" s="95">
        <f>AB2</f>
        <v/>
      </c>
      <c r="AC40" s="95">
        <f>AC2</f>
        <v/>
      </c>
      <c r="AD40" s="95">
        <f>AD2</f>
        <v/>
      </c>
      <c r="AE40" s="95">
        <f>AE2</f>
        <v/>
      </c>
      <c r="AF40" s="95">
        <f>AF2</f>
        <v/>
      </c>
      <c r="AG40" s="95">
        <f>AG2</f>
        <v/>
      </c>
      <c r="AH40" s="95">
        <f>AH2</f>
        <v/>
      </c>
      <c r="AI40" s="95">
        <f>AI2</f>
        <v/>
      </c>
      <c r="AJ40" s="533" t="inlineStr">
        <is>
          <t>Consumption</t>
        </is>
      </c>
    </row>
    <row r="41">
      <c r="A41" s="516" t="n"/>
      <c r="B41" s="516" t="n"/>
      <c r="C41" s="523" t="n"/>
      <c r="D41" s="524" t="n"/>
      <c r="E41" s="96" t="inlineStr">
        <is>
          <t>TUE</t>
        </is>
      </c>
      <c r="F41" s="96" t="inlineStr">
        <is>
          <t>WED</t>
        </is>
      </c>
      <c r="G41" s="96" t="inlineStr">
        <is>
          <t>THU</t>
        </is>
      </c>
      <c r="H41" s="96" t="inlineStr">
        <is>
          <t>FRI</t>
        </is>
      </c>
      <c r="I41" s="96" t="inlineStr">
        <is>
          <t>SAT</t>
        </is>
      </c>
      <c r="J41" s="96" t="inlineStr">
        <is>
          <t>SUN</t>
        </is>
      </c>
      <c r="K41" s="96" t="inlineStr">
        <is>
          <t>MON</t>
        </is>
      </c>
      <c r="L41" s="96" t="inlineStr">
        <is>
          <t>TUE</t>
        </is>
      </c>
      <c r="M41" s="96" t="inlineStr">
        <is>
          <t>WED</t>
        </is>
      </c>
      <c r="N41" s="96" t="inlineStr">
        <is>
          <t>THU</t>
        </is>
      </c>
      <c r="O41" s="96" t="inlineStr">
        <is>
          <t>FRI</t>
        </is>
      </c>
      <c r="P41" s="96" t="inlineStr">
        <is>
          <t>SAT</t>
        </is>
      </c>
      <c r="Q41" s="96" t="inlineStr">
        <is>
          <t>SUN</t>
        </is>
      </c>
      <c r="R41" s="96" t="inlineStr">
        <is>
          <t>MON</t>
        </is>
      </c>
      <c r="S41" s="96" t="inlineStr">
        <is>
          <t>TUE</t>
        </is>
      </c>
      <c r="T41" s="96" t="inlineStr">
        <is>
          <t>WED</t>
        </is>
      </c>
      <c r="U41" s="96" t="inlineStr">
        <is>
          <t>THU</t>
        </is>
      </c>
      <c r="V41" s="96" t="inlineStr">
        <is>
          <t>FRI</t>
        </is>
      </c>
      <c r="W41" s="96" t="inlineStr">
        <is>
          <t>SAT</t>
        </is>
      </c>
      <c r="X41" s="96" t="inlineStr">
        <is>
          <t>SUN</t>
        </is>
      </c>
      <c r="Y41" s="96" t="inlineStr">
        <is>
          <t>MON</t>
        </is>
      </c>
      <c r="Z41" s="96" t="inlineStr">
        <is>
          <t>TUE</t>
        </is>
      </c>
      <c r="AA41" s="96" t="inlineStr">
        <is>
          <t>WED</t>
        </is>
      </c>
      <c r="AB41" s="96" t="inlineStr">
        <is>
          <t>THU</t>
        </is>
      </c>
      <c r="AC41" s="96" t="inlineStr">
        <is>
          <t>FRI</t>
        </is>
      </c>
      <c r="AD41" s="96" t="inlineStr">
        <is>
          <t>SAT</t>
        </is>
      </c>
      <c r="AE41" s="96" t="inlineStr">
        <is>
          <t>SUN</t>
        </is>
      </c>
      <c r="AF41" s="96" t="inlineStr">
        <is>
          <t>MON</t>
        </is>
      </c>
      <c r="AG41" s="96" t="inlineStr">
        <is>
          <t>TUE</t>
        </is>
      </c>
      <c r="AH41" s="96" t="inlineStr">
        <is>
          <t>WED</t>
        </is>
      </c>
      <c r="AI41" s="96" t="inlineStr">
        <is>
          <t>FRI</t>
        </is>
      </c>
      <c r="AJ41" s="516" t="n"/>
    </row>
    <row r="42">
      <c r="A42" s="516" t="n"/>
      <c r="B42" s="516" t="n"/>
      <c r="C42" s="523" t="n"/>
      <c r="D42" s="524" t="n"/>
      <c r="E42" s="97" t="inlineStr">
        <is>
          <t>Time</t>
        </is>
      </c>
      <c r="F42" s="97" t="inlineStr">
        <is>
          <t>Time</t>
        </is>
      </c>
      <c r="G42" s="97" t="inlineStr">
        <is>
          <t>Time</t>
        </is>
      </c>
      <c r="H42" s="97" t="inlineStr">
        <is>
          <t>Time</t>
        </is>
      </c>
      <c r="I42" s="97" t="inlineStr">
        <is>
          <t>Time</t>
        </is>
      </c>
      <c r="J42" s="97" t="inlineStr">
        <is>
          <t>Time</t>
        </is>
      </c>
      <c r="K42" s="97" t="inlineStr">
        <is>
          <t>Time</t>
        </is>
      </c>
      <c r="L42" s="97" t="inlineStr">
        <is>
          <t>Time</t>
        </is>
      </c>
      <c r="M42" s="97" t="inlineStr">
        <is>
          <t>Time</t>
        </is>
      </c>
      <c r="N42" s="97" t="inlineStr">
        <is>
          <t>Time</t>
        </is>
      </c>
      <c r="O42" s="97" t="inlineStr">
        <is>
          <t>Time</t>
        </is>
      </c>
      <c r="P42" s="97" t="inlineStr">
        <is>
          <t>Time</t>
        </is>
      </c>
      <c r="Q42" s="97" t="inlineStr">
        <is>
          <t>Time</t>
        </is>
      </c>
      <c r="R42" s="97" t="inlineStr">
        <is>
          <t>Time</t>
        </is>
      </c>
      <c r="S42" s="97" t="inlineStr">
        <is>
          <t>Time</t>
        </is>
      </c>
      <c r="T42" s="97" t="inlineStr">
        <is>
          <t>Time</t>
        </is>
      </c>
      <c r="U42" s="97" t="inlineStr">
        <is>
          <t>Time</t>
        </is>
      </c>
      <c r="V42" s="97" t="inlineStr">
        <is>
          <t>Time</t>
        </is>
      </c>
      <c r="W42" s="97" t="inlineStr">
        <is>
          <t>Time</t>
        </is>
      </c>
      <c r="X42" s="97" t="inlineStr">
        <is>
          <t>Time</t>
        </is>
      </c>
      <c r="Y42" s="97" t="inlineStr">
        <is>
          <t>Time</t>
        </is>
      </c>
      <c r="Z42" s="97" t="inlineStr">
        <is>
          <t>Time</t>
        </is>
      </c>
      <c r="AA42" s="97" t="inlineStr">
        <is>
          <t>Time</t>
        </is>
      </c>
      <c r="AB42" s="97" t="inlineStr">
        <is>
          <t>Time</t>
        </is>
      </c>
      <c r="AC42" s="97" t="inlineStr">
        <is>
          <t>Time</t>
        </is>
      </c>
      <c r="AD42" s="97" t="inlineStr">
        <is>
          <t>Time</t>
        </is>
      </c>
      <c r="AE42" s="97" t="inlineStr">
        <is>
          <t>Time</t>
        </is>
      </c>
      <c r="AF42" s="97" t="inlineStr">
        <is>
          <t>Time</t>
        </is>
      </c>
      <c r="AG42" s="97" t="inlineStr">
        <is>
          <t>Time</t>
        </is>
      </c>
      <c r="AH42" s="95">
        <f>AH4</f>
        <v/>
      </c>
      <c r="AI42" s="95">
        <f>AI4</f>
        <v/>
      </c>
      <c r="AJ42" s="516" t="n"/>
    </row>
    <row r="43">
      <c r="A43" s="517" t="n"/>
      <c r="B43" s="517" t="n"/>
      <c r="C43" s="525" t="n"/>
      <c r="D43" s="526" t="n"/>
      <c r="E43" s="98" t="n">
        <v>0.3333333333333333</v>
      </c>
      <c r="F43" s="98" t="n">
        <v>0.3333333333333333</v>
      </c>
      <c r="G43" s="98" t="n">
        <v>0.3333333333333333</v>
      </c>
      <c r="H43" s="98" t="n">
        <v>0.3333333333333333</v>
      </c>
      <c r="I43" s="98" t="n">
        <v>0.3333333333333333</v>
      </c>
      <c r="J43" s="98" t="n">
        <v>0.3333333333333333</v>
      </c>
      <c r="K43" s="98" t="n">
        <v>0.3333333333333333</v>
      </c>
      <c r="L43" s="98" t="n">
        <v>0.3333333333333333</v>
      </c>
      <c r="M43" s="98" t="n">
        <v>0.3333333333333333</v>
      </c>
      <c r="N43" s="98" t="n">
        <v>0.3333333333333333</v>
      </c>
      <c r="O43" s="98" t="n">
        <v>0.3333333333333333</v>
      </c>
      <c r="P43" s="98" t="n">
        <v>0.3333333333333333</v>
      </c>
      <c r="Q43" s="98" t="n">
        <v>0.3333333333333333</v>
      </c>
      <c r="R43" s="98" t="n">
        <v>0.3333333333333333</v>
      </c>
      <c r="S43" s="98" t="n">
        <v>0.3333333333333333</v>
      </c>
      <c r="T43" s="98" t="n">
        <v>0.3333333333333333</v>
      </c>
      <c r="U43" s="98" t="n">
        <v>0.3333333333333333</v>
      </c>
      <c r="V43" s="98" t="n">
        <v>0.3333333333333333</v>
      </c>
      <c r="W43" s="98" t="n">
        <v>0.3333333333333333</v>
      </c>
      <c r="X43" s="98" t="n">
        <v>0.3333333333333333</v>
      </c>
      <c r="Y43" s="98" t="n">
        <v>0.3333333333333333</v>
      </c>
      <c r="Z43" s="98" t="n">
        <v>0.3333333333333333</v>
      </c>
      <c r="AA43" s="98" t="n">
        <v>0.3333333333333333</v>
      </c>
      <c r="AB43" s="98" t="n">
        <v>0.3333333333333333</v>
      </c>
      <c r="AC43" s="98" t="n">
        <v>0.3333333333333333</v>
      </c>
      <c r="AD43" s="98" t="n">
        <v>0.3333333333333333</v>
      </c>
      <c r="AE43" s="98" t="n">
        <v>0.3333333333333333</v>
      </c>
      <c r="AF43" s="98" t="n">
        <v>0.3333333333333333</v>
      </c>
      <c r="AG43" s="98" t="n">
        <v>0.3333333333333333</v>
      </c>
      <c r="AH43" s="98" t="n">
        <v>0.3333333333333333</v>
      </c>
      <c r="AI43" s="98" t="n">
        <v>0.3333333333333333</v>
      </c>
      <c r="AJ43" s="517" t="n"/>
    </row>
    <row r="44" ht="15" customHeight="1" s="488">
      <c r="A44" s="500" t="n">
        <v>1</v>
      </c>
      <c r="B44" s="500" t="inlineStr">
        <is>
          <t>3F</t>
        </is>
      </c>
      <c r="C44" s="500" t="inlineStr">
        <is>
          <t>SL No 540430038840 (EB Unit)</t>
        </is>
      </c>
      <c r="D44" s="501" t="n"/>
      <c r="E44" s="20">
        <f>E6-D6</f>
        <v/>
      </c>
      <c r="F44" s="20">
        <f>F6-E6</f>
        <v/>
      </c>
      <c r="G44" s="20">
        <f>G6-F6</f>
        <v/>
      </c>
      <c r="H44" s="20">
        <f>H6-G6</f>
        <v/>
      </c>
      <c r="I44" s="20">
        <f>I6-H6</f>
        <v/>
      </c>
      <c r="J44" s="20">
        <f>J6-I6</f>
        <v/>
      </c>
      <c r="K44" s="20">
        <f>K6-J6</f>
        <v/>
      </c>
      <c r="L44" s="20">
        <f>L6-K6</f>
        <v/>
      </c>
      <c r="M44" s="20">
        <f>M6-L6</f>
        <v/>
      </c>
      <c r="N44" s="20">
        <f>N6-M6</f>
        <v/>
      </c>
      <c r="O44" s="20">
        <f>O6-N6</f>
        <v/>
      </c>
      <c r="P44" s="20">
        <f>P6-O6</f>
        <v/>
      </c>
      <c r="Q44" s="20">
        <f>Q6-P6</f>
        <v/>
      </c>
      <c r="R44" s="20">
        <f>R6-Q6</f>
        <v/>
      </c>
      <c r="S44" s="20">
        <f>S6-R6</f>
        <v/>
      </c>
      <c r="T44" s="20">
        <f>T6-S6</f>
        <v/>
      </c>
      <c r="U44" s="20">
        <f>U6-T6</f>
        <v/>
      </c>
      <c r="V44" s="20">
        <f>V6-U6</f>
        <v/>
      </c>
      <c r="W44" s="20">
        <f>W6-V6</f>
        <v/>
      </c>
      <c r="X44" s="20">
        <f>X6-W6</f>
        <v/>
      </c>
      <c r="Y44" s="20">
        <f>Y6-X6</f>
        <v/>
      </c>
      <c r="Z44" s="20">
        <f>Z6-Y6</f>
        <v/>
      </c>
      <c r="AA44" s="20">
        <f>AA6-Z6</f>
        <v/>
      </c>
      <c r="AB44" s="20">
        <f>AB6-AA6</f>
        <v/>
      </c>
      <c r="AC44" s="20">
        <f>AC6-AB6</f>
        <v/>
      </c>
      <c r="AD44" s="20">
        <f>AD6-AC6</f>
        <v/>
      </c>
      <c r="AE44" s="20">
        <f>AE6-AD6</f>
        <v/>
      </c>
      <c r="AF44" s="20">
        <f>AF6-AE6</f>
        <v/>
      </c>
      <c r="AG44" s="20">
        <f>AG6-AF6</f>
        <v/>
      </c>
      <c r="AH44" s="20">
        <f>AH6-AG6</f>
        <v/>
      </c>
      <c r="AI44" s="20">
        <f>AI6-AH6</f>
        <v/>
      </c>
      <c r="AJ44" s="21">
        <f>SUM(E44:AI44)</f>
        <v/>
      </c>
    </row>
    <row r="45" ht="15" customHeight="1" s="488">
      <c r="A45" s="500" t="n"/>
      <c r="B45" s="500" t="n"/>
      <c r="C45" s="529" t="inlineStr">
        <is>
          <t>DG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5" customHeight="1" s="488">
      <c r="A46" s="500" t="n">
        <v>2</v>
      </c>
      <c r="B46" s="500" t="inlineStr">
        <is>
          <t>3F</t>
        </is>
      </c>
      <c r="C46" s="500" t="inlineStr">
        <is>
          <t>SL No 540430038845 (EB Unit)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 t="n">
        <v>0</v>
      </c>
      <c r="K46" s="20" t="n">
        <v>0</v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 t="n">
        <v>0</v>
      </c>
      <c r="Q46" s="20" t="n">
        <v>0</v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/>
      <c r="B47" s="500" t="n"/>
      <c r="C47" s="529" t="inlineStr">
        <is>
          <t>DG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5" customHeight="1" s="488">
      <c r="A48" s="500" t="n">
        <v>3</v>
      </c>
      <c r="B48" s="500" t="inlineStr">
        <is>
          <t>3F</t>
        </is>
      </c>
      <c r="C48" s="500" t="inlineStr">
        <is>
          <t>SL No 540430038844 (EB Unit)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/>
      <c r="B49" s="500" t="n"/>
      <c r="C49" s="529" t="inlineStr">
        <is>
          <t>DG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5" customHeight="1" s="488">
      <c r="A50" s="500" t="n">
        <v>4</v>
      </c>
      <c r="B50" s="500" t="inlineStr">
        <is>
          <t>3F</t>
        </is>
      </c>
      <c r="C50" s="500" t="inlineStr">
        <is>
          <t>SL No 540430038821 (EB Unit)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/>
      <c r="B51" s="500" t="n"/>
      <c r="C51" s="529" t="inlineStr">
        <is>
          <t>DG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5" customHeight="1" s="488">
      <c r="A52" s="500" t="n">
        <v>5</v>
      </c>
      <c r="B52" s="500" t="inlineStr">
        <is>
          <t>3F</t>
        </is>
      </c>
      <c r="C52" s="500" t="inlineStr">
        <is>
          <t>SL No 540430038849 (EB Unit)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/>
      <c r="B53" s="500" t="n"/>
      <c r="C53" s="529" t="inlineStr">
        <is>
          <t>DG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5" customHeight="1" s="488">
      <c r="A54" s="500" t="n">
        <v>6</v>
      </c>
      <c r="B54" s="500" t="inlineStr">
        <is>
          <t>3F</t>
        </is>
      </c>
      <c r="C54" s="500" t="inlineStr">
        <is>
          <t>SL No 540430038696 (EB Unit)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21">
        <f>SUM(E54:AI54)</f>
        <v/>
      </c>
    </row>
    <row r="55" ht="15" customHeight="1" s="488">
      <c r="A55" s="500" t="n"/>
      <c r="B55" s="500" t="n"/>
      <c r="C55" s="529" t="inlineStr">
        <is>
          <t>DG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21">
        <f>SUM(E55:AI55)</f>
        <v/>
      </c>
    </row>
    <row r="56" ht="15" customHeight="1" s="488">
      <c r="A56" s="500" t="n">
        <v>7</v>
      </c>
      <c r="B56" s="500" t="inlineStr">
        <is>
          <t>3F</t>
        </is>
      </c>
      <c r="C56" s="500" t="inlineStr">
        <is>
          <t>SL No 540430038843 (EB Unit)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21">
        <f>SUM(E56:AI56)</f>
        <v/>
      </c>
    </row>
    <row r="57" ht="15" customHeight="1" s="488">
      <c r="A57" s="500" t="n"/>
      <c r="B57" s="500" t="n"/>
      <c r="C57" s="529" t="inlineStr">
        <is>
          <t>DG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 t="n">
        <v>0</v>
      </c>
      <c r="Z57" s="20">
        <f>Z19-Y19</f>
        <v/>
      </c>
      <c r="AA57" s="20" t="n">
        <v>0</v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21">
        <f>SUM(E57:AI57)</f>
        <v/>
      </c>
    </row>
    <row r="58" ht="15" customHeight="1" s="488">
      <c r="A58" s="500" t="n">
        <v>8</v>
      </c>
      <c r="B58" s="500" t="inlineStr">
        <is>
          <t>3F</t>
        </is>
      </c>
      <c r="C58" s="500" t="inlineStr">
        <is>
          <t>SL No 540430038848 (EB Unit)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/>
      <c r="B59" s="500" t="n"/>
      <c r="C59" s="529" t="inlineStr">
        <is>
          <t>DG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5" customHeight="1" s="488">
      <c r="A60" s="99" t="n"/>
      <c r="B60" s="99" t="n"/>
      <c r="C60" s="511" t="inlineStr">
        <is>
          <t>Total Power - EB Unit</t>
        </is>
      </c>
      <c r="D60" s="501" t="n"/>
      <c r="E60" s="23">
        <f>SUM(E58,E56,E54,E52,E50,E48,E46,E44)</f>
        <v/>
      </c>
      <c r="F60" s="23">
        <f>SUM(F58,F56,F54,F52,F50,F48,F46,F44)</f>
        <v/>
      </c>
      <c r="G60" s="23">
        <f>SUM(G58,G56,G54,G52,G50,G48,G46,G44)</f>
        <v/>
      </c>
      <c r="H60" s="23">
        <f>SUM(H58,H56,H54,H52,H50,H48,H46,H44)</f>
        <v/>
      </c>
      <c r="I60" s="23">
        <f>SUM(I58,I56,I54,I52,I50,I48,I46,I44)</f>
        <v/>
      </c>
      <c r="J60" s="23">
        <f>SUM(J58,J56,J54,J52,J50,J48,J46,J44)</f>
        <v/>
      </c>
      <c r="K60" s="23">
        <f>SUM(K58,K56,K54,K52,K50,K48,K46,K44)</f>
        <v/>
      </c>
      <c r="L60" s="23">
        <f>SUM(L58,L56,L54,L52,L50,L48,L46,L44)</f>
        <v/>
      </c>
      <c r="M60" s="23">
        <f>SUM(M58,M56,M54,M52,M50,M48,M46,M44)</f>
        <v/>
      </c>
      <c r="N60" s="23">
        <f>SUM(N58,N56,N54,N52,N50,N48,N46,N44)</f>
        <v/>
      </c>
      <c r="O60" s="23">
        <f>SUM(O58,O56,O54,O52,O50,O48,O46,O44)</f>
        <v/>
      </c>
      <c r="P60" s="23">
        <f>SUM(P58,P56,P54,P52,P50,P48,P46,P44)</f>
        <v/>
      </c>
      <c r="Q60" s="23">
        <f>SUM(Q58,Q56,Q54,Q52,Q50,Q48,Q46,Q44)</f>
        <v/>
      </c>
      <c r="R60" s="23">
        <f>SUM(R58,R56,R54,R52,R50,R48,R46,R44)</f>
        <v/>
      </c>
      <c r="S60" s="23">
        <f>SUM(S58,S56,S54,S52,S50,S48,S46,S44)</f>
        <v/>
      </c>
      <c r="T60" s="23">
        <f>SUM(T58,T56,T54,T52,T50,T48,T46,T44)</f>
        <v/>
      </c>
      <c r="U60" s="23">
        <f>SUM(U58,U56,U54,U52,U50,U48,U46,U44)</f>
        <v/>
      </c>
      <c r="V60" s="23">
        <f>SUM(V58,V56,V54,V52,V50,V48,V46,V44)</f>
        <v/>
      </c>
      <c r="W60" s="23">
        <f>SUM(W58,W56,W54,W52,W50,W48,W46,W44)</f>
        <v/>
      </c>
      <c r="X60" s="23">
        <f>SUM(X58,X56,X54,X52,X50,X48,X46,X44)</f>
        <v/>
      </c>
      <c r="Y60" s="23">
        <f>SUM(Y58,Y56,Y54,Y52,Y50,Y48,Y46,Y44)</f>
        <v/>
      </c>
      <c r="Z60" s="23">
        <f>SUM(Z58,Z56,Z54,Z52,Z50,Z48,Z46,Z44)</f>
        <v/>
      </c>
      <c r="AA60" s="23">
        <f>SUM(AA58,AA56,AA54,AA52,AA50,AA48,AA46,AA44)</f>
        <v/>
      </c>
      <c r="AB60" s="23">
        <f>SUM(AB58,AB56,AB54,AB52,AB50,AB48,AB46,AB44)</f>
        <v/>
      </c>
      <c r="AC60" s="23">
        <f>SUM(AC58,AC56,AC54,AC52,AC50,AC48,AC46,AC44)</f>
        <v/>
      </c>
      <c r="AD60" s="23">
        <f>SUM(AD58,AD56,AD54,AD52,AD50,AD48,AD46,AD44)</f>
        <v/>
      </c>
      <c r="AE60" s="23">
        <f>SUM(AE58,AE56,AE54,AE52,AE50,AE48,AE46,AE44)</f>
        <v/>
      </c>
      <c r="AF60" s="23">
        <f>SUM(AF58,AF56,AF54,AF52,AF50,AF48,AF46,AF44)</f>
        <v/>
      </c>
      <c r="AG60" s="23">
        <f>SUM(AG58,AG56,AG54,AG52,AG50,AG48,AG46,AG44)</f>
        <v/>
      </c>
      <c r="AH60" s="23">
        <f>SUM(AH58,AH56,AH54,AH52,AH50,AH48,AH46,AH44)</f>
        <v/>
      </c>
      <c r="AI60" s="23">
        <f>SUM(AI58,AI56,AI54,AI52,AI50,AI48,AI46,AI44)</f>
        <v/>
      </c>
      <c r="AJ60" s="24">
        <f>SUM(E60:AI60)</f>
        <v/>
      </c>
    </row>
    <row r="61" ht="15" customHeight="1" s="488">
      <c r="A61" s="99" t="n"/>
      <c r="B61" s="99" t="n"/>
      <c r="C61" s="145" t="inlineStr">
        <is>
          <t>Total Power- DG</t>
        </is>
      </c>
      <c r="D61" s="108" t="n"/>
      <c r="E61" s="23">
        <f>SUM(E45,E47,E49,E51,E53,E55,E57,E59)</f>
        <v/>
      </c>
      <c r="F61" s="23">
        <f>SUM(F45,F47,F49,F51,F53,F55,F57,F59)</f>
        <v/>
      </c>
      <c r="G61" s="23">
        <f>SUM(G45,G47,G49,G51,G53,G55,G57,G59)</f>
        <v/>
      </c>
      <c r="H61" s="23">
        <f>SUM(H45,H47,H49,H51,H53,H55,H57,H59)</f>
        <v/>
      </c>
      <c r="I61" s="23">
        <f>SUM(I45,I47,I49,I51,I53,I55,I57,I59)</f>
        <v/>
      </c>
      <c r="J61" s="23">
        <f>SUM(J45,J47,J49,J51,J53,J55,J57,J59)</f>
        <v/>
      </c>
      <c r="K61" s="23">
        <f>SUM(K45,K47,K49,K51,K53,K55,K57,K59)</f>
        <v/>
      </c>
      <c r="L61" s="23">
        <f>SUM(L45,L47,L49,L51,L53,L55,L57,L59)</f>
        <v/>
      </c>
      <c r="M61" s="23">
        <f>SUM(M45,M47,M49,M51,M53,M55,M57,M59)</f>
        <v/>
      </c>
      <c r="N61" s="23">
        <f>SUM(N45,N47,N49,N51,N53,N55,N57,N59)</f>
        <v/>
      </c>
      <c r="O61" s="23">
        <f>SUM(O45,O47,O49,O51,O53,O55,O57,O59)</f>
        <v/>
      </c>
      <c r="P61" s="23">
        <f>SUM(P45,P47,P49,P51,P53,P55,P57,P59)</f>
        <v/>
      </c>
      <c r="Q61" s="23">
        <f>SUM(Q45,Q47,Q49,Q51,Q53,Q55,Q57,Q59)</f>
        <v/>
      </c>
      <c r="R61" s="23">
        <f>SUM(R45,R47,R49,R51,R53,R55,R57,R59)</f>
        <v/>
      </c>
      <c r="S61" s="23">
        <f>SUM(S45,S47,S49,S51,S53,S55,S57,S59)</f>
        <v/>
      </c>
      <c r="T61" s="23">
        <f>SUM(T45,T47,T49,T51,T53,T55,T57,T59)</f>
        <v/>
      </c>
      <c r="U61" s="23">
        <f>SUM(U45,U47,U49,U51,U53,U55,U57,U59)</f>
        <v/>
      </c>
      <c r="V61" s="23">
        <f>SUM(V45,V47,V49,V51,V53,V55,V57,V59)</f>
        <v/>
      </c>
      <c r="W61" s="23">
        <f>SUM(W45,W47,W49,W51,W53,W55,W57,W59)</f>
        <v/>
      </c>
      <c r="X61" s="23">
        <f>SUM(X45,X47,X49,X51,X53,X55,X57,X59)</f>
        <v/>
      </c>
      <c r="Y61" s="23">
        <f>SUM(Y45,Y47,Y49,Y51,Y53,Y55,Y57,Y59)</f>
        <v/>
      </c>
      <c r="Z61" s="23">
        <f>SUM(Z45,Z47,Z49,Z51,Z53,Z55,Z57,Z59)</f>
        <v/>
      </c>
      <c r="AA61" s="23">
        <f>SUM(AA45,AA47,AA49,AA51,AA53,AA55,AA57,AA59)</f>
        <v/>
      </c>
      <c r="AB61" s="23">
        <f>SUM(AB45,AB47,AB49,AB51,AB53,AB55,AB57,AB59)</f>
        <v/>
      </c>
      <c r="AC61" s="23">
        <f>SUM(AC45,AC47,AC49,AC51,AC53,AC55,AC57,AC59)</f>
        <v/>
      </c>
      <c r="AD61" s="23">
        <f>SUM(AD45,AD47,AD49,AD51,AD53,AD55,AD57,AD59)</f>
        <v/>
      </c>
      <c r="AE61" s="23">
        <f>SUM(AE45,AE47,AE49,AE51,AE53,AE55,AE57,AE59)</f>
        <v/>
      </c>
      <c r="AF61" s="23">
        <f>SUM(AF45,AF47,AF49,AF51,AF53,AF55,AF57,AF59)</f>
        <v/>
      </c>
      <c r="AG61" s="23">
        <f>SUM(AG45,AG47,AG49,AG51,AG53,AG55,AG57,AG59)</f>
        <v/>
      </c>
      <c r="AH61" s="23">
        <f>SUM(AH45,AH47,AH49,AH51,AH53,AH55,AH57,AH59)</f>
        <v/>
      </c>
      <c r="AI61" s="23">
        <f>SUM(AI45,AI47,AI49,AI51,AI53,AI55,AI57,AI59)</f>
        <v/>
      </c>
      <c r="AJ61" s="24">
        <f>SUM(E61:AH61)</f>
        <v/>
      </c>
    </row>
    <row r="62">
      <c r="A62" s="539" t="n"/>
      <c r="B62" s="539" t="n"/>
      <c r="C62" s="532" t="inlineStr">
        <is>
          <t>Total Power Cumulative</t>
        </is>
      </c>
      <c r="D62" s="501" t="n"/>
      <c r="E62" s="102">
        <f>E60</f>
        <v/>
      </c>
      <c r="F62" s="102">
        <f>F60</f>
        <v/>
      </c>
      <c r="G62" s="102">
        <f>G60</f>
        <v/>
      </c>
      <c r="H62" s="102">
        <f>H60</f>
        <v/>
      </c>
      <c r="I62" s="102">
        <f>I60</f>
        <v/>
      </c>
      <c r="J62" s="102">
        <f>J60</f>
        <v/>
      </c>
      <c r="K62" s="102">
        <f>K60</f>
        <v/>
      </c>
      <c r="L62" s="102">
        <f>L60</f>
        <v/>
      </c>
      <c r="M62" s="102">
        <f>M60</f>
        <v/>
      </c>
      <c r="N62" s="102">
        <f>N60</f>
        <v/>
      </c>
      <c r="O62" s="102">
        <f>O60</f>
        <v/>
      </c>
      <c r="P62" s="102">
        <f>P60</f>
        <v/>
      </c>
      <c r="Q62" s="102">
        <f>Q60</f>
        <v/>
      </c>
      <c r="R62" s="102">
        <f>R60</f>
        <v/>
      </c>
      <c r="S62" s="102">
        <f>S60</f>
        <v/>
      </c>
      <c r="T62" s="102">
        <f>T60</f>
        <v/>
      </c>
      <c r="U62" s="102">
        <f>U60</f>
        <v/>
      </c>
      <c r="V62" s="102">
        <f>V60</f>
        <v/>
      </c>
      <c r="W62" s="102">
        <f>W60</f>
        <v/>
      </c>
      <c r="X62" s="102">
        <f>X60</f>
        <v/>
      </c>
      <c r="Y62" s="102">
        <f>Y60</f>
        <v/>
      </c>
      <c r="Z62" s="102">
        <f>Z60</f>
        <v/>
      </c>
      <c r="AA62" s="102">
        <f>AA60</f>
        <v/>
      </c>
      <c r="AB62" s="102">
        <f>AB60</f>
        <v/>
      </c>
      <c r="AC62" s="102">
        <f>AC60</f>
        <v/>
      </c>
      <c r="AD62" s="102">
        <f>AD60</f>
        <v/>
      </c>
      <c r="AE62" s="102">
        <f>AE60</f>
        <v/>
      </c>
      <c r="AF62" s="102">
        <f>AF60</f>
        <v/>
      </c>
      <c r="AG62" s="102">
        <f>AG60</f>
        <v/>
      </c>
      <c r="AH62" s="102">
        <f>AH60</f>
        <v/>
      </c>
      <c r="AI62" s="102">
        <f>AI60</f>
        <v/>
      </c>
      <c r="AJ62" s="102">
        <f>AJ60</f>
        <v/>
      </c>
    </row>
    <row r="63">
      <c r="A63" s="94" t="n"/>
      <c r="B63" s="534" t="n"/>
      <c r="C63" s="146" t="n"/>
      <c r="D63" s="109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4" t="n"/>
      <c r="AJ63" s="94" t="n"/>
    </row>
    <row r="64">
      <c r="A64" s="28" t="inlineStr">
        <is>
          <t>S No</t>
        </is>
      </c>
      <c r="B64" s="28" t="inlineStr">
        <is>
          <t>Location</t>
        </is>
      </c>
      <c r="C64" s="513" t="inlineStr">
        <is>
          <t>Meter</t>
        </is>
      </c>
      <c r="D64" s="50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103" t="n"/>
    </row>
    <row r="65">
      <c r="A65" s="500" t="n">
        <v>1</v>
      </c>
      <c r="B65" s="500" t="inlineStr">
        <is>
          <t>3F</t>
        </is>
      </c>
      <c r="C65" s="503" t="inlineStr">
        <is>
          <t>AHU1</t>
        </is>
      </c>
      <c r="D65" s="501" t="n"/>
      <c r="E65" s="102">
        <f>E23-D23</f>
        <v/>
      </c>
      <c r="F65" s="102">
        <f>F23-E23</f>
        <v/>
      </c>
      <c r="G65" s="102">
        <f>G23-F23</f>
        <v/>
      </c>
      <c r="H65" s="102">
        <f>H23-G23</f>
        <v/>
      </c>
      <c r="I65" s="102">
        <f>I23-H23</f>
        <v/>
      </c>
      <c r="J65" s="102">
        <f>J23-I23</f>
        <v/>
      </c>
      <c r="K65" s="102">
        <f>K23-J23</f>
        <v/>
      </c>
      <c r="L65" s="102">
        <f>L23-K23</f>
        <v/>
      </c>
      <c r="M65" s="102">
        <f>M23-L23</f>
        <v/>
      </c>
      <c r="N65" s="102">
        <f>N23-M23</f>
        <v/>
      </c>
      <c r="O65" s="102">
        <f>O23-N23</f>
        <v/>
      </c>
      <c r="P65" s="102">
        <f>P23-O23</f>
        <v/>
      </c>
      <c r="Q65" s="102">
        <f>Q23-P23</f>
        <v/>
      </c>
      <c r="R65" s="102">
        <f>R23-Q23</f>
        <v/>
      </c>
      <c r="S65" s="102">
        <f>S23-R23</f>
        <v/>
      </c>
      <c r="T65" s="102">
        <f>T23-S23</f>
        <v/>
      </c>
      <c r="U65" s="102">
        <f>U23-T23</f>
        <v/>
      </c>
      <c r="V65" s="102">
        <f>V23-U23</f>
        <v/>
      </c>
      <c r="W65" s="102">
        <f>W23-V23</f>
        <v/>
      </c>
      <c r="X65" s="102">
        <f>X23-W23</f>
        <v/>
      </c>
      <c r="Y65" s="102">
        <f>Y23-X23</f>
        <v/>
      </c>
      <c r="Z65" s="102">
        <f>Z23-Y23</f>
        <v/>
      </c>
      <c r="AA65" s="102">
        <f>AA23-Z23</f>
        <v/>
      </c>
      <c r="AB65" s="102">
        <f>AB23-AA23</f>
        <v/>
      </c>
      <c r="AC65" s="102">
        <f>AC23-AB23</f>
        <v/>
      </c>
      <c r="AD65" s="102">
        <f>AD23-AC23</f>
        <v/>
      </c>
      <c r="AE65" s="102">
        <f>AE23-AD23</f>
        <v/>
      </c>
      <c r="AF65" s="102">
        <f>AF23-AE23</f>
        <v/>
      </c>
      <c r="AG65" s="102">
        <f>AG23-AF23</f>
        <v/>
      </c>
      <c r="AH65" s="102">
        <f>AH23-AG23</f>
        <v/>
      </c>
      <c r="AI65" s="102">
        <f>AI23-AH23</f>
        <v/>
      </c>
      <c r="AJ65" s="102">
        <f>SUM(E65:AI65)</f>
        <v/>
      </c>
    </row>
    <row r="66">
      <c r="A66" s="500" t="n"/>
      <c r="B66" s="500" t="n"/>
      <c r="C66" s="531" t="inlineStr">
        <is>
          <t>DG</t>
        </is>
      </c>
      <c r="D66" s="501" t="n"/>
      <c r="E66" s="102">
        <f>E24-D24</f>
        <v/>
      </c>
      <c r="F66" s="102">
        <f>F24-E24</f>
        <v/>
      </c>
      <c r="G66" s="102">
        <f>G24-F24</f>
        <v/>
      </c>
      <c r="H66" s="102">
        <f>H24-G24</f>
        <v/>
      </c>
      <c r="I66" s="102">
        <f>I24-H24</f>
        <v/>
      </c>
      <c r="J66" s="102">
        <f>J24-I24</f>
        <v/>
      </c>
      <c r="K66" s="102">
        <f>K24-J24</f>
        <v/>
      </c>
      <c r="L66" s="102">
        <f>L24-K24</f>
        <v/>
      </c>
      <c r="M66" s="102">
        <f>M24-L24</f>
        <v/>
      </c>
      <c r="N66" s="102">
        <f>N24-M24</f>
        <v/>
      </c>
      <c r="O66" s="102">
        <f>O24-N24</f>
        <v/>
      </c>
      <c r="P66" s="102">
        <f>P24-O24</f>
        <v/>
      </c>
      <c r="Q66" s="102">
        <f>Q24-P24</f>
        <v/>
      </c>
      <c r="R66" s="102">
        <f>R24-Q24</f>
        <v/>
      </c>
      <c r="S66" s="102">
        <f>S24-R24</f>
        <v/>
      </c>
      <c r="T66" s="102">
        <f>T24-S24</f>
        <v/>
      </c>
      <c r="U66" s="102">
        <f>U24-T24</f>
        <v/>
      </c>
      <c r="V66" s="102">
        <f>V24-U24</f>
        <v/>
      </c>
      <c r="W66" s="102">
        <f>W24-V24</f>
        <v/>
      </c>
      <c r="X66" s="102">
        <f>X24-W24</f>
        <v/>
      </c>
      <c r="Y66" s="102">
        <f>Y24-X24</f>
        <v/>
      </c>
      <c r="Z66" s="102">
        <f>Z24-Y24</f>
        <v/>
      </c>
      <c r="AA66" s="102">
        <f>AA24-Z24</f>
        <v/>
      </c>
      <c r="AB66" s="102">
        <f>AB24-AA24</f>
        <v/>
      </c>
      <c r="AC66" s="102">
        <f>AC24-AB24</f>
        <v/>
      </c>
      <c r="AD66" s="102">
        <f>AD24-AC24</f>
        <v/>
      </c>
      <c r="AE66" s="102">
        <f>AE24-AD24</f>
        <v/>
      </c>
      <c r="AF66" s="102">
        <f>AF24-AE24</f>
        <v/>
      </c>
      <c r="AG66" s="102">
        <f>AG24-AF24</f>
        <v/>
      </c>
      <c r="AH66" s="102">
        <f>AH24-AG24</f>
        <v/>
      </c>
      <c r="AI66" s="102">
        <f>AI24-AH24</f>
        <v/>
      </c>
      <c r="AJ66" s="102">
        <f>SUM(E66:AI66)</f>
        <v/>
      </c>
    </row>
    <row r="67">
      <c r="A67" s="500" t="n">
        <v>2</v>
      </c>
      <c r="B67" s="500" t="inlineStr">
        <is>
          <t>3F</t>
        </is>
      </c>
      <c r="C67" s="503" t="inlineStr">
        <is>
          <t>AHU2</t>
        </is>
      </c>
      <c r="D67" s="501" t="n"/>
      <c r="E67" s="102">
        <f>E25-D25</f>
        <v/>
      </c>
      <c r="F67" s="102">
        <f>F25-E25</f>
        <v/>
      </c>
      <c r="G67" s="102">
        <f>G25-F25</f>
        <v/>
      </c>
      <c r="H67" s="102">
        <f>H25-G25</f>
        <v/>
      </c>
      <c r="I67" s="102">
        <f>I25-H25</f>
        <v/>
      </c>
      <c r="J67" s="102">
        <f>J25-I25</f>
        <v/>
      </c>
      <c r="K67" s="102">
        <f>K25-J25</f>
        <v/>
      </c>
      <c r="L67" s="102">
        <f>L25-K25</f>
        <v/>
      </c>
      <c r="M67" s="102">
        <f>M25-L25</f>
        <v/>
      </c>
      <c r="N67" s="102">
        <f>N25-M25</f>
        <v/>
      </c>
      <c r="O67" s="102">
        <f>O25-N25</f>
        <v/>
      </c>
      <c r="P67" s="102">
        <f>P25-O25</f>
        <v/>
      </c>
      <c r="Q67" s="102">
        <f>Q25-P25</f>
        <v/>
      </c>
      <c r="R67" s="102">
        <f>R25-Q25</f>
        <v/>
      </c>
      <c r="S67" s="102">
        <f>S25-R25</f>
        <v/>
      </c>
      <c r="T67" s="102">
        <f>T25-S25</f>
        <v/>
      </c>
      <c r="U67" s="102">
        <f>U25-T25</f>
        <v/>
      </c>
      <c r="V67" s="102">
        <f>V25-U25</f>
        <v/>
      </c>
      <c r="W67" s="102">
        <f>W25-V25</f>
        <v/>
      </c>
      <c r="X67" s="102">
        <f>X25-W25</f>
        <v/>
      </c>
      <c r="Y67" s="102">
        <f>Y25-X25</f>
        <v/>
      </c>
      <c r="Z67" s="102">
        <f>Z25-Y25</f>
        <v/>
      </c>
      <c r="AA67" s="102">
        <f>AA25-Z25</f>
        <v/>
      </c>
      <c r="AB67" s="102">
        <f>AB25-AA25</f>
        <v/>
      </c>
      <c r="AC67" s="102">
        <f>AC25-AB25</f>
        <v/>
      </c>
      <c r="AD67" s="102">
        <f>AD25-AC25</f>
        <v/>
      </c>
      <c r="AE67" s="102">
        <f>AE25-AD25</f>
        <v/>
      </c>
      <c r="AF67" s="102">
        <f>AF25-AE25</f>
        <v/>
      </c>
      <c r="AG67" s="102">
        <f>AG25-AF25</f>
        <v/>
      </c>
      <c r="AH67" s="102">
        <f>AH25-AG25</f>
        <v/>
      </c>
      <c r="AI67" s="102">
        <f>AI25-AH25</f>
        <v/>
      </c>
      <c r="AJ67" s="102">
        <f>SUM(E67:AI67)</f>
        <v/>
      </c>
    </row>
    <row r="68">
      <c r="A68" s="500" t="n"/>
      <c r="B68" s="500" t="n"/>
      <c r="C68" s="531" t="inlineStr">
        <is>
          <t>DG</t>
        </is>
      </c>
      <c r="D68" s="501" t="n"/>
      <c r="E68" s="102">
        <f>E26-D26</f>
        <v/>
      </c>
      <c r="F68" s="102">
        <f>F26-E26</f>
        <v/>
      </c>
      <c r="G68" s="102">
        <f>G26-F26</f>
        <v/>
      </c>
      <c r="H68" s="102">
        <f>H26-G26</f>
        <v/>
      </c>
      <c r="I68" s="102">
        <f>I26-H26</f>
        <v/>
      </c>
      <c r="J68" s="102">
        <f>J26-I26</f>
        <v/>
      </c>
      <c r="K68" s="102">
        <f>K26-J26</f>
        <v/>
      </c>
      <c r="L68" s="102">
        <f>L26-K26</f>
        <v/>
      </c>
      <c r="M68" s="102">
        <f>M26-L26</f>
        <v/>
      </c>
      <c r="N68" s="102">
        <f>N26-M26</f>
        <v/>
      </c>
      <c r="O68" s="102">
        <f>O26-N26</f>
        <v/>
      </c>
      <c r="P68" s="102">
        <f>P26-O26</f>
        <v/>
      </c>
      <c r="Q68" s="102">
        <f>Q26-P26</f>
        <v/>
      </c>
      <c r="R68" s="102">
        <f>R26-Q26</f>
        <v/>
      </c>
      <c r="S68" s="102">
        <f>S26-R26</f>
        <v/>
      </c>
      <c r="T68" s="102">
        <f>T26-S26</f>
        <v/>
      </c>
      <c r="U68" s="102">
        <f>U26-T26</f>
        <v/>
      </c>
      <c r="V68" s="102">
        <f>V26-U26</f>
        <v/>
      </c>
      <c r="W68" s="102">
        <f>W26-V26</f>
        <v/>
      </c>
      <c r="X68" s="102">
        <f>X26-W26</f>
        <v/>
      </c>
      <c r="Y68" s="102">
        <f>Y26-X26</f>
        <v/>
      </c>
      <c r="Z68" s="102">
        <f>Z26-Y26</f>
        <v/>
      </c>
      <c r="AA68" s="102">
        <f>AA26-Z26</f>
        <v/>
      </c>
      <c r="AB68" s="102">
        <f>AB26-AA26</f>
        <v/>
      </c>
      <c r="AC68" s="102">
        <f>AC26-AB26</f>
        <v/>
      </c>
      <c r="AD68" s="102">
        <f>AD26-AC26</f>
        <v/>
      </c>
      <c r="AE68" s="102">
        <f>AE26-AD26</f>
        <v/>
      </c>
      <c r="AF68" s="102">
        <f>AF26-AE26</f>
        <v/>
      </c>
      <c r="AG68" s="102">
        <f>AG26-AF26</f>
        <v/>
      </c>
      <c r="AH68" s="102">
        <f>AH26-AG26</f>
        <v/>
      </c>
      <c r="AI68" s="102">
        <f>AI26-AH26</f>
        <v/>
      </c>
      <c r="AJ68" s="102">
        <f>SUM(E68:AI68)</f>
        <v/>
      </c>
      <c r="AK68" s="115" t="inlineStr">
        <is>
          <t>EB</t>
        </is>
      </c>
      <c r="AL68" s="116">
        <f>AJ60</f>
        <v/>
      </c>
    </row>
    <row r="69">
      <c r="A69" s="500" t="n">
        <v>3</v>
      </c>
      <c r="B69" s="500" t="inlineStr">
        <is>
          <t>3F</t>
        </is>
      </c>
      <c r="C69" s="503" t="inlineStr">
        <is>
          <t>AHU3</t>
        </is>
      </c>
      <c r="D69" s="501" t="n"/>
      <c r="E69" s="102">
        <f>E27-D27</f>
        <v/>
      </c>
      <c r="F69" s="102">
        <f>F27-E27</f>
        <v/>
      </c>
      <c r="G69" s="102">
        <f>G27-F27</f>
        <v/>
      </c>
      <c r="H69" s="102">
        <f>H27-G27</f>
        <v/>
      </c>
      <c r="I69" s="102">
        <f>I27-H27</f>
        <v/>
      </c>
      <c r="J69" s="102">
        <f>J27-I27</f>
        <v/>
      </c>
      <c r="K69" s="102">
        <f>K27-J27</f>
        <v/>
      </c>
      <c r="L69" s="102">
        <f>L27-K27</f>
        <v/>
      </c>
      <c r="M69" s="102">
        <f>M27-L27</f>
        <v/>
      </c>
      <c r="N69" s="102">
        <f>N27-M27</f>
        <v/>
      </c>
      <c r="O69" s="102">
        <f>O27-N27</f>
        <v/>
      </c>
      <c r="P69" s="102">
        <f>P27-O27</f>
        <v/>
      </c>
      <c r="Q69" s="102">
        <f>Q27-P27</f>
        <v/>
      </c>
      <c r="R69" s="102">
        <f>R27-Q27</f>
        <v/>
      </c>
      <c r="S69" s="102">
        <f>S27-R27</f>
        <v/>
      </c>
      <c r="T69" s="102">
        <f>T27-S27</f>
        <v/>
      </c>
      <c r="U69" s="102">
        <f>U27-T27</f>
        <v/>
      </c>
      <c r="V69" s="102">
        <f>V27-U27</f>
        <v/>
      </c>
      <c r="W69" s="102">
        <f>W27-V27</f>
        <v/>
      </c>
      <c r="X69" s="102">
        <f>X27-W27</f>
        <v/>
      </c>
      <c r="Y69" s="102">
        <f>Y27-X27</f>
        <v/>
      </c>
      <c r="Z69" s="102">
        <f>Z27-Y27</f>
        <v/>
      </c>
      <c r="AA69" s="102">
        <f>AA27-Z27</f>
        <v/>
      </c>
      <c r="AB69" s="102">
        <f>AB27-AA27</f>
        <v/>
      </c>
      <c r="AC69" s="102">
        <f>AC27-AB27</f>
        <v/>
      </c>
      <c r="AD69" s="102">
        <f>AD27-AC27</f>
        <v/>
      </c>
      <c r="AE69" s="102">
        <f>AE27-AD27</f>
        <v/>
      </c>
      <c r="AF69" s="102">
        <f>AF27-AE27</f>
        <v/>
      </c>
      <c r="AG69" s="102">
        <f>AG27-AF27</f>
        <v/>
      </c>
      <c r="AH69" s="102">
        <f>AH27-AG27</f>
        <v/>
      </c>
      <c r="AI69" s="102">
        <f>AI27-AH27</f>
        <v/>
      </c>
      <c r="AJ69" s="102">
        <f>SUM(E69:AI69)</f>
        <v/>
      </c>
      <c r="AK69" s="115" t="inlineStr">
        <is>
          <t>AHU</t>
        </is>
      </c>
      <c r="AL69" s="116">
        <f>AJ73</f>
        <v/>
      </c>
    </row>
    <row r="70">
      <c r="A70" s="500" t="n"/>
      <c r="B70" s="500" t="n"/>
      <c r="C70" s="531" t="inlineStr">
        <is>
          <t>DG</t>
        </is>
      </c>
      <c r="D70" s="501" t="n"/>
      <c r="E70" s="102">
        <f>E28-D28</f>
        <v/>
      </c>
      <c r="F70" s="102">
        <f>F28-E28</f>
        <v/>
      </c>
      <c r="G70" s="102">
        <f>G28-F28</f>
        <v/>
      </c>
      <c r="H70" s="102">
        <f>H28-G28</f>
        <v/>
      </c>
      <c r="I70" s="102">
        <f>I28-H28</f>
        <v/>
      </c>
      <c r="J70" s="102">
        <f>J28-I28</f>
        <v/>
      </c>
      <c r="K70" s="102">
        <f>K28-J28</f>
        <v/>
      </c>
      <c r="L70" s="102">
        <f>L28-K28</f>
        <v/>
      </c>
      <c r="M70" s="102">
        <f>M28-L28</f>
        <v/>
      </c>
      <c r="N70" s="102">
        <f>N28-M28</f>
        <v/>
      </c>
      <c r="O70" s="102">
        <f>O28-N28</f>
        <v/>
      </c>
      <c r="P70" s="102">
        <f>P28-O28</f>
        <v/>
      </c>
      <c r="Q70" s="102">
        <f>Q28-P28</f>
        <v/>
      </c>
      <c r="R70" s="102">
        <f>R28-Q28</f>
        <v/>
      </c>
      <c r="S70" s="102">
        <f>S28-R28</f>
        <v/>
      </c>
      <c r="T70" s="102">
        <f>T28-S28</f>
        <v/>
      </c>
      <c r="U70" s="102">
        <f>U28-T28</f>
        <v/>
      </c>
      <c r="V70" s="102">
        <f>V28-U28</f>
        <v/>
      </c>
      <c r="W70" s="102">
        <f>W28-V28</f>
        <v/>
      </c>
      <c r="X70" s="102">
        <f>X28-W28</f>
        <v/>
      </c>
      <c r="Y70" s="102">
        <f>Y28-X28</f>
        <v/>
      </c>
      <c r="Z70" s="102">
        <f>Z28-Y28</f>
        <v/>
      </c>
      <c r="AA70" s="102">
        <f>AA28-Z28</f>
        <v/>
      </c>
      <c r="AB70" s="102">
        <f>AB28-AA28</f>
        <v/>
      </c>
      <c r="AC70" s="102">
        <f>AC28-AB28</f>
        <v/>
      </c>
      <c r="AD70" s="102">
        <f>AD28-AC28</f>
        <v/>
      </c>
      <c r="AE70" s="102">
        <f>AE28-AD28</f>
        <v/>
      </c>
      <c r="AF70" s="102">
        <f>AF28-AE28</f>
        <v/>
      </c>
      <c r="AG70" s="102">
        <f>AG28-AF28</f>
        <v/>
      </c>
      <c r="AH70" s="102">
        <f>AH28-AG28</f>
        <v/>
      </c>
      <c r="AI70" s="102">
        <f>AI28-AH28</f>
        <v/>
      </c>
      <c r="AJ70" s="102">
        <f>SUM(E70:AI70)</f>
        <v/>
      </c>
      <c r="AK70" s="115" t="inlineStr">
        <is>
          <t>BTU</t>
        </is>
      </c>
      <c r="AL70" s="116">
        <f>AJ79*40%</f>
        <v/>
      </c>
    </row>
    <row r="71">
      <c r="A71" s="500" t="n">
        <v>4</v>
      </c>
      <c r="B71" s="500" t="inlineStr">
        <is>
          <t>3F</t>
        </is>
      </c>
      <c r="C71" s="503" t="inlineStr">
        <is>
          <t>AHU4</t>
        </is>
      </c>
      <c r="D71" s="501" t="n"/>
      <c r="E71" s="102">
        <f>E29-D29</f>
        <v/>
      </c>
      <c r="F71" s="102">
        <f>F29-E29</f>
        <v/>
      </c>
      <c r="G71" s="102">
        <f>G29-F29</f>
        <v/>
      </c>
      <c r="H71" s="102">
        <f>H29-G29</f>
        <v/>
      </c>
      <c r="I71" s="102">
        <f>I29-H29</f>
        <v/>
      </c>
      <c r="J71" s="102">
        <f>J29-I29</f>
        <v/>
      </c>
      <c r="K71" s="102">
        <f>K29-J29</f>
        <v/>
      </c>
      <c r="L71" s="102">
        <f>L29-K29</f>
        <v/>
      </c>
      <c r="M71" s="102">
        <f>M29-L29</f>
        <v/>
      </c>
      <c r="N71" s="102">
        <f>N29-M29</f>
        <v/>
      </c>
      <c r="O71" s="102">
        <f>O29-N29</f>
        <v/>
      </c>
      <c r="P71" s="102">
        <f>P29-O29</f>
        <v/>
      </c>
      <c r="Q71" s="102">
        <f>Q29-P29</f>
        <v/>
      </c>
      <c r="R71" s="102">
        <f>R29-Q29</f>
        <v/>
      </c>
      <c r="S71" s="102">
        <f>S29-R29</f>
        <v/>
      </c>
      <c r="T71" s="102">
        <f>T29-S29</f>
        <v/>
      </c>
      <c r="U71" s="102">
        <f>U29-T29</f>
        <v/>
      </c>
      <c r="V71" s="102">
        <f>V29-U29</f>
        <v/>
      </c>
      <c r="W71" s="102">
        <f>W29-V29</f>
        <v/>
      </c>
      <c r="X71" s="102">
        <f>X29-W29</f>
        <v/>
      </c>
      <c r="Y71" s="102" t="n">
        <v>66</v>
      </c>
      <c r="Z71" s="102">
        <f>Z29-Y29</f>
        <v/>
      </c>
      <c r="AA71" s="102">
        <f>AA29-Z29</f>
        <v/>
      </c>
      <c r="AB71" s="102">
        <f>AB29-AA29</f>
        <v/>
      </c>
      <c r="AC71" s="102">
        <f>AC29-AB29</f>
        <v/>
      </c>
      <c r="AD71" s="102">
        <f>AD29-AC29</f>
        <v/>
      </c>
      <c r="AE71" s="102">
        <f>AE29-AD29</f>
        <v/>
      </c>
      <c r="AF71" s="102">
        <f>AF29-AE29</f>
        <v/>
      </c>
      <c r="AG71" s="102">
        <f>AG29-AF29</f>
        <v/>
      </c>
      <c r="AH71" s="102">
        <f>AH29-AG29</f>
        <v/>
      </c>
      <c r="AI71" s="102">
        <f>AI29-AH29</f>
        <v/>
      </c>
      <c r="AJ71" s="102">
        <f>SUM(E71:AI71)</f>
        <v/>
      </c>
      <c r="AK71" s="117" t="inlineStr">
        <is>
          <t>DG</t>
        </is>
      </c>
      <c r="AL71" s="118">
        <f>AJ74+AJ61</f>
        <v/>
      </c>
    </row>
    <row r="72">
      <c r="A72" s="500" t="n"/>
      <c r="B72" s="500" t="n"/>
      <c r="C72" s="531" t="inlineStr">
        <is>
          <t>DG</t>
        </is>
      </c>
      <c r="D72" s="501" t="n"/>
      <c r="E72" s="102">
        <f>E30-D30</f>
        <v/>
      </c>
      <c r="F72" s="102">
        <f>F30-E30</f>
        <v/>
      </c>
      <c r="G72" s="102">
        <f>G30-F30</f>
        <v/>
      </c>
      <c r="H72" s="102">
        <f>H30-G30</f>
        <v/>
      </c>
      <c r="I72" s="102">
        <f>I30-H30</f>
        <v/>
      </c>
      <c r="J72" s="102">
        <f>J30-I30</f>
        <v/>
      </c>
      <c r="K72" s="102">
        <f>K30-J30</f>
        <v/>
      </c>
      <c r="L72" s="102">
        <f>L30-K30</f>
        <v/>
      </c>
      <c r="M72" s="102">
        <f>M30-L30</f>
        <v/>
      </c>
      <c r="N72" s="102">
        <f>N30-M30</f>
        <v/>
      </c>
      <c r="O72" s="102">
        <f>O30-N30</f>
        <v/>
      </c>
      <c r="P72" s="102">
        <f>P30-O30</f>
        <v/>
      </c>
      <c r="Q72" s="102">
        <f>Q30-P30</f>
        <v/>
      </c>
      <c r="R72" s="102">
        <f>R30-Q30</f>
        <v/>
      </c>
      <c r="S72" s="102">
        <f>S30-R30</f>
        <v/>
      </c>
      <c r="T72" s="102">
        <f>T30-S30</f>
        <v/>
      </c>
      <c r="U72" s="102">
        <f>U30-T30</f>
        <v/>
      </c>
      <c r="V72" s="102">
        <f>V30-U30</f>
        <v/>
      </c>
      <c r="W72" s="102">
        <f>W30-V30</f>
        <v/>
      </c>
      <c r="X72" s="102">
        <f>X30-W30</f>
        <v/>
      </c>
      <c r="Y72" s="102">
        <f>Y30-X30</f>
        <v/>
      </c>
      <c r="Z72" s="102">
        <f>Z30-Y30</f>
        <v/>
      </c>
      <c r="AA72" s="102">
        <f>AA30-Z30</f>
        <v/>
      </c>
      <c r="AB72" s="102">
        <f>AB30-AA30</f>
        <v/>
      </c>
      <c r="AC72" s="102">
        <f>AC30-AB30</f>
        <v/>
      </c>
      <c r="AD72" s="102">
        <f>AD30-AC30</f>
        <v/>
      </c>
      <c r="AE72" s="102">
        <f>AE30-AD30</f>
        <v/>
      </c>
      <c r="AF72" s="102">
        <f>AF30-AE30</f>
        <v/>
      </c>
      <c r="AG72" s="102">
        <f>AG30-AF30</f>
        <v/>
      </c>
      <c r="AH72" s="102">
        <f>AH30-AG30</f>
        <v/>
      </c>
      <c r="AI72" s="102">
        <f>AI30-AH30</f>
        <v/>
      </c>
      <c r="AJ72" s="102">
        <f>SUM(E72:AI72)</f>
        <v/>
      </c>
    </row>
    <row r="73" ht="15" customHeight="1" s="488">
      <c r="A73" s="99" t="n"/>
      <c r="B73" s="99" t="n"/>
      <c r="C73" s="511" t="inlineStr">
        <is>
          <t>Total AHU Power Consumption</t>
        </is>
      </c>
      <c r="D73" s="501" t="n"/>
      <c r="E73" s="23">
        <f>SUM(E65,E67,E69,E71)</f>
        <v/>
      </c>
      <c r="F73" s="23">
        <f>SUM(F65,F67,F69,F71)</f>
        <v/>
      </c>
      <c r="G73" s="23">
        <f>SUM(G65,G67,G69,G71)</f>
        <v/>
      </c>
      <c r="H73" s="23">
        <f>SUM(H65,H67,H69,H71)</f>
        <v/>
      </c>
      <c r="I73" s="23">
        <f>SUM(I65,I67,I69,I71)</f>
        <v/>
      </c>
      <c r="J73" s="23">
        <f>SUM(J65,J67,J69,J71)</f>
        <v/>
      </c>
      <c r="K73" s="23">
        <f>SUM(K65,K67,K69,K71)</f>
        <v/>
      </c>
      <c r="L73" s="23">
        <f>SUM(L65,L67,L69,L71)</f>
        <v/>
      </c>
      <c r="M73" s="23">
        <f>SUM(M65,M67,M69,M71)</f>
        <v/>
      </c>
      <c r="N73" s="23">
        <f>SUM(N65,N67,N69,N71)</f>
        <v/>
      </c>
      <c r="O73" s="23">
        <f>SUM(O65,O67,O69,O71)</f>
        <v/>
      </c>
      <c r="P73" s="23">
        <f>SUM(P65,P67,P69,P71)</f>
        <v/>
      </c>
      <c r="Q73" s="23">
        <f>SUM(Q65,Q67,Q69,Q71)</f>
        <v/>
      </c>
      <c r="R73" s="23">
        <f>SUM(R65,R67,R69,R71)</f>
        <v/>
      </c>
      <c r="S73" s="23">
        <f>SUM(S65,S67,S69,S71)</f>
        <v/>
      </c>
      <c r="T73" s="23">
        <f>SUM(T65,T67,T69,T71)</f>
        <v/>
      </c>
      <c r="U73" s="23">
        <f>SUM(U65,U67,U69,U71)</f>
        <v/>
      </c>
      <c r="V73" s="23">
        <f>SUM(V65,V67,V69,V71)</f>
        <v/>
      </c>
      <c r="W73" s="23">
        <f>SUM(W65,W67,W69,W71)</f>
        <v/>
      </c>
      <c r="X73" s="23">
        <f>SUM(X65,X67,X69,X71)</f>
        <v/>
      </c>
      <c r="Y73" s="23">
        <f>SUM(Y65,Y67,Y69,Y71)</f>
        <v/>
      </c>
      <c r="Z73" s="23">
        <f>SUM(Z65,Z67,Z69,Z71)</f>
        <v/>
      </c>
      <c r="AA73" s="23">
        <f>SUM(AA65,AA67,AA69,AA71)</f>
        <v/>
      </c>
      <c r="AB73" s="23">
        <f>SUM(AB65,AB67,AB69,AB71)</f>
        <v/>
      </c>
      <c r="AC73" s="23">
        <f>SUM(AC65,AC67,AC69,AC71)</f>
        <v/>
      </c>
      <c r="AD73" s="23">
        <f>SUM(AD65,AD67,AD69,AD71)</f>
        <v/>
      </c>
      <c r="AE73" s="23">
        <f>SUM(AE65,AE67,AE69,AE71)</f>
        <v/>
      </c>
      <c r="AF73" s="23">
        <f>SUM(AF65,AF67,AF69,AF71)</f>
        <v/>
      </c>
      <c r="AG73" s="23">
        <f>SUM(AG65,AG67,AG69,AG71)</f>
        <v/>
      </c>
      <c r="AH73" s="23">
        <f>SUM(AH65,AH67,AH69,AH71)</f>
        <v/>
      </c>
      <c r="AI73" s="23">
        <f>SUM(AI65,AI67,AI69,AI71)</f>
        <v/>
      </c>
      <c r="AJ73" s="24">
        <f>SUM(E73:AI73)</f>
        <v/>
      </c>
    </row>
    <row r="74" ht="15" customHeight="1" s="488">
      <c r="A74" s="99" t="n"/>
      <c r="B74" s="99" t="n"/>
      <c r="C74" s="502" t="inlineStr">
        <is>
          <t>Total AHU DG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</row>
    <row r="75">
      <c r="A75" s="500" t="n">
        <v>1</v>
      </c>
      <c r="B75" s="500" t="inlineStr">
        <is>
          <t>3F</t>
        </is>
      </c>
      <c r="C75" s="500" t="inlineStr">
        <is>
          <t>AHU1 - BTU</t>
        </is>
      </c>
      <c r="D75" s="501" t="n"/>
      <c r="E75" s="102">
        <f>E32-D32</f>
        <v/>
      </c>
      <c r="F75" s="102">
        <f>F32-E32</f>
        <v/>
      </c>
      <c r="G75" s="102">
        <f>G32-F32</f>
        <v/>
      </c>
      <c r="H75" s="102">
        <f>H32-G32</f>
        <v/>
      </c>
      <c r="I75" s="102">
        <f>I32-H32</f>
        <v/>
      </c>
      <c r="J75" s="102">
        <f>J32-I32</f>
        <v/>
      </c>
      <c r="K75" s="102">
        <f>K32-J32</f>
        <v/>
      </c>
      <c r="L75" s="102">
        <f>L32-K32</f>
        <v/>
      </c>
      <c r="M75" s="102">
        <f>M32-L32</f>
        <v/>
      </c>
      <c r="N75" s="102">
        <f>N32-M32</f>
        <v/>
      </c>
      <c r="O75" s="102">
        <f>O32-N32</f>
        <v/>
      </c>
      <c r="P75" s="102">
        <f>P32-O32</f>
        <v/>
      </c>
      <c r="Q75" s="102">
        <f>Q32-P32</f>
        <v/>
      </c>
      <c r="R75" s="102">
        <f>R32-Q32</f>
        <v/>
      </c>
      <c r="S75" s="102">
        <f>S32-R32</f>
        <v/>
      </c>
      <c r="T75" s="102">
        <f>T32-S32</f>
        <v/>
      </c>
      <c r="U75" s="102">
        <f>U32-T32</f>
        <v/>
      </c>
      <c r="V75" s="102">
        <f>V32-U32</f>
        <v/>
      </c>
      <c r="W75" s="102">
        <f>W32-V32</f>
        <v/>
      </c>
      <c r="X75" s="102">
        <f>X32-W32</f>
        <v/>
      </c>
      <c r="Y75" s="102" t="n">
        <v>1306</v>
      </c>
      <c r="Z75" s="102">
        <f>Z32-Y32</f>
        <v/>
      </c>
      <c r="AA75" s="102">
        <f>AA32-Z32</f>
        <v/>
      </c>
      <c r="AB75" s="102">
        <f>AB32-AA32</f>
        <v/>
      </c>
      <c r="AC75" s="102">
        <f>AC32-AB32</f>
        <v/>
      </c>
      <c r="AD75" s="102">
        <f>AD32-AC32</f>
        <v/>
      </c>
      <c r="AE75" s="102">
        <f>AE32-AD32</f>
        <v/>
      </c>
      <c r="AF75" s="102">
        <f>AF32-AE32</f>
        <v/>
      </c>
      <c r="AG75" s="102">
        <f>AG32-AF32</f>
        <v/>
      </c>
      <c r="AH75" s="102">
        <f>AH32-AG32</f>
        <v/>
      </c>
      <c r="AI75" s="102">
        <f>AI32-AH32</f>
        <v/>
      </c>
      <c r="AJ75" s="102">
        <f>SUM(E75:AI75)</f>
        <v/>
      </c>
    </row>
    <row r="76">
      <c r="A76" s="500" t="n">
        <v>2</v>
      </c>
      <c r="B76" s="500" t="inlineStr">
        <is>
          <t>3F</t>
        </is>
      </c>
      <c r="C76" s="500" t="inlineStr">
        <is>
          <t>AHU2 - BTU</t>
        </is>
      </c>
      <c r="D76" s="501" t="n"/>
      <c r="E76" s="102">
        <f>E33-D33</f>
        <v/>
      </c>
      <c r="F76" s="102">
        <f>F33-E33</f>
        <v/>
      </c>
      <c r="G76" s="102">
        <f>G33-F33</f>
        <v/>
      </c>
      <c r="H76" s="102">
        <f>H33-G33</f>
        <v/>
      </c>
      <c r="I76" s="102">
        <f>I33-H33</f>
        <v/>
      </c>
      <c r="J76" s="102">
        <f>J33-I33</f>
        <v/>
      </c>
      <c r="K76" s="102">
        <f>K33-J33</f>
        <v/>
      </c>
      <c r="L76" s="102">
        <f>L33-K33</f>
        <v/>
      </c>
      <c r="M76" s="102">
        <f>M33-L33</f>
        <v/>
      </c>
      <c r="N76" s="102">
        <f>N33-M33</f>
        <v/>
      </c>
      <c r="O76" s="102">
        <f>O33-N33</f>
        <v/>
      </c>
      <c r="P76" s="102">
        <f>P33-O33</f>
        <v/>
      </c>
      <c r="Q76" s="102">
        <f>Q33-P33</f>
        <v/>
      </c>
      <c r="R76" s="102">
        <f>R33-Q33</f>
        <v/>
      </c>
      <c r="S76" s="102">
        <f>S33-R33</f>
        <v/>
      </c>
      <c r="T76" s="102">
        <f>T33-S33</f>
        <v/>
      </c>
      <c r="U76" s="102">
        <f>U33-T33</f>
        <v/>
      </c>
      <c r="V76" s="102">
        <f>V33-U33</f>
        <v/>
      </c>
      <c r="W76" s="102">
        <f>W33-V33</f>
        <v/>
      </c>
      <c r="X76" s="102">
        <f>X33-W33</f>
        <v/>
      </c>
      <c r="Y76" s="102">
        <f>Y33-X33</f>
        <v/>
      </c>
      <c r="Z76" s="102">
        <f>Z33-Y33</f>
        <v/>
      </c>
      <c r="AA76" s="102">
        <f>AA33-Z33</f>
        <v/>
      </c>
      <c r="AB76" s="102">
        <f>AB33-AA33</f>
        <v/>
      </c>
      <c r="AC76" s="102">
        <f>AC33-AB33</f>
        <v/>
      </c>
      <c r="AD76" s="102">
        <f>AD33-AC33</f>
        <v/>
      </c>
      <c r="AE76" s="102">
        <f>AE33-AD33</f>
        <v/>
      </c>
      <c r="AF76" s="102">
        <f>AF33-AE33</f>
        <v/>
      </c>
      <c r="AG76" s="102">
        <f>AG33-AF33</f>
        <v/>
      </c>
      <c r="AH76" s="102">
        <f>AH33-AG33</f>
        <v/>
      </c>
      <c r="AI76" s="102">
        <f>AI33-AH33</f>
        <v/>
      </c>
      <c r="AJ76" s="102">
        <f>SUM(E76:AI76)</f>
        <v/>
      </c>
    </row>
    <row r="77">
      <c r="A77" s="500" t="n">
        <v>3</v>
      </c>
      <c r="B77" s="500" t="inlineStr">
        <is>
          <t>3F</t>
        </is>
      </c>
      <c r="C77" s="500" t="inlineStr">
        <is>
          <t>AHU3 - BTU</t>
        </is>
      </c>
      <c r="D77" s="501" t="n"/>
      <c r="E77" s="102">
        <f>E34-D34</f>
        <v/>
      </c>
      <c r="F77" s="102">
        <f>F34-E34</f>
        <v/>
      </c>
      <c r="G77" s="102">
        <f>G34-F34</f>
        <v/>
      </c>
      <c r="H77" s="102">
        <f>H34-G34</f>
        <v/>
      </c>
      <c r="I77" s="102">
        <f>I34-H34</f>
        <v/>
      </c>
      <c r="J77" s="102">
        <f>J34-I34</f>
        <v/>
      </c>
      <c r="K77" s="102">
        <f>K34-J34</f>
        <v/>
      </c>
      <c r="L77" s="102">
        <f>L34-K34</f>
        <v/>
      </c>
      <c r="M77" s="102">
        <f>M34-L34</f>
        <v/>
      </c>
      <c r="N77" s="102">
        <f>N34-M34</f>
        <v/>
      </c>
      <c r="O77" s="102">
        <f>O34-N34</f>
        <v/>
      </c>
      <c r="P77" s="102">
        <f>P34-O34</f>
        <v/>
      </c>
      <c r="Q77" s="102">
        <f>Q34-P34</f>
        <v/>
      </c>
      <c r="R77" s="102">
        <f>R34-Q34</f>
        <v/>
      </c>
      <c r="S77" s="102">
        <f>S34-R34</f>
        <v/>
      </c>
      <c r="T77" s="102">
        <f>T34-S34</f>
        <v/>
      </c>
      <c r="U77" s="102">
        <f>U34-T34</f>
        <v/>
      </c>
      <c r="V77" s="102">
        <f>V34-U34</f>
        <v/>
      </c>
      <c r="W77" s="102">
        <f>W34-V34</f>
        <v/>
      </c>
      <c r="X77" s="102">
        <f>X34-W34</f>
        <v/>
      </c>
      <c r="Y77" s="102" t="n">
        <v>1326</v>
      </c>
      <c r="Z77" s="102">
        <f>Z34-Y34</f>
        <v/>
      </c>
      <c r="AA77" s="102">
        <f>AA34-Z34</f>
        <v/>
      </c>
      <c r="AB77" s="102">
        <f>AB34-AA34</f>
        <v/>
      </c>
      <c r="AC77" s="102">
        <f>AC34-AB34</f>
        <v/>
      </c>
      <c r="AD77" s="102">
        <f>AD34-AC34</f>
        <v/>
      </c>
      <c r="AE77" s="102">
        <f>AE34-AD34</f>
        <v/>
      </c>
      <c r="AF77" s="102">
        <f>AF34-AE34</f>
        <v/>
      </c>
      <c r="AG77" s="102">
        <f>AG34-AF34</f>
        <v/>
      </c>
      <c r="AH77" s="102">
        <f>AH34-AG34</f>
        <v/>
      </c>
      <c r="AI77" s="102">
        <f>AI34-AH34</f>
        <v/>
      </c>
      <c r="AJ77" s="102">
        <f>SUM(E77:AI77)</f>
        <v/>
      </c>
    </row>
    <row r="78">
      <c r="A78" s="500" t="n">
        <v>4</v>
      </c>
      <c r="B78" s="500" t="inlineStr">
        <is>
          <t>3F</t>
        </is>
      </c>
      <c r="C78" s="500" t="inlineStr">
        <is>
          <t>AHU4 - BTU</t>
        </is>
      </c>
      <c r="D78" s="501" t="n"/>
      <c r="E78" s="102">
        <f>E35-D35</f>
        <v/>
      </c>
      <c r="F78" s="102">
        <f>F35-E35</f>
        <v/>
      </c>
      <c r="G78" s="102">
        <f>G35-F35</f>
        <v/>
      </c>
      <c r="H78" s="102">
        <f>H35-G35</f>
        <v/>
      </c>
      <c r="I78" s="102">
        <f>I35-H35</f>
        <v/>
      </c>
      <c r="J78" s="102">
        <f>J35-I35</f>
        <v/>
      </c>
      <c r="K78" s="102">
        <f>K35-J35</f>
        <v/>
      </c>
      <c r="L78" s="102">
        <f>L35-K35</f>
        <v/>
      </c>
      <c r="M78" s="102">
        <f>M35-L35</f>
        <v/>
      </c>
      <c r="N78" s="102">
        <f>N35-M35</f>
        <v/>
      </c>
      <c r="O78" s="102">
        <f>O35-N35</f>
        <v/>
      </c>
      <c r="P78" s="102">
        <f>P35-O35</f>
        <v/>
      </c>
      <c r="Q78" s="102">
        <f>Q35-P35</f>
        <v/>
      </c>
      <c r="R78" s="102">
        <f>R35-Q35</f>
        <v/>
      </c>
      <c r="S78" s="102">
        <f>S35-R35</f>
        <v/>
      </c>
      <c r="T78" s="102">
        <f>T35-S35</f>
        <v/>
      </c>
      <c r="U78" s="102">
        <f>U35-T35</f>
        <v/>
      </c>
      <c r="V78" s="102">
        <f>V35-U35</f>
        <v/>
      </c>
      <c r="W78" s="102">
        <f>W35-V35</f>
        <v/>
      </c>
      <c r="X78" s="102">
        <f>X35-W35</f>
        <v/>
      </c>
      <c r="Y78" s="102">
        <f>Y35-X35</f>
        <v/>
      </c>
      <c r="Z78" s="102">
        <f>Z35-Y35</f>
        <v/>
      </c>
      <c r="AA78" s="102">
        <f>AA35-Z35</f>
        <v/>
      </c>
      <c r="AB78" s="102">
        <f>AB35-AA35</f>
        <v/>
      </c>
      <c r="AC78" s="102">
        <f>AC35-AB35</f>
        <v/>
      </c>
      <c r="AD78" s="102">
        <f>AD35-AC35</f>
        <v/>
      </c>
      <c r="AE78" s="102">
        <f>AE35-AD35</f>
        <v/>
      </c>
      <c r="AF78" s="102">
        <f>AF35-AE35</f>
        <v/>
      </c>
      <c r="AG78" s="102">
        <f>AG35-AF35</f>
        <v/>
      </c>
      <c r="AH78" s="102">
        <f>AH35-AG35</f>
        <v/>
      </c>
      <c r="AI78" s="102">
        <f>AI35-AH35</f>
        <v/>
      </c>
      <c r="AJ78" s="102">
        <f>SUM(E78:AI78)</f>
        <v/>
      </c>
    </row>
    <row r="79" ht="15" customHeight="1" s="488">
      <c r="A79" s="99" t="n"/>
      <c r="B79" s="99" t="n"/>
      <c r="C79" s="511" t="inlineStr">
        <is>
          <t>Total BTU Consumption</t>
        </is>
      </c>
      <c r="D79" s="501" t="n"/>
      <c r="E79" s="23">
        <f>SUM(E75:E78)</f>
        <v/>
      </c>
      <c r="F79" s="23">
        <f>SUM(F75:F78)</f>
        <v/>
      </c>
      <c r="G79" s="23">
        <f>SUM(G75:G78)</f>
        <v/>
      </c>
      <c r="H79" s="23">
        <f>SUM(H75:H78)</f>
        <v/>
      </c>
      <c r="I79" s="23">
        <f>SUM(I75:I78)</f>
        <v/>
      </c>
      <c r="J79" s="23">
        <f>SUM(J75:J78)</f>
        <v/>
      </c>
      <c r="K79" s="23">
        <f>SUM(K75:K78)</f>
        <v/>
      </c>
      <c r="L79" s="23">
        <f>SUM(L75:L78)</f>
        <v/>
      </c>
      <c r="M79" s="23">
        <f>SUM(M75:M78)</f>
        <v/>
      </c>
      <c r="N79" s="23">
        <f>SUM(N75:N78)</f>
        <v/>
      </c>
      <c r="O79" s="23">
        <f>SUM(O75:O78)</f>
        <v/>
      </c>
      <c r="P79" s="23">
        <f>SUM(P75:P78)</f>
        <v/>
      </c>
      <c r="Q79" s="23">
        <f>SUM(Q75:Q78)</f>
        <v/>
      </c>
      <c r="R79" s="23">
        <f>SUM(R75:R78)</f>
        <v/>
      </c>
      <c r="S79" s="23">
        <f>SUM(S75:S78)</f>
        <v/>
      </c>
      <c r="T79" s="23">
        <f>SUM(T75:T78)</f>
        <v/>
      </c>
      <c r="U79" s="23">
        <f>SUM(U75:U78)</f>
        <v/>
      </c>
      <c r="V79" s="23">
        <f>SUM(V75:V78)</f>
        <v/>
      </c>
      <c r="W79" s="23">
        <f>SUM(W75:W78)</f>
        <v/>
      </c>
      <c r="X79" s="23">
        <f>SUM(X75:X78)</f>
        <v/>
      </c>
      <c r="Y79" s="23">
        <f>SUM(Y75:Y78)</f>
        <v/>
      </c>
      <c r="Z79" s="23">
        <f>SUM(Z75:Z78)</f>
        <v/>
      </c>
      <c r="AA79" s="23">
        <f>SUM(AA75:AA78)</f>
        <v/>
      </c>
      <c r="AB79" s="23">
        <f>SUM(AB75:AB78)</f>
        <v/>
      </c>
      <c r="AC79" s="23">
        <f>SUM(AC75:AC78)</f>
        <v/>
      </c>
      <c r="AD79" s="23">
        <f>SUM(AD75:AD78)</f>
        <v/>
      </c>
      <c r="AE79" s="23">
        <f>SUM(AE75:AE78)</f>
        <v/>
      </c>
      <c r="AF79" s="23">
        <f>SUM(AF75:AF78)</f>
        <v/>
      </c>
      <c r="AG79" s="23">
        <f>SUM(AG75:AG78)</f>
        <v/>
      </c>
      <c r="AH79" s="23">
        <f>SUM(AH75:AH78)</f>
        <v/>
      </c>
      <c r="AI79" s="23">
        <f>SUM(AI75:AI78)</f>
        <v/>
      </c>
      <c r="AJ79" s="24">
        <f>SUM(AJ75:AJ78)</f>
        <v/>
      </c>
    </row>
    <row r="87">
      <c r="AG87" s="64" t="n"/>
    </row>
  </sheetData>
  <mergeCells count="49">
    <mergeCell ref="C77:D77"/>
    <mergeCell ref="AJ40:AJ43"/>
    <mergeCell ref="C62:D62"/>
    <mergeCell ref="C68:D68"/>
    <mergeCell ref="C40:D43"/>
    <mergeCell ref="C58:D58"/>
    <mergeCell ref="C45:D45"/>
    <mergeCell ref="AJ2:AJ5"/>
    <mergeCell ref="E1:AH1"/>
    <mergeCell ref="C74:D74"/>
    <mergeCell ref="B2:B5"/>
    <mergeCell ref="C64:D64"/>
    <mergeCell ref="C79:D79"/>
    <mergeCell ref="B38:D38"/>
    <mergeCell ref="D2:D5"/>
    <mergeCell ref="C73:D73"/>
    <mergeCell ref="C47:D47"/>
    <mergeCell ref="C54:D54"/>
    <mergeCell ref="C65:D65"/>
    <mergeCell ref="C55:D55"/>
    <mergeCell ref="C50:D50"/>
    <mergeCell ref="C44:D44"/>
    <mergeCell ref="C75:D75"/>
    <mergeCell ref="C56:D56"/>
    <mergeCell ref="C59:D59"/>
    <mergeCell ref="A1:D1"/>
    <mergeCell ref="C49:D49"/>
    <mergeCell ref="C46:D46"/>
    <mergeCell ref="B40:B43"/>
    <mergeCell ref="A22:AJ22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31:AJ31"/>
    <mergeCell ref="C72:D72"/>
    <mergeCell ref="C67:D67"/>
    <mergeCell ref="C57:D57"/>
    <mergeCell ref="C66:D66"/>
    <mergeCell ref="C53:D53"/>
    <mergeCell ref="B39:D39"/>
    <mergeCell ref="C78:D78"/>
    <mergeCell ref="C69:D69"/>
    <mergeCell ref="A40:A4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79"/>
  <sheetViews>
    <sheetView zoomScale="80" zoomScaleNormal="80" workbookViewId="0">
      <selection activeCell="A1" sqref="A1:XFD1048576"/>
    </sheetView>
  </sheetViews>
  <sheetFormatPr baseColWidth="8" defaultRowHeight="14.5"/>
  <cols>
    <col width="14" customWidth="1" style="488" min="1" max="1"/>
    <col width="27" customWidth="1" style="488" min="2" max="2"/>
    <col width="32" bestFit="1" customWidth="1" style="488" min="3" max="3"/>
    <col width="20" customWidth="1" style="488" min="4" max="4"/>
    <col width="23" customWidth="1" style="488" min="5" max="35"/>
    <col width="18" customWidth="1" style="488" min="36" max="36"/>
    <col width="14" customWidth="1" style="488" min="37" max="37"/>
    <col width="18" customWidth="1" style="488" min="38" max="38"/>
  </cols>
  <sheetData>
    <row r="1" ht="26" customHeight="1" s="488">
      <c r="A1" s="573" t="n"/>
      <c r="B1" s="505" t="n"/>
      <c r="C1" s="505" t="n"/>
      <c r="D1" s="506" t="n"/>
      <c r="E1" s="581" t="inlineStr">
        <is>
          <t>JUNE - 2025</t>
        </is>
      </c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159" t="n"/>
      <c r="AJ1" s="50" t="n"/>
    </row>
    <row r="2">
      <c r="A2" s="508" t="inlineStr">
        <is>
          <t>Sr.No</t>
        </is>
      </c>
      <c r="B2" s="508" t="inlineStr">
        <is>
          <t>Location</t>
        </is>
      </c>
      <c r="C2" s="580" t="inlineStr">
        <is>
          <t>Meter</t>
        </is>
      </c>
      <c r="D2" s="562" t="inlineStr">
        <is>
          <t>Previous Reading</t>
        </is>
      </c>
      <c r="E2" s="194" t="n">
        <v>45809</v>
      </c>
      <c r="F2" s="194" t="n">
        <v>45810</v>
      </c>
      <c r="G2" s="194" t="n">
        <v>45811</v>
      </c>
      <c r="H2" s="194" t="n">
        <v>45812</v>
      </c>
      <c r="I2" s="194" t="n">
        <v>45813</v>
      </c>
      <c r="J2" s="194" t="n">
        <v>45814</v>
      </c>
      <c r="K2" s="194" t="n">
        <v>45815</v>
      </c>
      <c r="L2" s="194" t="n">
        <v>45816</v>
      </c>
      <c r="M2" s="194" t="n">
        <v>45817</v>
      </c>
      <c r="N2" s="194" t="n">
        <v>45818</v>
      </c>
      <c r="O2" s="194" t="n">
        <v>45819</v>
      </c>
      <c r="P2" s="194" t="n">
        <v>45820</v>
      </c>
      <c r="Q2" s="194" t="n">
        <v>45821</v>
      </c>
      <c r="R2" s="194" t="n">
        <v>45822</v>
      </c>
      <c r="S2" s="194" t="n">
        <v>45823</v>
      </c>
      <c r="T2" s="194" t="n">
        <v>45824</v>
      </c>
      <c r="U2" s="194" t="n">
        <v>45825</v>
      </c>
      <c r="V2" s="194" t="n">
        <v>45826</v>
      </c>
      <c r="W2" s="194" t="n">
        <v>45827</v>
      </c>
      <c r="X2" s="194" t="n">
        <v>45828</v>
      </c>
      <c r="Y2" s="194" t="n">
        <v>45829</v>
      </c>
      <c r="Z2" s="194" t="n">
        <v>45830</v>
      </c>
      <c r="AA2" s="194" t="n">
        <v>45831</v>
      </c>
      <c r="AB2" s="194" t="n">
        <v>45832</v>
      </c>
      <c r="AC2" s="194" t="n">
        <v>45833</v>
      </c>
      <c r="AD2" s="194" t="n">
        <v>45834</v>
      </c>
      <c r="AE2" s="194" t="n">
        <v>45835</v>
      </c>
      <c r="AF2" s="194" t="n">
        <v>45836</v>
      </c>
      <c r="AG2" s="194" t="n">
        <v>45837</v>
      </c>
      <c r="AH2" s="194" t="n">
        <v>45838</v>
      </c>
      <c r="AI2" s="194" t="n">
        <v>45808</v>
      </c>
      <c r="AJ2" s="518" t="inlineStr">
        <is>
          <t>Consumption</t>
        </is>
      </c>
    </row>
    <row r="3">
      <c r="A3" s="509" t="n"/>
      <c r="B3" s="509" t="n"/>
      <c r="C3" s="509" t="n"/>
      <c r="D3" s="509" t="n"/>
      <c r="E3" s="52" t="inlineStr">
        <is>
          <t>SUN</t>
        </is>
      </c>
      <c r="F3" s="52" t="inlineStr">
        <is>
          <t>MON</t>
        </is>
      </c>
      <c r="G3" s="52" t="inlineStr">
        <is>
          <t>TUE</t>
        </is>
      </c>
      <c r="H3" s="52" t="inlineStr">
        <is>
          <t>WED</t>
        </is>
      </c>
      <c r="I3" s="52" t="inlineStr">
        <is>
          <t>THU</t>
        </is>
      </c>
      <c r="J3" s="52" t="inlineStr">
        <is>
          <t>FRI</t>
        </is>
      </c>
      <c r="K3" s="52" t="inlineStr">
        <is>
          <t>SAT</t>
        </is>
      </c>
      <c r="L3" s="52" t="inlineStr">
        <is>
          <t>SUN</t>
        </is>
      </c>
      <c r="M3" s="52" t="inlineStr">
        <is>
          <t>MON</t>
        </is>
      </c>
      <c r="N3" s="52" t="inlineStr">
        <is>
          <t>TUE</t>
        </is>
      </c>
      <c r="O3" s="52" t="inlineStr">
        <is>
          <t>WED</t>
        </is>
      </c>
      <c r="P3" s="52" t="inlineStr">
        <is>
          <t>THU</t>
        </is>
      </c>
      <c r="Q3" s="52" t="inlineStr">
        <is>
          <t>FRI</t>
        </is>
      </c>
      <c r="R3" s="52" t="inlineStr">
        <is>
          <t>SAT</t>
        </is>
      </c>
      <c r="S3" s="52" t="inlineStr">
        <is>
          <t>SUN</t>
        </is>
      </c>
      <c r="T3" s="52" t="inlineStr">
        <is>
          <t>MON</t>
        </is>
      </c>
      <c r="U3" s="52" t="inlineStr">
        <is>
          <t>TUE</t>
        </is>
      </c>
      <c r="V3" s="52" t="inlineStr">
        <is>
          <t>WED</t>
        </is>
      </c>
      <c r="W3" s="52" t="inlineStr">
        <is>
          <t>THU</t>
        </is>
      </c>
      <c r="X3" s="52" t="inlineStr">
        <is>
          <t>FRI</t>
        </is>
      </c>
      <c r="Y3" s="52" t="inlineStr">
        <is>
          <t>SAT</t>
        </is>
      </c>
      <c r="Z3" s="52" t="inlineStr">
        <is>
          <t>SUN</t>
        </is>
      </c>
      <c r="AA3" s="52" t="inlineStr">
        <is>
          <t>MON</t>
        </is>
      </c>
      <c r="AB3" s="52" t="inlineStr">
        <is>
          <t>TUE</t>
        </is>
      </c>
      <c r="AC3" s="52" t="inlineStr">
        <is>
          <t>WED</t>
        </is>
      </c>
      <c r="AD3" s="52" t="inlineStr">
        <is>
          <t>THU</t>
        </is>
      </c>
      <c r="AE3" s="52" t="inlineStr">
        <is>
          <t>FRI</t>
        </is>
      </c>
      <c r="AF3" s="52" t="inlineStr">
        <is>
          <t>SAT</t>
        </is>
      </c>
      <c r="AG3" s="52" t="inlineStr">
        <is>
          <t>SUN</t>
        </is>
      </c>
      <c r="AH3" s="52" t="inlineStr">
        <is>
          <t>MON</t>
        </is>
      </c>
      <c r="AI3" s="52" t="inlineStr">
        <is>
          <t>SAT</t>
        </is>
      </c>
      <c r="AJ3" s="509" t="n"/>
    </row>
    <row r="4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2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53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3" t="n">
        <v>0.3333333333333333</v>
      </c>
      <c r="AJ5" s="510" t="n"/>
    </row>
    <row r="6">
      <c r="A6" s="48" t="n">
        <v>1</v>
      </c>
      <c r="B6" s="561" t="inlineStr">
        <is>
          <t>3F</t>
        </is>
      </c>
      <c r="C6" s="139" t="inlineStr">
        <is>
          <t>SL No 540430038840 (EB Unit)</t>
        </is>
      </c>
      <c r="D6" s="55" t="n">
        <v>114025</v>
      </c>
      <c r="E6" s="48" t="n">
        <v>114691</v>
      </c>
      <c r="F6" s="48" t="n">
        <v>114949</v>
      </c>
      <c r="G6" s="48" t="n">
        <v>115216</v>
      </c>
      <c r="H6" s="48" t="n">
        <v>115489</v>
      </c>
      <c r="I6" s="48" t="n">
        <v>115763</v>
      </c>
      <c r="J6" s="48" t="n">
        <v>116035</v>
      </c>
      <c r="K6" s="48" t="n">
        <v>116247</v>
      </c>
      <c r="L6" s="48" t="n">
        <v>116455</v>
      </c>
      <c r="M6" s="48" t="n">
        <v>116705</v>
      </c>
      <c r="N6" s="48" t="n">
        <v>116965</v>
      </c>
      <c r="O6" s="561" t="n">
        <v>117229</v>
      </c>
      <c r="P6" s="58" t="n">
        <v>117492</v>
      </c>
      <c r="Q6" s="48" t="n">
        <v>117762</v>
      </c>
      <c r="R6" s="59" t="n">
        <v>117979</v>
      </c>
      <c r="S6" s="561" t="n">
        <v>118172</v>
      </c>
      <c r="T6" s="561" t="n">
        <v>118437</v>
      </c>
      <c r="U6" s="561" t="n">
        <v>118709</v>
      </c>
      <c r="V6" s="125" t="n">
        <v>118983</v>
      </c>
      <c r="W6" s="561" t="n">
        <v>119260</v>
      </c>
      <c r="X6" s="561" t="n">
        <v>119523</v>
      </c>
      <c r="Y6" s="561" t="n">
        <v>119726</v>
      </c>
      <c r="Z6" s="561" t="n">
        <v>119933</v>
      </c>
      <c r="AA6" s="561" t="n">
        <v>120201</v>
      </c>
      <c r="AB6" s="561" t="n">
        <v>120476</v>
      </c>
      <c r="AC6" s="561" t="n">
        <v>120772</v>
      </c>
      <c r="AD6" s="561" t="n">
        <v>121034</v>
      </c>
      <c r="AE6" s="561" t="n">
        <v>121298</v>
      </c>
      <c r="AF6" s="561" t="n">
        <v>121510</v>
      </c>
      <c r="AG6" s="48" t="n">
        <v>121718</v>
      </c>
      <c r="AH6" s="169" t="n">
        <v>121887</v>
      </c>
      <c r="AI6" s="48" t="n"/>
      <c r="AJ6" s="57">
        <f>AH6-D6</f>
        <v/>
      </c>
    </row>
    <row r="7">
      <c r="A7" s="8" t="n"/>
      <c r="B7" s="8" t="n"/>
      <c r="C7" s="140" t="inlineStr">
        <is>
          <t>DG</t>
        </is>
      </c>
      <c r="D7" s="45" t="n">
        <v>4136</v>
      </c>
      <c r="E7" s="8" t="n">
        <v>4144</v>
      </c>
      <c r="F7" s="8" t="n">
        <v>4144</v>
      </c>
      <c r="G7" s="8" t="n">
        <v>4144</v>
      </c>
      <c r="H7" s="8" t="n">
        <v>4144</v>
      </c>
      <c r="I7" s="8" t="n">
        <v>4144</v>
      </c>
      <c r="J7" s="8" t="n">
        <v>4144</v>
      </c>
      <c r="K7" s="8" t="n">
        <v>4144</v>
      </c>
      <c r="L7" s="8" t="n">
        <v>4144</v>
      </c>
      <c r="M7" s="8" t="n">
        <v>4144</v>
      </c>
      <c r="N7" s="8" t="n">
        <v>4144</v>
      </c>
      <c r="O7" s="8" t="n">
        <v>4161</v>
      </c>
      <c r="P7" s="8" t="n">
        <v>4161</v>
      </c>
      <c r="Q7" s="8" t="n">
        <v>4161</v>
      </c>
      <c r="R7" s="8" t="n">
        <v>4161</v>
      </c>
      <c r="S7" s="8" t="n">
        <v>4161</v>
      </c>
      <c r="T7" s="8" t="n">
        <v>4161</v>
      </c>
      <c r="U7" s="8" t="n">
        <v>4161</v>
      </c>
      <c r="V7" s="8" t="n">
        <v>4161</v>
      </c>
      <c r="W7" s="8" t="n">
        <v>4161</v>
      </c>
      <c r="X7" s="8" t="n">
        <v>4161</v>
      </c>
      <c r="Y7" s="8" t="n">
        <v>4176</v>
      </c>
      <c r="Z7" s="8" t="n">
        <v>4176</v>
      </c>
      <c r="AA7" s="8" t="n">
        <v>4176</v>
      </c>
      <c r="AB7" s="8" t="n">
        <v>4176</v>
      </c>
      <c r="AC7" s="8" t="n">
        <v>4176</v>
      </c>
      <c r="AD7" s="8" t="n">
        <v>4176</v>
      </c>
      <c r="AE7" s="8" t="n">
        <v>4176</v>
      </c>
      <c r="AF7" s="8" t="n">
        <v>4176</v>
      </c>
      <c r="AG7" s="8" t="n">
        <v>4176</v>
      </c>
      <c r="AH7" s="128" t="n">
        <v>4176</v>
      </c>
      <c r="AI7" s="48" t="n"/>
      <c r="AJ7" s="57">
        <f>AH7-D7</f>
        <v/>
      </c>
    </row>
    <row r="8">
      <c r="A8" s="561" t="n">
        <v>2</v>
      </c>
      <c r="B8" s="561" t="inlineStr">
        <is>
          <t>3F</t>
        </is>
      </c>
      <c r="C8" s="141" t="inlineStr">
        <is>
          <t>SL No 540430038845 (EB Unit)</t>
        </is>
      </c>
      <c r="D8" s="565" t="n">
        <v>1956</v>
      </c>
      <c r="E8" s="561" t="n">
        <v>1956</v>
      </c>
      <c r="F8" s="561" t="n">
        <v>1956</v>
      </c>
      <c r="G8" s="561" t="n">
        <v>1956</v>
      </c>
      <c r="H8" s="561" t="n">
        <v>1956</v>
      </c>
      <c r="I8" s="561" t="n">
        <v>1956</v>
      </c>
      <c r="J8" s="561" t="n">
        <v>1956</v>
      </c>
      <c r="K8" s="561" t="n">
        <v>1956</v>
      </c>
      <c r="L8" s="561" t="n">
        <v>1956</v>
      </c>
      <c r="M8" s="561" t="n">
        <v>1956</v>
      </c>
      <c r="N8" s="561" t="n">
        <v>1956</v>
      </c>
      <c r="O8" s="561" t="n">
        <v>1956</v>
      </c>
      <c r="P8" s="561" t="n">
        <v>1956</v>
      </c>
      <c r="Q8" s="561" t="n">
        <v>1956</v>
      </c>
      <c r="R8" s="561" t="n">
        <v>1956</v>
      </c>
      <c r="S8" s="561" t="n">
        <v>1956</v>
      </c>
      <c r="T8" s="561" t="n">
        <v>1956</v>
      </c>
      <c r="U8" s="561" t="n">
        <v>1956</v>
      </c>
      <c r="V8" s="561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8" t="n">
        <v>1956</v>
      </c>
      <c r="AI8" s="48" t="n"/>
      <c r="AJ8" s="57">
        <f>AH8-D8</f>
        <v/>
      </c>
    </row>
    <row r="9">
      <c r="A9" s="561" t="n"/>
      <c r="B9" s="561" t="n"/>
      <c r="C9" s="140" t="inlineStr">
        <is>
          <t>DG</t>
        </is>
      </c>
      <c r="D9" s="565" t="n">
        <v>28.6</v>
      </c>
      <c r="E9" s="561" t="n">
        <v>28.6</v>
      </c>
      <c r="F9" s="561" t="n">
        <v>28.6</v>
      </c>
      <c r="G9" s="561" t="n">
        <v>28.6</v>
      </c>
      <c r="H9" s="561" t="n">
        <v>28.6</v>
      </c>
      <c r="I9" s="561" t="n">
        <v>28.6</v>
      </c>
      <c r="J9" s="561" t="n">
        <v>28.6</v>
      </c>
      <c r="K9" s="561" t="n">
        <v>28.6</v>
      </c>
      <c r="L9" s="561" t="n">
        <v>28.6</v>
      </c>
      <c r="M9" s="561" t="n">
        <v>28.6</v>
      </c>
      <c r="N9" s="561" t="n">
        <v>28.6</v>
      </c>
      <c r="O9" s="561" t="n">
        <v>28.6</v>
      </c>
      <c r="P9" s="561" t="n">
        <v>28.6</v>
      </c>
      <c r="Q9" s="561" t="n">
        <v>28.6</v>
      </c>
      <c r="R9" s="561" t="n">
        <v>28.6</v>
      </c>
      <c r="S9" s="561" t="n">
        <v>28.6</v>
      </c>
      <c r="T9" s="561" t="n">
        <v>28.6</v>
      </c>
      <c r="U9" s="561" t="n">
        <v>28.6</v>
      </c>
      <c r="V9" s="561" t="n">
        <v>28.6</v>
      </c>
      <c r="W9" s="561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8" t="n">
        <v>28.6</v>
      </c>
      <c r="AI9" s="48" t="n"/>
      <c r="AJ9" s="57">
        <f>AH9-D9</f>
        <v/>
      </c>
    </row>
    <row r="10">
      <c r="A10" s="561" t="n">
        <v>3</v>
      </c>
      <c r="B10" s="561" t="inlineStr">
        <is>
          <t>3F</t>
        </is>
      </c>
      <c r="C10" s="141" t="inlineStr">
        <is>
          <t>SL No 540430038844 (EB Unit)</t>
        </is>
      </c>
      <c r="D10" s="45" t="n">
        <v>166335</v>
      </c>
      <c r="E10" s="561" t="n">
        <v>167247</v>
      </c>
      <c r="F10" s="561" t="n">
        <v>167618</v>
      </c>
      <c r="G10" s="561" t="n">
        <v>168009</v>
      </c>
      <c r="H10" s="561" t="n">
        <v>168413</v>
      </c>
      <c r="I10" s="561" t="n">
        <v>168816</v>
      </c>
      <c r="J10" s="561" t="n">
        <v>169220</v>
      </c>
      <c r="K10" s="561" t="n">
        <v>169500</v>
      </c>
      <c r="L10" s="561" t="n">
        <v>169774</v>
      </c>
      <c r="M10" s="561" t="n">
        <v>170128</v>
      </c>
      <c r="N10" s="561" t="n">
        <v>170507</v>
      </c>
      <c r="O10" s="561" t="n">
        <v>170897</v>
      </c>
      <c r="P10" s="561" t="n">
        <v>171285</v>
      </c>
      <c r="Q10" s="561" t="n">
        <v>171686</v>
      </c>
      <c r="R10" s="561" t="n">
        <v>171975</v>
      </c>
      <c r="S10" s="561" t="n">
        <v>172230</v>
      </c>
      <c r="T10" s="561" t="n">
        <v>172618</v>
      </c>
      <c r="U10" s="561" t="n">
        <v>173020</v>
      </c>
      <c r="V10" s="561" t="n">
        <v>173424</v>
      </c>
      <c r="W10" s="561" t="n">
        <v>173835</v>
      </c>
      <c r="X10" s="561" t="n">
        <v>174219</v>
      </c>
      <c r="Y10" s="561" t="n">
        <v>174471</v>
      </c>
      <c r="Z10" s="561" t="n">
        <v>174774</v>
      </c>
      <c r="AA10" s="8" t="n">
        <v>175170</v>
      </c>
      <c r="AB10" s="8" t="n">
        <v>175573</v>
      </c>
      <c r="AC10" s="561" t="n">
        <v>176012</v>
      </c>
      <c r="AD10" s="561" t="n">
        <v>176401</v>
      </c>
      <c r="AE10" s="8" t="n">
        <v>176781</v>
      </c>
      <c r="AF10" s="8" t="n">
        <v>177079</v>
      </c>
      <c r="AG10" s="8" t="n">
        <v>177353</v>
      </c>
      <c r="AH10" s="128" t="n">
        <v>177601</v>
      </c>
      <c r="AI10" s="48" t="n"/>
      <c r="AJ10" s="57">
        <f>AH10-D10</f>
        <v/>
      </c>
    </row>
    <row r="11">
      <c r="A11" s="561" t="n"/>
      <c r="B11" s="561" t="n"/>
      <c r="C11" s="140" t="inlineStr">
        <is>
          <t>DG</t>
        </is>
      </c>
      <c r="D11" s="565" t="n">
        <v>6189</v>
      </c>
      <c r="E11" s="561" t="n">
        <v>6200</v>
      </c>
      <c r="F11" s="561" t="n">
        <v>6200</v>
      </c>
      <c r="G11" s="561" t="n">
        <v>6200</v>
      </c>
      <c r="H11" s="561" t="n">
        <v>6200</v>
      </c>
      <c r="I11" s="561" t="n">
        <v>6200</v>
      </c>
      <c r="J11" s="561" t="n">
        <v>6200</v>
      </c>
      <c r="K11" s="561" t="n">
        <v>6200</v>
      </c>
      <c r="L11" s="561" t="n">
        <v>6200</v>
      </c>
      <c r="M11" s="561" t="n">
        <v>6200</v>
      </c>
      <c r="N11" s="561" t="n">
        <v>6200</v>
      </c>
      <c r="O11" s="561" t="n">
        <v>6222</v>
      </c>
      <c r="P11" s="561" t="n">
        <v>6222</v>
      </c>
      <c r="Q11" s="561" t="n">
        <v>6222</v>
      </c>
      <c r="R11" s="561" t="n">
        <v>6222</v>
      </c>
      <c r="S11" s="561" t="n">
        <v>6222</v>
      </c>
      <c r="T11" s="561" t="n">
        <v>6222</v>
      </c>
      <c r="U11" s="561" t="n">
        <v>6222</v>
      </c>
      <c r="V11" s="561" t="n">
        <v>6222</v>
      </c>
      <c r="W11" s="561" t="n">
        <v>6222</v>
      </c>
      <c r="X11" s="561" t="n">
        <v>6222</v>
      </c>
      <c r="Y11" s="561" t="n">
        <v>6242</v>
      </c>
      <c r="Z11" s="561" t="n">
        <v>6242</v>
      </c>
      <c r="AA11" s="561" t="n">
        <v>6242</v>
      </c>
      <c r="AB11" s="561" t="n">
        <v>6242</v>
      </c>
      <c r="AC11" s="561" t="n">
        <v>6242</v>
      </c>
      <c r="AD11" s="561" t="n">
        <v>6242</v>
      </c>
      <c r="AE11" s="561" t="n">
        <v>6242</v>
      </c>
      <c r="AF11" s="561" t="n">
        <v>6242</v>
      </c>
      <c r="AG11" s="561" t="n">
        <v>6242</v>
      </c>
      <c r="AH11" s="58" t="n">
        <v>6242</v>
      </c>
      <c r="AI11" s="48" t="n"/>
      <c r="AJ11" s="57">
        <f>AH11-D11</f>
        <v/>
      </c>
    </row>
    <row r="12">
      <c r="A12" s="561" t="n">
        <v>4</v>
      </c>
      <c r="B12" s="561" t="inlineStr">
        <is>
          <t>3F</t>
        </is>
      </c>
      <c r="C12" s="141" t="inlineStr">
        <is>
          <t>SL No 540430038821 (EB Unit)</t>
        </is>
      </c>
      <c r="D12" s="565" t="n">
        <v>0</v>
      </c>
      <c r="E12" s="561" t="n">
        <v>0</v>
      </c>
      <c r="F12" s="561" t="n">
        <v>0</v>
      </c>
      <c r="G12" s="561" t="n">
        <v>0</v>
      </c>
      <c r="H12" s="561" t="n">
        <v>0</v>
      </c>
      <c r="I12" s="561" t="n">
        <v>0</v>
      </c>
      <c r="J12" s="561" t="n">
        <v>0</v>
      </c>
      <c r="K12" s="561" t="n">
        <v>0</v>
      </c>
      <c r="L12" s="561" t="n">
        <v>0</v>
      </c>
      <c r="M12" s="561" t="n">
        <v>0</v>
      </c>
      <c r="N12" s="561" t="n">
        <v>0</v>
      </c>
      <c r="O12" s="561" t="n">
        <v>0</v>
      </c>
      <c r="P12" s="561" t="n">
        <v>0</v>
      </c>
      <c r="Q12" s="561" t="n">
        <v>0</v>
      </c>
      <c r="R12" s="561" t="n">
        <v>0</v>
      </c>
      <c r="S12" s="561" t="n">
        <v>0</v>
      </c>
      <c r="T12" s="561" t="n">
        <v>0</v>
      </c>
      <c r="U12" s="561" t="n">
        <v>0</v>
      </c>
      <c r="V12" s="561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8" t="n">
        <v>0</v>
      </c>
      <c r="AI12" s="48" t="n"/>
      <c r="AJ12" s="57">
        <f>AH12-D12</f>
        <v/>
      </c>
    </row>
    <row r="13">
      <c r="A13" s="561" t="n"/>
      <c r="B13" s="561" t="n"/>
      <c r="C13" s="140" t="inlineStr">
        <is>
          <t>DG</t>
        </is>
      </c>
      <c r="D13" s="565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8" t="n">
        <v>0</v>
      </c>
      <c r="AI13" s="48" t="n"/>
      <c r="AJ13" s="57">
        <f>AH13-D13</f>
        <v/>
      </c>
    </row>
    <row r="14">
      <c r="A14" s="561" t="n">
        <v>5</v>
      </c>
      <c r="B14" s="561" t="inlineStr">
        <is>
          <t>3F</t>
        </is>
      </c>
      <c r="C14" s="141" t="inlineStr">
        <is>
          <t>SL No 540430038849 (EB Unit)</t>
        </is>
      </c>
      <c r="D14" s="45" t="n">
        <v>79294</v>
      </c>
      <c r="E14" s="561" t="n">
        <v>79761</v>
      </c>
      <c r="F14" s="561" t="n">
        <v>79971</v>
      </c>
      <c r="G14" s="561" t="n">
        <v>80178</v>
      </c>
      <c r="H14" s="561" t="n">
        <v>80393</v>
      </c>
      <c r="I14" s="561" t="n">
        <v>80620</v>
      </c>
      <c r="J14" s="561" t="n">
        <v>80839</v>
      </c>
      <c r="K14" s="561" t="n">
        <v>80972</v>
      </c>
      <c r="L14" s="561" t="n">
        <v>81089</v>
      </c>
      <c r="M14" s="561" t="n">
        <v>81283</v>
      </c>
      <c r="N14" s="561" t="n">
        <v>81486</v>
      </c>
      <c r="O14" s="561" t="n">
        <v>81686</v>
      </c>
      <c r="P14" s="561" t="n">
        <v>81893</v>
      </c>
      <c r="Q14" s="561" t="n">
        <v>82107</v>
      </c>
      <c r="R14" s="561" t="n">
        <v>82247</v>
      </c>
      <c r="S14" s="561" t="n">
        <v>82370</v>
      </c>
      <c r="T14" s="561" t="n">
        <v>82586</v>
      </c>
      <c r="U14" s="33" t="n">
        <v>82807</v>
      </c>
      <c r="V14" s="561" t="n">
        <v>83020</v>
      </c>
      <c r="W14" s="561" t="n">
        <v>83244</v>
      </c>
      <c r="X14" s="561" t="n">
        <v>83458</v>
      </c>
      <c r="Y14" s="561" t="n">
        <v>83594</v>
      </c>
      <c r="Z14" s="561" t="n">
        <v>83719</v>
      </c>
      <c r="AA14" s="8" t="n">
        <v>83927</v>
      </c>
      <c r="AB14" s="8" t="n">
        <v>84147</v>
      </c>
      <c r="AC14" s="561" t="n">
        <v>84381</v>
      </c>
      <c r="AD14" s="561" t="n">
        <v>84596</v>
      </c>
      <c r="AE14" s="8" t="n">
        <v>84813</v>
      </c>
      <c r="AF14" s="8" t="n">
        <v>84961</v>
      </c>
      <c r="AG14" s="8" t="n">
        <v>85093</v>
      </c>
      <c r="AH14" s="128" t="n">
        <v>85219</v>
      </c>
      <c r="AI14" s="48" t="n"/>
      <c r="AJ14" s="57">
        <f>AH14-D14</f>
        <v/>
      </c>
    </row>
    <row r="15">
      <c r="A15" s="561" t="n"/>
      <c r="B15" s="561" t="n"/>
      <c r="C15" s="140" t="inlineStr">
        <is>
          <t>DG</t>
        </is>
      </c>
      <c r="D15" s="565" t="n">
        <v>3162</v>
      </c>
      <c r="E15" s="561" t="n">
        <v>3167</v>
      </c>
      <c r="F15" s="561" t="n">
        <v>3167</v>
      </c>
      <c r="G15" s="561" t="n">
        <v>3167</v>
      </c>
      <c r="H15" s="561" t="n">
        <v>3167</v>
      </c>
      <c r="I15" s="561" t="n">
        <v>3167</v>
      </c>
      <c r="J15" s="561" t="n">
        <v>3167</v>
      </c>
      <c r="K15" s="561" t="n">
        <v>3167</v>
      </c>
      <c r="L15" s="561" t="n">
        <v>3167</v>
      </c>
      <c r="M15" s="561" t="n">
        <v>3167</v>
      </c>
      <c r="N15" s="561" t="n">
        <v>3167</v>
      </c>
      <c r="O15" s="561" t="n">
        <v>3177</v>
      </c>
      <c r="P15" s="561" t="n">
        <v>3177</v>
      </c>
      <c r="Q15" s="561" t="n">
        <v>3177</v>
      </c>
      <c r="R15" s="561" t="n">
        <v>3177</v>
      </c>
      <c r="S15" s="561" t="n">
        <v>3177</v>
      </c>
      <c r="T15" s="561" t="n">
        <v>3177</v>
      </c>
      <c r="U15" s="60" t="n">
        <v>3177</v>
      </c>
      <c r="V15" s="60" t="n">
        <v>3177</v>
      </c>
      <c r="W15" s="60" t="n">
        <v>3177</v>
      </c>
      <c r="X15" s="60" t="n">
        <v>3177</v>
      </c>
      <c r="Y15" s="60" t="n">
        <v>3188</v>
      </c>
      <c r="Z15" s="60" t="n">
        <v>3188</v>
      </c>
      <c r="AA15" s="60" t="n">
        <v>3188</v>
      </c>
      <c r="AB15" s="60" t="n">
        <v>3188</v>
      </c>
      <c r="AC15" s="60" t="n">
        <v>3188</v>
      </c>
      <c r="AD15" s="60" t="n">
        <v>3188</v>
      </c>
      <c r="AE15" s="60" t="n">
        <v>3188</v>
      </c>
      <c r="AF15" s="561" t="n">
        <v>3188</v>
      </c>
      <c r="AG15" s="561" t="n">
        <v>3188</v>
      </c>
      <c r="AH15" s="58" t="n">
        <v>3188</v>
      </c>
      <c r="AI15" s="48" t="n"/>
      <c r="AJ15" s="57">
        <f>AH15-D15</f>
        <v/>
      </c>
    </row>
    <row r="16">
      <c r="A16" s="561" t="n">
        <v>6</v>
      </c>
      <c r="B16" s="561" t="inlineStr">
        <is>
          <t>3F</t>
        </is>
      </c>
      <c r="C16" s="141" t="inlineStr">
        <is>
          <t>SL No 540430038646 (EB Unit)</t>
        </is>
      </c>
      <c r="D16" s="565" t="n">
        <v>96236</v>
      </c>
      <c r="E16" s="195" t="n">
        <v>96688</v>
      </c>
      <c r="F16" s="561" t="n">
        <v>96950</v>
      </c>
      <c r="G16" s="561" t="n">
        <v>97214</v>
      </c>
      <c r="H16" s="561" t="n">
        <v>97501</v>
      </c>
      <c r="I16" s="561" t="n">
        <v>97762</v>
      </c>
      <c r="J16" s="561" t="n">
        <v>98052</v>
      </c>
      <c r="K16" s="58" t="n">
        <v>98157</v>
      </c>
      <c r="L16" s="127" t="n">
        <v>98264</v>
      </c>
      <c r="M16" s="196" t="n">
        <v>98526</v>
      </c>
      <c r="N16" s="196" t="n">
        <v>98789</v>
      </c>
      <c r="O16" s="196" t="n">
        <v>99059</v>
      </c>
      <c r="P16" s="196" t="n">
        <v>99336</v>
      </c>
      <c r="Q16" s="197" t="n">
        <v>99608</v>
      </c>
      <c r="R16" s="196" t="n">
        <v>99727</v>
      </c>
      <c r="S16" s="59" t="n">
        <v>99838</v>
      </c>
      <c r="T16" s="561" t="n">
        <v>100107</v>
      </c>
      <c r="U16" s="561" t="n">
        <v>100364</v>
      </c>
      <c r="V16" s="561" t="n">
        <v>100626</v>
      </c>
      <c r="W16" s="561" t="n">
        <v>100882</v>
      </c>
      <c r="X16" s="561" t="n">
        <v>101127</v>
      </c>
      <c r="Y16" s="561" t="n">
        <v>101193</v>
      </c>
      <c r="Z16" s="561" t="n">
        <v>101285</v>
      </c>
      <c r="AA16" s="561" t="n">
        <v>101525</v>
      </c>
      <c r="AB16" s="8" t="n">
        <v>101812</v>
      </c>
      <c r="AC16" s="561" t="n">
        <v>102102</v>
      </c>
      <c r="AD16" s="561" t="n">
        <v>102365</v>
      </c>
      <c r="AE16" s="8" t="n">
        <v>102652</v>
      </c>
      <c r="AF16" s="8" t="n">
        <v>102769</v>
      </c>
      <c r="AG16" s="561" t="n">
        <v>102883</v>
      </c>
      <c r="AH16" s="128" t="n">
        <v>103012</v>
      </c>
      <c r="AI16" s="48" t="n"/>
      <c r="AJ16" s="57">
        <f>AH16-D16</f>
        <v/>
      </c>
    </row>
    <row r="17">
      <c r="A17" s="561" t="n"/>
      <c r="B17" s="561" t="n"/>
      <c r="C17" s="140" t="inlineStr">
        <is>
          <t>DG</t>
        </is>
      </c>
      <c r="D17" s="565" t="n">
        <v>4135</v>
      </c>
      <c r="E17" s="561" t="n">
        <v>4137</v>
      </c>
      <c r="F17" s="561" t="n">
        <v>4137</v>
      </c>
      <c r="G17" s="561" t="n">
        <v>4137</v>
      </c>
      <c r="H17" s="561" t="n">
        <v>4137</v>
      </c>
      <c r="I17" s="561" t="n">
        <v>4137</v>
      </c>
      <c r="J17" s="561" t="n">
        <v>4137</v>
      </c>
      <c r="K17" s="561" t="n">
        <v>4137</v>
      </c>
      <c r="L17" s="561" t="n">
        <v>4137</v>
      </c>
      <c r="M17" s="561" t="n">
        <v>4137</v>
      </c>
      <c r="N17" s="561" t="n">
        <v>4137</v>
      </c>
      <c r="O17" s="561" t="n">
        <v>4150</v>
      </c>
      <c r="P17" s="561" t="n">
        <v>4150</v>
      </c>
      <c r="Q17" s="561" t="n">
        <v>4150</v>
      </c>
      <c r="R17" s="561" t="n">
        <v>4150</v>
      </c>
      <c r="S17" s="561" t="n">
        <v>4150</v>
      </c>
      <c r="T17" s="561" t="n">
        <v>4150</v>
      </c>
      <c r="U17" s="129" t="n">
        <v>4150</v>
      </c>
      <c r="V17" s="129" t="n">
        <v>4150</v>
      </c>
      <c r="W17" s="129" t="n">
        <v>4150</v>
      </c>
      <c r="X17" s="129" t="n">
        <v>4150</v>
      </c>
      <c r="Y17" s="129" t="n">
        <v>4155</v>
      </c>
      <c r="Z17" s="129" t="n">
        <v>4155</v>
      </c>
      <c r="AA17" s="129" t="n">
        <v>4155</v>
      </c>
      <c r="AB17" s="129" t="n">
        <v>4155</v>
      </c>
      <c r="AC17" s="129" t="n">
        <v>4155</v>
      </c>
      <c r="AD17" s="129" t="n">
        <v>4155</v>
      </c>
      <c r="AE17" s="129" t="n">
        <v>4155</v>
      </c>
      <c r="AF17" s="561" t="n">
        <v>4155</v>
      </c>
      <c r="AG17" s="561" t="n">
        <v>4155</v>
      </c>
      <c r="AH17" s="58" t="n">
        <v>4155</v>
      </c>
      <c r="AI17" s="48" t="n"/>
      <c r="AJ17" s="57">
        <f>AH17-D17</f>
        <v/>
      </c>
    </row>
    <row r="18">
      <c r="A18" s="561" t="n">
        <v>7</v>
      </c>
      <c r="B18" s="561" t="inlineStr">
        <is>
          <t>3F</t>
        </is>
      </c>
      <c r="C18" s="141" t="inlineStr">
        <is>
          <t>SL No 540430038843 (EB Unit)</t>
        </is>
      </c>
      <c r="D18" s="45" t="n">
        <v>315463</v>
      </c>
      <c r="E18" s="561" t="n">
        <v>317116</v>
      </c>
      <c r="F18" s="561" t="n">
        <v>317835</v>
      </c>
      <c r="G18" s="561" t="n">
        <v>318539</v>
      </c>
      <c r="H18" s="561" t="n">
        <v>319247</v>
      </c>
      <c r="I18" s="561" t="n">
        <v>319967</v>
      </c>
      <c r="J18" s="561" t="n">
        <v>320711</v>
      </c>
      <c r="K18" s="561" t="n">
        <v>321252</v>
      </c>
      <c r="L18" s="561" t="n">
        <v>321573</v>
      </c>
      <c r="M18" s="561" t="n">
        <v>322261</v>
      </c>
      <c r="N18" s="5" t="n">
        <v>322986</v>
      </c>
      <c r="O18" s="561" t="n">
        <v>323665</v>
      </c>
      <c r="P18" s="561" t="n">
        <v>324382</v>
      </c>
      <c r="Q18" s="561" t="n">
        <v>325097</v>
      </c>
      <c r="R18" s="8" t="n">
        <v>325689</v>
      </c>
      <c r="S18" s="5" t="n">
        <v>326045</v>
      </c>
      <c r="T18" s="561" t="n">
        <v>326750</v>
      </c>
      <c r="U18" s="561" t="n">
        <v>327478</v>
      </c>
      <c r="V18" s="561" t="n">
        <v>328207</v>
      </c>
      <c r="W18" s="561" t="n">
        <v>328939</v>
      </c>
      <c r="X18" s="33" t="n">
        <v>329627</v>
      </c>
      <c r="Y18" s="561" t="n">
        <v>330079</v>
      </c>
      <c r="Z18" s="561" t="n">
        <v>330374</v>
      </c>
      <c r="AA18" s="8" t="n">
        <v>331032</v>
      </c>
      <c r="AB18" s="8" t="n">
        <v>331749</v>
      </c>
      <c r="AC18" s="561" t="n">
        <v>332542</v>
      </c>
      <c r="AD18" s="561" t="n">
        <v>333211</v>
      </c>
      <c r="AE18" s="8" t="n">
        <v>333909</v>
      </c>
      <c r="AF18" s="170" t="n">
        <v>334503</v>
      </c>
      <c r="AG18" s="8" t="n">
        <v>334891</v>
      </c>
      <c r="AH18" s="128" t="n">
        <v>335272</v>
      </c>
      <c r="AI18" s="48" t="n"/>
      <c r="AJ18" s="57">
        <f>AH18-D18</f>
        <v/>
      </c>
    </row>
    <row r="19">
      <c r="A19" s="561" t="n"/>
      <c r="B19" s="561" t="n"/>
      <c r="C19" s="140" t="inlineStr">
        <is>
          <t>DG</t>
        </is>
      </c>
      <c r="D19" s="565" t="n">
        <v>11237</v>
      </c>
      <c r="E19" s="48" t="n">
        <v>11252</v>
      </c>
      <c r="F19" s="48" t="n">
        <v>11252</v>
      </c>
      <c r="G19" s="48" t="n">
        <v>11252</v>
      </c>
      <c r="H19" s="48" t="n">
        <v>11252</v>
      </c>
      <c r="I19" s="48" t="n">
        <v>11252</v>
      </c>
      <c r="J19" s="48" t="n">
        <v>11252</v>
      </c>
      <c r="K19" s="48" t="n">
        <v>11252</v>
      </c>
      <c r="L19" s="48" t="n">
        <v>11252</v>
      </c>
      <c r="M19" s="48" t="n">
        <v>11252</v>
      </c>
      <c r="N19" s="48" t="n">
        <v>11252</v>
      </c>
      <c r="O19" s="561" t="n">
        <v>11286</v>
      </c>
      <c r="P19" s="561" t="n">
        <v>11286</v>
      </c>
      <c r="Q19" s="561" t="n">
        <v>11286</v>
      </c>
      <c r="R19" s="561" t="n">
        <v>11286</v>
      </c>
      <c r="S19" s="561" t="n">
        <v>11286</v>
      </c>
      <c r="T19" s="561" t="n">
        <v>11286</v>
      </c>
      <c r="U19" s="561" t="n">
        <v>11286</v>
      </c>
      <c r="V19" s="561" t="n">
        <v>11286</v>
      </c>
      <c r="W19" s="561" t="n">
        <v>11286</v>
      </c>
      <c r="X19" s="561" t="n">
        <v>11286</v>
      </c>
      <c r="Y19" s="561" t="n">
        <v>11338</v>
      </c>
      <c r="Z19" s="561" t="n">
        <v>11338</v>
      </c>
      <c r="AA19" s="561" t="n">
        <v>11338</v>
      </c>
      <c r="AB19" s="561" t="n">
        <v>11338</v>
      </c>
      <c r="AC19" s="561" t="n">
        <v>11338</v>
      </c>
      <c r="AD19" s="561" t="n">
        <v>11338</v>
      </c>
      <c r="AE19" s="561" t="n">
        <v>11338</v>
      </c>
      <c r="AF19" s="561" t="n">
        <v>11338</v>
      </c>
      <c r="AG19" s="561" t="n">
        <v>11338</v>
      </c>
      <c r="AH19" s="58" t="n">
        <v>11338</v>
      </c>
      <c r="AI19" s="48" t="n"/>
      <c r="AJ19" s="57">
        <f>AH19-D19</f>
        <v/>
      </c>
    </row>
    <row r="20">
      <c r="A20" s="561" t="n">
        <v>8</v>
      </c>
      <c r="B20" s="561" t="inlineStr">
        <is>
          <t>3F</t>
        </is>
      </c>
      <c r="C20" s="141" t="inlineStr">
        <is>
          <t>SL No 540430038848 (EB Unit)</t>
        </is>
      </c>
      <c r="D20" s="45" t="n">
        <v>64289</v>
      </c>
      <c r="E20" s="561" t="n">
        <v>64667</v>
      </c>
      <c r="F20" s="561" t="n">
        <v>64800</v>
      </c>
      <c r="G20" s="561" t="n">
        <v>64945</v>
      </c>
      <c r="H20" s="561" t="n">
        <v>65023</v>
      </c>
      <c r="I20" s="561" t="n">
        <v>65207</v>
      </c>
      <c r="J20" s="561" t="n">
        <v>65338</v>
      </c>
      <c r="K20" s="561" t="n">
        <v>65470</v>
      </c>
      <c r="L20" s="561" t="n">
        <v>65619</v>
      </c>
      <c r="M20" s="561" t="n">
        <v>65798</v>
      </c>
      <c r="N20" s="561" t="n">
        <v>65947</v>
      </c>
      <c r="O20" s="561" t="n">
        <v>66114</v>
      </c>
      <c r="P20" s="561" t="n">
        <v>66258</v>
      </c>
      <c r="Q20" s="561" t="n">
        <v>66413</v>
      </c>
      <c r="R20" s="561" t="n">
        <v>66548</v>
      </c>
      <c r="S20" s="561" t="n">
        <v>66685</v>
      </c>
      <c r="T20" s="561" t="n">
        <v>66819</v>
      </c>
      <c r="U20" s="561" t="n">
        <v>66968</v>
      </c>
      <c r="V20" s="561" t="n">
        <v>67100</v>
      </c>
      <c r="W20" s="561" t="n">
        <v>67250</v>
      </c>
      <c r="X20" s="561" t="n">
        <v>67379</v>
      </c>
      <c r="Y20" s="561" t="n">
        <v>67539</v>
      </c>
      <c r="Z20" s="561" t="n">
        <v>67686</v>
      </c>
      <c r="AA20" s="8" t="n">
        <v>67825</v>
      </c>
      <c r="AB20" s="8" t="n">
        <v>67972</v>
      </c>
      <c r="AC20" s="561" t="n">
        <v>68114</v>
      </c>
      <c r="AD20" s="561" t="n">
        <v>68257</v>
      </c>
      <c r="AE20" s="8" t="n">
        <v>68385</v>
      </c>
      <c r="AF20" s="8" t="n">
        <v>68534</v>
      </c>
      <c r="AG20" s="8" t="n">
        <v>68648</v>
      </c>
      <c r="AH20" s="128" t="n">
        <v>68756</v>
      </c>
      <c r="AI20" s="48" t="n"/>
      <c r="AJ20" s="57">
        <f>AH20-D20</f>
        <v/>
      </c>
    </row>
    <row r="21">
      <c r="A21" s="561" t="n"/>
      <c r="B21" s="561" t="n"/>
      <c r="C21" s="140" t="inlineStr">
        <is>
          <t>DG</t>
        </is>
      </c>
      <c r="D21" s="565" t="n">
        <v>2136</v>
      </c>
      <c r="E21" s="561" t="n">
        <v>2143</v>
      </c>
      <c r="F21" s="561" t="n">
        <v>2143</v>
      </c>
      <c r="G21" s="561" t="n">
        <v>2143</v>
      </c>
      <c r="H21" s="561" t="n">
        <v>2143</v>
      </c>
      <c r="I21" s="561" t="n">
        <v>2143</v>
      </c>
      <c r="J21" s="561" t="n">
        <v>2143</v>
      </c>
      <c r="K21" s="561" t="n">
        <v>2143</v>
      </c>
      <c r="L21" s="561" t="n">
        <v>2143</v>
      </c>
      <c r="M21" s="561" t="n">
        <v>2143</v>
      </c>
      <c r="N21" s="561" t="n">
        <v>2143</v>
      </c>
      <c r="O21" s="561" t="n">
        <v>2152</v>
      </c>
      <c r="P21" s="561" t="n">
        <v>2152</v>
      </c>
      <c r="Q21" s="561" t="n">
        <v>2152</v>
      </c>
      <c r="R21" s="561" t="n">
        <v>2152</v>
      </c>
      <c r="S21" s="561" t="n">
        <v>2152</v>
      </c>
      <c r="T21" s="561" t="n">
        <v>2152</v>
      </c>
      <c r="U21" s="561" t="n">
        <v>2152</v>
      </c>
      <c r="V21" s="561" t="n">
        <v>2152</v>
      </c>
      <c r="W21" s="561" t="n">
        <v>2152</v>
      </c>
      <c r="X21" s="561" t="n">
        <v>2152</v>
      </c>
      <c r="Y21" s="561" t="n">
        <v>2164</v>
      </c>
      <c r="Z21" s="561" t="n">
        <v>2164</v>
      </c>
      <c r="AA21" s="561" t="n">
        <v>2164</v>
      </c>
      <c r="AB21" s="561" t="n">
        <v>2164</v>
      </c>
      <c r="AC21" s="561" t="n">
        <v>2164</v>
      </c>
      <c r="AD21" s="561" t="n">
        <v>2164</v>
      </c>
      <c r="AE21" s="561" t="n">
        <v>2164</v>
      </c>
      <c r="AF21" s="561" t="n">
        <v>2164</v>
      </c>
      <c r="AG21" s="561" t="n">
        <v>2164</v>
      </c>
      <c r="AH21" s="58" t="n">
        <v>2164</v>
      </c>
      <c r="AI21" s="48" t="n"/>
      <c r="AJ21" s="57">
        <f>AH21-D21</f>
        <v/>
      </c>
    </row>
    <row r="22">
      <c r="A22" s="500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20" t="n"/>
      <c r="AJ22" s="501" t="n"/>
    </row>
    <row r="23">
      <c r="A23" s="561" t="n">
        <v>1</v>
      </c>
      <c r="B23" s="561" t="inlineStr">
        <is>
          <t>3F</t>
        </is>
      </c>
      <c r="C23" s="141" t="inlineStr">
        <is>
          <t>AHU1</t>
        </is>
      </c>
      <c r="D23" s="565" t="n">
        <v>27563</v>
      </c>
      <c r="E23" s="561" t="n">
        <v>27658</v>
      </c>
      <c r="F23" s="561" t="n">
        <v>27729</v>
      </c>
      <c r="G23" s="561" t="n">
        <v>27797</v>
      </c>
      <c r="H23" s="561" t="n">
        <v>27862</v>
      </c>
      <c r="I23" s="561" t="n">
        <v>27928</v>
      </c>
      <c r="J23" s="561" t="n">
        <v>27998</v>
      </c>
      <c r="K23" s="561" t="n">
        <v>28037</v>
      </c>
      <c r="L23" s="561" t="n">
        <v>28037</v>
      </c>
      <c r="M23" s="561" t="n">
        <v>28118</v>
      </c>
      <c r="N23" s="561" t="n">
        <v>28191</v>
      </c>
      <c r="O23" s="561" t="n">
        <v>28266</v>
      </c>
      <c r="P23" s="561" t="n">
        <v>28326</v>
      </c>
      <c r="Q23" s="561" t="n">
        <v>28372</v>
      </c>
      <c r="R23" s="561" t="n">
        <v>28403</v>
      </c>
      <c r="S23" s="561" t="n">
        <v>28403</v>
      </c>
      <c r="T23" s="561" t="n">
        <v>28481</v>
      </c>
      <c r="U23" s="561" t="n">
        <v>28550</v>
      </c>
      <c r="V23" s="561" t="n">
        <v>28625</v>
      </c>
      <c r="W23" s="561" t="n">
        <v>28697</v>
      </c>
      <c r="X23" s="561" t="n">
        <v>28761</v>
      </c>
      <c r="Y23" s="561" t="n">
        <v>28809</v>
      </c>
      <c r="Z23" s="561" t="n">
        <v>28809</v>
      </c>
      <c r="AA23" s="561" t="n">
        <v>28886</v>
      </c>
      <c r="AB23" s="561" t="n">
        <v>28958</v>
      </c>
      <c r="AC23" s="561" t="n">
        <v>29014</v>
      </c>
      <c r="AD23" s="561" t="n">
        <v>29064</v>
      </c>
      <c r="AE23" s="561" t="n">
        <v>29115</v>
      </c>
      <c r="AF23" s="561" t="n">
        <v>29164</v>
      </c>
      <c r="AG23" s="561" t="n">
        <v>29164</v>
      </c>
      <c r="AH23" s="8" t="n">
        <v>29197</v>
      </c>
      <c r="AI23" s="8" t="n"/>
      <c r="AJ23" s="7">
        <f>AH23-D23</f>
        <v/>
      </c>
    </row>
    <row r="24">
      <c r="A24" s="561" t="n"/>
      <c r="B24" s="561" t="n"/>
      <c r="C24" s="142" t="inlineStr">
        <is>
          <t>DG</t>
        </is>
      </c>
      <c r="D24" s="565" t="n">
        <v>1878</v>
      </c>
      <c r="E24" s="561" t="n">
        <v>1878</v>
      </c>
      <c r="F24" s="561" t="n">
        <v>1878</v>
      </c>
      <c r="G24" s="561" t="n">
        <v>1878</v>
      </c>
      <c r="H24" s="561" t="n">
        <v>1878</v>
      </c>
      <c r="I24" s="561" t="n">
        <v>1878</v>
      </c>
      <c r="J24" s="561" t="n">
        <v>1878</v>
      </c>
      <c r="K24" s="561" t="n">
        <v>1878</v>
      </c>
      <c r="L24" s="561" t="n">
        <v>1898</v>
      </c>
      <c r="M24" s="561" t="n">
        <v>1898</v>
      </c>
      <c r="N24" s="561" t="n">
        <v>1898</v>
      </c>
      <c r="O24" s="561" t="n">
        <v>1898</v>
      </c>
      <c r="P24" s="561" t="n">
        <v>1878</v>
      </c>
      <c r="Q24" s="561" t="n">
        <v>1878</v>
      </c>
      <c r="R24" s="561" t="n">
        <v>1878</v>
      </c>
      <c r="S24" s="561" t="n">
        <v>1878</v>
      </c>
      <c r="T24" s="561" t="n">
        <v>1878</v>
      </c>
      <c r="U24" s="561" t="n">
        <v>1878</v>
      </c>
      <c r="V24" s="561" t="n">
        <v>1878</v>
      </c>
      <c r="W24" s="561" t="n">
        <v>1878</v>
      </c>
      <c r="X24" s="561" t="n">
        <v>1878</v>
      </c>
      <c r="Y24" s="561" t="n">
        <v>1882</v>
      </c>
      <c r="Z24" s="561" t="n">
        <v>1882</v>
      </c>
      <c r="AA24" s="561" t="n">
        <v>1882</v>
      </c>
      <c r="AB24" s="561" t="n">
        <v>1882</v>
      </c>
      <c r="AC24" s="561" t="n">
        <v>1882</v>
      </c>
      <c r="AD24" s="561" t="n">
        <v>1882</v>
      </c>
      <c r="AE24" s="561" t="n">
        <v>1882</v>
      </c>
      <c r="AF24" s="561" t="n">
        <v>1882</v>
      </c>
      <c r="AG24" s="561" t="n">
        <v>1882</v>
      </c>
      <c r="AH24" s="561" t="n">
        <v>1882</v>
      </c>
      <c r="AI24" s="8" t="n"/>
      <c r="AJ24" s="7">
        <f>AH24-D24</f>
        <v/>
      </c>
    </row>
    <row r="25">
      <c r="A25" s="561" t="n">
        <v>2</v>
      </c>
      <c r="B25" s="561" t="inlineStr">
        <is>
          <t>3F</t>
        </is>
      </c>
      <c r="C25" s="141" t="inlineStr">
        <is>
          <t>AHU2</t>
        </is>
      </c>
      <c r="D25" s="565" t="n">
        <v>29426</v>
      </c>
      <c r="E25" s="561" t="n">
        <v>29570</v>
      </c>
      <c r="F25" s="561" t="n">
        <v>29659</v>
      </c>
      <c r="G25" s="561" t="n">
        <v>29751</v>
      </c>
      <c r="H25" s="561" t="n">
        <v>29849</v>
      </c>
      <c r="I25" s="561" t="n">
        <v>29948</v>
      </c>
      <c r="J25" s="561" t="n">
        <v>30049</v>
      </c>
      <c r="K25" s="561" t="n">
        <v>30108</v>
      </c>
      <c r="L25" s="561" t="n">
        <v>30108</v>
      </c>
      <c r="M25" s="561" t="n">
        <v>30218</v>
      </c>
      <c r="N25" s="561" t="n">
        <v>30331</v>
      </c>
      <c r="O25" s="561" t="n">
        <v>30442</v>
      </c>
      <c r="P25" s="561" t="n">
        <v>30552</v>
      </c>
      <c r="Q25" s="561" t="n">
        <v>30639</v>
      </c>
      <c r="R25" s="561" t="n">
        <v>30706</v>
      </c>
      <c r="S25" s="561" t="n">
        <v>30706</v>
      </c>
      <c r="T25" s="561" t="n">
        <v>30805</v>
      </c>
      <c r="U25" s="561" t="n">
        <v>30898</v>
      </c>
      <c r="V25" s="561" t="n">
        <v>31009</v>
      </c>
      <c r="W25" s="561" t="n">
        <v>31095</v>
      </c>
      <c r="X25" s="561" t="n">
        <v>31192</v>
      </c>
      <c r="Y25" s="561" t="n">
        <v>31264</v>
      </c>
      <c r="Z25" s="561" t="n">
        <v>31264</v>
      </c>
      <c r="AA25" s="561" t="n">
        <v>31379</v>
      </c>
      <c r="AB25" s="561" t="n">
        <v>31450</v>
      </c>
      <c r="AC25" s="561" t="n">
        <v>31535</v>
      </c>
      <c r="AD25" s="561" t="n">
        <v>31644</v>
      </c>
      <c r="AE25" s="561" t="n">
        <v>31753</v>
      </c>
      <c r="AF25" s="561" t="n">
        <v>31843</v>
      </c>
      <c r="AG25" s="561" t="n">
        <v>31843</v>
      </c>
      <c r="AH25" s="8" t="n">
        <v>31895</v>
      </c>
      <c r="AI25" s="8" t="n"/>
      <c r="AJ25" s="7">
        <f>AH25-D25</f>
        <v/>
      </c>
    </row>
    <row r="26">
      <c r="A26" s="561" t="n"/>
      <c r="B26" s="561" t="n"/>
      <c r="C26" s="142" t="inlineStr">
        <is>
          <t>DG</t>
        </is>
      </c>
      <c r="D26" s="565" t="n">
        <v>1857</v>
      </c>
      <c r="E26" s="561" t="n">
        <v>1857</v>
      </c>
      <c r="F26" s="561" t="n">
        <v>1857</v>
      </c>
      <c r="G26" s="561" t="n">
        <v>1857</v>
      </c>
      <c r="H26" s="561" t="n">
        <v>1857</v>
      </c>
      <c r="I26" s="561" t="n">
        <v>1857</v>
      </c>
      <c r="J26" s="561" t="n">
        <v>1857</v>
      </c>
      <c r="K26" s="561" t="n">
        <v>1857</v>
      </c>
      <c r="L26" s="561" t="n">
        <v>1857</v>
      </c>
      <c r="M26" s="561" t="n">
        <v>1857</v>
      </c>
      <c r="N26" s="561" t="n">
        <v>1857</v>
      </c>
      <c r="O26" s="561" t="n">
        <v>1857</v>
      </c>
      <c r="P26" s="561" t="n">
        <v>1857</v>
      </c>
      <c r="Q26" s="561" t="n">
        <v>1857</v>
      </c>
      <c r="R26" s="561" t="n">
        <v>1857</v>
      </c>
      <c r="S26" s="561" t="n">
        <v>1857</v>
      </c>
      <c r="T26" s="561" t="n">
        <v>1857</v>
      </c>
      <c r="U26" s="561" t="n">
        <v>1857</v>
      </c>
      <c r="V26" s="561" t="n">
        <v>1857</v>
      </c>
      <c r="W26" s="561" t="n">
        <v>1857</v>
      </c>
      <c r="X26" s="561" t="n">
        <v>1857</v>
      </c>
      <c r="Y26" s="561" t="n">
        <v>1861</v>
      </c>
      <c r="Z26" s="561" t="n">
        <v>1861</v>
      </c>
      <c r="AA26" s="561" t="n">
        <v>1861</v>
      </c>
      <c r="AB26" s="561" t="n">
        <v>1861</v>
      </c>
      <c r="AC26" s="561" t="n">
        <v>1861</v>
      </c>
      <c r="AD26" s="561" t="n">
        <v>1861</v>
      </c>
      <c r="AE26" s="561" t="n">
        <v>1861</v>
      </c>
      <c r="AF26" s="561" t="n">
        <v>1861</v>
      </c>
      <c r="AG26" s="561" t="n">
        <v>1861</v>
      </c>
      <c r="AH26" s="561" t="n">
        <v>1861</v>
      </c>
      <c r="AI26" s="8" t="n"/>
      <c r="AJ26" s="7">
        <f>AH26-D26</f>
        <v/>
      </c>
    </row>
    <row r="27">
      <c r="A27" s="561" t="n">
        <v>3</v>
      </c>
      <c r="B27" s="561" t="inlineStr">
        <is>
          <t>3F</t>
        </is>
      </c>
      <c r="C27" s="141" t="inlineStr">
        <is>
          <t>AHU3</t>
        </is>
      </c>
      <c r="D27" s="565" t="n">
        <v>31727</v>
      </c>
      <c r="E27" s="561" t="n">
        <v>31924</v>
      </c>
      <c r="F27" s="561" t="n">
        <v>32035</v>
      </c>
      <c r="G27" s="561" t="n">
        <v>32155</v>
      </c>
      <c r="H27" s="561" t="n">
        <v>32276</v>
      </c>
      <c r="I27" s="561" t="n">
        <v>32408</v>
      </c>
      <c r="J27" s="561" t="n">
        <v>32539</v>
      </c>
      <c r="K27" s="561" t="n">
        <v>32611</v>
      </c>
      <c r="L27" s="561" t="n">
        <v>32611</v>
      </c>
      <c r="M27" s="561" t="n">
        <v>32744</v>
      </c>
      <c r="N27" s="561" t="n">
        <v>32873</v>
      </c>
      <c r="O27" s="561" t="n">
        <v>33006</v>
      </c>
      <c r="P27" s="561" t="n">
        <v>33129</v>
      </c>
      <c r="Q27" s="561" t="n">
        <v>33223</v>
      </c>
      <c r="R27" s="561" t="n">
        <v>33284</v>
      </c>
      <c r="S27" s="561" t="n">
        <v>33284</v>
      </c>
      <c r="T27" s="561" t="n">
        <v>33406</v>
      </c>
      <c r="U27" s="561" t="n">
        <v>33530</v>
      </c>
      <c r="V27" s="561" t="n">
        <v>33656</v>
      </c>
      <c r="W27" s="561" t="n">
        <v>33782</v>
      </c>
      <c r="X27" s="561" t="n">
        <v>33904</v>
      </c>
      <c r="Y27" s="561" t="n">
        <v>33986</v>
      </c>
      <c r="Z27" s="561" t="n">
        <v>33986</v>
      </c>
      <c r="AA27" s="561" t="n">
        <v>34112</v>
      </c>
      <c r="AB27" s="561" t="n">
        <v>34239</v>
      </c>
      <c r="AC27" s="561" t="n">
        <v>34352</v>
      </c>
      <c r="AD27" s="561" t="n">
        <v>34460</v>
      </c>
      <c r="AE27" s="561" t="n">
        <v>34564</v>
      </c>
      <c r="AF27" s="561" t="n">
        <v>34657</v>
      </c>
      <c r="AG27" s="561" t="n">
        <v>34657</v>
      </c>
      <c r="AH27" s="561" t="n">
        <v>34710</v>
      </c>
      <c r="AI27" s="8" t="n"/>
      <c r="AJ27" s="7">
        <f>AH27-D27</f>
        <v/>
      </c>
    </row>
    <row r="28">
      <c r="A28" s="561" t="n"/>
      <c r="B28" s="561" t="n"/>
      <c r="C28" s="142" t="inlineStr">
        <is>
          <t>DG</t>
        </is>
      </c>
      <c r="D28" s="565" t="n">
        <v>2005</v>
      </c>
      <c r="E28" s="561" t="n">
        <v>2005</v>
      </c>
      <c r="F28" s="561" t="n">
        <v>2005</v>
      </c>
      <c r="G28" s="561" t="n">
        <v>2005</v>
      </c>
      <c r="H28" s="561" t="n">
        <v>2005</v>
      </c>
      <c r="I28" s="561" t="n">
        <v>2005</v>
      </c>
      <c r="J28" s="561" t="n">
        <v>2005</v>
      </c>
      <c r="K28" s="561" t="n">
        <v>2005</v>
      </c>
      <c r="L28" s="561" t="n">
        <v>2005</v>
      </c>
      <c r="M28" s="561" t="n">
        <v>2005</v>
      </c>
      <c r="N28" s="561" t="n">
        <v>2005</v>
      </c>
      <c r="O28" s="561" t="n">
        <v>2005</v>
      </c>
      <c r="P28" s="561" t="n">
        <v>2005</v>
      </c>
      <c r="Q28" s="561" t="n">
        <v>2005</v>
      </c>
      <c r="R28" s="561" t="n">
        <v>2005</v>
      </c>
      <c r="S28" s="561" t="n">
        <v>2005</v>
      </c>
      <c r="T28" s="561" t="n">
        <v>2005</v>
      </c>
      <c r="U28" s="561" t="n">
        <v>2005</v>
      </c>
      <c r="V28" s="561" t="n">
        <v>2005</v>
      </c>
      <c r="W28" s="561" t="n">
        <v>2005</v>
      </c>
      <c r="X28" s="561" t="n">
        <v>2005</v>
      </c>
      <c r="Y28" s="561" t="n">
        <v>2016</v>
      </c>
      <c r="Z28" s="561" t="n">
        <v>2016</v>
      </c>
      <c r="AA28" s="561" t="n">
        <v>2016</v>
      </c>
      <c r="AB28" s="561" t="n">
        <v>2016</v>
      </c>
      <c r="AC28" s="561" t="n">
        <v>2016</v>
      </c>
      <c r="AD28" s="561" t="n">
        <v>2016</v>
      </c>
      <c r="AE28" s="561" t="n">
        <v>2016</v>
      </c>
      <c r="AF28" s="561" t="n">
        <v>2016</v>
      </c>
      <c r="AG28" s="561" t="n">
        <v>2016</v>
      </c>
      <c r="AH28" s="561" t="n">
        <v>2016</v>
      </c>
      <c r="AI28" s="8" t="n"/>
      <c r="AJ28" s="7">
        <f>AH28-D28</f>
        <v/>
      </c>
    </row>
    <row r="29">
      <c r="A29" s="561" t="n">
        <v>4</v>
      </c>
      <c r="B29" s="561" t="inlineStr">
        <is>
          <t>3F</t>
        </is>
      </c>
      <c r="C29" s="141" t="inlineStr">
        <is>
          <t>AHU4</t>
        </is>
      </c>
      <c r="D29" s="565" t="n">
        <v>26464</v>
      </c>
      <c r="E29" s="561" t="n">
        <v>26586</v>
      </c>
      <c r="F29" s="561" t="n">
        <v>26681</v>
      </c>
      <c r="G29" s="561" t="n">
        <v>26774</v>
      </c>
      <c r="H29" s="561" t="n">
        <v>26862</v>
      </c>
      <c r="I29" s="561" t="n">
        <v>26952</v>
      </c>
      <c r="J29" s="561" t="n">
        <v>27044</v>
      </c>
      <c r="K29" s="561" t="n">
        <v>27096</v>
      </c>
      <c r="L29" s="561" t="n">
        <v>27096</v>
      </c>
      <c r="M29" s="561" t="n">
        <v>27192</v>
      </c>
      <c r="N29" s="561" t="n">
        <v>27289</v>
      </c>
      <c r="O29" s="561" t="n">
        <v>27387</v>
      </c>
      <c r="P29" s="561" t="n">
        <v>27472</v>
      </c>
      <c r="Q29" s="561" t="n">
        <v>27547</v>
      </c>
      <c r="R29" s="561" t="n">
        <v>27600</v>
      </c>
      <c r="S29" s="561" t="n">
        <v>27600</v>
      </c>
      <c r="T29" s="561" t="n">
        <v>27697</v>
      </c>
      <c r="U29" s="561" t="n">
        <v>27789</v>
      </c>
      <c r="V29" s="561" t="n">
        <v>27884</v>
      </c>
      <c r="W29" s="561" t="n">
        <v>27979</v>
      </c>
      <c r="X29" s="561" t="n">
        <v>28063</v>
      </c>
      <c r="Y29" s="561" t="n">
        <v>28124</v>
      </c>
      <c r="Z29" s="561" t="n">
        <v>28124</v>
      </c>
      <c r="AA29" s="561" t="n">
        <v>28224</v>
      </c>
      <c r="AB29" s="561" t="n">
        <v>28320</v>
      </c>
      <c r="AC29" s="561" t="n">
        <v>28413</v>
      </c>
      <c r="AD29" s="561" t="n">
        <v>28509</v>
      </c>
      <c r="AE29" s="561" t="n">
        <v>28600</v>
      </c>
      <c r="AF29" s="561" t="n">
        <v>28675</v>
      </c>
      <c r="AG29" s="561" t="n">
        <v>28675</v>
      </c>
      <c r="AH29" s="8" t="n">
        <v>28719</v>
      </c>
      <c r="AI29" s="8" t="n"/>
      <c r="AJ29" s="7">
        <f>AH29-D29</f>
        <v/>
      </c>
    </row>
    <row r="30">
      <c r="A30" s="561" t="n"/>
      <c r="B30" s="561" t="n"/>
      <c r="C30" s="142" t="inlineStr">
        <is>
          <t>DG</t>
        </is>
      </c>
      <c r="D30" s="565" t="n">
        <v>1739</v>
      </c>
      <c r="E30" s="561" t="n">
        <v>1739</v>
      </c>
      <c r="F30" s="561" t="n">
        <v>1739</v>
      </c>
      <c r="G30" s="561" t="n">
        <v>1739</v>
      </c>
      <c r="H30" s="561" t="n">
        <v>1739</v>
      </c>
      <c r="I30" s="561" t="n">
        <v>1739</v>
      </c>
      <c r="J30" s="561" t="n">
        <v>1739</v>
      </c>
      <c r="K30" s="561" t="n">
        <v>1739</v>
      </c>
      <c r="L30" s="561" t="n">
        <v>1739</v>
      </c>
      <c r="M30" s="561" t="n">
        <v>1739</v>
      </c>
      <c r="N30" s="561" t="n">
        <v>1739</v>
      </c>
      <c r="O30" s="561" t="n">
        <v>1739</v>
      </c>
      <c r="P30" s="561" t="n">
        <v>1739</v>
      </c>
      <c r="Q30" s="561" t="n">
        <v>1739</v>
      </c>
      <c r="R30" s="561" t="n">
        <v>1739</v>
      </c>
      <c r="S30" s="561" t="n">
        <v>1739</v>
      </c>
      <c r="T30" s="561" t="n">
        <v>1739</v>
      </c>
      <c r="U30" s="561" t="n">
        <v>1739</v>
      </c>
      <c r="V30" s="561" t="n">
        <v>1739</v>
      </c>
      <c r="W30" s="561" t="n">
        <v>1739</v>
      </c>
      <c r="X30" s="561" t="n">
        <v>1739</v>
      </c>
      <c r="Y30" s="561" t="n">
        <v>1744</v>
      </c>
      <c r="Z30" s="561" t="n">
        <v>1744</v>
      </c>
      <c r="AA30" s="561" t="n">
        <v>1744</v>
      </c>
      <c r="AB30" s="561" t="n">
        <v>1744</v>
      </c>
      <c r="AC30" s="561" t="n">
        <v>1744</v>
      </c>
      <c r="AD30" s="561" t="n">
        <v>1744</v>
      </c>
      <c r="AE30" s="561" t="n">
        <v>1744</v>
      </c>
      <c r="AF30" s="561" t="n">
        <v>1744</v>
      </c>
      <c r="AG30" s="561" t="n">
        <v>1744</v>
      </c>
      <c r="AH30" s="561" t="n">
        <v>1744</v>
      </c>
      <c r="AI30" s="8" t="n"/>
      <c r="AJ30" s="7">
        <f>AH30-D30</f>
        <v/>
      </c>
    </row>
    <row r="31">
      <c r="A31" s="561" t="n">
        <v>3</v>
      </c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20" t="n"/>
      <c r="AJ31" s="501" t="n"/>
    </row>
    <row r="32">
      <c r="A32" s="561" t="n">
        <v>1</v>
      </c>
      <c r="B32" s="561" t="inlineStr">
        <is>
          <t>3F</t>
        </is>
      </c>
      <c r="C32" s="141" t="inlineStr">
        <is>
          <t>AHU1 - BTU</t>
        </is>
      </c>
      <c r="D32" s="7" t="n">
        <v>264315</v>
      </c>
      <c r="E32" s="44" t="n">
        <v>265888</v>
      </c>
      <c r="F32" s="150" t="n">
        <v>266949</v>
      </c>
      <c r="G32" s="150" t="n">
        <v>267962</v>
      </c>
      <c r="H32" s="150" t="n">
        <v>268907</v>
      </c>
      <c r="I32" s="44" t="n">
        <v>269942</v>
      </c>
      <c r="J32" s="150" t="n">
        <v>271005</v>
      </c>
      <c r="K32" s="150" t="n">
        <v>271446</v>
      </c>
      <c r="L32" s="150" t="n">
        <v>271446</v>
      </c>
      <c r="M32" s="44" t="n">
        <v>272720</v>
      </c>
      <c r="N32" s="150" t="n">
        <v>273688</v>
      </c>
      <c r="O32" s="150" t="n">
        <v>274698</v>
      </c>
      <c r="P32" s="150" t="n">
        <v>275797</v>
      </c>
      <c r="Q32" s="44" t="n">
        <v>276967</v>
      </c>
      <c r="R32" s="150" t="n">
        <v>277513</v>
      </c>
      <c r="S32" s="150" t="n">
        <v>277513</v>
      </c>
      <c r="T32" s="150" t="n">
        <v>278842</v>
      </c>
      <c r="U32" s="44" t="n">
        <v>280005</v>
      </c>
      <c r="V32" s="150" t="n">
        <v>281190</v>
      </c>
      <c r="W32" s="150" t="n">
        <v>282262</v>
      </c>
      <c r="X32" s="150" t="n">
        <v>283424</v>
      </c>
      <c r="Y32" s="44" t="n">
        <v>284039</v>
      </c>
      <c r="Z32" s="150" t="n">
        <v>284039</v>
      </c>
      <c r="AA32" s="150" t="n">
        <v>285368</v>
      </c>
      <c r="AB32" s="150" t="n">
        <v>286501</v>
      </c>
      <c r="AC32" s="44" t="n">
        <v>287485</v>
      </c>
      <c r="AD32" s="150" t="n">
        <v>288794</v>
      </c>
      <c r="AE32" s="150" t="n">
        <v>289890</v>
      </c>
      <c r="AF32" s="150" t="n">
        <v>290505</v>
      </c>
      <c r="AG32" s="44" t="n">
        <v>290505</v>
      </c>
      <c r="AH32" s="150" t="n">
        <v>291798</v>
      </c>
      <c r="AI32" s="161" t="n"/>
      <c r="AJ32" s="7">
        <f>AH32-D32</f>
        <v/>
      </c>
    </row>
    <row r="33">
      <c r="A33" s="561" t="n">
        <v>2</v>
      </c>
      <c r="B33" s="561" t="inlineStr">
        <is>
          <t>3F</t>
        </is>
      </c>
      <c r="C33" s="141" t="inlineStr">
        <is>
          <t>AHU2 - BTU</t>
        </is>
      </c>
      <c r="D33" s="160" t="n">
        <v>258287</v>
      </c>
      <c r="E33" s="150" t="n">
        <v>259417</v>
      </c>
      <c r="F33" s="150" t="n">
        <v>260330</v>
      </c>
      <c r="G33" s="150" t="n">
        <v>261118</v>
      </c>
      <c r="H33" s="150" t="n">
        <v>261778</v>
      </c>
      <c r="I33" s="150" t="n">
        <v>262480</v>
      </c>
      <c r="J33" s="150" t="n">
        <v>263161</v>
      </c>
      <c r="K33" s="150" t="n">
        <v>263656</v>
      </c>
      <c r="L33" s="150" t="n">
        <v>263656</v>
      </c>
      <c r="M33" s="150" t="n">
        <v>264709</v>
      </c>
      <c r="N33" s="150" t="n">
        <v>265519</v>
      </c>
      <c r="O33" s="150" t="n">
        <v>266392</v>
      </c>
      <c r="P33" s="150" t="n">
        <v>267187</v>
      </c>
      <c r="Q33" s="150" t="n">
        <v>267995</v>
      </c>
      <c r="R33" s="150" t="n">
        <v>268659</v>
      </c>
      <c r="S33" s="150" t="n">
        <v>268659</v>
      </c>
      <c r="T33" s="150" t="n">
        <v>269674</v>
      </c>
      <c r="U33" s="150" t="n">
        <v>270429</v>
      </c>
      <c r="V33" s="150" t="n">
        <v>271196</v>
      </c>
      <c r="W33" s="150" t="n">
        <v>271981</v>
      </c>
      <c r="X33" s="150" t="n">
        <v>272740</v>
      </c>
      <c r="Y33" s="150" t="n">
        <v>273341</v>
      </c>
      <c r="Z33" s="150" t="n">
        <v>273341</v>
      </c>
      <c r="AA33" s="150" t="n">
        <v>274502</v>
      </c>
      <c r="AB33" s="150" t="n">
        <v>275325</v>
      </c>
      <c r="AC33" s="150" t="n">
        <v>276001</v>
      </c>
      <c r="AD33" s="150" t="n">
        <v>276916</v>
      </c>
      <c r="AE33" s="150" t="n">
        <v>277649</v>
      </c>
      <c r="AF33" s="150" t="n">
        <v>278165</v>
      </c>
      <c r="AG33" s="150" t="n">
        <v>278165</v>
      </c>
      <c r="AH33" s="150" t="n">
        <v>279049</v>
      </c>
      <c r="AI33" s="161" t="n"/>
      <c r="AJ33" s="7">
        <f>AH33-D33</f>
        <v/>
      </c>
    </row>
    <row r="34">
      <c r="A34" s="561" t="n">
        <v>3</v>
      </c>
      <c r="B34" s="561" t="inlineStr">
        <is>
          <t>3F</t>
        </is>
      </c>
      <c r="C34" s="141" t="inlineStr">
        <is>
          <t>AHU3 - BTU</t>
        </is>
      </c>
      <c r="D34" s="160" t="n">
        <v>257817</v>
      </c>
      <c r="E34" s="150" t="n">
        <v>259278</v>
      </c>
      <c r="F34" s="150" t="n">
        <v>260329</v>
      </c>
      <c r="G34" s="150" t="n">
        <v>261080</v>
      </c>
      <c r="H34" s="150" t="n">
        <v>261724</v>
      </c>
      <c r="I34" s="150" t="n">
        <v>262225</v>
      </c>
      <c r="J34" s="150" t="n">
        <v>262820</v>
      </c>
      <c r="K34" s="150" t="n">
        <v>263479</v>
      </c>
      <c r="L34" s="150" t="n">
        <v>263479</v>
      </c>
      <c r="M34" s="150" t="n">
        <v>264867</v>
      </c>
      <c r="N34" s="150" t="n">
        <v>266018</v>
      </c>
      <c r="O34" s="150" t="n">
        <v>267214</v>
      </c>
      <c r="P34" s="150" t="n">
        <v>268249</v>
      </c>
      <c r="Q34" s="150" t="n">
        <v>269452</v>
      </c>
      <c r="R34" s="150" t="n">
        <v>270184</v>
      </c>
      <c r="S34" s="150" t="n">
        <v>270184</v>
      </c>
      <c r="T34" s="150" t="n">
        <v>271459</v>
      </c>
      <c r="U34" s="150" t="n">
        <v>272506</v>
      </c>
      <c r="V34" s="150" t="n">
        <v>273564</v>
      </c>
      <c r="W34" s="150" t="n">
        <v>274665</v>
      </c>
      <c r="X34" s="150" t="n">
        <v>275894</v>
      </c>
      <c r="Y34" s="150" t="n">
        <v>276499</v>
      </c>
      <c r="Z34" s="150" t="n">
        <v>276499</v>
      </c>
      <c r="AA34" s="150" t="n">
        <v>277965</v>
      </c>
      <c r="AB34" s="150" t="n">
        <v>278939</v>
      </c>
      <c r="AC34" s="150" t="n">
        <v>279806</v>
      </c>
      <c r="AD34" s="150" t="n">
        <v>280835</v>
      </c>
      <c r="AE34" s="150" t="n">
        <v>281728</v>
      </c>
      <c r="AF34" s="150" t="n">
        <v>282412</v>
      </c>
      <c r="AG34" s="150" t="n">
        <v>282412</v>
      </c>
      <c r="AH34" s="150" t="n">
        <v>283579</v>
      </c>
      <c r="AI34" s="161" t="n"/>
      <c r="AJ34" s="7">
        <f>AH34-D34</f>
        <v/>
      </c>
    </row>
    <row r="35">
      <c r="A35" s="561" t="n">
        <v>4</v>
      </c>
      <c r="B35" s="561" t="inlineStr">
        <is>
          <t>3F</t>
        </is>
      </c>
      <c r="C35" s="141" t="inlineStr">
        <is>
          <t>AHU4 - BTU</t>
        </is>
      </c>
      <c r="D35" s="160" t="n">
        <v>283828</v>
      </c>
      <c r="E35" s="150" t="n">
        <v>285318</v>
      </c>
      <c r="F35" s="150" t="n">
        <v>286382</v>
      </c>
      <c r="G35" s="150" t="n">
        <v>287399</v>
      </c>
      <c r="H35" s="150" t="n">
        <v>288330</v>
      </c>
      <c r="I35" s="150" t="n">
        <v>289337</v>
      </c>
      <c r="J35" s="150" t="n">
        <v>290329</v>
      </c>
      <c r="K35" s="150" t="n">
        <v>290752</v>
      </c>
      <c r="L35" s="150" t="n">
        <v>290752</v>
      </c>
      <c r="M35" s="150" t="n">
        <v>291958</v>
      </c>
      <c r="N35" s="150" t="n">
        <v>292886</v>
      </c>
      <c r="O35" s="150" t="n">
        <v>293829</v>
      </c>
      <c r="P35" s="150" t="n">
        <v>294815</v>
      </c>
      <c r="Q35" s="150" t="n">
        <v>295840</v>
      </c>
      <c r="R35" s="150" t="n">
        <v>296339</v>
      </c>
      <c r="S35" s="150" t="n">
        <v>296339</v>
      </c>
      <c r="T35" s="150" t="n">
        <v>297530</v>
      </c>
      <c r="U35" s="150" t="n">
        <v>298699</v>
      </c>
      <c r="V35" s="150" t="n">
        <v>299729</v>
      </c>
      <c r="W35" s="150" t="n">
        <v>300655</v>
      </c>
      <c r="X35" s="150" t="n">
        <v>301647</v>
      </c>
      <c r="Y35" s="150" t="n">
        <v>302224</v>
      </c>
      <c r="Z35" s="150" t="n">
        <v>302224</v>
      </c>
      <c r="AA35" s="150" t="n">
        <v>303598</v>
      </c>
      <c r="AB35" s="150" t="n">
        <v>304688</v>
      </c>
      <c r="AC35" s="150" t="n">
        <v>305598</v>
      </c>
      <c r="AD35" s="150" t="n">
        <v>306878</v>
      </c>
      <c r="AE35" s="150" t="n">
        <v>307930</v>
      </c>
      <c r="AF35" s="150" t="n">
        <v>308516</v>
      </c>
      <c r="AG35" s="150" t="n">
        <v>308516</v>
      </c>
      <c r="AH35" s="150" t="n">
        <v>309779</v>
      </c>
      <c r="AI35" s="161" t="n"/>
      <c r="AJ35" s="7">
        <f>AH35-D35</f>
        <v/>
      </c>
    </row>
    <row r="36">
      <c r="A36" s="134" t="n"/>
      <c r="B36" s="134" t="n"/>
      <c r="C36" s="143" t="n"/>
      <c r="D36" s="134" t="n"/>
      <c r="E36" s="13" t="n"/>
      <c r="F36" s="134" t="n"/>
      <c r="G36" s="134" t="n"/>
      <c r="H36" s="134" t="n"/>
      <c r="I36" s="134" t="n"/>
      <c r="J36" s="134" t="n"/>
      <c r="K36" s="134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  <c r="AB36" s="134" t="n"/>
      <c r="AC36" s="6" t="n"/>
      <c r="AD36" s="134" t="n"/>
      <c r="AE36" s="134" t="n"/>
      <c r="AF36" s="134" t="n"/>
      <c r="AG36" s="134" t="n"/>
      <c r="AH36" s="134" t="n"/>
      <c r="AI36" s="134" t="n"/>
      <c r="AJ36" s="136" t="n"/>
    </row>
    <row r="37">
      <c r="A37" s="14" t="n"/>
      <c r="B37" s="137" t="n"/>
      <c r="C37" s="144" t="n"/>
      <c r="D37" s="138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</row>
    <row r="38">
      <c r="A38" s="93" t="n"/>
      <c r="B38" s="539" t="inlineStr">
        <is>
          <t xml:space="preserve"> Daily Energy Report</t>
        </is>
      </c>
      <c r="C38" s="520" t="n"/>
      <c r="D38" s="501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</row>
    <row r="39">
      <c r="A39" s="94" t="n"/>
      <c r="B39" s="534" t="inlineStr">
        <is>
          <t>Electricity Consumption</t>
        </is>
      </c>
      <c r="C39" s="520" t="n"/>
      <c r="D39" s="501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4" t="n"/>
      <c r="AJ39" s="94" t="n"/>
    </row>
    <row r="40">
      <c r="A40" s="533" t="inlineStr">
        <is>
          <t>Sr.No</t>
        </is>
      </c>
      <c r="B40" s="533" t="inlineStr">
        <is>
          <t>Location</t>
        </is>
      </c>
      <c r="C40" s="533" t="inlineStr">
        <is>
          <t>Meter</t>
        </is>
      </c>
      <c r="D40" s="522" t="n"/>
      <c r="E40" s="95">
        <f>E2</f>
        <v/>
      </c>
      <c r="F40" s="95">
        <f>F2</f>
        <v/>
      </c>
      <c r="G40" s="95">
        <f>G2</f>
        <v/>
      </c>
      <c r="H40" s="95">
        <f>H2</f>
        <v/>
      </c>
      <c r="I40" s="95">
        <f>I2</f>
        <v/>
      </c>
      <c r="J40" s="95">
        <f>J2</f>
        <v/>
      </c>
      <c r="K40" s="95">
        <f>K2</f>
        <v/>
      </c>
      <c r="L40" s="95">
        <f>L2</f>
        <v/>
      </c>
      <c r="M40" s="95">
        <f>M2</f>
        <v/>
      </c>
      <c r="N40" s="95">
        <f>N2</f>
        <v/>
      </c>
      <c r="O40" s="95">
        <f>O2</f>
        <v/>
      </c>
      <c r="P40" s="95">
        <f>P2</f>
        <v/>
      </c>
      <c r="Q40" s="95">
        <f>Q2</f>
        <v/>
      </c>
      <c r="R40" s="95">
        <f>R2</f>
        <v/>
      </c>
      <c r="S40" s="95">
        <f>S2</f>
        <v/>
      </c>
      <c r="T40" s="95">
        <f>T2</f>
        <v/>
      </c>
      <c r="U40" s="95">
        <f>U2</f>
        <v/>
      </c>
      <c r="V40" s="95">
        <f>V2</f>
        <v/>
      </c>
      <c r="W40" s="95">
        <f>W2</f>
        <v/>
      </c>
      <c r="X40" s="95">
        <f>X2</f>
        <v/>
      </c>
      <c r="Y40" s="95">
        <f>Y2</f>
        <v/>
      </c>
      <c r="Z40" s="95">
        <f>Z2</f>
        <v/>
      </c>
      <c r="AA40" s="95">
        <f>AA2</f>
        <v/>
      </c>
      <c r="AB40" s="95">
        <f>AB2</f>
        <v/>
      </c>
      <c r="AC40" s="95">
        <f>AC2</f>
        <v/>
      </c>
      <c r="AD40" s="95">
        <f>AD2</f>
        <v/>
      </c>
      <c r="AE40" s="95">
        <f>AE2</f>
        <v/>
      </c>
      <c r="AF40" s="95">
        <f>AF2</f>
        <v/>
      </c>
      <c r="AG40" s="95">
        <f>AG2</f>
        <v/>
      </c>
      <c r="AH40" s="95">
        <f>AH2</f>
        <v/>
      </c>
      <c r="AI40" s="162" t="n"/>
      <c r="AJ40" s="533" t="inlineStr">
        <is>
          <t>Consumption</t>
        </is>
      </c>
    </row>
    <row r="41">
      <c r="A41" s="516" t="n"/>
      <c r="B41" s="516" t="n"/>
      <c r="C41" s="523" t="n"/>
      <c r="D41" s="524" t="n"/>
      <c r="E41" s="96">
        <f>E3</f>
        <v/>
      </c>
      <c r="F41" s="96">
        <f>F3</f>
        <v/>
      </c>
      <c r="G41" s="96">
        <f>G3</f>
        <v/>
      </c>
      <c r="H41" s="96">
        <f>H3</f>
        <v/>
      </c>
      <c r="I41" s="96">
        <f>I3</f>
        <v/>
      </c>
      <c r="J41" s="96">
        <f>J3</f>
        <v/>
      </c>
      <c r="K41" s="96">
        <f>K3</f>
        <v/>
      </c>
      <c r="L41" s="96">
        <f>L3</f>
        <v/>
      </c>
      <c r="M41" s="96">
        <f>M3</f>
        <v/>
      </c>
      <c r="N41" s="96">
        <f>N3</f>
        <v/>
      </c>
      <c r="O41" s="96">
        <f>O3</f>
        <v/>
      </c>
      <c r="P41" s="96">
        <f>P3</f>
        <v/>
      </c>
      <c r="Q41" s="96">
        <f>Q3</f>
        <v/>
      </c>
      <c r="R41" s="96">
        <f>R3</f>
        <v/>
      </c>
      <c r="S41" s="96">
        <f>S3</f>
        <v/>
      </c>
      <c r="T41" s="96">
        <f>T3</f>
        <v/>
      </c>
      <c r="U41" s="96">
        <f>U3</f>
        <v/>
      </c>
      <c r="V41" s="96">
        <f>V3</f>
        <v/>
      </c>
      <c r="W41" s="96">
        <f>W3</f>
        <v/>
      </c>
      <c r="X41" s="96">
        <f>X3</f>
        <v/>
      </c>
      <c r="Y41" s="96">
        <f>Y3</f>
        <v/>
      </c>
      <c r="Z41" s="96">
        <f>Z3</f>
        <v/>
      </c>
      <c r="AA41" s="96">
        <f>AA3</f>
        <v/>
      </c>
      <c r="AB41" s="96">
        <f>AB3</f>
        <v/>
      </c>
      <c r="AC41" s="96">
        <f>AC3</f>
        <v/>
      </c>
      <c r="AD41" s="96">
        <f>AD3</f>
        <v/>
      </c>
      <c r="AE41" s="96">
        <f>AE3</f>
        <v/>
      </c>
      <c r="AF41" s="96">
        <f>AF3</f>
        <v/>
      </c>
      <c r="AG41" s="96">
        <f>AG3</f>
        <v/>
      </c>
      <c r="AH41" s="96">
        <f>AH3</f>
        <v/>
      </c>
      <c r="AI41" s="163" t="n"/>
      <c r="AJ41" s="516" t="n"/>
    </row>
    <row r="42">
      <c r="A42" s="516" t="n"/>
      <c r="B42" s="516" t="n"/>
      <c r="C42" s="523" t="n"/>
      <c r="D42" s="524" t="n"/>
      <c r="E42" s="97" t="inlineStr">
        <is>
          <t>Time</t>
        </is>
      </c>
      <c r="F42" s="97" t="inlineStr">
        <is>
          <t>Time</t>
        </is>
      </c>
      <c r="G42" s="97" t="inlineStr">
        <is>
          <t>Time</t>
        </is>
      </c>
      <c r="H42" s="97" t="inlineStr">
        <is>
          <t>Time</t>
        </is>
      </c>
      <c r="I42" s="97" t="inlineStr">
        <is>
          <t>Time</t>
        </is>
      </c>
      <c r="J42" s="97" t="inlineStr">
        <is>
          <t>Time</t>
        </is>
      </c>
      <c r="K42" s="97" t="inlineStr">
        <is>
          <t>Time</t>
        </is>
      </c>
      <c r="L42" s="97" t="inlineStr">
        <is>
          <t>Time</t>
        </is>
      </c>
      <c r="M42" s="97" t="inlineStr">
        <is>
          <t>Time</t>
        </is>
      </c>
      <c r="N42" s="97" t="inlineStr">
        <is>
          <t>Time</t>
        </is>
      </c>
      <c r="O42" s="97" t="inlineStr">
        <is>
          <t>Time</t>
        </is>
      </c>
      <c r="P42" s="97" t="inlineStr">
        <is>
          <t>Time</t>
        </is>
      </c>
      <c r="Q42" s="97" t="inlineStr">
        <is>
          <t>Time</t>
        </is>
      </c>
      <c r="R42" s="97" t="inlineStr">
        <is>
          <t>Time</t>
        </is>
      </c>
      <c r="S42" s="97" t="inlineStr">
        <is>
          <t>Time</t>
        </is>
      </c>
      <c r="T42" s="97" t="inlineStr">
        <is>
          <t>Time</t>
        </is>
      </c>
      <c r="U42" s="97" t="inlineStr">
        <is>
          <t>Time</t>
        </is>
      </c>
      <c r="V42" s="97" t="inlineStr">
        <is>
          <t>Time</t>
        </is>
      </c>
      <c r="W42" s="97" t="inlineStr">
        <is>
          <t>Time</t>
        </is>
      </c>
      <c r="X42" s="97" t="inlineStr">
        <is>
          <t>Time</t>
        </is>
      </c>
      <c r="Y42" s="97" t="inlineStr">
        <is>
          <t>Time</t>
        </is>
      </c>
      <c r="Z42" s="97" t="inlineStr">
        <is>
          <t>Time</t>
        </is>
      </c>
      <c r="AA42" s="97" t="inlineStr">
        <is>
          <t>Time</t>
        </is>
      </c>
      <c r="AB42" s="97" t="inlineStr">
        <is>
          <t>Time</t>
        </is>
      </c>
      <c r="AC42" s="97" t="inlineStr">
        <is>
          <t>Time</t>
        </is>
      </c>
      <c r="AD42" s="97" t="inlineStr">
        <is>
          <t>Time</t>
        </is>
      </c>
      <c r="AE42" s="97" t="inlineStr">
        <is>
          <t>Time</t>
        </is>
      </c>
      <c r="AF42" s="97" t="inlineStr">
        <is>
          <t>Time</t>
        </is>
      </c>
      <c r="AG42" s="97" t="inlineStr">
        <is>
          <t>Time</t>
        </is>
      </c>
      <c r="AH42" s="95">
        <f>AH4</f>
        <v/>
      </c>
      <c r="AI42" s="164" t="n"/>
      <c r="AJ42" s="516" t="n"/>
    </row>
    <row r="43">
      <c r="A43" s="517" t="n"/>
      <c r="B43" s="517" t="n"/>
      <c r="C43" s="525" t="n"/>
      <c r="D43" s="526" t="n"/>
      <c r="E43" s="98" t="n">
        <v>0.3333333333333333</v>
      </c>
      <c r="F43" s="98" t="n">
        <v>0.3333333333333333</v>
      </c>
      <c r="G43" s="98" t="n">
        <v>0.3333333333333333</v>
      </c>
      <c r="H43" s="98" t="n">
        <v>0.3333333333333333</v>
      </c>
      <c r="I43" s="98" t="n">
        <v>0.3333333333333333</v>
      </c>
      <c r="J43" s="98" t="n">
        <v>0.3333333333333333</v>
      </c>
      <c r="K43" s="98" t="n">
        <v>0.3333333333333333</v>
      </c>
      <c r="L43" s="98" t="n">
        <v>0.3333333333333333</v>
      </c>
      <c r="M43" s="98" t="n">
        <v>0.3333333333333333</v>
      </c>
      <c r="N43" s="98" t="n">
        <v>0.3333333333333333</v>
      </c>
      <c r="O43" s="98" t="n">
        <v>0.3333333333333333</v>
      </c>
      <c r="P43" s="98" t="n">
        <v>0.3333333333333333</v>
      </c>
      <c r="Q43" s="98" t="n">
        <v>0.3333333333333333</v>
      </c>
      <c r="R43" s="98" t="n">
        <v>0.3333333333333333</v>
      </c>
      <c r="S43" s="98" t="n">
        <v>0.3333333333333333</v>
      </c>
      <c r="T43" s="98" t="n">
        <v>0.3333333333333333</v>
      </c>
      <c r="U43" s="98" t="n">
        <v>0.3333333333333333</v>
      </c>
      <c r="V43" s="98" t="n">
        <v>0.3333333333333333</v>
      </c>
      <c r="W43" s="98" t="n">
        <v>0.3333333333333333</v>
      </c>
      <c r="X43" s="98" t="n">
        <v>0.3333333333333333</v>
      </c>
      <c r="Y43" s="98" t="n">
        <v>0.3333333333333333</v>
      </c>
      <c r="Z43" s="98" t="n">
        <v>0.3333333333333333</v>
      </c>
      <c r="AA43" s="98" t="n">
        <v>0.3333333333333333</v>
      </c>
      <c r="AB43" s="98" t="n">
        <v>0.3333333333333333</v>
      </c>
      <c r="AC43" s="98" t="n">
        <v>0.3333333333333333</v>
      </c>
      <c r="AD43" s="98" t="n">
        <v>0.3333333333333333</v>
      </c>
      <c r="AE43" s="98" t="n">
        <v>0.3333333333333333</v>
      </c>
      <c r="AF43" s="98" t="n">
        <v>0.3333333333333333</v>
      </c>
      <c r="AG43" s="98" t="n">
        <v>0.3333333333333333</v>
      </c>
      <c r="AH43" s="98" t="n">
        <v>0.3333333333333333</v>
      </c>
      <c r="AI43" s="165" t="n"/>
      <c r="AJ43" s="517" t="n"/>
    </row>
    <row r="44" ht="15" customHeight="1" s="488">
      <c r="A44" s="500" t="n">
        <v>1</v>
      </c>
      <c r="B44" s="500" t="inlineStr">
        <is>
          <t>3F</t>
        </is>
      </c>
      <c r="C44" s="500" t="inlineStr">
        <is>
          <t>SL No 540430038840 (EB Unit)</t>
        </is>
      </c>
      <c r="D44" s="501" t="n"/>
      <c r="E44" s="20">
        <f>E6-D6</f>
        <v/>
      </c>
      <c r="F44" s="20">
        <f>F6-E6</f>
        <v/>
      </c>
      <c r="G44" s="20">
        <f>G6-F6</f>
        <v/>
      </c>
      <c r="H44" s="20">
        <f>H6-G6</f>
        <v/>
      </c>
      <c r="I44" s="20">
        <f>I6-H6</f>
        <v/>
      </c>
      <c r="J44" s="20">
        <f>J6-I6</f>
        <v/>
      </c>
      <c r="K44" s="20">
        <f>K6-J6</f>
        <v/>
      </c>
      <c r="L44" s="20">
        <f>L6-K6</f>
        <v/>
      </c>
      <c r="M44" s="20">
        <f>M6-L6</f>
        <v/>
      </c>
      <c r="N44" s="20">
        <f>N6-M6</f>
        <v/>
      </c>
      <c r="O44" s="20">
        <f>O6-N6</f>
        <v/>
      </c>
      <c r="P44" s="20">
        <f>P6-O6</f>
        <v/>
      </c>
      <c r="Q44" s="20">
        <f>Q6-P6</f>
        <v/>
      </c>
      <c r="R44" s="20">
        <f>R6-Q6</f>
        <v/>
      </c>
      <c r="S44" s="20">
        <f>S6-R6</f>
        <v/>
      </c>
      <c r="T44" s="20">
        <f>T6-S6</f>
        <v/>
      </c>
      <c r="U44" s="20">
        <f>U6-T6</f>
        <v/>
      </c>
      <c r="V44" s="20">
        <f>V6-U6</f>
        <v/>
      </c>
      <c r="W44" s="20">
        <f>W6-V6</f>
        <v/>
      </c>
      <c r="X44" s="20">
        <f>X6-W6</f>
        <v/>
      </c>
      <c r="Y44" s="20">
        <f>Y6-X6</f>
        <v/>
      </c>
      <c r="Z44" s="20">
        <f>Z6-Y6</f>
        <v/>
      </c>
      <c r="AA44" s="20">
        <f>AA6-Z6</f>
        <v/>
      </c>
      <c r="AB44" s="20">
        <f>AB6-AA6</f>
        <v/>
      </c>
      <c r="AC44" s="20">
        <f>AC6-AB6</f>
        <v/>
      </c>
      <c r="AD44" s="20">
        <f>AD6-AC6</f>
        <v/>
      </c>
      <c r="AE44" s="20">
        <f>AE6-AD6</f>
        <v/>
      </c>
      <c r="AF44" s="20">
        <f>AF6-AE6</f>
        <v/>
      </c>
      <c r="AG44" s="20">
        <f>AG6-AF6</f>
        <v/>
      </c>
      <c r="AH44" s="20">
        <f>AH6-AG6</f>
        <v/>
      </c>
      <c r="AI44" s="20" t="n"/>
      <c r="AJ44" s="21">
        <f>SUM(E44:AH44)</f>
        <v/>
      </c>
    </row>
    <row r="45" ht="15" customHeight="1" s="488">
      <c r="A45" s="500" t="n"/>
      <c r="B45" s="500" t="n"/>
      <c r="C45" s="529" t="inlineStr">
        <is>
          <t>DG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 t="n"/>
      <c r="AJ45" s="21">
        <f>SUM(E45:AH45)</f>
        <v/>
      </c>
    </row>
    <row r="46" ht="15" customHeight="1" s="488">
      <c r="A46" s="500" t="n">
        <v>2</v>
      </c>
      <c r="B46" s="500" t="inlineStr">
        <is>
          <t>3F</t>
        </is>
      </c>
      <c r="C46" s="500" t="inlineStr">
        <is>
          <t>SL No 540430038845 (EB Unit)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 t="n">
        <v>0</v>
      </c>
      <c r="K46" s="20" t="n">
        <v>0</v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 t="n">
        <v>0</v>
      </c>
      <c r="Q46" s="20" t="n">
        <v>0</v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 t="n"/>
      <c r="AJ46" s="21">
        <f>SUM(E46:AH46)</f>
        <v/>
      </c>
    </row>
    <row r="47" ht="15" customHeight="1" s="488">
      <c r="A47" s="500" t="n"/>
      <c r="B47" s="500" t="n"/>
      <c r="C47" s="529" t="inlineStr">
        <is>
          <t>DG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 t="n"/>
      <c r="AJ47" s="21">
        <f>SUM(E47:AH47)</f>
        <v/>
      </c>
    </row>
    <row r="48" ht="15" customHeight="1" s="488">
      <c r="A48" s="500" t="n">
        <v>3</v>
      </c>
      <c r="B48" s="500" t="inlineStr">
        <is>
          <t>3F</t>
        </is>
      </c>
      <c r="C48" s="500" t="inlineStr">
        <is>
          <t>SL No 540430038844 (EB Unit)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 t="n"/>
      <c r="AJ48" s="21">
        <f>SUM(E48:AH48)</f>
        <v/>
      </c>
    </row>
    <row r="49" ht="15" customHeight="1" s="488">
      <c r="A49" s="500" t="n"/>
      <c r="B49" s="500" t="n"/>
      <c r="C49" s="529" t="inlineStr">
        <is>
          <t>DG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 t="n"/>
      <c r="AJ49" s="21">
        <f>SUM(E49:AH49)</f>
        <v/>
      </c>
    </row>
    <row r="50" ht="15" customHeight="1" s="488">
      <c r="A50" s="500" t="n">
        <v>4</v>
      </c>
      <c r="B50" s="500" t="inlineStr">
        <is>
          <t>3F</t>
        </is>
      </c>
      <c r="C50" s="500" t="inlineStr">
        <is>
          <t>SL No 540430038821 (EB Unit)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 t="n"/>
      <c r="AJ50" s="21">
        <f>SUM(E50:AH50)</f>
        <v/>
      </c>
    </row>
    <row r="51" ht="15" customHeight="1" s="488">
      <c r="A51" s="500" t="n"/>
      <c r="B51" s="500" t="n"/>
      <c r="C51" s="529" t="inlineStr">
        <is>
          <t>DG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166" t="n"/>
      <c r="AJ51" s="147">
        <f>SUM(E51:AH51)</f>
        <v/>
      </c>
    </row>
    <row r="52" ht="15" customHeight="1" s="488">
      <c r="A52" s="500" t="n">
        <v>5</v>
      </c>
      <c r="B52" s="500" t="inlineStr">
        <is>
          <t>3F</t>
        </is>
      </c>
      <c r="C52" s="500" t="inlineStr">
        <is>
          <t>SL No 540430038849 (EB Unit)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167" t="n"/>
      <c r="AJ52" s="149">
        <f>SUM(E52:AH52)</f>
        <v/>
      </c>
    </row>
    <row r="53" ht="15" customHeight="1" s="488">
      <c r="A53" s="500" t="n"/>
      <c r="B53" s="500" t="n"/>
      <c r="C53" s="529" t="inlineStr">
        <is>
          <t>DG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167" t="n"/>
      <c r="AJ53" s="149">
        <f>SUM(E53:AH53)</f>
        <v/>
      </c>
    </row>
    <row r="54" ht="15" customHeight="1" s="488">
      <c r="A54" s="500" t="n">
        <v>6</v>
      </c>
      <c r="B54" s="500" t="inlineStr">
        <is>
          <t>3F</t>
        </is>
      </c>
      <c r="C54" s="500" t="inlineStr">
        <is>
          <t>SL No 540430038696 (EB Unit)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167" t="n"/>
      <c r="AJ54" s="149">
        <f>SUM(E54:AH54)</f>
        <v/>
      </c>
    </row>
    <row r="55" ht="15" customHeight="1" s="488">
      <c r="A55" s="500" t="n"/>
      <c r="B55" s="500" t="n"/>
      <c r="C55" s="529" t="inlineStr">
        <is>
          <t>DG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167" t="n"/>
      <c r="AJ55" s="149">
        <f>SUM(E55:AH55)</f>
        <v/>
      </c>
    </row>
    <row r="56" ht="15" customHeight="1" s="488">
      <c r="A56" s="500" t="n">
        <v>7</v>
      </c>
      <c r="B56" s="500" t="inlineStr">
        <is>
          <t>3F</t>
        </is>
      </c>
      <c r="C56" s="500" t="inlineStr">
        <is>
          <t>SL No 540430038843 (EB Unit)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167" t="n"/>
      <c r="AJ56" s="149">
        <f>SUM(E56:AH56)</f>
        <v/>
      </c>
    </row>
    <row r="57" ht="15" customHeight="1" s="488">
      <c r="A57" s="500" t="n"/>
      <c r="B57" s="500" t="n"/>
      <c r="C57" s="529" t="inlineStr">
        <is>
          <t>DG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167" t="n"/>
      <c r="AJ57" s="149">
        <f>SUM(E57:AH57)</f>
        <v/>
      </c>
    </row>
    <row r="58" ht="15" customHeight="1" s="488">
      <c r="A58" s="500" t="n">
        <v>8</v>
      </c>
      <c r="B58" s="500" t="inlineStr">
        <is>
          <t>3F</t>
        </is>
      </c>
      <c r="C58" s="500" t="inlineStr">
        <is>
          <t>SL No 540430038848 (EB Unit)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168" t="n"/>
      <c r="AJ58" s="148">
        <f>SUM(E58:AH58)</f>
        <v/>
      </c>
    </row>
    <row r="59" ht="15" customHeight="1" s="488">
      <c r="A59" s="500" t="n"/>
      <c r="B59" s="500" t="n"/>
      <c r="C59" s="529" t="inlineStr">
        <is>
          <t>DG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 t="n"/>
      <c r="AJ59" s="21">
        <f>SUM(E59:AH59)</f>
        <v/>
      </c>
    </row>
    <row r="60" ht="15" customHeight="1" s="488">
      <c r="A60" s="99" t="n"/>
      <c r="B60" s="99" t="n"/>
      <c r="C60" s="511" t="inlineStr">
        <is>
          <t>Total Power - EB Unit</t>
        </is>
      </c>
      <c r="D60" s="501" t="n"/>
      <c r="E60" s="23">
        <f>SUM(E58,E56,E54,E52,E50,E48,E46,E44)</f>
        <v/>
      </c>
      <c r="F60" s="23">
        <f>SUM(F58,F56,F54,F52,F50,F48,F46,F44)</f>
        <v/>
      </c>
      <c r="G60" s="23">
        <f>SUM(G58,G56,G54,G52,G50,G48,G46,G44)</f>
        <v/>
      </c>
      <c r="H60" s="23">
        <f>SUM(H58,H56,H54,H52,H50,H48,H46,H44)</f>
        <v/>
      </c>
      <c r="I60" s="23">
        <f>SUM(I58,I56,I54,I52,I50,I48,I46,I44)</f>
        <v/>
      </c>
      <c r="J60" s="23">
        <f>SUM(J58,J56,J54,J52,J50,J48,J46,J44)</f>
        <v/>
      </c>
      <c r="K60" s="23">
        <f>SUM(K58,K56,K54,K52,K50,K48,K46,K44)</f>
        <v/>
      </c>
      <c r="L60" s="23">
        <f>SUM(L58,L56,L54,L52,L50,L48,L46,L44)</f>
        <v/>
      </c>
      <c r="M60" s="23">
        <f>SUM(M58,M56,M54,M52,M50,M48,M46,M44)</f>
        <v/>
      </c>
      <c r="N60" s="23">
        <f>SUM(N58,N56,N54,N52,N50,N48,N46,N44)</f>
        <v/>
      </c>
      <c r="O60" s="23">
        <f>SUM(O58,O56,O54,O52,O50,O48,O46,O44)</f>
        <v/>
      </c>
      <c r="P60" s="23">
        <f>SUM(P58,P56,P54,P52,P50,P48,P46,P44)</f>
        <v/>
      </c>
      <c r="Q60" s="23">
        <f>SUM(Q58,Q56,Q54,Q52,Q50,Q48,Q46,Q44)</f>
        <v/>
      </c>
      <c r="R60" s="23">
        <f>SUM(R58,R56,R54,R52,R50,R48,R46,R44)</f>
        <v/>
      </c>
      <c r="S60" s="23">
        <f>SUM(S58,S56,S54,S52,S50,S48,S46,S44)</f>
        <v/>
      </c>
      <c r="T60" s="23">
        <f>SUM(T58,T56,T54,T52,T50,T48,T46,T44)</f>
        <v/>
      </c>
      <c r="U60" s="23">
        <f>SUM(U58,U56,U54,U52,U50,U48,U46,U44)</f>
        <v/>
      </c>
      <c r="V60" s="23">
        <f>SUM(V58,V56,V54,V52,V50,V48,V46,V44)</f>
        <v/>
      </c>
      <c r="W60" s="23">
        <f>SUM(W58,W56,W54,W52,W50,W48,W46,W44)</f>
        <v/>
      </c>
      <c r="X60" s="23">
        <f>SUM(X58,X56,X54,X52,X50,X48,X46,X44)</f>
        <v/>
      </c>
      <c r="Y60" s="23">
        <f>SUM(Y58,Y56,Y54,Y52,Y50,Y48,Y46,Y44)</f>
        <v/>
      </c>
      <c r="Z60" s="23">
        <f>SUM(Z58,Z56,Z54,Z52,Z50,Z48,Z46,Z44)</f>
        <v/>
      </c>
      <c r="AA60" s="23">
        <f>SUM(AA58,AA56,AA54,AA52,AA50,AA48,AA46,AA44)</f>
        <v/>
      </c>
      <c r="AB60" s="23">
        <f>SUM(AB58,AB56,AB54,AB52,AB50,AB48,AB46,AB44)</f>
        <v/>
      </c>
      <c r="AC60" s="23">
        <f>SUM(AC58,AC56,AC54,AC52,AC50,AC48,AC46,AC44)</f>
        <v/>
      </c>
      <c r="AD60" s="23">
        <f>SUM(AD58,AD56,AD54,AD52,AD50,AD48,AD46,AD44)</f>
        <v/>
      </c>
      <c r="AE60" s="23">
        <f>SUM(AE58,AE56,AE54,AE52,AE50,AE48,AE46,AE44)</f>
        <v/>
      </c>
      <c r="AF60" s="23">
        <f>SUM(AF58,AF56,AF54,AF52,AF50,AF48,AF46,AF44)</f>
        <v/>
      </c>
      <c r="AG60" s="23">
        <f>SUM(AG58,AG56,AG54,AG52,AG50,AG48,AG46,AG44)</f>
        <v/>
      </c>
      <c r="AH60" s="23">
        <f>SUM(AH58,AH56,AH54,AH52,AH50,AH48,AH46,AH44)</f>
        <v/>
      </c>
      <c r="AI60" s="23" t="n"/>
      <c r="AJ60" s="24">
        <f>SUM(E60:AH60)</f>
        <v/>
      </c>
    </row>
    <row r="61" ht="15" customHeight="1" s="488">
      <c r="A61" s="99" t="n"/>
      <c r="B61" s="99" t="n"/>
      <c r="C61" s="145" t="inlineStr">
        <is>
          <t>Total Power- DG</t>
        </is>
      </c>
      <c r="D61" s="108" t="n"/>
      <c r="E61" s="23">
        <f>SUM(E45,E47,E49,E51,E53,E55,E57,E59)</f>
        <v/>
      </c>
      <c r="F61" s="23">
        <f>SUM(F45,F47,F49,F51,F53,F55,F57,F59)</f>
        <v/>
      </c>
      <c r="G61" s="23">
        <f>SUM(G45,G47,G49,G51,G53,G55,G57,G59)</f>
        <v/>
      </c>
      <c r="H61" s="23">
        <f>SUM(H45,H47,H49,H51,H53,H55,H57,H59)</f>
        <v/>
      </c>
      <c r="I61" s="23">
        <f>SUM(I45,I47,I49,I51,I53,I55,I57,I59)</f>
        <v/>
      </c>
      <c r="J61" s="23">
        <f>SUM(J45,J47,J49,J51,J53,J55,J57,J59)</f>
        <v/>
      </c>
      <c r="K61" s="23">
        <f>SUM(K45,K47,K49,K51,K53,K55,K57,K59)</f>
        <v/>
      </c>
      <c r="L61" s="23">
        <f>SUM(L45,L47,L49,L51,L53,L55,L57,L59)</f>
        <v/>
      </c>
      <c r="M61" s="23">
        <f>SUM(M45,M47,M49,M51,M53,M55,M57,M59)</f>
        <v/>
      </c>
      <c r="N61" s="23">
        <f>SUM(N45,N47,N49,N51,N53,N55,N57,N59)</f>
        <v/>
      </c>
      <c r="O61" s="23">
        <f>SUM(O45,O47,O49,O51,O53,O55,O57,O59)</f>
        <v/>
      </c>
      <c r="P61" s="23">
        <f>SUM(P45,P47,P49,P51,P53,P55,P57,P59)</f>
        <v/>
      </c>
      <c r="Q61" s="23">
        <f>SUM(Q45,Q47,Q49,Q51,Q53,Q55,Q57,Q59)</f>
        <v/>
      </c>
      <c r="R61" s="23">
        <f>SUM(R45,R47,R49,R51,R53,R55,R57,R59)</f>
        <v/>
      </c>
      <c r="S61" s="23">
        <f>SUM(S45,S47,S49,S51,S53,S55,S57,S59)</f>
        <v/>
      </c>
      <c r="T61" s="23">
        <f>SUM(T45,T47,T49,T51,T53,T55,T57,T59)</f>
        <v/>
      </c>
      <c r="U61" s="23">
        <f>SUM(U45,U47,U49,U51,U53,U55,U57,U59)</f>
        <v/>
      </c>
      <c r="V61" s="23">
        <f>SUM(V45,V47,V49,V51,V53,V55,V57,V59)</f>
        <v/>
      </c>
      <c r="W61" s="23">
        <f>SUM(W45,W47,W49,W51,W53,W55,W57,W59)</f>
        <v/>
      </c>
      <c r="X61" s="23">
        <f>SUM(X45,X47,X49,X51,X53,X55,X57,X59)</f>
        <v/>
      </c>
      <c r="Y61" s="23">
        <f>SUM(Y45,Y47,Y49,Y51,Y53,Y55,Y57,Y59)</f>
        <v/>
      </c>
      <c r="Z61" s="23">
        <f>SUM(Z45,Z47,Z49,Z51,Z53,Z55,Z57,Z59)</f>
        <v/>
      </c>
      <c r="AA61" s="23">
        <f>SUM(AA45,AA47,AA49,AA51,AA53,AA55,AA57,AA59)</f>
        <v/>
      </c>
      <c r="AB61" s="23">
        <f>SUM(AB45,AB47,AB49,AB51,AB53,AB55,AB57,AB59)</f>
        <v/>
      </c>
      <c r="AC61" s="23">
        <f>SUM(AC45,AC47,AC49,AC51,AC53,AC55,AC57,AC59)</f>
        <v/>
      </c>
      <c r="AD61" s="23">
        <f>SUM(AD45,AD47,AD49,AD51,AD53,AD55,AD57,AD59)</f>
        <v/>
      </c>
      <c r="AE61" s="23">
        <f>SUM(AE45,AE47,AE49,AE51,AE53,AE55,AE57,AE59)</f>
        <v/>
      </c>
      <c r="AF61" s="23">
        <f>SUM(AF45,AF47,AF49,AF51,AF53,AF55,AF57,AF59)</f>
        <v/>
      </c>
      <c r="AG61" s="23">
        <f>SUM(AG45,AG47,AG49,AG51,AG53,AG55,AG57,AG59)</f>
        <v/>
      </c>
      <c r="AH61" s="23">
        <f>SUM(AH45,AH47,AH49,AH51,AH53,AH55,AH57,AH59)</f>
        <v/>
      </c>
      <c r="AI61" s="23" t="n"/>
      <c r="AJ61" s="24">
        <f>SUM(E61:AH61)</f>
        <v/>
      </c>
    </row>
    <row r="62">
      <c r="A62" s="539" t="n"/>
      <c r="B62" s="539" t="n"/>
      <c r="C62" s="532" t="inlineStr">
        <is>
          <t>Total Power Cumulative</t>
        </is>
      </c>
      <c r="D62" s="501" t="n"/>
      <c r="E62" s="102">
        <f>E60</f>
        <v/>
      </c>
      <c r="F62" s="102">
        <f>F60</f>
        <v/>
      </c>
      <c r="G62" s="102">
        <f>G60</f>
        <v/>
      </c>
      <c r="H62" s="102">
        <f>H60</f>
        <v/>
      </c>
      <c r="I62" s="102">
        <f>I60</f>
        <v/>
      </c>
      <c r="J62" s="102">
        <f>J60</f>
        <v/>
      </c>
      <c r="K62" s="102">
        <f>K60</f>
        <v/>
      </c>
      <c r="L62" s="102">
        <f>L60</f>
        <v/>
      </c>
      <c r="M62" s="102">
        <f>M60</f>
        <v/>
      </c>
      <c r="N62" s="102">
        <f>N60</f>
        <v/>
      </c>
      <c r="O62" s="102">
        <f>O60</f>
        <v/>
      </c>
      <c r="P62" s="102">
        <f>P60</f>
        <v/>
      </c>
      <c r="Q62" s="102">
        <f>Q60</f>
        <v/>
      </c>
      <c r="R62" s="102">
        <f>R60</f>
        <v/>
      </c>
      <c r="S62" s="102">
        <f>S60</f>
        <v/>
      </c>
      <c r="T62" s="102">
        <f>T60</f>
        <v/>
      </c>
      <c r="U62" s="102">
        <f>U60</f>
        <v/>
      </c>
      <c r="V62" s="102">
        <f>V60</f>
        <v/>
      </c>
      <c r="W62" s="102">
        <f>W60</f>
        <v/>
      </c>
      <c r="X62" s="102">
        <f>X60</f>
        <v/>
      </c>
      <c r="Y62" s="102">
        <f>Y60</f>
        <v/>
      </c>
      <c r="Z62" s="102">
        <f>Z60</f>
        <v/>
      </c>
      <c r="AA62" s="102">
        <f>AA60</f>
        <v/>
      </c>
      <c r="AB62" s="102">
        <f>AB60</f>
        <v/>
      </c>
      <c r="AC62" s="102">
        <f>AC60</f>
        <v/>
      </c>
      <c r="AD62" s="102">
        <f>AD60</f>
        <v/>
      </c>
      <c r="AE62" s="102">
        <f>AE60</f>
        <v/>
      </c>
      <c r="AF62" s="102">
        <f>AF60</f>
        <v/>
      </c>
      <c r="AG62" s="102">
        <f>AG60</f>
        <v/>
      </c>
      <c r="AH62" s="102">
        <f>AH60</f>
        <v/>
      </c>
      <c r="AI62" s="102" t="n"/>
      <c r="AJ62" s="102">
        <f>AJ60</f>
        <v/>
      </c>
    </row>
    <row r="63">
      <c r="A63" s="94" t="n"/>
      <c r="B63" s="534" t="n"/>
      <c r="C63" s="146" t="n"/>
      <c r="D63" s="109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4" t="n"/>
      <c r="AJ63" s="94" t="n"/>
    </row>
    <row r="64">
      <c r="A64" s="28" t="inlineStr">
        <is>
          <t>S No</t>
        </is>
      </c>
      <c r="B64" s="28" t="inlineStr">
        <is>
          <t>Location</t>
        </is>
      </c>
      <c r="C64" s="513" t="inlineStr">
        <is>
          <t>Meter</t>
        </is>
      </c>
      <c r="D64" s="50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103" t="n"/>
    </row>
    <row r="65">
      <c r="A65" s="500" t="n">
        <v>1</v>
      </c>
      <c r="B65" s="500" t="inlineStr">
        <is>
          <t>3F</t>
        </is>
      </c>
      <c r="C65" s="503" t="inlineStr">
        <is>
          <t>AHU1</t>
        </is>
      </c>
      <c r="D65" s="501" t="n"/>
      <c r="E65" s="102">
        <f>E23-D23</f>
        <v/>
      </c>
      <c r="F65" s="102">
        <f>F23-E23</f>
        <v/>
      </c>
      <c r="G65" s="102">
        <f>G23-F23</f>
        <v/>
      </c>
      <c r="H65" s="102">
        <f>H23-G23</f>
        <v/>
      </c>
      <c r="I65" s="102">
        <f>I23-H23</f>
        <v/>
      </c>
      <c r="J65" s="102">
        <f>J23-I23</f>
        <v/>
      </c>
      <c r="K65" s="102">
        <f>K23-J23</f>
        <v/>
      </c>
      <c r="L65" s="102">
        <f>L23-K23</f>
        <v/>
      </c>
      <c r="M65" s="102">
        <f>M23-L23</f>
        <v/>
      </c>
      <c r="N65" s="102">
        <f>N23-M23</f>
        <v/>
      </c>
      <c r="O65" s="102">
        <f>O23-N23</f>
        <v/>
      </c>
      <c r="P65" s="102">
        <f>P23-O23</f>
        <v/>
      </c>
      <c r="Q65" s="102">
        <f>Q23-P23</f>
        <v/>
      </c>
      <c r="R65" s="102">
        <f>R23-Q23</f>
        <v/>
      </c>
      <c r="S65" s="102">
        <f>S23-R23</f>
        <v/>
      </c>
      <c r="T65" s="102">
        <f>T23-S23</f>
        <v/>
      </c>
      <c r="U65" s="102">
        <f>U23-T23</f>
        <v/>
      </c>
      <c r="V65" s="102">
        <f>V23-U23</f>
        <v/>
      </c>
      <c r="W65" s="102">
        <f>W23-V23</f>
        <v/>
      </c>
      <c r="X65" s="102">
        <f>X23-W23</f>
        <v/>
      </c>
      <c r="Y65" s="102">
        <f>Y23-X23</f>
        <v/>
      </c>
      <c r="Z65" s="102">
        <f>Z23-Y23</f>
        <v/>
      </c>
      <c r="AA65" s="102">
        <f>AA23-Z23</f>
        <v/>
      </c>
      <c r="AB65" s="102">
        <f>AB23-AA23</f>
        <v/>
      </c>
      <c r="AC65" s="102">
        <f>AC23-AB23</f>
        <v/>
      </c>
      <c r="AD65" s="102">
        <f>AD23-AC23</f>
        <v/>
      </c>
      <c r="AE65" s="102">
        <f>AE23-AD23</f>
        <v/>
      </c>
      <c r="AF65" s="102">
        <f>AF23-AE23</f>
        <v/>
      </c>
      <c r="AG65" s="102">
        <f>AG23-AF23</f>
        <v/>
      </c>
      <c r="AH65" s="102">
        <f>AH23-AG23</f>
        <v/>
      </c>
      <c r="AI65" s="102" t="n"/>
      <c r="AJ65" s="102">
        <f>SUM(E65:AH65)</f>
        <v/>
      </c>
    </row>
    <row r="66">
      <c r="A66" s="500" t="n"/>
      <c r="B66" s="500" t="n"/>
      <c r="C66" s="531" t="inlineStr">
        <is>
          <t>DG</t>
        </is>
      </c>
      <c r="D66" s="501" t="n"/>
      <c r="E66" s="102">
        <f>E24-D24</f>
        <v/>
      </c>
      <c r="F66" s="102">
        <f>F24-E24</f>
        <v/>
      </c>
      <c r="G66" s="102">
        <f>G24-F24</f>
        <v/>
      </c>
      <c r="H66" s="102">
        <f>H24-G24</f>
        <v/>
      </c>
      <c r="I66" s="102">
        <f>I24-H24</f>
        <v/>
      </c>
      <c r="J66" s="102">
        <f>J24-I24</f>
        <v/>
      </c>
      <c r="K66" s="102">
        <f>K24-J24</f>
        <v/>
      </c>
      <c r="L66" s="102">
        <f>L24-K24</f>
        <v/>
      </c>
      <c r="M66" s="102">
        <f>M24-L24</f>
        <v/>
      </c>
      <c r="N66" s="102">
        <f>N24-M24</f>
        <v/>
      </c>
      <c r="O66" s="102">
        <f>O24-N24</f>
        <v/>
      </c>
      <c r="P66" s="102">
        <f>P24-O24</f>
        <v/>
      </c>
      <c r="Q66" s="102">
        <f>Q24-P24</f>
        <v/>
      </c>
      <c r="R66" s="102">
        <f>R24-Q24</f>
        <v/>
      </c>
      <c r="S66" s="102">
        <f>S24-R24</f>
        <v/>
      </c>
      <c r="T66" s="102">
        <f>T24-S24</f>
        <v/>
      </c>
      <c r="U66" s="102">
        <f>U24-T24</f>
        <v/>
      </c>
      <c r="V66" s="102">
        <f>V24-U24</f>
        <v/>
      </c>
      <c r="W66" s="102">
        <f>W24-V24</f>
        <v/>
      </c>
      <c r="X66" s="102">
        <f>X24-W24</f>
        <v/>
      </c>
      <c r="Y66" s="102">
        <f>Y24-X24</f>
        <v/>
      </c>
      <c r="Z66" s="102">
        <f>Z24-Y24</f>
        <v/>
      </c>
      <c r="AA66" s="102">
        <f>AA24-Z24</f>
        <v/>
      </c>
      <c r="AB66" s="102">
        <f>AB24-AA24</f>
        <v/>
      </c>
      <c r="AC66" s="102">
        <f>AC24-AB24</f>
        <v/>
      </c>
      <c r="AD66" s="102">
        <f>AD24-AC24</f>
        <v/>
      </c>
      <c r="AE66" s="102">
        <f>AE24-AD24</f>
        <v/>
      </c>
      <c r="AF66" s="102">
        <f>AF24-AE24</f>
        <v/>
      </c>
      <c r="AG66" s="102">
        <f>AG24-AF24</f>
        <v/>
      </c>
      <c r="AH66" s="102">
        <f>AH24-AG24</f>
        <v/>
      </c>
      <c r="AI66" s="102" t="n"/>
      <c r="AJ66" s="102">
        <f>SUM(E66:AH66)</f>
        <v/>
      </c>
    </row>
    <row r="67">
      <c r="A67" s="500" t="n">
        <v>2</v>
      </c>
      <c r="B67" s="500" t="inlineStr">
        <is>
          <t>3F</t>
        </is>
      </c>
      <c r="C67" s="503" t="inlineStr">
        <is>
          <t>AHU2</t>
        </is>
      </c>
      <c r="D67" s="501" t="n"/>
      <c r="E67" s="102">
        <f>E25-D25</f>
        <v/>
      </c>
      <c r="F67" s="102">
        <f>F25-E25</f>
        <v/>
      </c>
      <c r="G67" s="102">
        <f>G25-F25</f>
        <v/>
      </c>
      <c r="H67" s="102">
        <f>H25-G25</f>
        <v/>
      </c>
      <c r="I67" s="102">
        <f>I25-H25</f>
        <v/>
      </c>
      <c r="J67" s="102">
        <f>J25-I25</f>
        <v/>
      </c>
      <c r="K67" s="102">
        <f>K25-J25</f>
        <v/>
      </c>
      <c r="L67" s="102">
        <f>L25-K25</f>
        <v/>
      </c>
      <c r="M67" s="102">
        <f>M25-L25</f>
        <v/>
      </c>
      <c r="N67" s="102">
        <f>N25-M25</f>
        <v/>
      </c>
      <c r="O67" s="102">
        <f>O25-N25</f>
        <v/>
      </c>
      <c r="P67" s="102">
        <f>P25-O25</f>
        <v/>
      </c>
      <c r="Q67" s="102">
        <f>Q25-P25</f>
        <v/>
      </c>
      <c r="R67" s="102">
        <f>R25-Q25</f>
        <v/>
      </c>
      <c r="S67" s="102">
        <f>S25-R25</f>
        <v/>
      </c>
      <c r="T67" s="102">
        <f>T25-S25</f>
        <v/>
      </c>
      <c r="U67" s="102">
        <f>U25-T25</f>
        <v/>
      </c>
      <c r="V67" s="102">
        <f>V25-U25</f>
        <v/>
      </c>
      <c r="W67" s="102">
        <f>W25-V25</f>
        <v/>
      </c>
      <c r="X67" s="102">
        <f>X25-W25</f>
        <v/>
      </c>
      <c r="Y67" s="102">
        <f>Y25-X25</f>
        <v/>
      </c>
      <c r="Z67" s="102">
        <f>Z25-Y25</f>
        <v/>
      </c>
      <c r="AA67" s="102">
        <f>AA25-Z25</f>
        <v/>
      </c>
      <c r="AB67" s="102">
        <f>AB25-AA25</f>
        <v/>
      </c>
      <c r="AC67" s="102">
        <f>AC25-AB25</f>
        <v/>
      </c>
      <c r="AD67" s="102">
        <f>AD25-AC25</f>
        <v/>
      </c>
      <c r="AE67" s="102">
        <f>AE25-AD25</f>
        <v/>
      </c>
      <c r="AF67" s="102">
        <f>AF25-AE25</f>
        <v/>
      </c>
      <c r="AG67" s="102">
        <f>AG25-AF25</f>
        <v/>
      </c>
      <c r="AH67" s="102">
        <f>AH25-AG25</f>
        <v/>
      </c>
      <c r="AI67" s="102" t="n"/>
      <c r="AJ67" s="102">
        <f>SUM(E67:AH67)</f>
        <v/>
      </c>
    </row>
    <row r="68">
      <c r="A68" s="500" t="n"/>
      <c r="B68" s="500" t="n"/>
      <c r="C68" s="531" t="inlineStr">
        <is>
          <t>DG</t>
        </is>
      </c>
      <c r="D68" s="501" t="n"/>
      <c r="E68" s="102">
        <f>E26-D26</f>
        <v/>
      </c>
      <c r="F68" s="102">
        <f>F26-E26</f>
        <v/>
      </c>
      <c r="G68" s="102">
        <f>G26-F26</f>
        <v/>
      </c>
      <c r="H68" s="102">
        <f>H26-G26</f>
        <v/>
      </c>
      <c r="I68" s="102">
        <f>I26-H26</f>
        <v/>
      </c>
      <c r="J68" s="102">
        <f>J26-I26</f>
        <v/>
      </c>
      <c r="K68" s="102">
        <f>K26-J26</f>
        <v/>
      </c>
      <c r="L68" s="102">
        <f>L26-K26</f>
        <v/>
      </c>
      <c r="M68" s="102">
        <f>M26-L26</f>
        <v/>
      </c>
      <c r="N68" s="102">
        <f>N26-M26</f>
        <v/>
      </c>
      <c r="O68" s="102">
        <f>O26-N26</f>
        <v/>
      </c>
      <c r="P68" s="102">
        <f>P26-O26</f>
        <v/>
      </c>
      <c r="Q68" s="102">
        <f>Q26-P26</f>
        <v/>
      </c>
      <c r="R68" s="102">
        <f>R26-Q26</f>
        <v/>
      </c>
      <c r="S68" s="102">
        <f>S26-R26</f>
        <v/>
      </c>
      <c r="T68" s="102">
        <f>T26-S26</f>
        <v/>
      </c>
      <c r="U68" s="102">
        <f>U26-T26</f>
        <v/>
      </c>
      <c r="V68" s="102">
        <f>V26-U26</f>
        <v/>
      </c>
      <c r="W68" s="102">
        <f>W26-V26</f>
        <v/>
      </c>
      <c r="X68" s="102">
        <f>X26-W26</f>
        <v/>
      </c>
      <c r="Y68" s="102">
        <f>Y26-X26</f>
        <v/>
      </c>
      <c r="Z68" s="102">
        <f>Z26-Y26</f>
        <v/>
      </c>
      <c r="AA68" s="102">
        <f>AA26-Z26</f>
        <v/>
      </c>
      <c r="AB68" s="102">
        <f>AB26-AA26</f>
        <v/>
      </c>
      <c r="AC68" s="102">
        <f>AC26-AB26</f>
        <v/>
      </c>
      <c r="AD68" s="102">
        <f>AD26-AC26</f>
        <v/>
      </c>
      <c r="AE68" s="102">
        <f>AE26-AD26</f>
        <v/>
      </c>
      <c r="AF68" s="102">
        <f>AF26-AE26</f>
        <v/>
      </c>
      <c r="AG68" s="102">
        <f>AG26-AF26</f>
        <v/>
      </c>
      <c r="AH68" s="102">
        <f>AH26-AG26</f>
        <v/>
      </c>
      <c r="AI68" s="102" t="n"/>
      <c r="AJ68" s="102">
        <f>SUM(E68:AH68)</f>
        <v/>
      </c>
      <c r="AK68" s="115" t="inlineStr">
        <is>
          <t>EB</t>
        </is>
      </c>
      <c r="AL68" s="116">
        <f>AJ60</f>
        <v/>
      </c>
    </row>
    <row r="69">
      <c r="A69" s="500" t="n">
        <v>3</v>
      </c>
      <c r="B69" s="500" t="inlineStr">
        <is>
          <t>3F</t>
        </is>
      </c>
      <c r="C69" s="503" t="inlineStr">
        <is>
          <t>AHU3</t>
        </is>
      </c>
      <c r="D69" s="501" t="n"/>
      <c r="E69" s="102">
        <f>E27-D27</f>
        <v/>
      </c>
      <c r="F69" s="102">
        <f>F27-E27</f>
        <v/>
      </c>
      <c r="G69" s="102">
        <f>G27-F27</f>
        <v/>
      </c>
      <c r="H69" s="102">
        <f>H27-G27</f>
        <v/>
      </c>
      <c r="I69" s="102">
        <f>I27-H27</f>
        <v/>
      </c>
      <c r="J69" s="102">
        <f>J27-I27</f>
        <v/>
      </c>
      <c r="K69" s="102">
        <f>K27-J27</f>
        <v/>
      </c>
      <c r="L69" s="102">
        <f>L27-K27</f>
        <v/>
      </c>
      <c r="M69" s="102">
        <f>M27-L27</f>
        <v/>
      </c>
      <c r="N69" s="102">
        <f>N27-M27</f>
        <v/>
      </c>
      <c r="O69" s="102">
        <f>O27-N27</f>
        <v/>
      </c>
      <c r="P69" s="102">
        <f>P27-O27</f>
        <v/>
      </c>
      <c r="Q69" s="102">
        <f>Q27-P27</f>
        <v/>
      </c>
      <c r="R69" s="102">
        <f>R27-Q27</f>
        <v/>
      </c>
      <c r="S69" s="102">
        <f>S27-R27</f>
        <v/>
      </c>
      <c r="T69" s="102">
        <f>T27-S27</f>
        <v/>
      </c>
      <c r="U69" s="102">
        <f>U27-T27</f>
        <v/>
      </c>
      <c r="V69" s="102">
        <f>V27-U27</f>
        <v/>
      </c>
      <c r="W69" s="102">
        <f>W27-V27</f>
        <v/>
      </c>
      <c r="X69" s="102">
        <f>X27-W27</f>
        <v/>
      </c>
      <c r="Y69" s="102">
        <f>Y27-X27</f>
        <v/>
      </c>
      <c r="Z69" s="102">
        <f>Z27-Y27</f>
        <v/>
      </c>
      <c r="AA69" s="102">
        <f>AA27-Z27</f>
        <v/>
      </c>
      <c r="AB69" s="102">
        <f>AB27-AA27</f>
        <v/>
      </c>
      <c r="AC69" s="102">
        <f>AC27-AB27</f>
        <v/>
      </c>
      <c r="AD69" s="102">
        <f>AD27-AC27</f>
        <v/>
      </c>
      <c r="AE69" s="102">
        <f>AE27-AD27</f>
        <v/>
      </c>
      <c r="AF69" s="102">
        <f>AF27-AE27</f>
        <v/>
      </c>
      <c r="AG69" s="102">
        <f>AG27-AF27</f>
        <v/>
      </c>
      <c r="AH69" s="102">
        <f>AH27-AG27</f>
        <v/>
      </c>
      <c r="AI69" s="102" t="n"/>
      <c r="AJ69" s="102">
        <f>SUM(E69:AH69)</f>
        <v/>
      </c>
      <c r="AK69" s="115" t="inlineStr">
        <is>
          <t>AHU</t>
        </is>
      </c>
      <c r="AL69" s="116">
        <f>AJ73</f>
        <v/>
      </c>
    </row>
    <row r="70">
      <c r="A70" s="500" t="n"/>
      <c r="B70" s="500" t="n"/>
      <c r="C70" s="531" t="inlineStr">
        <is>
          <t>DG</t>
        </is>
      </c>
      <c r="D70" s="501" t="n"/>
      <c r="E70" s="102">
        <f>E28-D28</f>
        <v/>
      </c>
      <c r="F70" s="102">
        <f>F28-E28</f>
        <v/>
      </c>
      <c r="G70" s="102">
        <f>G28-F28</f>
        <v/>
      </c>
      <c r="H70" s="102">
        <f>H28-G28</f>
        <v/>
      </c>
      <c r="I70" s="102">
        <f>I28-H28</f>
        <v/>
      </c>
      <c r="J70" s="102">
        <f>J28-I28</f>
        <v/>
      </c>
      <c r="K70" s="102">
        <f>K28-J28</f>
        <v/>
      </c>
      <c r="L70" s="102">
        <f>L28-K28</f>
        <v/>
      </c>
      <c r="M70" s="102">
        <f>M28-L28</f>
        <v/>
      </c>
      <c r="N70" s="102">
        <f>N28-M28</f>
        <v/>
      </c>
      <c r="O70" s="102">
        <f>O28-N28</f>
        <v/>
      </c>
      <c r="P70" s="102">
        <f>P28-O28</f>
        <v/>
      </c>
      <c r="Q70" s="102">
        <f>Q28-P28</f>
        <v/>
      </c>
      <c r="R70" s="102">
        <f>R28-Q28</f>
        <v/>
      </c>
      <c r="S70" s="102">
        <f>S28-R28</f>
        <v/>
      </c>
      <c r="T70" s="102">
        <f>T28-S28</f>
        <v/>
      </c>
      <c r="U70" s="102">
        <f>U28-T28</f>
        <v/>
      </c>
      <c r="V70" s="102">
        <f>V28-U28</f>
        <v/>
      </c>
      <c r="W70" s="102">
        <f>W28-V28</f>
        <v/>
      </c>
      <c r="X70" s="102">
        <f>X28-W28</f>
        <v/>
      </c>
      <c r="Y70" s="102">
        <f>Y28-X28</f>
        <v/>
      </c>
      <c r="Z70" s="102">
        <f>Z28-Y28</f>
        <v/>
      </c>
      <c r="AA70" s="102">
        <f>AA28-Z28</f>
        <v/>
      </c>
      <c r="AB70" s="102">
        <f>AB28-AA28</f>
        <v/>
      </c>
      <c r="AC70" s="102">
        <f>AC28-AB28</f>
        <v/>
      </c>
      <c r="AD70" s="102">
        <f>AD28-AC28</f>
        <v/>
      </c>
      <c r="AE70" s="102">
        <f>AE28-AD28</f>
        <v/>
      </c>
      <c r="AF70" s="102">
        <f>AF28-AE28</f>
        <v/>
      </c>
      <c r="AG70" s="102">
        <f>AG28-AF28</f>
        <v/>
      </c>
      <c r="AH70" s="102">
        <f>AH28-AG28</f>
        <v/>
      </c>
      <c r="AI70" s="102" t="n"/>
      <c r="AJ70" s="102">
        <f>SUM(E70:AH70)</f>
        <v/>
      </c>
      <c r="AK70" s="115" t="inlineStr">
        <is>
          <t>BTU</t>
        </is>
      </c>
      <c r="AL70" s="116">
        <f>AJ79*40%</f>
        <v/>
      </c>
    </row>
    <row r="71">
      <c r="A71" s="500" t="n">
        <v>4</v>
      </c>
      <c r="B71" s="500" t="inlineStr">
        <is>
          <t>3F</t>
        </is>
      </c>
      <c r="C71" s="503" t="inlineStr">
        <is>
          <t>AHU4</t>
        </is>
      </c>
      <c r="D71" s="501" t="n"/>
      <c r="E71" s="102">
        <f>E29-D29</f>
        <v/>
      </c>
      <c r="F71" s="102">
        <f>F29-E29</f>
        <v/>
      </c>
      <c r="G71" s="102">
        <f>G29-F29</f>
        <v/>
      </c>
      <c r="H71" s="102">
        <f>H29-G29</f>
        <v/>
      </c>
      <c r="I71" s="102">
        <f>I29-H29</f>
        <v/>
      </c>
      <c r="J71" s="102">
        <f>J29-I29</f>
        <v/>
      </c>
      <c r="K71" s="102">
        <f>K29-J29</f>
        <v/>
      </c>
      <c r="L71" s="102">
        <f>L29-K29</f>
        <v/>
      </c>
      <c r="M71" s="102">
        <f>M29-L29</f>
        <v/>
      </c>
      <c r="N71" s="102">
        <f>N29-M29</f>
        <v/>
      </c>
      <c r="O71" s="102">
        <f>O29-N29</f>
        <v/>
      </c>
      <c r="P71" s="102">
        <f>P29-O29</f>
        <v/>
      </c>
      <c r="Q71" s="102">
        <f>Q29-P29</f>
        <v/>
      </c>
      <c r="R71" s="102">
        <f>R29-Q29</f>
        <v/>
      </c>
      <c r="S71" s="102">
        <f>S29-R29</f>
        <v/>
      </c>
      <c r="T71" s="102">
        <f>T29-S29</f>
        <v/>
      </c>
      <c r="U71" s="102">
        <f>U29-T29</f>
        <v/>
      </c>
      <c r="V71" s="102">
        <f>V29-U29</f>
        <v/>
      </c>
      <c r="W71" s="102">
        <f>W29-V29</f>
        <v/>
      </c>
      <c r="X71" s="102">
        <f>X29-W29</f>
        <v/>
      </c>
      <c r="Y71" s="102">
        <f>Y29-X29</f>
        <v/>
      </c>
      <c r="Z71" s="102">
        <f>Z29-Y29</f>
        <v/>
      </c>
      <c r="AA71" s="102">
        <f>AA29-Z29</f>
        <v/>
      </c>
      <c r="AB71" s="102">
        <f>AB29-AA29</f>
        <v/>
      </c>
      <c r="AC71" s="102">
        <f>AC29-AB29</f>
        <v/>
      </c>
      <c r="AD71" s="102">
        <f>AD29-AC29</f>
        <v/>
      </c>
      <c r="AE71" s="102">
        <f>AE29-AD29</f>
        <v/>
      </c>
      <c r="AF71" s="102">
        <f>AF29-AE29</f>
        <v/>
      </c>
      <c r="AG71" s="102">
        <f>AG29-AF29</f>
        <v/>
      </c>
      <c r="AH71" s="102">
        <f>AH29-AG29</f>
        <v/>
      </c>
      <c r="AI71" s="102" t="n"/>
      <c r="AJ71" s="102">
        <f>SUM(E71:AH71)</f>
        <v/>
      </c>
      <c r="AK71" s="117" t="inlineStr">
        <is>
          <t>DG</t>
        </is>
      </c>
      <c r="AL71" s="118">
        <f>AJ74+AJ61</f>
        <v/>
      </c>
    </row>
    <row r="72">
      <c r="A72" s="500" t="n"/>
      <c r="B72" s="500" t="n"/>
      <c r="C72" s="531" t="inlineStr">
        <is>
          <t>DG</t>
        </is>
      </c>
      <c r="D72" s="501" t="n"/>
      <c r="E72" s="102">
        <f>E30-D30</f>
        <v/>
      </c>
      <c r="F72" s="102">
        <f>F30-E30</f>
        <v/>
      </c>
      <c r="G72" s="102">
        <f>G30-F30</f>
        <v/>
      </c>
      <c r="H72" s="102">
        <f>H30-G30</f>
        <v/>
      </c>
      <c r="I72" s="102">
        <f>I30-H30</f>
        <v/>
      </c>
      <c r="J72" s="102">
        <f>J30-I30</f>
        <v/>
      </c>
      <c r="K72" s="102">
        <f>K30-J30</f>
        <v/>
      </c>
      <c r="L72" s="102">
        <f>L30-K30</f>
        <v/>
      </c>
      <c r="M72" s="102">
        <f>M30-L30</f>
        <v/>
      </c>
      <c r="N72" s="102">
        <f>N30-M30</f>
        <v/>
      </c>
      <c r="O72" s="102">
        <f>O30-N30</f>
        <v/>
      </c>
      <c r="P72" s="102">
        <f>P30-O30</f>
        <v/>
      </c>
      <c r="Q72" s="102">
        <f>Q30-P30</f>
        <v/>
      </c>
      <c r="R72" s="102">
        <f>R30-Q30</f>
        <v/>
      </c>
      <c r="S72" s="102">
        <f>S30-R30</f>
        <v/>
      </c>
      <c r="T72" s="102">
        <f>T30-S30</f>
        <v/>
      </c>
      <c r="U72" s="102">
        <f>U30-T30</f>
        <v/>
      </c>
      <c r="V72" s="102">
        <f>V30-U30</f>
        <v/>
      </c>
      <c r="W72" s="102">
        <f>W30-V30</f>
        <v/>
      </c>
      <c r="X72" s="102">
        <f>X30-W30</f>
        <v/>
      </c>
      <c r="Y72" s="102">
        <f>Y30-X30</f>
        <v/>
      </c>
      <c r="Z72" s="102">
        <f>Z30-Y30</f>
        <v/>
      </c>
      <c r="AA72" s="102">
        <f>AA30-Z30</f>
        <v/>
      </c>
      <c r="AB72" s="102">
        <f>AB30-AA30</f>
        <v/>
      </c>
      <c r="AC72" s="102">
        <f>AC30-AB30</f>
        <v/>
      </c>
      <c r="AD72" s="102">
        <f>AD30-AC30</f>
        <v/>
      </c>
      <c r="AE72" s="102">
        <f>AE30-AD30</f>
        <v/>
      </c>
      <c r="AF72" s="102">
        <f>AF30-AE30</f>
        <v/>
      </c>
      <c r="AG72" s="102">
        <f>AG30-AF30</f>
        <v/>
      </c>
      <c r="AH72" s="102">
        <f>AH30-AG30</f>
        <v/>
      </c>
      <c r="AI72" s="102" t="n"/>
      <c r="AJ72" s="102">
        <f>SUM(E72:AH72)</f>
        <v/>
      </c>
    </row>
    <row r="73" ht="15" customHeight="1" s="488">
      <c r="A73" s="99" t="n"/>
      <c r="B73" s="99" t="n"/>
      <c r="C73" s="511" t="inlineStr">
        <is>
          <t>Total AHU Power Consumption</t>
        </is>
      </c>
      <c r="D73" s="501" t="n"/>
      <c r="E73" s="23">
        <f>SUM(E65,E67,E69,E71)</f>
        <v/>
      </c>
      <c r="F73" s="23">
        <f>SUM(F65,F67,F69,F71)</f>
        <v/>
      </c>
      <c r="G73" s="23">
        <f>SUM(G65,G67,G69,G71)</f>
        <v/>
      </c>
      <c r="H73" s="23">
        <f>SUM(H65,H67,H69,H71)</f>
        <v/>
      </c>
      <c r="I73" s="23">
        <f>SUM(I65,I67,I69,I71)</f>
        <v/>
      </c>
      <c r="J73" s="23">
        <f>SUM(J65,J67,J69,J71)</f>
        <v/>
      </c>
      <c r="K73" s="23">
        <f>SUM(K65,K67,K69,K71)</f>
        <v/>
      </c>
      <c r="L73" s="23">
        <f>SUM(L65,L67,L69,L71)</f>
        <v/>
      </c>
      <c r="M73" s="23">
        <f>SUM(M65,M67,M69,M71)</f>
        <v/>
      </c>
      <c r="N73" s="23">
        <f>SUM(N65,N67,N69,N71)</f>
        <v/>
      </c>
      <c r="O73" s="23">
        <f>SUM(O65,O67,O69,O71)</f>
        <v/>
      </c>
      <c r="P73" s="23">
        <f>SUM(P65,P67,P69,P71)</f>
        <v/>
      </c>
      <c r="Q73" s="23">
        <f>SUM(Q65,Q67,Q69,Q71)</f>
        <v/>
      </c>
      <c r="R73" s="23">
        <f>SUM(R65,R67,R69,R71)</f>
        <v/>
      </c>
      <c r="S73" s="23">
        <f>SUM(S65,S67,S69,S71)</f>
        <v/>
      </c>
      <c r="T73" s="23">
        <f>SUM(T65,T67,T69,T71)</f>
        <v/>
      </c>
      <c r="U73" s="23">
        <f>SUM(U65,U67,U69,U71)</f>
        <v/>
      </c>
      <c r="V73" s="23">
        <f>SUM(V65,V67,V69,V71)</f>
        <v/>
      </c>
      <c r="W73" s="23">
        <f>SUM(W65,W67,W69,W71)</f>
        <v/>
      </c>
      <c r="X73" s="23">
        <f>SUM(X65,X67,X69,X71)</f>
        <v/>
      </c>
      <c r="Y73" s="23">
        <f>SUM(Y65,Y67,Y69,Y71)</f>
        <v/>
      </c>
      <c r="Z73" s="23">
        <f>SUM(Z65,Z67,Z69,Z71)</f>
        <v/>
      </c>
      <c r="AA73" s="23">
        <f>SUM(AA65,AA67,AA69,AA71)</f>
        <v/>
      </c>
      <c r="AB73" s="23">
        <f>SUM(AB65,AB67,AB69,AB71)</f>
        <v/>
      </c>
      <c r="AC73" s="23">
        <f>SUM(AC65,AC67,AC69,AC71)</f>
        <v/>
      </c>
      <c r="AD73" s="23">
        <f>SUM(AD65,AD67,AD69,AD71)</f>
        <v/>
      </c>
      <c r="AE73" s="23">
        <f>SUM(AE65,AE67,AE69,AE71)</f>
        <v/>
      </c>
      <c r="AF73" s="23">
        <f>SUM(AF65,AF67,AF69,AF71)</f>
        <v/>
      </c>
      <c r="AG73" s="23">
        <f>SUM(AG65,AG67,AG69,AG71)</f>
        <v/>
      </c>
      <c r="AH73" s="23">
        <f>SUM(AH65,AH67,AH69,AH71)</f>
        <v/>
      </c>
      <c r="AI73" s="23" t="n"/>
      <c r="AJ73" s="24">
        <f>SUM(E73:AH73)</f>
        <v/>
      </c>
    </row>
    <row r="74" ht="15" customHeight="1" s="488">
      <c r="A74" s="99" t="n"/>
      <c r="B74" s="99" t="n"/>
      <c r="C74" s="502" t="inlineStr">
        <is>
          <t>Total AHU DG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 t="n"/>
      <c r="AJ74" s="24">
        <f>SUM(E74:AH74)</f>
        <v/>
      </c>
    </row>
    <row r="75">
      <c r="A75" s="500" t="n">
        <v>1</v>
      </c>
      <c r="B75" s="500" t="inlineStr">
        <is>
          <t>3F</t>
        </is>
      </c>
      <c r="C75" s="500" t="inlineStr">
        <is>
          <t>AHU1 - BTU</t>
        </is>
      </c>
      <c r="D75" s="501" t="n"/>
      <c r="E75" s="102">
        <f>E32-D32</f>
        <v/>
      </c>
      <c r="F75" s="102">
        <f>F32-E32</f>
        <v/>
      </c>
      <c r="G75" s="102">
        <f>G32-F32</f>
        <v/>
      </c>
      <c r="H75" s="102">
        <f>H32-G32</f>
        <v/>
      </c>
      <c r="I75" s="102">
        <f>I32-H32</f>
        <v/>
      </c>
      <c r="J75" s="102">
        <f>J32-I32</f>
        <v/>
      </c>
      <c r="K75" s="102">
        <f>K32-J32</f>
        <v/>
      </c>
      <c r="L75" s="102">
        <f>L32-K32</f>
        <v/>
      </c>
      <c r="M75" s="102">
        <f>M32-L32</f>
        <v/>
      </c>
      <c r="N75" s="102">
        <f>N32-M32</f>
        <v/>
      </c>
      <c r="O75" s="102">
        <f>O32-N32</f>
        <v/>
      </c>
      <c r="P75" s="102">
        <f>P32-O32</f>
        <v/>
      </c>
      <c r="Q75" s="102">
        <f>Q32-P32</f>
        <v/>
      </c>
      <c r="R75" s="102">
        <f>R32-Q32</f>
        <v/>
      </c>
      <c r="S75" s="102">
        <f>S32-R32</f>
        <v/>
      </c>
      <c r="T75" s="102">
        <f>T32-S32</f>
        <v/>
      </c>
      <c r="U75" s="102">
        <f>U32-T32</f>
        <v/>
      </c>
      <c r="V75" s="102">
        <f>V32-U32</f>
        <v/>
      </c>
      <c r="W75" s="102">
        <f>W32-V32</f>
        <v/>
      </c>
      <c r="X75" s="102">
        <f>X32-W32</f>
        <v/>
      </c>
      <c r="Y75" s="102">
        <f>Y32-X32</f>
        <v/>
      </c>
      <c r="Z75" s="102">
        <f>Z32-Y32</f>
        <v/>
      </c>
      <c r="AA75" s="102">
        <f>AA32-Z32</f>
        <v/>
      </c>
      <c r="AB75" s="102">
        <f>AB32-AA32</f>
        <v/>
      </c>
      <c r="AC75" s="102">
        <f>AC32-AB32</f>
        <v/>
      </c>
      <c r="AD75" s="102">
        <f>AD32-AC32</f>
        <v/>
      </c>
      <c r="AE75" s="102">
        <f>AE32-AD32</f>
        <v/>
      </c>
      <c r="AF75" s="102">
        <f>AF32-AE32</f>
        <v/>
      </c>
      <c r="AG75" s="102">
        <f>AG32-AF32</f>
        <v/>
      </c>
      <c r="AH75" s="102">
        <f>AH32-AG32</f>
        <v/>
      </c>
      <c r="AI75" s="102" t="n"/>
      <c r="AJ75" s="102">
        <f>SUM(E75:AH75)</f>
        <v/>
      </c>
    </row>
    <row r="76">
      <c r="A76" s="500" t="n">
        <v>2</v>
      </c>
      <c r="B76" s="500" t="inlineStr">
        <is>
          <t>3F</t>
        </is>
      </c>
      <c r="C76" s="500" t="inlineStr">
        <is>
          <t>AHU2 - BTU</t>
        </is>
      </c>
      <c r="D76" s="501" t="n"/>
      <c r="E76" s="102">
        <f>E33-D33</f>
        <v/>
      </c>
      <c r="F76" s="102">
        <f>F33-E33</f>
        <v/>
      </c>
      <c r="G76" s="102">
        <f>G33-F33</f>
        <v/>
      </c>
      <c r="H76" s="102">
        <f>H33-G33</f>
        <v/>
      </c>
      <c r="I76" s="102">
        <f>I33-H33</f>
        <v/>
      </c>
      <c r="J76" s="102">
        <f>J33-I33</f>
        <v/>
      </c>
      <c r="K76" s="102">
        <f>K33-J33</f>
        <v/>
      </c>
      <c r="L76" s="102">
        <f>L33-K33</f>
        <v/>
      </c>
      <c r="M76" s="102">
        <f>M33-L33</f>
        <v/>
      </c>
      <c r="N76" s="102">
        <f>N33-M33</f>
        <v/>
      </c>
      <c r="O76" s="102">
        <f>O33-N33</f>
        <v/>
      </c>
      <c r="P76" s="102">
        <f>P33-O33</f>
        <v/>
      </c>
      <c r="Q76" s="102">
        <f>Q33-P33</f>
        <v/>
      </c>
      <c r="R76" s="102">
        <f>R33-Q33</f>
        <v/>
      </c>
      <c r="S76" s="102">
        <f>S33-R33</f>
        <v/>
      </c>
      <c r="T76" s="102">
        <f>T33-S33</f>
        <v/>
      </c>
      <c r="U76" s="102">
        <f>U33-T33</f>
        <v/>
      </c>
      <c r="V76" s="102">
        <f>V33-U33</f>
        <v/>
      </c>
      <c r="W76" s="102">
        <f>W33-V33</f>
        <v/>
      </c>
      <c r="X76" s="102">
        <f>X33-W33</f>
        <v/>
      </c>
      <c r="Y76" s="102">
        <f>Y33-X33</f>
        <v/>
      </c>
      <c r="Z76" s="102">
        <f>Z33-Y33</f>
        <v/>
      </c>
      <c r="AA76" s="102">
        <f>AA33-Z33</f>
        <v/>
      </c>
      <c r="AB76" s="102">
        <f>AB33-AA33</f>
        <v/>
      </c>
      <c r="AC76" s="102">
        <f>AC33-AB33</f>
        <v/>
      </c>
      <c r="AD76" s="102">
        <f>AD33-AC33</f>
        <v/>
      </c>
      <c r="AE76" s="102">
        <f>AE33-AD33</f>
        <v/>
      </c>
      <c r="AF76" s="102">
        <f>AF33-AE33</f>
        <v/>
      </c>
      <c r="AG76" s="102">
        <f>AG33-AF33</f>
        <v/>
      </c>
      <c r="AH76" s="102">
        <f>AH33-AG33</f>
        <v/>
      </c>
      <c r="AI76" s="102" t="n"/>
      <c r="AJ76" s="102">
        <f>SUM(E76:AH76)</f>
        <v/>
      </c>
    </row>
    <row r="77">
      <c r="A77" s="500" t="n">
        <v>3</v>
      </c>
      <c r="B77" s="500" t="inlineStr">
        <is>
          <t>3F</t>
        </is>
      </c>
      <c r="C77" s="500" t="inlineStr">
        <is>
          <t>AHU3 - BTU</t>
        </is>
      </c>
      <c r="D77" s="501" t="n"/>
      <c r="E77" s="102">
        <f>E34-D34</f>
        <v/>
      </c>
      <c r="F77" s="102">
        <f>F34-E34</f>
        <v/>
      </c>
      <c r="G77" s="102">
        <f>G34-F34</f>
        <v/>
      </c>
      <c r="H77" s="102">
        <f>H34-G34</f>
        <v/>
      </c>
      <c r="I77" s="102">
        <f>I34-H34</f>
        <v/>
      </c>
      <c r="J77" s="102">
        <f>J34-I34</f>
        <v/>
      </c>
      <c r="K77" s="102">
        <f>K34-J34</f>
        <v/>
      </c>
      <c r="L77" s="102">
        <f>L34-K34</f>
        <v/>
      </c>
      <c r="M77" s="102">
        <f>M34-L34</f>
        <v/>
      </c>
      <c r="N77" s="102">
        <f>N34-M34</f>
        <v/>
      </c>
      <c r="O77" s="102">
        <f>O34-N34</f>
        <v/>
      </c>
      <c r="P77" s="102">
        <f>P34-O34</f>
        <v/>
      </c>
      <c r="Q77" s="102">
        <f>Q34-P34</f>
        <v/>
      </c>
      <c r="R77" s="102">
        <f>R34-Q34</f>
        <v/>
      </c>
      <c r="S77" s="102">
        <f>S34-R34</f>
        <v/>
      </c>
      <c r="T77" s="102">
        <f>T34-S34</f>
        <v/>
      </c>
      <c r="U77" s="102">
        <f>U34-T34</f>
        <v/>
      </c>
      <c r="V77" s="102">
        <f>V34-U34</f>
        <v/>
      </c>
      <c r="W77" s="102">
        <f>W34-V34</f>
        <v/>
      </c>
      <c r="X77" s="102">
        <f>X34-W34</f>
        <v/>
      </c>
      <c r="Y77" s="102">
        <f>Y34-X34</f>
        <v/>
      </c>
      <c r="Z77" s="102">
        <f>Z34-Y34</f>
        <v/>
      </c>
      <c r="AA77" s="102">
        <f>AA34-Z34</f>
        <v/>
      </c>
      <c r="AB77" s="102">
        <f>AB34-AA34</f>
        <v/>
      </c>
      <c r="AC77" s="102">
        <f>AC34-AB34</f>
        <v/>
      </c>
      <c r="AD77" s="102">
        <f>AD34-AC34</f>
        <v/>
      </c>
      <c r="AE77" s="102">
        <f>AE34-AD34</f>
        <v/>
      </c>
      <c r="AF77" s="102">
        <f>AF34-AE34</f>
        <v/>
      </c>
      <c r="AG77" s="102">
        <f>AG34-AF34</f>
        <v/>
      </c>
      <c r="AH77" s="102">
        <f>AH34-AG34</f>
        <v/>
      </c>
      <c r="AI77" s="102" t="n"/>
      <c r="AJ77" s="102">
        <f>SUM(E77:AH77)</f>
        <v/>
      </c>
    </row>
    <row r="78">
      <c r="A78" s="500" t="n">
        <v>4</v>
      </c>
      <c r="B78" s="500" t="inlineStr">
        <is>
          <t>3F</t>
        </is>
      </c>
      <c r="C78" s="500" t="inlineStr">
        <is>
          <t>AHU4 - BTU</t>
        </is>
      </c>
      <c r="D78" s="501" t="n"/>
      <c r="E78" s="102">
        <f>E35-D35</f>
        <v/>
      </c>
      <c r="F78" s="102">
        <f>F35-E35</f>
        <v/>
      </c>
      <c r="G78" s="102">
        <f>G35-F35</f>
        <v/>
      </c>
      <c r="H78" s="102">
        <f>H35-G35</f>
        <v/>
      </c>
      <c r="I78" s="102">
        <f>I35-H35</f>
        <v/>
      </c>
      <c r="J78" s="102">
        <f>J35-I35</f>
        <v/>
      </c>
      <c r="K78" s="102">
        <f>K35-J35</f>
        <v/>
      </c>
      <c r="L78" s="102">
        <f>L35-K35</f>
        <v/>
      </c>
      <c r="M78" s="102">
        <f>M35-L35</f>
        <v/>
      </c>
      <c r="N78" s="102">
        <f>N35-M35</f>
        <v/>
      </c>
      <c r="O78" s="102">
        <f>O35-N35</f>
        <v/>
      </c>
      <c r="P78" s="102">
        <f>P35-O35</f>
        <v/>
      </c>
      <c r="Q78" s="102">
        <f>Q35-P35</f>
        <v/>
      </c>
      <c r="R78" s="102">
        <f>R35-Q35</f>
        <v/>
      </c>
      <c r="S78" s="102">
        <f>S35-R35</f>
        <v/>
      </c>
      <c r="T78" s="102">
        <f>T35-S35</f>
        <v/>
      </c>
      <c r="U78" s="102">
        <f>U35-T35</f>
        <v/>
      </c>
      <c r="V78" s="102">
        <f>V35-U35</f>
        <v/>
      </c>
      <c r="W78" s="102">
        <f>W35-V35</f>
        <v/>
      </c>
      <c r="X78" s="102">
        <f>X35-W35</f>
        <v/>
      </c>
      <c r="Y78" s="102">
        <f>Y35-X35</f>
        <v/>
      </c>
      <c r="Z78" s="102">
        <f>Z35-Y35</f>
        <v/>
      </c>
      <c r="AA78" s="102">
        <f>AA35-Z35</f>
        <v/>
      </c>
      <c r="AB78" s="102">
        <f>AB35-AA35</f>
        <v/>
      </c>
      <c r="AC78" s="102">
        <f>AC35-AB35</f>
        <v/>
      </c>
      <c r="AD78" s="102">
        <f>AD35-AC35</f>
        <v/>
      </c>
      <c r="AE78" s="102">
        <f>AE35-AD35</f>
        <v/>
      </c>
      <c r="AF78" s="102">
        <f>AF35-AE35</f>
        <v/>
      </c>
      <c r="AG78" s="102">
        <f>AG35-AF35</f>
        <v/>
      </c>
      <c r="AH78" s="102">
        <f>AH35-AG35</f>
        <v/>
      </c>
      <c r="AI78" s="102" t="n"/>
      <c r="AJ78" s="102">
        <f>SUM(E78:AH78)</f>
        <v/>
      </c>
    </row>
    <row r="79" ht="15" customHeight="1" s="488">
      <c r="A79" s="99" t="n"/>
      <c r="B79" s="99" t="n"/>
      <c r="C79" s="511" t="inlineStr">
        <is>
          <t>Total BTU Consumption</t>
        </is>
      </c>
      <c r="D79" s="501" t="n"/>
      <c r="E79" s="23">
        <f>SUM(E75:E78)</f>
        <v/>
      </c>
      <c r="F79" s="23">
        <f>SUM(F75:F78)</f>
        <v/>
      </c>
      <c r="G79" s="23">
        <f>SUM(G75:G78)</f>
        <v/>
      </c>
      <c r="H79" s="23">
        <f>SUM(H75:H78)</f>
        <v/>
      </c>
      <c r="I79" s="23">
        <f>SUM(I75:I78)</f>
        <v/>
      </c>
      <c r="J79" s="23">
        <f>SUM(J75:J78)</f>
        <v/>
      </c>
      <c r="K79" s="23">
        <f>SUM(K75:K78)</f>
        <v/>
      </c>
      <c r="L79" s="23">
        <f>SUM(L75:L78)</f>
        <v/>
      </c>
      <c r="M79" s="23">
        <f>SUM(M75:M78)</f>
        <v/>
      </c>
      <c r="N79" s="23">
        <f>SUM(N75:N78)</f>
        <v/>
      </c>
      <c r="O79" s="23">
        <f>SUM(O75:O78)</f>
        <v/>
      </c>
      <c r="P79" s="23">
        <f>SUM(P75:P78)</f>
        <v/>
      </c>
      <c r="Q79" s="23">
        <f>SUM(Q75:Q78)</f>
        <v/>
      </c>
      <c r="R79" s="23">
        <f>SUM(R75:R78)</f>
        <v/>
      </c>
      <c r="S79" s="23">
        <f>SUM(S75:S78)</f>
        <v/>
      </c>
      <c r="T79" s="23">
        <f>SUM(T75:T78)</f>
        <v/>
      </c>
      <c r="U79" s="23">
        <f>SUM(U75:U78)</f>
        <v/>
      </c>
      <c r="V79" s="23">
        <f>SUM(V75:V78)</f>
        <v/>
      </c>
      <c r="W79" s="23">
        <f>SUM(W75:W78)</f>
        <v/>
      </c>
      <c r="X79" s="23">
        <f>SUM(X75:X78)</f>
        <v/>
      </c>
      <c r="Y79" s="23">
        <f>SUM(Y75:Y78)</f>
        <v/>
      </c>
      <c r="Z79" s="23">
        <f>SUM(Z75:Z78)</f>
        <v/>
      </c>
      <c r="AA79" s="23">
        <f>SUM(AA75:AA78)</f>
        <v/>
      </c>
      <c r="AB79" s="23">
        <f>SUM(AB75:AB78)</f>
        <v/>
      </c>
      <c r="AC79" s="23">
        <f>SUM(AC75:AC78)</f>
        <v/>
      </c>
      <c r="AD79" s="23">
        <f>SUM(AD75:AD78)</f>
        <v/>
      </c>
      <c r="AE79" s="23">
        <f>SUM(AE75:AE78)</f>
        <v/>
      </c>
      <c r="AF79" s="23">
        <f>SUM(AF75:AF78)</f>
        <v/>
      </c>
      <c r="AG79" s="23">
        <f>SUM(AG75:AG78)</f>
        <v/>
      </c>
      <c r="AH79" s="23">
        <f>SUM(AH75:AH78)</f>
        <v/>
      </c>
      <c r="AI79" s="23" t="n"/>
      <c r="AJ79" s="24">
        <f>SUM(AJ75:AJ78)</f>
        <v/>
      </c>
    </row>
  </sheetData>
  <mergeCells count="49">
    <mergeCell ref="C77:D77"/>
    <mergeCell ref="AJ40:AJ43"/>
    <mergeCell ref="C62:D62"/>
    <mergeCell ref="C68:D68"/>
    <mergeCell ref="C58:D58"/>
    <mergeCell ref="C40:D43"/>
    <mergeCell ref="C45:D45"/>
    <mergeCell ref="AJ2:AJ5"/>
    <mergeCell ref="E1:AH1"/>
    <mergeCell ref="C74:D74"/>
    <mergeCell ref="C64:D64"/>
    <mergeCell ref="B2:B5"/>
    <mergeCell ref="C79:D79"/>
    <mergeCell ref="B38:D38"/>
    <mergeCell ref="D2:D5"/>
    <mergeCell ref="C73:D73"/>
    <mergeCell ref="C47:D47"/>
    <mergeCell ref="C54:D54"/>
    <mergeCell ref="C65:D65"/>
    <mergeCell ref="C55:D55"/>
    <mergeCell ref="C50:D50"/>
    <mergeCell ref="C75:D75"/>
    <mergeCell ref="C44:D44"/>
    <mergeCell ref="C56:D56"/>
    <mergeCell ref="C59:D59"/>
    <mergeCell ref="A1:D1"/>
    <mergeCell ref="C49:D49"/>
    <mergeCell ref="C46:D46"/>
    <mergeCell ref="B40:B43"/>
    <mergeCell ref="A22:AJ22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31:AJ31"/>
    <mergeCell ref="C72:D72"/>
    <mergeCell ref="C67:D67"/>
    <mergeCell ref="C57:D57"/>
    <mergeCell ref="C66:D66"/>
    <mergeCell ref="C53:D53"/>
    <mergeCell ref="B39:D39"/>
    <mergeCell ref="C78:D78"/>
    <mergeCell ref="C69:D69"/>
    <mergeCell ref="A40:A4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L79"/>
  <sheetViews>
    <sheetView topLeftCell="H42" zoomScale="85" zoomScaleNormal="85" workbookViewId="0">
      <selection activeCell="E79" sqref="E79"/>
    </sheetView>
  </sheetViews>
  <sheetFormatPr baseColWidth="8" defaultRowHeight="14.5"/>
  <cols>
    <col width="14" customWidth="1" style="488" min="1" max="1"/>
    <col width="27" customWidth="1" style="488" min="2" max="2"/>
    <col width="32" bestFit="1" customWidth="1" style="488" min="3" max="3"/>
    <col width="20" bestFit="1" customWidth="1" style="488" min="4" max="4"/>
    <col width="23" bestFit="1" customWidth="1" style="488" min="5" max="6"/>
    <col width="23" customWidth="1" style="488" min="7" max="13"/>
    <col width="23" bestFit="1" customWidth="1" style="488" min="14" max="14"/>
    <col width="23" customWidth="1" style="488" min="15" max="15"/>
    <col width="23" bestFit="1" customWidth="1" style="488" min="16" max="16"/>
    <col width="23" customWidth="1" style="488" min="17" max="23"/>
    <col width="23" bestFit="1" customWidth="1" style="488" min="24" max="26"/>
    <col width="23" customWidth="1" style="488" min="27" max="34"/>
    <col width="23" bestFit="1" customWidth="1" style="488" min="35" max="35"/>
    <col width="18" bestFit="1" customWidth="1" style="488" min="36" max="36"/>
    <col width="14" customWidth="1" style="488" min="37" max="37"/>
    <col width="18" customWidth="1" style="488" min="38" max="38"/>
  </cols>
  <sheetData>
    <row r="1" ht="26" customHeight="1" s="488">
      <c r="A1" s="573" t="n"/>
      <c r="B1" s="505" t="n"/>
      <c r="C1" s="505" t="n"/>
      <c r="D1" s="506" t="n"/>
      <c r="E1" s="581" t="inlineStr">
        <is>
          <t>MAY-2025</t>
        </is>
      </c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159" t="n"/>
      <c r="AJ1" s="50" t="n"/>
    </row>
    <row r="2" ht="26.25" customHeight="1" s="488">
      <c r="A2" s="508" t="inlineStr">
        <is>
          <t>Sr.No</t>
        </is>
      </c>
      <c r="B2" s="508" t="inlineStr">
        <is>
          <t>Location</t>
        </is>
      </c>
      <c r="C2" s="580" t="inlineStr">
        <is>
          <t>Meter</t>
        </is>
      </c>
      <c r="D2" s="562" t="inlineStr">
        <is>
          <t>Previous Reading</t>
        </is>
      </c>
      <c r="E2" s="51" t="n">
        <v>45778</v>
      </c>
      <c r="F2" s="51" t="n">
        <v>45779</v>
      </c>
      <c r="G2" s="51" t="n">
        <v>45780</v>
      </c>
      <c r="H2" s="51" t="n">
        <v>45781</v>
      </c>
      <c r="I2" s="51" t="n">
        <v>45782</v>
      </c>
      <c r="J2" s="51" t="n">
        <v>45783</v>
      </c>
      <c r="K2" s="51" t="n">
        <v>45784</v>
      </c>
      <c r="L2" s="51" t="n">
        <v>45785</v>
      </c>
      <c r="M2" s="51" t="n">
        <v>45786</v>
      </c>
      <c r="N2" s="51" t="n">
        <v>45787</v>
      </c>
      <c r="O2" s="51" t="n">
        <v>45788</v>
      </c>
      <c r="P2" s="51" t="n">
        <v>45789</v>
      </c>
      <c r="Q2" s="51" t="n">
        <v>45790</v>
      </c>
      <c r="R2" s="51" t="n">
        <v>45791</v>
      </c>
      <c r="S2" s="51" t="n">
        <v>45792</v>
      </c>
      <c r="T2" s="51" t="n">
        <v>45793</v>
      </c>
      <c r="U2" s="51" t="n">
        <v>45794</v>
      </c>
      <c r="V2" s="51" t="n">
        <v>45795</v>
      </c>
      <c r="W2" s="51" t="n">
        <v>45796</v>
      </c>
      <c r="X2" s="51" t="n">
        <v>45797</v>
      </c>
      <c r="Y2" s="51" t="n">
        <v>45798</v>
      </c>
      <c r="Z2" s="51" t="n">
        <v>45799</v>
      </c>
      <c r="AA2" s="51" t="n">
        <v>45800</v>
      </c>
      <c r="AB2" s="51" t="n">
        <v>45801</v>
      </c>
      <c r="AC2" s="51" t="n">
        <v>45802</v>
      </c>
      <c r="AD2" s="51" t="n">
        <v>45803</v>
      </c>
      <c r="AE2" s="51" t="n">
        <v>45804</v>
      </c>
      <c r="AF2" s="51" t="n">
        <v>45805</v>
      </c>
      <c r="AG2" s="51" t="n">
        <v>45806</v>
      </c>
      <c r="AH2" s="51" t="n">
        <v>45807</v>
      </c>
      <c r="AI2" s="51" t="n">
        <v>45808</v>
      </c>
      <c r="AJ2" s="518" t="inlineStr">
        <is>
          <t>Consumption</t>
        </is>
      </c>
    </row>
    <row r="3">
      <c r="A3" s="509" t="n"/>
      <c r="B3" s="509" t="n"/>
      <c r="C3" s="509" t="n"/>
      <c r="D3" s="509" t="n"/>
      <c r="E3" s="52" t="inlineStr">
        <is>
          <t>THU</t>
        </is>
      </c>
      <c r="F3" s="52" t="inlineStr">
        <is>
          <t>FRI</t>
        </is>
      </c>
      <c r="G3" s="52" t="inlineStr">
        <is>
          <t>SAT</t>
        </is>
      </c>
      <c r="H3" s="52" t="inlineStr">
        <is>
          <t>SUN</t>
        </is>
      </c>
      <c r="I3" s="52" t="inlineStr">
        <is>
          <t>MON</t>
        </is>
      </c>
      <c r="J3" s="52" t="inlineStr">
        <is>
          <t>TUE</t>
        </is>
      </c>
      <c r="K3" s="52" t="inlineStr">
        <is>
          <t>WED</t>
        </is>
      </c>
      <c r="L3" s="52" t="inlineStr">
        <is>
          <t>THU</t>
        </is>
      </c>
      <c r="M3" s="52" t="inlineStr">
        <is>
          <t>FRI</t>
        </is>
      </c>
      <c r="N3" s="52" t="inlineStr">
        <is>
          <t>SAT</t>
        </is>
      </c>
      <c r="O3" s="52" t="inlineStr">
        <is>
          <t>SUN</t>
        </is>
      </c>
      <c r="P3" s="52" t="inlineStr">
        <is>
          <t>MON</t>
        </is>
      </c>
      <c r="Q3" s="52" t="inlineStr">
        <is>
          <t>TUE</t>
        </is>
      </c>
      <c r="R3" s="52" t="inlineStr">
        <is>
          <t>WED</t>
        </is>
      </c>
      <c r="S3" s="52" t="inlineStr">
        <is>
          <t>THU</t>
        </is>
      </c>
      <c r="T3" s="52" t="inlineStr">
        <is>
          <t>FRI</t>
        </is>
      </c>
      <c r="U3" s="52" t="inlineStr">
        <is>
          <t>SAT</t>
        </is>
      </c>
      <c r="V3" s="52" t="inlineStr">
        <is>
          <t>SUN</t>
        </is>
      </c>
      <c r="W3" s="52" t="inlineStr">
        <is>
          <t>MON</t>
        </is>
      </c>
      <c r="X3" s="52" t="inlineStr">
        <is>
          <t>TUE</t>
        </is>
      </c>
      <c r="Y3" s="52" t="inlineStr">
        <is>
          <t>WED</t>
        </is>
      </c>
      <c r="Z3" s="52" t="inlineStr">
        <is>
          <t>THU</t>
        </is>
      </c>
      <c r="AA3" s="52" t="inlineStr">
        <is>
          <t>FRI</t>
        </is>
      </c>
      <c r="AB3" s="52" t="inlineStr">
        <is>
          <t>SAT</t>
        </is>
      </c>
      <c r="AC3" s="52" t="inlineStr">
        <is>
          <t>SUN</t>
        </is>
      </c>
      <c r="AD3" s="52" t="inlineStr">
        <is>
          <t>MON</t>
        </is>
      </c>
      <c r="AE3" s="52" t="inlineStr">
        <is>
          <t>TUE</t>
        </is>
      </c>
      <c r="AF3" s="52" t="inlineStr">
        <is>
          <t>WED</t>
        </is>
      </c>
      <c r="AG3" s="52" t="inlineStr">
        <is>
          <t>THU</t>
        </is>
      </c>
      <c r="AH3" s="52" t="inlineStr">
        <is>
          <t>FRI</t>
        </is>
      </c>
      <c r="AI3" s="52" t="inlineStr">
        <is>
          <t>SAT</t>
        </is>
      </c>
      <c r="AJ3" s="509" t="n"/>
    </row>
    <row r="4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2" t="inlineStr">
        <is>
          <t>Time</t>
        </is>
      </c>
      <c r="AJ4" s="509" t="n"/>
    </row>
    <row r="5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53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3" t="n">
        <v>0.3333333333333333</v>
      </c>
      <c r="AJ5" s="510" t="n"/>
    </row>
    <row r="6">
      <c r="A6" s="48" t="n">
        <v>1</v>
      </c>
      <c r="B6" s="561" t="inlineStr">
        <is>
          <t>3F</t>
        </is>
      </c>
      <c r="C6" s="139" t="inlineStr">
        <is>
          <t>SL No 540430038840 (EB Unit)</t>
        </is>
      </c>
      <c r="D6" s="55" t="n">
        <v>106913</v>
      </c>
      <c r="E6" s="561" t="n">
        <v>107184</v>
      </c>
      <c r="F6" s="561" t="n">
        <v>107435</v>
      </c>
      <c r="G6" s="8" t="n">
        <v>107629</v>
      </c>
      <c r="H6" s="5" t="n">
        <v>107819</v>
      </c>
      <c r="I6" s="561" t="n">
        <v>108087</v>
      </c>
      <c r="J6" s="561" t="n">
        <v>108344</v>
      </c>
      <c r="K6" s="561" t="n">
        <v>108596</v>
      </c>
      <c r="L6" s="58" t="n">
        <v>108856</v>
      </c>
      <c r="M6" s="48" t="n">
        <v>109113</v>
      </c>
      <c r="N6" s="59" t="n">
        <v>109305</v>
      </c>
      <c r="O6" s="561" t="n">
        <v>109509</v>
      </c>
      <c r="P6" s="58" t="n">
        <v>109765</v>
      </c>
      <c r="Q6" s="48" t="n">
        <v>110014</v>
      </c>
      <c r="R6" s="59" t="n">
        <v>110298</v>
      </c>
      <c r="S6" s="561" t="n">
        <v>110568</v>
      </c>
      <c r="T6" s="561" t="n">
        <v>110819</v>
      </c>
      <c r="U6" s="561" t="n">
        <v>111021</v>
      </c>
      <c r="V6" s="125" t="n">
        <v>111225</v>
      </c>
      <c r="W6" s="561" t="n">
        <v>111494</v>
      </c>
      <c r="X6" s="561" t="n">
        <v>111762</v>
      </c>
      <c r="Y6" s="561" t="n">
        <v>112036</v>
      </c>
      <c r="Z6" s="561" t="n">
        <v>112311</v>
      </c>
      <c r="AA6" s="561" t="n">
        <v>112565</v>
      </c>
      <c r="AB6" s="561" t="n">
        <v>112770</v>
      </c>
      <c r="AC6" s="561" t="n">
        <v>112968</v>
      </c>
      <c r="AD6" s="561" t="n">
        <v>113223</v>
      </c>
      <c r="AE6" s="561" t="n">
        <v>113491</v>
      </c>
      <c r="AF6" s="561" t="n">
        <v>113759</v>
      </c>
      <c r="AG6" s="48" t="n">
        <v>114025</v>
      </c>
      <c r="AH6" s="169" t="n">
        <v>114282</v>
      </c>
      <c r="AI6" s="48" t="n">
        <v>114498</v>
      </c>
      <c r="AJ6" s="57">
        <f>AG6-D6</f>
        <v/>
      </c>
    </row>
    <row r="7">
      <c r="A7" s="8" t="n"/>
      <c r="B7" s="8" t="n"/>
      <c r="C7" s="140" t="inlineStr">
        <is>
          <t>DG</t>
        </is>
      </c>
      <c r="D7" s="45" t="n">
        <v>4118</v>
      </c>
      <c r="E7" s="8" t="n">
        <v>4118</v>
      </c>
      <c r="F7" s="8" t="n">
        <v>4118</v>
      </c>
      <c r="G7" s="8" t="n">
        <v>4118</v>
      </c>
      <c r="H7" s="8" t="n">
        <v>4118</v>
      </c>
      <c r="I7" s="8" t="n">
        <v>4118</v>
      </c>
      <c r="J7" s="8" t="n">
        <v>4118</v>
      </c>
      <c r="K7" s="8" t="n">
        <v>4118</v>
      </c>
      <c r="L7" s="8" t="n">
        <v>4118</v>
      </c>
      <c r="M7" s="8" t="n">
        <v>4118</v>
      </c>
      <c r="N7" s="8" t="n">
        <v>4118</v>
      </c>
      <c r="O7" s="8" t="n">
        <v>4118</v>
      </c>
      <c r="P7" s="8" t="n">
        <v>4118</v>
      </c>
      <c r="Q7" s="8" t="n">
        <v>4118</v>
      </c>
      <c r="R7" s="8" t="n">
        <v>4118</v>
      </c>
      <c r="S7" s="8" t="n">
        <v>4122</v>
      </c>
      <c r="T7" s="8" t="n">
        <v>4131</v>
      </c>
      <c r="U7" s="8" t="n">
        <v>4131</v>
      </c>
      <c r="V7" s="8" t="n">
        <v>4131</v>
      </c>
      <c r="W7" s="8" t="n">
        <v>4131</v>
      </c>
      <c r="X7" s="8" t="n">
        <v>4131</v>
      </c>
      <c r="Y7" s="8" t="n">
        <v>4131</v>
      </c>
      <c r="Z7" s="8" t="n">
        <v>4131</v>
      </c>
      <c r="AA7" s="8" t="n">
        <v>4131</v>
      </c>
      <c r="AB7" s="8" t="n">
        <v>4131</v>
      </c>
      <c r="AC7" s="8" t="n">
        <v>4131</v>
      </c>
      <c r="AD7" s="8" t="n">
        <v>4136</v>
      </c>
      <c r="AE7" s="8" t="n">
        <v>4136</v>
      </c>
      <c r="AF7" s="8" t="n">
        <v>4136</v>
      </c>
      <c r="AG7" s="8" t="n">
        <v>4136</v>
      </c>
      <c r="AH7" s="128" t="n">
        <v>4136</v>
      </c>
      <c r="AI7" s="48" t="n">
        <v>4144</v>
      </c>
      <c r="AJ7" s="57">
        <f>AG7-D7</f>
        <v/>
      </c>
    </row>
    <row r="8">
      <c r="A8" s="561" t="n">
        <v>2</v>
      </c>
      <c r="B8" s="561" t="inlineStr">
        <is>
          <t>3F</t>
        </is>
      </c>
      <c r="C8" s="141" t="inlineStr">
        <is>
          <t>SL No 540430038845 (EB Unit)</t>
        </is>
      </c>
      <c r="D8" s="565" t="n">
        <v>1956</v>
      </c>
      <c r="E8" s="561" t="n">
        <v>1956</v>
      </c>
      <c r="F8" s="561" t="n">
        <v>1956</v>
      </c>
      <c r="G8" s="561" t="n">
        <v>1956</v>
      </c>
      <c r="H8" s="561" t="n">
        <v>1956</v>
      </c>
      <c r="I8" s="561" t="n">
        <v>1956</v>
      </c>
      <c r="J8" s="561" t="n">
        <v>1956</v>
      </c>
      <c r="K8" s="561" t="n">
        <v>1956</v>
      </c>
      <c r="L8" s="561" t="n">
        <v>1956</v>
      </c>
      <c r="M8" s="561" t="n">
        <v>1956</v>
      </c>
      <c r="N8" s="561" t="n">
        <v>1956</v>
      </c>
      <c r="O8" s="561" t="n">
        <v>1956</v>
      </c>
      <c r="P8" s="561" t="n">
        <v>1956</v>
      </c>
      <c r="Q8" s="561" t="n">
        <v>1956</v>
      </c>
      <c r="R8" s="561" t="n">
        <v>1956</v>
      </c>
      <c r="S8" s="561" t="n">
        <v>1956</v>
      </c>
      <c r="T8" s="561" t="n">
        <v>1956</v>
      </c>
      <c r="U8" s="561" t="n">
        <v>1956</v>
      </c>
      <c r="V8" s="561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61" t="n">
        <v>1956</v>
      </c>
      <c r="AI8" s="561" t="n">
        <v>1956</v>
      </c>
      <c r="AJ8" s="57">
        <f>AG8-D8</f>
        <v/>
      </c>
    </row>
    <row r="9">
      <c r="A9" s="561" t="n"/>
      <c r="B9" s="561" t="n"/>
      <c r="C9" s="140" t="inlineStr">
        <is>
          <t>DG</t>
        </is>
      </c>
      <c r="D9" s="565" t="n">
        <v>28.6</v>
      </c>
      <c r="E9" s="561" t="n">
        <v>28.6</v>
      </c>
      <c r="F9" s="561" t="n">
        <v>28.6</v>
      </c>
      <c r="G9" s="561" t="n">
        <v>28.6</v>
      </c>
      <c r="H9" s="561" t="n">
        <v>28.6</v>
      </c>
      <c r="I9" s="561" t="n">
        <v>28.6</v>
      </c>
      <c r="J9" s="561" t="n">
        <v>28.6</v>
      </c>
      <c r="K9" s="561" t="n">
        <v>28.6</v>
      </c>
      <c r="L9" s="561" t="n">
        <v>28.6</v>
      </c>
      <c r="M9" s="561" t="n">
        <v>28.6</v>
      </c>
      <c r="N9" s="561" t="n">
        <v>28.6</v>
      </c>
      <c r="O9" s="561" t="n">
        <v>28.6</v>
      </c>
      <c r="P9" s="561" t="n">
        <v>28.6</v>
      </c>
      <c r="Q9" s="561" t="n">
        <v>28.6</v>
      </c>
      <c r="R9" s="561" t="n">
        <v>28.6</v>
      </c>
      <c r="S9" s="561" t="n">
        <v>28.6</v>
      </c>
      <c r="T9" s="561" t="n">
        <v>28.6</v>
      </c>
      <c r="U9" s="561" t="n">
        <v>28.6</v>
      </c>
      <c r="V9" s="561" t="n">
        <v>28.6</v>
      </c>
      <c r="W9" s="561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61" t="n">
        <v>28.6</v>
      </c>
      <c r="AI9" s="561" t="n">
        <v>28.6</v>
      </c>
      <c r="AJ9" s="57">
        <f>AG9-D9</f>
        <v/>
      </c>
    </row>
    <row r="10">
      <c r="A10" s="561" t="n">
        <v>3</v>
      </c>
      <c r="B10" s="561" t="inlineStr">
        <is>
          <t>3F</t>
        </is>
      </c>
      <c r="C10" s="141" t="inlineStr">
        <is>
          <t>SL No 540430038844 (EB Unit)</t>
        </is>
      </c>
      <c r="D10" s="45" t="n">
        <v>156211</v>
      </c>
      <c r="E10" s="561" t="n">
        <v>156582</v>
      </c>
      <c r="F10" s="561" t="n">
        <v>156939</v>
      </c>
      <c r="G10" s="561" t="n">
        <v>157193</v>
      </c>
      <c r="H10" s="561" t="n">
        <v>157439</v>
      </c>
      <c r="I10" s="561" t="n">
        <v>157828</v>
      </c>
      <c r="J10" s="561" t="n">
        <v>158204</v>
      </c>
      <c r="K10" s="561" t="n">
        <v>158569</v>
      </c>
      <c r="L10" s="561" t="n">
        <v>158953</v>
      </c>
      <c r="M10" s="561" t="n">
        <v>159320</v>
      </c>
      <c r="N10" s="561" t="n">
        <v>159576</v>
      </c>
      <c r="O10" s="561" t="n">
        <v>159837</v>
      </c>
      <c r="P10" s="561" t="n">
        <v>160220</v>
      </c>
      <c r="Q10" s="561" t="n">
        <v>160616</v>
      </c>
      <c r="R10" s="561" t="n">
        <v>161007</v>
      </c>
      <c r="S10" s="561" t="n">
        <v>161401</v>
      </c>
      <c r="T10" s="561" t="n">
        <v>161767</v>
      </c>
      <c r="U10" s="561" t="n">
        <v>162033</v>
      </c>
      <c r="V10" s="561" t="n">
        <v>162276</v>
      </c>
      <c r="W10" s="561" t="n">
        <v>162697</v>
      </c>
      <c r="X10" s="561" t="n">
        <v>163092</v>
      </c>
      <c r="Y10" s="561" t="n">
        <v>163497</v>
      </c>
      <c r="Z10" s="561" t="n">
        <v>163899</v>
      </c>
      <c r="AA10" s="8" t="n">
        <v>164272</v>
      </c>
      <c r="AB10" s="8" t="n">
        <v>164539</v>
      </c>
      <c r="AC10" s="561" t="n">
        <v>164795</v>
      </c>
      <c r="AD10" s="561" t="n">
        <v>165259</v>
      </c>
      <c r="AE10" s="8" t="n">
        <v>165550</v>
      </c>
      <c r="AF10" s="8" t="n">
        <v>165901</v>
      </c>
      <c r="AG10" s="8" t="n">
        <v>166335</v>
      </c>
      <c r="AH10" s="128" t="n">
        <v>166711</v>
      </c>
      <c r="AI10" s="48" t="n">
        <v>166996</v>
      </c>
      <c r="AJ10" s="57">
        <f>AG10-D10</f>
        <v/>
      </c>
    </row>
    <row r="11">
      <c r="A11" s="561" t="n"/>
      <c r="B11" s="561" t="n"/>
      <c r="C11" s="140" t="inlineStr">
        <is>
          <t>DG</t>
        </is>
      </c>
      <c r="D11" s="565" t="n">
        <v>6164</v>
      </c>
      <c r="E11" s="561" t="n">
        <v>6164</v>
      </c>
      <c r="F11" s="561" t="n">
        <v>6164</v>
      </c>
      <c r="G11" s="561" t="n">
        <v>6164</v>
      </c>
      <c r="H11" s="561" t="n">
        <v>6164</v>
      </c>
      <c r="I11" s="561" t="n">
        <v>6164</v>
      </c>
      <c r="J11" s="561" t="n">
        <v>6164</v>
      </c>
      <c r="K11" s="561" t="n">
        <v>6164</v>
      </c>
      <c r="L11" s="561" t="n">
        <v>6164</v>
      </c>
      <c r="M11" s="561" t="n">
        <v>6164</v>
      </c>
      <c r="N11" s="561" t="n">
        <v>6164</v>
      </c>
      <c r="O11" s="561" t="n">
        <v>6164</v>
      </c>
      <c r="P11" s="561" t="n">
        <v>6164</v>
      </c>
      <c r="Q11" s="561" t="n">
        <v>6164</v>
      </c>
      <c r="R11" s="561" t="n">
        <v>6164</v>
      </c>
      <c r="S11" s="561" t="n">
        <v>6169</v>
      </c>
      <c r="T11" s="561" t="n">
        <v>6183</v>
      </c>
      <c r="U11" s="561" t="n">
        <v>6183</v>
      </c>
      <c r="V11" s="561" t="n">
        <v>6183</v>
      </c>
      <c r="W11" s="561" t="n">
        <v>6183</v>
      </c>
      <c r="X11" s="561" t="n">
        <v>6183</v>
      </c>
      <c r="Y11" s="561" t="n">
        <v>6183</v>
      </c>
      <c r="Z11" s="561" t="n">
        <v>6183</v>
      </c>
      <c r="AA11" s="561" t="n">
        <v>6183</v>
      </c>
      <c r="AB11" s="561" t="n">
        <v>6183</v>
      </c>
      <c r="AC11" s="561" t="n">
        <v>6183</v>
      </c>
      <c r="AD11" s="561" t="n">
        <v>6189</v>
      </c>
      <c r="AE11" s="561" t="n">
        <v>6189</v>
      </c>
      <c r="AF11" s="561" t="n">
        <v>6189</v>
      </c>
      <c r="AG11" s="561" t="n">
        <v>6189</v>
      </c>
      <c r="AH11" s="58" t="n">
        <v>6189</v>
      </c>
      <c r="AI11" s="48" t="n">
        <v>6200</v>
      </c>
      <c r="AJ11" s="57">
        <f>AG11-D11</f>
        <v/>
      </c>
    </row>
    <row r="12">
      <c r="A12" s="561" t="n">
        <v>4</v>
      </c>
      <c r="B12" s="561" t="inlineStr">
        <is>
          <t>3F</t>
        </is>
      </c>
      <c r="C12" s="141" t="inlineStr">
        <is>
          <t>SL No 540430038821 (EB Unit)</t>
        </is>
      </c>
      <c r="D12" s="565" t="n">
        <v>0</v>
      </c>
      <c r="E12" s="561" t="n">
        <v>0</v>
      </c>
      <c r="F12" s="561" t="n">
        <v>0</v>
      </c>
      <c r="G12" s="561" t="n">
        <v>0</v>
      </c>
      <c r="H12" s="561" t="n">
        <v>0</v>
      </c>
      <c r="I12" s="561" t="n">
        <v>0</v>
      </c>
      <c r="J12" s="561" t="n">
        <v>0</v>
      </c>
      <c r="K12" s="561" t="n">
        <v>0</v>
      </c>
      <c r="L12" s="561" t="n">
        <v>0</v>
      </c>
      <c r="M12" s="561" t="n">
        <v>0</v>
      </c>
      <c r="N12" s="561" t="n">
        <v>0</v>
      </c>
      <c r="O12" s="561" t="n">
        <v>0</v>
      </c>
      <c r="P12" s="561" t="n">
        <v>0</v>
      </c>
      <c r="Q12" s="561" t="n">
        <v>0</v>
      </c>
      <c r="R12" s="561" t="n">
        <v>0</v>
      </c>
      <c r="S12" s="561" t="n">
        <v>0</v>
      </c>
      <c r="T12" s="561" t="n">
        <v>0</v>
      </c>
      <c r="U12" s="561" t="n">
        <v>0</v>
      </c>
      <c r="V12" s="561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61" t="n">
        <v>0</v>
      </c>
      <c r="AI12" s="561" t="n">
        <v>0</v>
      </c>
      <c r="AJ12" s="57">
        <f>AG12-D12</f>
        <v/>
      </c>
    </row>
    <row r="13">
      <c r="A13" s="561" t="n"/>
      <c r="B13" s="561" t="n"/>
      <c r="C13" s="140" t="inlineStr">
        <is>
          <t>DG</t>
        </is>
      </c>
      <c r="D13" s="565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61" t="n">
        <v>0</v>
      </c>
      <c r="AJ13" s="57">
        <f>AG13-D13</f>
        <v/>
      </c>
    </row>
    <row r="14">
      <c r="A14" s="561" t="n">
        <v>5</v>
      </c>
      <c r="B14" s="561" t="inlineStr">
        <is>
          <t>3F</t>
        </is>
      </c>
      <c r="C14" s="141" t="inlineStr">
        <is>
          <t>SL No 540430038849 (EB Unit)</t>
        </is>
      </c>
      <c r="D14" s="45" t="n">
        <v>73751</v>
      </c>
      <c r="E14" s="561" t="n">
        <v>73958</v>
      </c>
      <c r="F14" s="561" t="n">
        <v>74156</v>
      </c>
      <c r="G14" s="561" t="n">
        <v>74293</v>
      </c>
      <c r="H14" s="561" t="n">
        <v>74422</v>
      </c>
      <c r="I14" s="561" t="n">
        <v>74649</v>
      </c>
      <c r="J14" s="561" t="n">
        <v>74874</v>
      </c>
      <c r="K14" s="561" t="n">
        <v>75087</v>
      </c>
      <c r="L14" s="561" t="n">
        <v>75307</v>
      </c>
      <c r="M14" s="561" t="n">
        <v>75513</v>
      </c>
      <c r="N14" s="561" t="n">
        <v>75636</v>
      </c>
      <c r="O14" s="561" t="n">
        <v>75747</v>
      </c>
      <c r="P14" s="561" t="n">
        <v>75956</v>
      </c>
      <c r="Q14" s="561" t="n">
        <v>76174</v>
      </c>
      <c r="R14" s="561" t="n">
        <v>76395</v>
      </c>
      <c r="S14" s="561" t="n">
        <v>76622</v>
      </c>
      <c r="T14" s="561" t="n">
        <v>76830</v>
      </c>
      <c r="U14" s="33" t="n">
        <v>76943</v>
      </c>
      <c r="V14" s="561" t="n">
        <v>77053</v>
      </c>
      <c r="W14" s="561" t="n">
        <v>77272</v>
      </c>
      <c r="X14" s="561" t="n">
        <v>77492</v>
      </c>
      <c r="Y14" s="561" t="n">
        <v>77726</v>
      </c>
      <c r="Z14" s="561" t="n">
        <v>77967</v>
      </c>
      <c r="AA14" s="8" t="n">
        <v>78185</v>
      </c>
      <c r="AB14" s="8" t="n">
        <v>78324</v>
      </c>
      <c r="AC14" s="561" t="n">
        <v>78429</v>
      </c>
      <c r="AD14" s="561" t="n">
        <v>78638</v>
      </c>
      <c r="AE14" s="8" t="n">
        <v>78848</v>
      </c>
      <c r="AF14" s="8" t="n">
        <v>79078</v>
      </c>
      <c r="AG14" s="8" t="n">
        <v>79294</v>
      </c>
      <c r="AH14" s="128" t="n">
        <v>79503</v>
      </c>
      <c r="AI14" s="48" t="n">
        <v>79648</v>
      </c>
      <c r="AJ14" s="57">
        <f>AG14-D14</f>
        <v/>
      </c>
    </row>
    <row r="15">
      <c r="A15" s="561" t="n"/>
      <c r="B15" s="561" t="n"/>
      <c r="C15" s="140" t="inlineStr">
        <is>
          <t>DG</t>
        </is>
      </c>
      <c r="D15" s="565" t="n">
        <v>3149</v>
      </c>
      <c r="E15" s="561" t="n">
        <v>3149</v>
      </c>
      <c r="F15" s="561" t="n">
        <v>3149</v>
      </c>
      <c r="G15" s="561" t="n">
        <v>3149</v>
      </c>
      <c r="H15" s="561" t="n">
        <v>3149</v>
      </c>
      <c r="I15" s="561" t="n">
        <v>3149</v>
      </c>
      <c r="J15" s="561" t="n">
        <v>3149</v>
      </c>
      <c r="K15" s="561" t="n">
        <v>3149</v>
      </c>
      <c r="L15" s="561" t="n">
        <v>3149</v>
      </c>
      <c r="M15" s="561" t="n">
        <v>3149</v>
      </c>
      <c r="N15" s="561" t="n">
        <v>3149</v>
      </c>
      <c r="O15" s="561" t="n">
        <v>3149</v>
      </c>
      <c r="P15" s="561" t="n">
        <v>3149</v>
      </c>
      <c r="Q15" s="561" t="n">
        <v>3149</v>
      </c>
      <c r="R15" s="60" t="n">
        <v>3149</v>
      </c>
      <c r="S15" s="60" t="n">
        <v>3151</v>
      </c>
      <c r="T15" s="60" t="n">
        <v>3159</v>
      </c>
      <c r="U15" s="60" t="n">
        <v>3159</v>
      </c>
      <c r="V15" s="60" t="n">
        <v>3159</v>
      </c>
      <c r="W15" s="60" t="n">
        <v>3159</v>
      </c>
      <c r="X15" s="60" t="n">
        <v>3159</v>
      </c>
      <c r="Y15" s="60" t="n">
        <v>3159</v>
      </c>
      <c r="Z15" s="60" t="n">
        <v>3159</v>
      </c>
      <c r="AA15" s="60" t="n">
        <v>3159</v>
      </c>
      <c r="AB15" s="561" t="n">
        <v>3159</v>
      </c>
      <c r="AC15" s="561" t="n">
        <v>3159</v>
      </c>
      <c r="AD15" s="561" t="n">
        <v>3162</v>
      </c>
      <c r="AE15" s="561" t="n">
        <v>3162</v>
      </c>
      <c r="AF15" s="561" t="n">
        <v>3162</v>
      </c>
      <c r="AG15" s="561" t="n">
        <v>3162</v>
      </c>
      <c r="AH15" s="58" t="n">
        <v>3162</v>
      </c>
      <c r="AI15" s="48" t="n">
        <v>3167</v>
      </c>
      <c r="AJ15" s="57">
        <f>AG15-D15</f>
        <v/>
      </c>
    </row>
    <row r="16">
      <c r="A16" s="561" t="n">
        <v>6</v>
      </c>
      <c r="B16" s="561" t="inlineStr">
        <is>
          <t>3F</t>
        </is>
      </c>
      <c r="C16" s="141" t="inlineStr">
        <is>
          <t>SL No 540430038646 (EB Unit)</t>
        </is>
      </c>
      <c r="D16" s="45" t="n">
        <v>89738</v>
      </c>
      <c r="E16" s="131" t="n">
        <v>89990</v>
      </c>
      <c r="F16" s="561" t="n">
        <v>90245</v>
      </c>
      <c r="G16" s="561" t="n">
        <v>90358</v>
      </c>
      <c r="H16" s="561" t="n">
        <v>90496</v>
      </c>
      <c r="I16" s="561" t="n">
        <v>90738</v>
      </c>
      <c r="J16" s="561" t="n">
        <v>91014</v>
      </c>
      <c r="K16" s="58" t="n">
        <v>91264</v>
      </c>
      <c r="L16" s="127" t="n">
        <v>91549</v>
      </c>
      <c r="M16" s="132" t="n">
        <v>91805</v>
      </c>
      <c r="N16" s="132" t="n">
        <v>91933</v>
      </c>
      <c r="O16" s="132" t="n">
        <v>92045</v>
      </c>
      <c r="P16" s="132" t="n">
        <v>92312</v>
      </c>
      <c r="Q16" s="133" t="n">
        <v>92561</v>
      </c>
      <c r="R16" s="132" t="n">
        <v>92826</v>
      </c>
      <c r="S16" s="59" t="n">
        <v>93104</v>
      </c>
      <c r="T16" s="561" t="n">
        <v>93366</v>
      </c>
      <c r="U16" s="561" t="n">
        <v>93473</v>
      </c>
      <c r="V16" s="561" t="n">
        <v>93641</v>
      </c>
      <c r="W16" s="561" t="n">
        <v>93915</v>
      </c>
      <c r="X16" s="561" t="n">
        <v>94200</v>
      </c>
      <c r="Y16" s="561" t="n">
        <v>94479</v>
      </c>
      <c r="Z16" s="561" t="n">
        <v>94739</v>
      </c>
      <c r="AA16" s="561" t="n">
        <v>94989</v>
      </c>
      <c r="AB16" s="8" t="n">
        <v>95089</v>
      </c>
      <c r="AC16" s="561" t="n">
        <v>95205</v>
      </c>
      <c r="AD16" s="561" t="n">
        <v>95435</v>
      </c>
      <c r="AE16" s="8" t="n">
        <v>95705</v>
      </c>
      <c r="AF16" s="8" t="n">
        <v>95965</v>
      </c>
      <c r="AG16" s="561" t="n">
        <v>96236</v>
      </c>
      <c r="AH16" s="128" t="n">
        <v>96478</v>
      </c>
      <c r="AI16" s="48" t="n">
        <v>96593</v>
      </c>
      <c r="AJ16" s="57">
        <f>AG16-D16</f>
        <v/>
      </c>
    </row>
    <row r="17">
      <c r="A17" s="561" t="n"/>
      <c r="B17" s="561" t="n"/>
      <c r="C17" s="140" t="inlineStr">
        <is>
          <t>DG</t>
        </is>
      </c>
      <c r="D17" s="565" t="n">
        <v>4115</v>
      </c>
      <c r="E17" s="561" t="n">
        <v>4115</v>
      </c>
      <c r="F17" s="561" t="n">
        <v>4115</v>
      </c>
      <c r="G17" s="561" t="n">
        <v>4115</v>
      </c>
      <c r="H17" s="561" t="n">
        <v>4115</v>
      </c>
      <c r="I17" s="561" t="n">
        <v>4115</v>
      </c>
      <c r="J17" s="561" t="n">
        <v>4115</v>
      </c>
      <c r="K17" s="561" t="n">
        <v>4115</v>
      </c>
      <c r="L17" s="561" t="n">
        <v>4115</v>
      </c>
      <c r="M17" s="561" t="n">
        <v>4115</v>
      </c>
      <c r="N17" s="561" t="n">
        <v>4115</v>
      </c>
      <c r="O17" s="561" t="n">
        <v>4115</v>
      </c>
      <c r="P17" s="561" t="n">
        <v>4115</v>
      </c>
      <c r="Q17" s="561" t="n">
        <v>4115</v>
      </c>
      <c r="R17" s="8" t="n">
        <v>4115</v>
      </c>
      <c r="S17" s="129" t="n">
        <v>4117</v>
      </c>
      <c r="T17" s="129" t="n">
        <v>4128</v>
      </c>
      <c r="U17" s="129" t="n">
        <v>4128</v>
      </c>
      <c r="V17" s="129" t="n">
        <v>4128</v>
      </c>
      <c r="W17" s="129" t="n">
        <v>4128</v>
      </c>
      <c r="X17" s="129" t="n">
        <v>4128</v>
      </c>
      <c r="Y17" s="129" t="n">
        <v>4128</v>
      </c>
      <c r="Z17" s="129" t="n">
        <v>4128</v>
      </c>
      <c r="AA17" s="129" t="n">
        <v>4128</v>
      </c>
      <c r="AB17" s="561" t="n">
        <v>4128</v>
      </c>
      <c r="AC17" s="561" t="n">
        <v>4128</v>
      </c>
      <c r="AD17" s="561" t="n">
        <v>4135</v>
      </c>
      <c r="AE17" s="561" t="n">
        <v>4135</v>
      </c>
      <c r="AF17" s="561" t="n">
        <v>4135</v>
      </c>
      <c r="AG17" s="561" t="n">
        <v>4135</v>
      </c>
      <c r="AH17" s="58" t="n">
        <v>4135</v>
      </c>
      <c r="AI17" s="48" t="n">
        <v>4137</v>
      </c>
      <c r="AJ17" s="57">
        <f>AG17-D17</f>
        <v/>
      </c>
    </row>
    <row r="18">
      <c r="A18" s="561" t="n">
        <v>7</v>
      </c>
      <c r="B18" s="561" t="inlineStr">
        <is>
          <t>3F</t>
        </is>
      </c>
      <c r="C18" s="141" t="inlineStr">
        <is>
          <t>SL No 540430038843 (EB Unit)</t>
        </is>
      </c>
      <c r="D18" s="45" t="n">
        <v>295586</v>
      </c>
      <c r="E18" s="561" t="n">
        <v>296344</v>
      </c>
      <c r="F18" s="561" t="n">
        <v>297135</v>
      </c>
      <c r="G18" s="561" t="n">
        <v>297721</v>
      </c>
      <c r="H18" s="561" t="n">
        <v>298186</v>
      </c>
      <c r="I18" s="561" t="n">
        <v>298967</v>
      </c>
      <c r="J18" s="561" t="n">
        <v>299719</v>
      </c>
      <c r="K18" s="561" t="n">
        <v>300451</v>
      </c>
      <c r="L18" s="561" t="n">
        <v>301215</v>
      </c>
      <c r="M18" s="561" t="n">
        <v>301956</v>
      </c>
      <c r="N18" s="5" t="n">
        <v>302453</v>
      </c>
      <c r="O18" s="561" t="n">
        <v>302782</v>
      </c>
      <c r="P18" s="561" t="n">
        <v>303520</v>
      </c>
      <c r="Q18" s="561" t="n">
        <v>304301</v>
      </c>
      <c r="R18" s="8" t="n">
        <v>305075</v>
      </c>
      <c r="S18" s="5" t="n">
        <v>305824</v>
      </c>
      <c r="T18" s="561" t="n">
        <v>306569</v>
      </c>
      <c r="U18" s="561" t="n">
        <v>307168</v>
      </c>
      <c r="V18" s="561" t="n">
        <v>307652</v>
      </c>
      <c r="W18" s="561" t="n">
        <v>308419</v>
      </c>
      <c r="X18" s="33" t="n">
        <v>309183</v>
      </c>
      <c r="Y18" s="561" t="n">
        <v>309964</v>
      </c>
      <c r="Z18" s="561" t="n">
        <v>310749</v>
      </c>
      <c r="AA18" s="8" t="n">
        <v>311500</v>
      </c>
      <c r="AB18" s="8" t="n">
        <v>312083</v>
      </c>
      <c r="AC18" s="561" t="n">
        <v>312515</v>
      </c>
      <c r="AD18" s="561" t="n">
        <v>313259</v>
      </c>
      <c r="AE18" s="8" t="n">
        <v>313995</v>
      </c>
      <c r="AF18" s="8" t="n">
        <v>314756</v>
      </c>
      <c r="AG18" s="8" t="n">
        <v>315463</v>
      </c>
      <c r="AH18" s="128" t="n">
        <v>316184</v>
      </c>
      <c r="AI18" s="48" t="n">
        <v>316770</v>
      </c>
      <c r="AJ18" s="57">
        <f>AG18-D18</f>
        <v/>
      </c>
    </row>
    <row r="19">
      <c r="A19" s="561" t="n"/>
      <c r="B19" s="561" t="n"/>
      <c r="C19" s="140" t="inlineStr">
        <is>
          <t>DG</t>
        </is>
      </c>
      <c r="D19" s="565" t="n">
        <v>11189</v>
      </c>
      <c r="E19" s="561" t="n">
        <v>11189</v>
      </c>
      <c r="F19" s="561" t="n">
        <v>11189</v>
      </c>
      <c r="G19" s="561" t="n">
        <v>11189</v>
      </c>
      <c r="H19" s="561" t="n">
        <v>11189</v>
      </c>
      <c r="I19" s="561" t="n">
        <v>11189</v>
      </c>
      <c r="J19" s="561" t="n">
        <v>11189</v>
      </c>
      <c r="K19" s="561" t="n">
        <v>11189</v>
      </c>
      <c r="L19" s="561" t="n">
        <v>11189</v>
      </c>
      <c r="M19" s="561" t="n">
        <v>11189</v>
      </c>
      <c r="N19" s="561" t="n">
        <v>11189</v>
      </c>
      <c r="O19" s="561" t="n">
        <v>11189</v>
      </c>
      <c r="P19" s="561" t="n">
        <v>11189</v>
      </c>
      <c r="Q19" s="561" t="n">
        <v>11189</v>
      </c>
      <c r="R19" s="561" t="n">
        <v>11189</v>
      </c>
      <c r="S19" s="561" t="n">
        <v>11198</v>
      </c>
      <c r="T19" s="561" t="n">
        <v>11222</v>
      </c>
      <c r="U19" s="561" t="n">
        <v>11222</v>
      </c>
      <c r="V19" s="561" t="n">
        <v>11222</v>
      </c>
      <c r="W19" s="561" t="n">
        <v>11222</v>
      </c>
      <c r="X19" s="561" t="n">
        <v>11222</v>
      </c>
      <c r="Y19" s="561" t="n">
        <v>11222</v>
      </c>
      <c r="Z19" s="561" t="n">
        <v>11222</v>
      </c>
      <c r="AA19" s="561" t="n">
        <v>11222</v>
      </c>
      <c r="AB19" s="561" t="n">
        <v>11222</v>
      </c>
      <c r="AC19" s="561" t="n">
        <v>11222</v>
      </c>
      <c r="AD19" s="561" t="n">
        <v>11237</v>
      </c>
      <c r="AE19" s="561" t="n">
        <v>11237</v>
      </c>
      <c r="AF19" s="561" t="n">
        <v>11237</v>
      </c>
      <c r="AG19" s="561" t="n">
        <v>11237</v>
      </c>
      <c r="AH19" s="58" t="n">
        <v>11237</v>
      </c>
      <c r="AI19" s="48" t="n">
        <v>11252</v>
      </c>
      <c r="AJ19" s="57">
        <f>AG19-D19</f>
        <v/>
      </c>
    </row>
    <row r="20">
      <c r="A20" s="561" t="n">
        <v>8</v>
      </c>
      <c r="B20" s="561" t="inlineStr">
        <is>
          <t>3F</t>
        </is>
      </c>
      <c r="C20" s="141" t="inlineStr">
        <is>
          <t>SL No 540430038848 (EB Unit)</t>
        </is>
      </c>
      <c r="D20" s="45" t="n">
        <v>59619</v>
      </c>
      <c r="E20" s="561" t="n">
        <v>59808</v>
      </c>
      <c r="F20" s="561" t="n">
        <v>59963</v>
      </c>
      <c r="G20" s="561" t="n">
        <v>60126</v>
      </c>
      <c r="H20" s="561" t="n">
        <v>60257</v>
      </c>
      <c r="I20" s="561" t="n">
        <v>60449</v>
      </c>
      <c r="J20" s="561" t="n">
        <v>60601</v>
      </c>
      <c r="K20" s="561" t="n">
        <v>60756</v>
      </c>
      <c r="L20" s="561" t="n">
        <v>60935</v>
      </c>
      <c r="M20" s="561" t="n">
        <v>61120</v>
      </c>
      <c r="N20" s="561" t="n">
        <v>61245</v>
      </c>
      <c r="O20" s="561" t="n">
        <v>61431</v>
      </c>
      <c r="P20" s="561" t="n">
        <v>61597</v>
      </c>
      <c r="Q20" s="561" t="n">
        <v>61802</v>
      </c>
      <c r="R20" s="561" t="n">
        <v>61963</v>
      </c>
      <c r="S20" s="561" t="n">
        <v>62175</v>
      </c>
      <c r="T20" s="561" t="n">
        <v>62338</v>
      </c>
      <c r="U20" s="561" t="n">
        <v>62513</v>
      </c>
      <c r="V20" s="561" t="n">
        <v>62624</v>
      </c>
      <c r="W20" s="561" t="n">
        <v>62800</v>
      </c>
      <c r="X20" s="561" t="n">
        <v>63002</v>
      </c>
      <c r="Y20" s="561" t="n">
        <v>63166</v>
      </c>
      <c r="Z20" s="561" t="n">
        <v>63344</v>
      </c>
      <c r="AA20" s="8" t="n">
        <v>63461</v>
      </c>
      <c r="AB20" s="8" t="n">
        <v>63619</v>
      </c>
      <c r="AC20" s="561" t="n">
        <v>63728</v>
      </c>
      <c r="AD20" s="561" t="n">
        <v>63876</v>
      </c>
      <c r="AE20" s="8" t="n">
        <v>64009</v>
      </c>
      <c r="AF20" s="8" t="n">
        <v>64161</v>
      </c>
      <c r="AG20" s="8" t="n">
        <v>64289</v>
      </c>
      <c r="AH20" s="128" t="n">
        <v>64434</v>
      </c>
      <c r="AI20" s="48" t="n">
        <v>64545</v>
      </c>
      <c r="AJ20" s="57">
        <f>AG20-D20</f>
        <v/>
      </c>
    </row>
    <row r="21">
      <c r="A21" s="561" t="n"/>
      <c r="B21" s="561" t="n"/>
      <c r="C21" s="140" t="inlineStr">
        <is>
          <t>DG</t>
        </is>
      </c>
      <c r="D21" s="565" t="n">
        <v>2128</v>
      </c>
      <c r="E21" s="561" t="n">
        <v>2128</v>
      </c>
      <c r="F21" s="561" t="n">
        <v>2128</v>
      </c>
      <c r="G21" s="561" t="n">
        <v>2128</v>
      </c>
      <c r="H21" s="561" t="n">
        <v>2128</v>
      </c>
      <c r="I21" s="561" t="n">
        <v>2128</v>
      </c>
      <c r="J21" s="561" t="n">
        <v>2128</v>
      </c>
      <c r="K21" s="561" t="n">
        <v>2128</v>
      </c>
      <c r="L21" s="561" t="n">
        <v>2128</v>
      </c>
      <c r="M21" s="561" t="n">
        <v>2128</v>
      </c>
      <c r="N21" s="561" t="n">
        <v>2128</v>
      </c>
      <c r="O21" s="561" t="n">
        <v>2128</v>
      </c>
      <c r="P21" s="561" t="n">
        <v>2128</v>
      </c>
      <c r="Q21" s="561" t="n">
        <v>2128</v>
      </c>
      <c r="R21" s="561" t="n">
        <v>2128</v>
      </c>
      <c r="S21" s="561" t="n">
        <v>2130</v>
      </c>
      <c r="T21" s="561" t="n">
        <v>2134</v>
      </c>
      <c r="U21" s="561" t="n">
        <v>2134</v>
      </c>
      <c r="V21" s="561" t="n">
        <v>2134</v>
      </c>
      <c r="W21" s="561" t="n">
        <v>2134</v>
      </c>
      <c r="X21" s="561" t="n">
        <v>2134</v>
      </c>
      <c r="Y21" s="561" t="n">
        <v>2134</v>
      </c>
      <c r="Z21" s="561" t="n">
        <v>2134</v>
      </c>
      <c r="AA21" s="561" t="n">
        <v>2134</v>
      </c>
      <c r="AB21" s="561" t="n">
        <v>2134</v>
      </c>
      <c r="AC21" s="561" t="n">
        <v>2134</v>
      </c>
      <c r="AD21" s="561" t="n">
        <v>2136</v>
      </c>
      <c r="AE21" s="561" t="n">
        <v>2136</v>
      </c>
      <c r="AF21" s="561" t="n">
        <v>2136</v>
      </c>
      <c r="AG21" s="561" t="n">
        <v>2136</v>
      </c>
      <c r="AH21" s="58" t="n">
        <v>2136</v>
      </c>
      <c r="AI21" s="48" t="n">
        <v>2143</v>
      </c>
      <c r="AJ21" s="57">
        <f>AG21-D21</f>
        <v/>
      </c>
    </row>
    <row r="22">
      <c r="A22" s="500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20" t="n"/>
      <c r="AJ22" s="501" t="n"/>
    </row>
    <row r="23">
      <c r="A23" s="561" t="n">
        <v>1</v>
      </c>
      <c r="B23" s="561" t="inlineStr">
        <is>
          <t>3F</t>
        </is>
      </c>
      <c r="C23" s="141" t="inlineStr">
        <is>
          <t>AHU1</t>
        </is>
      </c>
      <c r="D23" s="45" t="n">
        <v>26337</v>
      </c>
      <c r="E23" s="561" t="n">
        <v>26397</v>
      </c>
      <c r="F23" s="561" t="n">
        <v>26460</v>
      </c>
      <c r="G23" s="561" t="n">
        <v>26499</v>
      </c>
      <c r="H23" s="561" t="n">
        <v>26499</v>
      </c>
      <c r="I23" s="561" t="n">
        <v>26534</v>
      </c>
      <c r="J23" s="561" t="n">
        <v>26565</v>
      </c>
      <c r="K23" s="561" t="n">
        <v>26604</v>
      </c>
      <c r="L23" s="561" t="n">
        <v>26646</v>
      </c>
      <c r="M23" s="561" t="n">
        <v>26688</v>
      </c>
      <c r="N23" s="561" t="n">
        <v>26714</v>
      </c>
      <c r="O23" s="561" t="n">
        <v>26714</v>
      </c>
      <c r="P23" s="561" t="n">
        <v>26763</v>
      </c>
      <c r="Q23" s="561" t="n">
        <v>26809</v>
      </c>
      <c r="R23" s="561" t="n">
        <v>26845</v>
      </c>
      <c r="S23" s="561" t="n">
        <v>26905</v>
      </c>
      <c r="T23" s="561" t="n">
        <v>26947</v>
      </c>
      <c r="U23" s="561" t="n">
        <v>26972</v>
      </c>
      <c r="V23" s="561" t="n">
        <v>26973</v>
      </c>
      <c r="W23" s="561" t="n">
        <v>27054</v>
      </c>
      <c r="X23" s="561" t="n">
        <v>27110</v>
      </c>
      <c r="Y23" s="561" t="n">
        <v>27171</v>
      </c>
      <c r="Z23" s="561" t="n">
        <v>27219</v>
      </c>
      <c r="AA23" s="561" t="n">
        <v>27268</v>
      </c>
      <c r="AB23" s="561" t="n">
        <v>27292</v>
      </c>
      <c r="AC23" s="561" t="n">
        <v>27292</v>
      </c>
      <c r="AD23" s="561" t="n">
        <v>27367</v>
      </c>
      <c r="AE23" s="561" t="n">
        <v>27439</v>
      </c>
      <c r="AF23" s="561" t="n">
        <v>27506</v>
      </c>
      <c r="AG23" s="561" t="n">
        <v>27563</v>
      </c>
      <c r="AH23" s="8" t="n">
        <v>27621</v>
      </c>
      <c r="AI23" s="8" t="n">
        <v>27658</v>
      </c>
      <c r="AJ23" s="7">
        <f>AG23-D23</f>
        <v/>
      </c>
    </row>
    <row r="24">
      <c r="A24" s="561" t="n"/>
      <c r="B24" s="561" t="n"/>
      <c r="C24" s="142" t="inlineStr">
        <is>
          <t>DG</t>
        </is>
      </c>
      <c r="D24" s="565" t="n">
        <v>1876</v>
      </c>
      <c r="E24" s="561" t="n">
        <v>1876</v>
      </c>
      <c r="F24" s="561" t="n">
        <v>1876</v>
      </c>
      <c r="G24" s="561" t="n">
        <v>1876</v>
      </c>
      <c r="H24" s="561" t="n">
        <v>1876</v>
      </c>
      <c r="I24" s="561" t="n">
        <v>1876</v>
      </c>
      <c r="J24" s="561" t="n">
        <v>1876</v>
      </c>
      <c r="K24" s="561" t="n">
        <v>1876</v>
      </c>
      <c r="L24" s="561" t="n">
        <v>1876</v>
      </c>
      <c r="M24" s="561" t="n">
        <v>1876</v>
      </c>
      <c r="N24" s="561" t="n">
        <v>1876</v>
      </c>
      <c r="O24" s="561" t="n">
        <v>1876</v>
      </c>
      <c r="P24" s="561" t="n">
        <v>1876</v>
      </c>
      <c r="Q24" s="561" t="n">
        <v>1876</v>
      </c>
      <c r="R24" s="561" t="n">
        <v>1876</v>
      </c>
      <c r="S24" s="561" t="n">
        <v>1876</v>
      </c>
      <c r="T24" s="561" t="n">
        <v>1878</v>
      </c>
      <c r="U24" s="561" t="n">
        <v>1878</v>
      </c>
      <c r="V24" s="561" t="n">
        <v>1878</v>
      </c>
      <c r="W24" s="561" t="n">
        <v>1878</v>
      </c>
      <c r="X24" s="561" t="n">
        <v>1878</v>
      </c>
      <c r="Y24" s="561" t="n">
        <v>1878</v>
      </c>
      <c r="Z24" s="561" t="n">
        <v>1878</v>
      </c>
      <c r="AA24" s="561" t="n">
        <v>1878</v>
      </c>
      <c r="AB24" s="561" t="n">
        <v>1878</v>
      </c>
      <c r="AC24" s="561" t="n">
        <v>1878</v>
      </c>
      <c r="AD24" s="561" t="n">
        <v>1878</v>
      </c>
      <c r="AE24" s="561" t="n">
        <v>1878</v>
      </c>
      <c r="AF24" s="561" t="n">
        <v>1878</v>
      </c>
      <c r="AG24" s="561" t="n">
        <v>1878</v>
      </c>
      <c r="AH24" s="561" t="n">
        <v>1878</v>
      </c>
      <c r="AI24" s="8" t="n">
        <v>1878</v>
      </c>
      <c r="AJ24" s="7">
        <f>AG24-D24</f>
        <v/>
      </c>
    </row>
    <row r="25">
      <c r="A25" s="561" t="n">
        <v>2</v>
      </c>
      <c r="B25" s="561" t="inlineStr">
        <is>
          <t>3F</t>
        </is>
      </c>
      <c r="C25" s="141" t="inlineStr">
        <is>
          <t>AHU2</t>
        </is>
      </c>
      <c r="D25" s="45" t="n">
        <v>27621</v>
      </c>
      <c r="E25" s="561" t="n">
        <v>27703</v>
      </c>
      <c r="F25" s="561" t="n">
        <v>27771</v>
      </c>
      <c r="G25" s="561" t="n">
        <v>27804</v>
      </c>
      <c r="H25" s="561" t="n">
        <v>27804</v>
      </c>
      <c r="I25" s="561" t="n">
        <v>27870</v>
      </c>
      <c r="J25" s="561" t="n">
        <v>27929</v>
      </c>
      <c r="K25" s="561" t="n">
        <v>27975</v>
      </c>
      <c r="L25" s="561" t="n">
        <v>28050</v>
      </c>
      <c r="M25" s="561" t="n">
        <v>28130</v>
      </c>
      <c r="N25" s="561" t="n">
        <v>28173</v>
      </c>
      <c r="O25" s="561" t="n">
        <v>28173</v>
      </c>
      <c r="P25" s="561" t="n">
        <v>28262</v>
      </c>
      <c r="Q25" s="561" t="n">
        <v>28345</v>
      </c>
      <c r="R25" s="561" t="n">
        <v>28434</v>
      </c>
      <c r="S25" s="561" t="n">
        <v>28522</v>
      </c>
      <c r="T25" s="561" t="n">
        <v>28582</v>
      </c>
      <c r="U25" s="561" t="n">
        <v>28624</v>
      </c>
      <c r="V25" s="561" t="n">
        <v>28625</v>
      </c>
      <c r="W25" s="561" t="n">
        <v>28730</v>
      </c>
      <c r="X25" s="561" t="n">
        <v>28840</v>
      </c>
      <c r="Y25" s="561" t="n">
        <v>28938</v>
      </c>
      <c r="Z25" s="561" t="n">
        <v>29015</v>
      </c>
      <c r="AA25" s="561" t="n">
        <v>29083</v>
      </c>
      <c r="AB25" s="561" t="n">
        <v>29118</v>
      </c>
      <c r="AC25" s="561" t="n">
        <v>29118</v>
      </c>
      <c r="AD25" s="561" t="n">
        <v>29204</v>
      </c>
      <c r="AE25" s="561" t="n">
        <v>29288</v>
      </c>
      <c r="AF25" s="561" t="n">
        <v>29350</v>
      </c>
      <c r="AG25" s="561" t="n">
        <v>29426</v>
      </c>
      <c r="AH25" s="8" t="n">
        <v>29507</v>
      </c>
      <c r="AI25" s="8" t="n">
        <v>29570</v>
      </c>
      <c r="AJ25" s="7">
        <f>AG25-D25</f>
        <v/>
      </c>
    </row>
    <row r="26">
      <c r="A26" s="561" t="n"/>
      <c r="B26" s="561" t="n"/>
      <c r="C26" s="142" t="inlineStr">
        <is>
          <t>DG</t>
        </is>
      </c>
      <c r="D26" s="565" t="n">
        <v>1855</v>
      </c>
      <c r="E26" s="561" t="n">
        <v>1855</v>
      </c>
      <c r="F26" s="561" t="n">
        <v>1855</v>
      </c>
      <c r="G26" s="561" t="n">
        <v>1855</v>
      </c>
      <c r="H26" s="561" t="n">
        <v>1855</v>
      </c>
      <c r="I26" s="561" t="n">
        <v>1855</v>
      </c>
      <c r="J26" s="561" t="n">
        <v>1855</v>
      </c>
      <c r="K26" s="561" t="n">
        <v>1855</v>
      </c>
      <c r="L26" s="561" t="n">
        <v>1855</v>
      </c>
      <c r="M26" s="561" t="n">
        <v>1855</v>
      </c>
      <c r="N26" s="561" t="n">
        <v>1855</v>
      </c>
      <c r="O26" s="561" t="n">
        <v>1855</v>
      </c>
      <c r="P26" s="561" t="n">
        <v>1855</v>
      </c>
      <c r="Q26" s="561" t="n">
        <v>1855</v>
      </c>
      <c r="R26" s="561" t="n">
        <v>1855</v>
      </c>
      <c r="S26" s="561" t="n">
        <v>1855</v>
      </c>
      <c r="T26" s="561" t="n">
        <v>1857</v>
      </c>
      <c r="U26" s="561" t="n">
        <v>1857</v>
      </c>
      <c r="V26" s="561" t="n">
        <v>1857</v>
      </c>
      <c r="W26" s="561" t="n">
        <v>1857</v>
      </c>
      <c r="X26" s="561" t="n">
        <v>1857</v>
      </c>
      <c r="Y26" s="561" t="n">
        <v>1857</v>
      </c>
      <c r="Z26" s="561" t="n">
        <v>1857</v>
      </c>
      <c r="AA26" s="561" t="n">
        <v>1857</v>
      </c>
      <c r="AB26" s="561" t="n">
        <v>1857</v>
      </c>
      <c r="AC26" s="561" t="n">
        <v>1857</v>
      </c>
      <c r="AD26" s="561" t="n">
        <v>1857</v>
      </c>
      <c r="AE26" s="561" t="n">
        <v>1857</v>
      </c>
      <c r="AF26" s="561" t="n">
        <v>1857</v>
      </c>
      <c r="AG26" s="561" t="n">
        <v>1857</v>
      </c>
      <c r="AH26" s="561" t="n">
        <v>1857</v>
      </c>
      <c r="AI26" s="8" t="n">
        <v>1857</v>
      </c>
      <c r="AJ26" s="7">
        <f>AG26-D26</f>
        <v/>
      </c>
    </row>
    <row r="27">
      <c r="A27" s="561" t="n">
        <v>3</v>
      </c>
      <c r="B27" s="561" t="inlineStr">
        <is>
          <t>3F</t>
        </is>
      </c>
      <c r="C27" s="141" t="inlineStr">
        <is>
          <t>AHU3</t>
        </is>
      </c>
      <c r="D27" s="565" t="n">
        <v>29154</v>
      </c>
      <c r="E27" s="561" t="n">
        <v>29273</v>
      </c>
      <c r="F27" s="561" t="n">
        <v>29392</v>
      </c>
      <c r="G27" s="561" t="n">
        <v>29463</v>
      </c>
      <c r="H27" s="561" t="n">
        <v>29463</v>
      </c>
      <c r="I27" s="561" t="n">
        <v>29572</v>
      </c>
      <c r="J27" s="561" t="n">
        <v>29682</v>
      </c>
      <c r="K27" s="561" t="n">
        <v>29784</v>
      </c>
      <c r="L27" s="561" t="n">
        <v>29896</v>
      </c>
      <c r="M27" s="561" t="n">
        <v>29990</v>
      </c>
      <c r="N27" s="561" t="n">
        <v>30032</v>
      </c>
      <c r="O27" s="561" t="n">
        <v>30032</v>
      </c>
      <c r="P27" s="561" t="n">
        <v>30140</v>
      </c>
      <c r="Q27" s="561" t="n">
        <v>30251</v>
      </c>
      <c r="R27" s="561" t="n">
        <v>30361</v>
      </c>
      <c r="S27" s="561" t="n">
        <v>30476</v>
      </c>
      <c r="T27" s="561" t="n">
        <v>30562</v>
      </c>
      <c r="U27" s="561" t="n">
        <v>30623</v>
      </c>
      <c r="V27" s="561" t="n">
        <v>30624</v>
      </c>
      <c r="W27" s="561" t="n">
        <v>30725</v>
      </c>
      <c r="X27" s="561" t="n">
        <v>30853</v>
      </c>
      <c r="Y27" s="561" t="n">
        <v>30979</v>
      </c>
      <c r="Z27" s="561" t="n">
        <v>31082</v>
      </c>
      <c r="AA27" s="561" t="n">
        <v>31206</v>
      </c>
      <c r="AB27" s="561" t="n">
        <v>31276</v>
      </c>
      <c r="AC27" s="561" t="n">
        <v>31276</v>
      </c>
      <c r="AD27" s="561" t="n">
        <v>31378</v>
      </c>
      <c r="AE27" s="561" t="n">
        <v>31498</v>
      </c>
      <c r="AF27" s="561" t="n">
        <v>31623</v>
      </c>
      <c r="AG27" s="561" t="n">
        <v>31727</v>
      </c>
      <c r="AH27" s="561" t="n">
        <v>31839</v>
      </c>
      <c r="AI27" s="8" t="n">
        <v>31924</v>
      </c>
      <c r="AJ27" s="7">
        <f>AG27-D27</f>
        <v/>
      </c>
    </row>
    <row r="28">
      <c r="A28" s="561" t="n"/>
      <c r="B28" s="561" t="n"/>
      <c r="C28" s="142" t="inlineStr">
        <is>
          <t>DG</t>
        </is>
      </c>
      <c r="D28" s="565" t="n">
        <v>2002</v>
      </c>
      <c r="E28" s="561" t="n">
        <v>2002</v>
      </c>
      <c r="F28" s="561" t="n">
        <v>2002</v>
      </c>
      <c r="G28" s="561" t="n">
        <v>2002</v>
      </c>
      <c r="H28" s="561" t="n">
        <v>2002</v>
      </c>
      <c r="I28" s="561" t="n">
        <v>2002</v>
      </c>
      <c r="J28" s="561" t="n">
        <v>2002</v>
      </c>
      <c r="K28" s="561" t="n">
        <v>2002</v>
      </c>
      <c r="L28" s="561" t="n">
        <v>2002</v>
      </c>
      <c r="M28" s="561" t="n">
        <v>2002</v>
      </c>
      <c r="N28" s="561" t="n">
        <v>2002</v>
      </c>
      <c r="O28" s="561" t="n">
        <v>2002</v>
      </c>
      <c r="P28" s="561" t="n">
        <v>2002</v>
      </c>
      <c r="Q28" s="561" t="n">
        <v>2002</v>
      </c>
      <c r="R28" s="561" t="n">
        <v>2002</v>
      </c>
      <c r="S28" s="561" t="n">
        <v>2002</v>
      </c>
      <c r="T28" s="561" t="n">
        <v>2005</v>
      </c>
      <c r="U28" s="561" t="n">
        <v>2005</v>
      </c>
      <c r="V28" s="561" t="n">
        <v>2005</v>
      </c>
      <c r="W28" s="561" t="n">
        <v>2005</v>
      </c>
      <c r="X28" s="561" t="n">
        <v>2005</v>
      </c>
      <c r="Y28" s="561" t="n">
        <v>2005</v>
      </c>
      <c r="Z28" s="561" t="n">
        <v>2005</v>
      </c>
      <c r="AA28" s="561" t="n">
        <v>2005</v>
      </c>
      <c r="AB28" s="561" t="n">
        <v>2005</v>
      </c>
      <c r="AC28" s="561" t="n">
        <v>2005</v>
      </c>
      <c r="AD28" s="561" t="n">
        <v>2005</v>
      </c>
      <c r="AE28" s="561" t="n">
        <v>2005</v>
      </c>
      <c r="AF28" s="561" t="n">
        <v>2005</v>
      </c>
      <c r="AG28" s="561" t="n">
        <v>2005</v>
      </c>
      <c r="AH28" s="561" t="n">
        <v>2005</v>
      </c>
      <c r="AI28" s="8" t="n">
        <v>2005</v>
      </c>
      <c r="AJ28" s="7">
        <f>AG28-D28</f>
        <v/>
      </c>
    </row>
    <row r="29">
      <c r="A29" s="561" t="n">
        <v>4</v>
      </c>
      <c r="B29" s="561" t="inlineStr">
        <is>
          <t>3F</t>
        </is>
      </c>
      <c r="C29" s="141" t="inlineStr">
        <is>
          <t>AHU4</t>
        </is>
      </c>
      <c r="D29" s="45" t="n">
        <v>24643</v>
      </c>
      <c r="E29" s="561" t="n">
        <v>24732</v>
      </c>
      <c r="F29" s="561" t="n">
        <v>24821</v>
      </c>
      <c r="G29" s="561" t="n">
        <v>24876</v>
      </c>
      <c r="H29" s="561" t="n">
        <v>24876</v>
      </c>
      <c r="I29" s="561" t="n">
        <v>24963</v>
      </c>
      <c r="J29" s="561" t="n">
        <v>25045</v>
      </c>
      <c r="K29" s="561" t="n">
        <v>25098</v>
      </c>
      <c r="L29" s="561" t="n">
        <v>25154</v>
      </c>
      <c r="M29" s="561" t="n">
        <v>25210</v>
      </c>
      <c r="N29" s="561" t="n">
        <v>25244</v>
      </c>
      <c r="O29" s="561" t="n">
        <v>25244</v>
      </c>
      <c r="P29" s="561" t="n">
        <v>25304</v>
      </c>
      <c r="Q29" s="561" t="n">
        <v>25361</v>
      </c>
      <c r="R29" s="561" t="n">
        <v>25421</v>
      </c>
      <c r="S29" s="561" t="n">
        <v>25479</v>
      </c>
      <c r="T29" s="561" t="n">
        <v>25527</v>
      </c>
      <c r="U29" s="561" t="n">
        <v>25559</v>
      </c>
      <c r="V29" s="561" t="n">
        <v>25559</v>
      </c>
      <c r="W29" s="561" t="n">
        <v>25656</v>
      </c>
      <c r="X29" s="561" t="n">
        <v>25764</v>
      </c>
      <c r="Y29" s="561" t="n">
        <v>25872</v>
      </c>
      <c r="Z29" s="561" t="n">
        <v>25964</v>
      </c>
      <c r="AA29" s="561" t="n">
        <v>26057</v>
      </c>
      <c r="AB29" s="561" t="n">
        <v>26103</v>
      </c>
      <c r="AC29" s="561" t="n">
        <v>26103</v>
      </c>
      <c r="AD29" s="561" t="n">
        <v>26203</v>
      </c>
      <c r="AE29" s="561" t="n">
        <v>26300</v>
      </c>
      <c r="AF29" s="561" t="n">
        <v>26387</v>
      </c>
      <c r="AG29" s="561" t="n">
        <v>26464</v>
      </c>
      <c r="AH29" s="8" t="n">
        <v>26538</v>
      </c>
      <c r="AI29" s="8" t="n">
        <v>26586</v>
      </c>
      <c r="AJ29" s="7">
        <f>AG29-D29</f>
        <v/>
      </c>
    </row>
    <row r="30">
      <c r="A30" s="561" t="n"/>
      <c r="B30" s="561" t="n"/>
      <c r="C30" s="142" t="inlineStr">
        <is>
          <t>DG</t>
        </is>
      </c>
      <c r="D30" s="565" t="n">
        <v>1736</v>
      </c>
      <c r="E30" s="561" t="n">
        <v>1736</v>
      </c>
      <c r="F30" s="561" t="n">
        <v>1736</v>
      </c>
      <c r="G30" s="561" t="n">
        <v>1736</v>
      </c>
      <c r="H30" s="561" t="n">
        <v>1736</v>
      </c>
      <c r="I30" s="561" t="n">
        <v>1736</v>
      </c>
      <c r="J30" s="561" t="n">
        <v>1736</v>
      </c>
      <c r="K30" s="561" t="n">
        <v>1736</v>
      </c>
      <c r="L30" s="561" t="n">
        <v>1736</v>
      </c>
      <c r="M30" s="561" t="n">
        <v>1736</v>
      </c>
      <c r="N30" s="561" t="n">
        <v>1736</v>
      </c>
      <c r="O30" s="561" t="n">
        <v>1736</v>
      </c>
      <c r="P30" s="561" t="n">
        <v>1736</v>
      </c>
      <c r="Q30" s="561" t="n">
        <v>1736</v>
      </c>
      <c r="R30" s="561" t="n">
        <v>1736</v>
      </c>
      <c r="S30" s="561" t="n">
        <v>1736</v>
      </c>
      <c r="T30" s="561" t="n">
        <v>1739</v>
      </c>
      <c r="U30" s="561" t="n">
        <v>1739</v>
      </c>
      <c r="V30" s="561" t="n">
        <v>1739</v>
      </c>
      <c r="W30" s="561" t="n">
        <v>1739</v>
      </c>
      <c r="X30" s="561" t="n">
        <v>1739</v>
      </c>
      <c r="Y30" s="561" t="n">
        <v>1739</v>
      </c>
      <c r="Z30" s="561" t="n">
        <v>1739</v>
      </c>
      <c r="AA30" s="561" t="n">
        <v>1739</v>
      </c>
      <c r="AB30" s="561" t="n">
        <v>1739</v>
      </c>
      <c r="AC30" s="561" t="n">
        <v>1739</v>
      </c>
      <c r="AD30" s="561" t="n">
        <v>1739</v>
      </c>
      <c r="AE30" s="561" t="n">
        <v>1739</v>
      </c>
      <c r="AF30" s="561" t="n">
        <v>1739</v>
      </c>
      <c r="AG30" s="561" t="n">
        <v>1739</v>
      </c>
      <c r="AH30" s="561" t="n">
        <v>1739</v>
      </c>
      <c r="AI30" s="8" t="n">
        <v>1739</v>
      </c>
      <c r="AJ30" s="7">
        <f>AG30-D30</f>
        <v/>
      </c>
    </row>
    <row r="31">
      <c r="A31" s="561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20" t="n"/>
      <c r="AJ31" s="501" t="n"/>
    </row>
    <row r="32">
      <c r="A32" s="561" t="n">
        <v>1</v>
      </c>
      <c r="B32" s="561" t="inlineStr">
        <is>
          <t>3F</t>
        </is>
      </c>
      <c r="C32" s="141" t="inlineStr">
        <is>
          <t>AHU1 - BTU</t>
        </is>
      </c>
      <c r="D32" s="160" t="n">
        <v>241097</v>
      </c>
      <c r="E32" s="44" t="n">
        <v>242086</v>
      </c>
      <c r="F32" s="150" t="n">
        <v>242985</v>
      </c>
      <c r="G32" s="150" t="n">
        <v>243555</v>
      </c>
      <c r="H32" s="150" t="n">
        <v>243555</v>
      </c>
      <c r="I32" s="44" t="n">
        <v>244595</v>
      </c>
      <c r="J32" s="150" t="n">
        <v>245525</v>
      </c>
      <c r="K32" s="150" t="n">
        <v>246403</v>
      </c>
      <c r="L32" s="150" t="n">
        <v>247294</v>
      </c>
      <c r="M32" s="44" t="n">
        <v>248175</v>
      </c>
      <c r="N32" s="150" t="n">
        <v>248557</v>
      </c>
      <c r="O32" s="150" t="n">
        <v>248557</v>
      </c>
      <c r="P32" s="150" t="n">
        <v>249668</v>
      </c>
      <c r="Q32" s="44" t="n">
        <v>250522</v>
      </c>
      <c r="R32" s="150" t="n">
        <v>251517</v>
      </c>
      <c r="S32" s="150" t="n">
        <v>252344</v>
      </c>
      <c r="T32" s="150" t="n">
        <v>253139</v>
      </c>
      <c r="U32" s="44" t="n">
        <v>253582</v>
      </c>
      <c r="V32" s="150" t="n">
        <v>253582</v>
      </c>
      <c r="W32" s="150" t="n">
        <v>255018</v>
      </c>
      <c r="X32" s="150" t="n">
        <v>256248</v>
      </c>
      <c r="Y32" s="44" t="n">
        <v>257442</v>
      </c>
      <c r="Z32" s="150" t="n">
        <v>258366</v>
      </c>
      <c r="AA32" s="150" t="n">
        <v>259334</v>
      </c>
      <c r="AB32" s="150" t="n">
        <v>259807</v>
      </c>
      <c r="AC32" s="44" t="n">
        <v>259807</v>
      </c>
      <c r="AD32" s="150" t="n">
        <v>261113</v>
      </c>
      <c r="AE32" s="150" t="n">
        <v>262236</v>
      </c>
      <c r="AF32" s="150" t="n">
        <v>263263</v>
      </c>
      <c r="AG32" s="44" t="n">
        <v>264315</v>
      </c>
      <c r="AH32" s="150" t="n">
        <v>265337</v>
      </c>
      <c r="AI32" s="161" t="n">
        <v>265888</v>
      </c>
      <c r="AJ32" s="7">
        <f>AG32-D32</f>
        <v/>
      </c>
    </row>
    <row r="33">
      <c r="A33" s="561" t="n">
        <v>2</v>
      </c>
      <c r="B33" s="561" t="inlineStr">
        <is>
          <t>3F</t>
        </is>
      </c>
      <c r="C33" s="141" t="inlineStr">
        <is>
          <t>AHU2 - BTU</t>
        </is>
      </c>
      <c r="D33" s="160" t="n">
        <v>241385</v>
      </c>
      <c r="E33" s="150" t="n">
        <v>242077</v>
      </c>
      <c r="F33" s="150" t="n">
        <v>242589</v>
      </c>
      <c r="G33" s="150" t="n">
        <v>242852</v>
      </c>
      <c r="H33" s="150" t="n">
        <v>242852</v>
      </c>
      <c r="I33" s="150" t="n">
        <v>243585</v>
      </c>
      <c r="J33" s="150" t="n">
        <v>244270</v>
      </c>
      <c r="K33" s="150" t="n">
        <v>244823</v>
      </c>
      <c r="L33" s="150" t="n">
        <v>245387</v>
      </c>
      <c r="M33" s="150" t="n">
        <v>246070</v>
      </c>
      <c r="N33" s="150" t="n">
        <v>246331</v>
      </c>
      <c r="O33" s="150" t="n">
        <v>246331</v>
      </c>
      <c r="P33" s="150" t="n">
        <v>247228</v>
      </c>
      <c r="Q33" s="150" t="n">
        <v>248015</v>
      </c>
      <c r="R33" s="150" t="n">
        <v>248825</v>
      </c>
      <c r="S33" s="150" t="n">
        <v>249556</v>
      </c>
      <c r="T33" s="150" t="n">
        <v>250191</v>
      </c>
      <c r="U33" s="150" t="n">
        <v>250510</v>
      </c>
      <c r="V33" s="150" t="n">
        <v>250510</v>
      </c>
      <c r="W33" s="150" t="n">
        <v>251699</v>
      </c>
      <c r="X33" s="150" t="n">
        <v>252623</v>
      </c>
      <c r="Y33" s="150" t="n">
        <v>253466</v>
      </c>
      <c r="Z33" s="150" t="n">
        <v>254176</v>
      </c>
      <c r="AA33" s="150" t="n">
        <v>254907</v>
      </c>
      <c r="AB33" s="150" t="n">
        <v>255145</v>
      </c>
      <c r="AC33" s="150" t="n">
        <v>255145</v>
      </c>
      <c r="AD33" s="150" t="n">
        <v>256027</v>
      </c>
      <c r="AE33" s="150" t="n">
        <v>256784</v>
      </c>
      <c r="AF33" s="150" t="n">
        <v>257528</v>
      </c>
      <c r="AG33" s="150" t="n">
        <v>258287</v>
      </c>
      <c r="AH33" s="150" t="n">
        <v>258858</v>
      </c>
      <c r="AI33" s="161" t="n">
        <v>259417</v>
      </c>
      <c r="AJ33" s="7">
        <f>AG33-D33</f>
        <v/>
      </c>
    </row>
    <row r="34">
      <c r="A34" s="561" t="n">
        <v>3</v>
      </c>
      <c r="B34" s="561" t="inlineStr">
        <is>
          <t>3F</t>
        </is>
      </c>
      <c r="C34" s="141" t="inlineStr">
        <is>
          <t>AHU3 - BTU</t>
        </is>
      </c>
      <c r="D34" s="160" t="n">
        <v>237325</v>
      </c>
      <c r="E34" s="150" t="n">
        <v>238030</v>
      </c>
      <c r="F34" s="150" t="n">
        <v>238530</v>
      </c>
      <c r="G34" s="150" t="n">
        <v>238808</v>
      </c>
      <c r="H34" s="150" t="n">
        <v>238808</v>
      </c>
      <c r="I34" s="150" t="n">
        <v>239749</v>
      </c>
      <c r="J34" s="150" t="n">
        <v>240412</v>
      </c>
      <c r="K34" s="150" t="n">
        <v>240947</v>
      </c>
      <c r="L34" s="150" t="n">
        <v>241812</v>
      </c>
      <c r="M34" s="150" t="n">
        <v>242618</v>
      </c>
      <c r="N34" s="150" t="n">
        <v>242850</v>
      </c>
      <c r="O34" s="150" t="n">
        <v>242850</v>
      </c>
      <c r="P34" s="150" t="n">
        <v>243888</v>
      </c>
      <c r="Q34" s="150" t="n">
        <v>244869</v>
      </c>
      <c r="R34" s="150" t="n">
        <v>245894</v>
      </c>
      <c r="S34" s="150" t="n">
        <v>246699</v>
      </c>
      <c r="T34" s="150" t="n">
        <v>247536</v>
      </c>
      <c r="U34" s="150" t="n">
        <v>247750</v>
      </c>
      <c r="V34" s="150" t="n">
        <v>247750</v>
      </c>
      <c r="W34" s="150" t="n">
        <v>248978</v>
      </c>
      <c r="X34" s="150" t="n">
        <v>250362</v>
      </c>
      <c r="Y34" s="150" t="n">
        <v>251556</v>
      </c>
      <c r="Z34" s="150" t="n">
        <v>252373</v>
      </c>
      <c r="AA34" s="150" t="n">
        <v>253287</v>
      </c>
      <c r="AB34" s="150" t="n">
        <v>253441</v>
      </c>
      <c r="AC34" s="150" t="n">
        <v>253441</v>
      </c>
      <c r="AD34" s="150" t="n">
        <v>254687</v>
      </c>
      <c r="AE34" s="150" t="n">
        <v>255521</v>
      </c>
      <c r="AF34" s="150" t="n">
        <v>256583</v>
      </c>
      <c r="AG34" s="150" t="n">
        <v>257817</v>
      </c>
      <c r="AH34" s="150" t="n">
        <v>258532</v>
      </c>
      <c r="AI34" s="161" t="n">
        <v>259278</v>
      </c>
      <c r="AJ34" s="7">
        <f>AG34-D34</f>
        <v/>
      </c>
    </row>
    <row r="35">
      <c r="A35" s="561" t="n">
        <v>4</v>
      </c>
      <c r="B35" s="561" t="inlineStr">
        <is>
          <t>3F</t>
        </is>
      </c>
      <c r="C35" s="141" t="inlineStr">
        <is>
          <t>AHU4 - BTU</t>
        </is>
      </c>
      <c r="D35" s="160" t="n">
        <v>262507</v>
      </c>
      <c r="E35" s="150" t="n">
        <v>263374</v>
      </c>
      <c r="F35" s="150" t="n">
        <v>264092</v>
      </c>
      <c r="G35" s="150" t="n">
        <v>264569</v>
      </c>
      <c r="H35" s="150" t="n">
        <v>264569</v>
      </c>
      <c r="I35" s="150" t="n">
        <v>265515</v>
      </c>
      <c r="J35" s="150" t="n">
        <v>266380</v>
      </c>
      <c r="K35" s="150" t="n">
        <v>267137</v>
      </c>
      <c r="L35" s="150" t="n">
        <v>267987</v>
      </c>
      <c r="M35" s="150" t="n">
        <v>268825</v>
      </c>
      <c r="N35" s="150" t="n">
        <v>269222</v>
      </c>
      <c r="O35" s="150" t="n">
        <v>269222</v>
      </c>
      <c r="P35" s="150" t="n">
        <v>270200</v>
      </c>
      <c r="Q35" s="150" t="n">
        <v>270966</v>
      </c>
      <c r="R35" s="150" t="n">
        <v>271869</v>
      </c>
      <c r="S35" s="150" t="n">
        <v>272650</v>
      </c>
      <c r="T35" s="150" t="n">
        <v>273363</v>
      </c>
      <c r="U35" s="150" t="n">
        <v>273765</v>
      </c>
      <c r="V35" s="150" t="n">
        <v>273765</v>
      </c>
      <c r="W35" s="150" t="n">
        <v>275069</v>
      </c>
      <c r="X35" s="150" t="n">
        <v>276208</v>
      </c>
      <c r="Y35" s="150" t="n">
        <v>277343</v>
      </c>
      <c r="Z35" s="150" t="n">
        <v>278268</v>
      </c>
      <c r="AA35" s="150" t="n">
        <v>279211</v>
      </c>
      <c r="AB35" s="150" t="n">
        <v>279609</v>
      </c>
      <c r="AC35" s="150" t="n">
        <v>279609</v>
      </c>
      <c r="AD35" s="150" t="n">
        <v>280781</v>
      </c>
      <c r="AE35" s="150" t="n">
        <v>281801</v>
      </c>
      <c r="AF35" s="150" t="n">
        <v>282806</v>
      </c>
      <c r="AG35" s="150" t="n">
        <v>283828</v>
      </c>
      <c r="AH35" s="150" t="n">
        <v>284763</v>
      </c>
      <c r="AI35" s="161" t="n">
        <v>285318</v>
      </c>
      <c r="AJ35" s="7">
        <f>AG35-D35</f>
        <v/>
      </c>
    </row>
    <row r="36">
      <c r="A36" s="134" t="n"/>
      <c r="B36" s="134" t="n"/>
      <c r="C36" s="143" t="n"/>
      <c r="D36" s="134" t="n"/>
      <c r="E36" s="13" t="n"/>
      <c r="F36" s="134" t="n"/>
      <c r="G36" s="134" t="n"/>
      <c r="H36" s="134" t="n"/>
      <c r="I36" s="134" t="n"/>
      <c r="J36" s="134" t="n"/>
      <c r="K36" s="134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  <c r="AB36" s="134" t="n"/>
      <c r="AC36" s="6" t="n"/>
      <c r="AD36" s="134" t="n"/>
      <c r="AE36" s="134" t="n"/>
      <c r="AF36" s="134" t="n"/>
      <c r="AG36" s="134" t="n"/>
      <c r="AH36" s="134" t="n"/>
      <c r="AI36" s="134" t="n"/>
      <c r="AJ36" s="136" t="n"/>
    </row>
    <row r="37">
      <c r="A37" s="14" t="n"/>
      <c r="B37" s="137" t="n"/>
      <c r="C37" s="144" t="n"/>
      <c r="D37" s="138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</row>
    <row r="38">
      <c r="A38" s="93" t="n"/>
      <c r="B38" s="539" t="inlineStr">
        <is>
          <t xml:space="preserve"> Daily Energy Report</t>
        </is>
      </c>
      <c r="C38" s="520" t="n"/>
      <c r="D38" s="501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</row>
    <row r="39">
      <c r="A39" s="94" t="n"/>
      <c r="B39" s="534" t="inlineStr">
        <is>
          <t>Electricity Consumption</t>
        </is>
      </c>
      <c r="C39" s="520" t="n"/>
      <c r="D39" s="501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171" t="n"/>
      <c r="AJ39" s="171" t="n"/>
    </row>
    <row r="40">
      <c r="A40" s="533" t="inlineStr">
        <is>
          <t>Sr.No</t>
        </is>
      </c>
      <c r="B40" s="533" t="inlineStr">
        <is>
          <t>Location</t>
        </is>
      </c>
      <c r="C40" s="533" t="inlineStr">
        <is>
          <t>Meter</t>
        </is>
      </c>
      <c r="D40" s="522" t="n"/>
      <c r="E40" s="95">
        <f>E2</f>
        <v/>
      </c>
      <c r="F40" s="95">
        <f>F2</f>
        <v/>
      </c>
      <c r="G40" s="95">
        <f>G2</f>
        <v/>
      </c>
      <c r="H40" s="95">
        <f>H2</f>
        <v/>
      </c>
      <c r="I40" s="95">
        <f>I2</f>
        <v/>
      </c>
      <c r="J40" s="95">
        <f>J2</f>
        <v/>
      </c>
      <c r="K40" s="95">
        <f>K2</f>
        <v/>
      </c>
      <c r="L40" s="95">
        <f>L2</f>
        <v/>
      </c>
      <c r="M40" s="95">
        <f>M2</f>
        <v/>
      </c>
      <c r="N40" s="95">
        <f>N2</f>
        <v/>
      </c>
      <c r="O40" s="95">
        <f>O2</f>
        <v/>
      </c>
      <c r="P40" s="95">
        <f>P2</f>
        <v/>
      </c>
      <c r="Q40" s="95">
        <f>Q2</f>
        <v/>
      </c>
      <c r="R40" s="95">
        <f>R2</f>
        <v/>
      </c>
      <c r="S40" s="95">
        <f>S2</f>
        <v/>
      </c>
      <c r="T40" s="95">
        <f>T2</f>
        <v/>
      </c>
      <c r="U40" s="95">
        <f>U2</f>
        <v/>
      </c>
      <c r="V40" s="95">
        <f>V2</f>
        <v/>
      </c>
      <c r="W40" s="95">
        <f>W2</f>
        <v/>
      </c>
      <c r="X40" s="95">
        <f>X2</f>
        <v/>
      </c>
      <c r="Y40" s="95">
        <f>Y2</f>
        <v/>
      </c>
      <c r="Z40" s="95">
        <f>Z2</f>
        <v/>
      </c>
      <c r="AA40" s="95">
        <f>AA2</f>
        <v/>
      </c>
      <c r="AB40" s="95">
        <f>AB2</f>
        <v/>
      </c>
      <c r="AC40" s="95">
        <f>AC2</f>
        <v/>
      </c>
      <c r="AD40" s="95">
        <f>AD2</f>
        <v/>
      </c>
      <c r="AE40" s="95">
        <f>AE2</f>
        <v/>
      </c>
      <c r="AF40" s="95">
        <f>AF2</f>
        <v/>
      </c>
      <c r="AG40" s="95">
        <f>AG2</f>
        <v/>
      </c>
      <c r="AH40" s="95">
        <f>AH2</f>
        <v/>
      </c>
      <c r="AI40" s="95">
        <f>AI2</f>
        <v/>
      </c>
      <c r="AJ40" s="600" t="inlineStr">
        <is>
          <t>Consumption</t>
        </is>
      </c>
    </row>
    <row r="41">
      <c r="A41" s="516" t="n"/>
      <c r="B41" s="516" t="n"/>
      <c r="C41" s="523" t="n"/>
      <c r="D41" s="524" t="n"/>
      <c r="E41" s="96">
        <f>E3</f>
        <v/>
      </c>
      <c r="F41" s="96">
        <f>F3</f>
        <v/>
      </c>
      <c r="G41" s="96">
        <f>G3</f>
        <v/>
      </c>
      <c r="H41" s="96">
        <f>H3</f>
        <v/>
      </c>
      <c r="I41" s="96">
        <f>I3</f>
        <v/>
      </c>
      <c r="J41" s="96">
        <f>J3</f>
        <v/>
      </c>
      <c r="K41" s="96">
        <f>K3</f>
        <v/>
      </c>
      <c r="L41" s="96">
        <f>L3</f>
        <v/>
      </c>
      <c r="M41" s="96">
        <f>M3</f>
        <v/>
      </c>
      <c r="N41" s="96">
        <f>N3</f>
        <v/>
      </c>
      <c r="O41" s="96">
        <f>O3</f>
        <v/>
      </c>
      <c r="P41" s="96">
        <f>P3</f>
        <v/>
      </c>
      <c r="Q41" s="96">
        <f>Q3</f>
        <v/>
      </c>
      <c r="R41" s="96">
        <f>R3</f>
        <v/>
      </c>
      <c r="S41" s="96">
        <f>S3</f>
        <v/>
      </c>
      <c r="T41" s="96">
        <f>T3</f>
        <v/>
      </c>
      <c r="U41" s="96">
        <f>U3</f>
        <v/>
      </c>
      <c r="V41" s="96">
        <f>V3</f>
        <v/>
      </c>
      <c r="W41" s="96">
        <f>W3</f>
        <v/>
      </c>
      <c r="X41" s="96">
        <f>X3</f>
        <v/>
      </c>
      <c r="Y41" s="96">
        <f>Y3</f>
        <v/>
      </c>
      <c r="Z41" s="96">
        <f>Z3</f>
        <v/>
      </c>
      <c r="AA41" s="96">
        <f>AA3</f>
        <v/>
      </c>
      <c r="AB41" s="96">
        <f>AB3</f>
        <v/>
      </c>
      <c r="AC41" s="96">
        <f>AC3</f>
        <v/>
      </c>
      <c r="AD41" s="96">
        <f>AD3</f>
        <v/>
      </c>
      <c r="AE41" s="96">
        <f>AE3</f>
        <v/>
      </c>
      <c r="AF41" s="96">
        <f>AF3</f>
        <v/>
      </c>
      <c r="AG41" s="96">
        <f>AG3</f>
        <v/>
      </c>
      <c r="AH41" s="96">
        <f>AH3</f>
        <v/>
      </c>
      <c r="AI41" s="96">
        <f>AI3</f>
        <v/>
      </c>
      <c r="AJ41" s="516" t="n"/>
    </row>
    <row r="42">
      <c r="A42" s="516" t="n"/>
      <c r="B42" s="516" t="n"/>
      <c r="C42" s="523" t="n"/>
      <c r="D42" s="524" t="n"/>
      <c r="E42" s="97" t="inlineStr">
        <is>
          <t>Time</t>
        </is>
      </c>
      <c r="F42" s="97" t="inlineStr">
        <is>
          <t>Time</t>
        </is>
      </c>
      <c r="G42" s="97" t="inlineStr">
        <is>
          <t>Time</t>
        </is>
      </c>
      <c r="H42" s="97" t="inlineStr">
        <is>
          <t>Time</t>
        </is>
      </c>
      <c r="I42" s="97" t="inlineStr">
        <is>
          <t>Time</t>
        </is>
      </c>
      <c r="J42" s="97" t="inlineStr">
        <is>
          <t>Time</t>
        </is>
      </c>
      <c r="K42" s="97" t="inlineStr">
        <is>
          <t>Time</t>
        </is>
      </c>
      <c r="L42" s="97" t="inlineStr">
        <is>
          <t>Time</t>
        </is>
      </c>
      <c r="M42" s="97" t="inlineStr">
        <is>
          <t>Time</t>
        </is>
      </c>
      <c r="N42" s="97" t="inlineStr">
        <is>
          <t>Time</t>
        </is>
      </c>
      <c r="O42" s="97" t="inlineStr">
        <is>
          <t>Time</t>
        </is>
      </c>
      <c r="P42" s="97" t="inlineStr">
        <is>
          <t>Time</t>
        </is>
      </c>
      <c r="Q42" s="97" t="inlineStr">
        <is>
          <t>Time</t>
        </is>
      </c>
      <c r="R42" s="97" t="inlineStr">
        <is>
          <t>Time</t>
        </is>
      </c>
      <c r="S42" s="97" t="inlineStr">
        <is>
          <t>Time</t>
        </is>
      </c>
      <c r="T42" s="97" t="inlineStr">
        <is>
          <t>Time</t>
        </is>
      </c>
      <c r="U42" s="97" t="inlineStr">
        <is>
          <t>Time</t>
        </is>
      </c>
      <c r="V42" s="97" t="inlineStr">
        <is>
          <t>Time</t>
        </is>
      </c>
      <c r="W42" s="97" t="inlineStr">
        <is>
          <t>Time</t>
        </is>
      </c>
      <c r="X42" s="97" t="inlineStr">
        <is>
          <t>Time</t>
        </is>
      </c>
      <c r="Y42" s="97" t="inlineStr">
        <is>
          <t>Time</t>
        </is>
      </c>
      <c r="Z42" s="97" t="inlineStr">
        <is>
          <t>Time</t>
        </is>
      </c>
      <c r="AA42" s="97" t="inlineStr">
        <is>
          <t>Time</t>
        </is>
      </c>
      <c r="AB42" s="97" t="inlineStr">
        <is>
          <t>Time</t>
        </is>
      </c>
      <c r="AC42" s="97" t="inlineStr">
        <is>
          <t>Time</t>
        </is>
      </c>
      <c r="AD42" s="97" t="inlineStr">
        <is>
          <t>Time</t>
        </is>
      </c>
      <c r="AE42" s="97" t="inlineStr">
        <is>
          <t>Time</t>
        </is>
      </c>
      <c r="AF42" s="97" t="inlineStr">
        <is>
          <t>Time</t>
        </is>
      </c>
      <c r="AG42" s="97" t="inlineStr">
        <is>
          <t>Time</t>
        </is>
      </c>
      <c r="AH42" s="95">
        <f>AH4</f>
        <v/>
      </c>
      <c r="AI42" s="95">
        <f>AI4</f>
        <v/>
      </c>
      <c r="AJ42" s="516" t="n"/>
    </row>
    <row r="43">
      <c r="A43" s="517" t="n"/>
      <c r="B43" s="517" t="n"/>
      <c r="C43" s="525" t="n"/>
      <c r="D43" s="526" t="n"/>
      <c r="E43" s="98" t="n">
        <v>0.3333333333333333</v>
      </c>
      <c r="F43" s="98" t="n">
        <v>0.3333333333333333</v>
      </c>
      <c r="G43" s="98" t="n">
        <v>0.3333333333333333</v>
      </c>
      <c r="H43" s="98" t="n">
        <v>0.3333333333333333</v>
      </c>
      <c r="I43" s="98" t="n">
        <v>0.3333333333333333</v>
      </c>
      <c r="J43" s="98" t="n">
        <v>0.3333333333333333</v>
      </c>
      <c r="K43" s="98" t="n">
        <v>0.3333333333333333</v>
      </c>
      <c r="L43" s="98" t="n">
        <v>0.3333333333333333</v>
      </c>
      <c r="M43" s="98" t="n">
        <v>0.3333333333333333</v>
      </c>
      <c r="N43" s="98" t="n">
        <v>0.3333333333333333</v>
      </c>
      <c r="O43" s="98" t="n">
        <v>0.3333333333333333</v>
      </c>
      <c r="P43" s="98" t="n">
        <v>0.3333333333333333</v>
      </c>
      <c r="Q43" s="98" t="n">
        <v>0.3333333333333333</v>
      </c>
      <c r="R43" s="98" t="n">
        <v>0.3333333333333333</v>
      </c>
      <c r="S43" s="98" t="n">
        <v>0.3333333333333333</v>
      </c>
      <c r="T43" s="98" t="n">
        <v>0.3333333333333333</v>
      </c>
      <c r="U43" s="98" t="n">
        <v>0.3333333333333333</v>
      </c>
      <c r="V43" s="98" t="n">
        <v>0.3333333333333333</v>
      </c>
      <c r="W43" s="98" t="n">
        <v>0.3333333333333333</v>
      </c>
      <c r="X43" s="98" t="n">
        <v>0.3333333333333333</v>
      </c>
      <c r="Y43" s="98" t="n">
        <v>0.3333333333333333</v>
      </c>
      <c r="Z43" s="98" t="n">
        <v>0.3333333333333333</v>
      </c>
      <c r="AA43" s="98" t="n">
        <v>0.3333333333333333</v>
      </c>
      <c r="AB43" s="98" t="n">
        <v>0.3333333333333333</v>
      </c>
      <c r="AC43" s="98" t="n">
        <v>0.3333333333333333</v>
      </c>
      <c r="AD43" s="98" t="n">
        <v>0.3333333333333333</v>
      </c>
      <c r="AE43" s="98" t="n">
        <v>0.3333333333333333</v>
      </c>
      <c r="AF43" s="98" t="n">
        <v>0.3333333333333333</v>
      </c>
      <c r="AG43" s="98" t="n">
        <v>0.3333333333333333</v>
      </c>
      <c r="AH43" s="98" t="n">
        <v>0.3333333333333333</v>
      </c>
      <c r="AI43" s="98" t="n">
        <v>0.375</v>
      </c>
      <c r="AJ43" s="517" t="n"/>
    </row>
    <row r="44" ht="15" customHeight="1" s="488">
      <c r="A44" s="500" t="n">
        <v>1</v>
      </c>
      <c r="B44" s="500" t="inlineStr">
        <is>
          <t>3F</t>
        </is>
      </c>
      <c r="C44" s="500" t="inlineStr">
        <is>
          <t>SL No 540430038840 (EB Unit)</t>
        </is>
      </c>
      <c r="D44" s="501" t="n"/>
      <c r="E44" s="20">
        <f>E6-D6</f>
        <v/>
      </c>
      <c r="F44" s="20">
        <f>F6-E6</f>
        <v/>
      </c>
      <c r="G44" s="20">
        <f>G6-F6</f>
        <v/>
      </c>
      <c r="H44" s="20">
        <f>H6-G6</f>
        <v/>
      </c>
      <c r="I44" s="20">
        <f>I6-H6</f>
        <v/>
      </c>
      <c r="J44" s="20">
        <f>J6-I6</f>
        <v/>
      </c>
      <c r="K44" s="20">
        <f>K6-J6</f>
        <v/>
      </c>
      <c r="L44" s="20">
        <f>L6-K6</f>
        <v/>
      </c>
      <c r="M44" s="20">
        <f>M6-L6</f>
        <v/>
      </c>
      <c r="N44" s="20">
        <f>N6-M6</f>
        <v/>
      </c>
      <c r="O44" s="20">
        <f>O6-N6</f>
        <v/>
      </c>
      <c r="P44" s="20">
        <f>P6-O6</f>
        <v/>
      </c>
      <c r="Q44" s="20">
        <f>Q6-P6</f>
        <v/>
      </c>
      <c r="R44" s="20">
        <f>R6-Q6</f>
        <v/>
      </c>
      <c r="S44" s="20">
        <f>S6-R6</f>
        <v/>
      </c>
      <c r="T44" s="20">
        <f>T6-S6</f>
        <v/>
      </c>
      <c r="U44" s="20">
        <f>U6-T6</f>
        <v/>
      </c>
      <c r="V44" s="20">
        <f>V6-U6</f>
        <v/>
      </c>
      <c r="W44" s="20">
        <f>W6-V6</f>
        <v/>
      </c>
      <c r="X44" s="20">
        <f>X6-W6</f>
        <v/>
      </c>
      <c r="Y44" s="20">
        <f>Y6-X6</f>
        <v/>
      </c>
      <c r="Z44" s="20">
        <f>Z6-Y6</f>
        <v/>
      </c>
      <c r="AA44" s="20">
        <f>AA6-Z6</f>
        <v/>
      </c>
      <c r="AB44" s="20">
        <f>AB6-AA6</f>
        <v/>
      </c>
      <c r="AC44" s="20">
        <f>AC6-AB6</f>
        <v/>
      </c>
      <c r="AD44" s="20">
        <f>AD6-AC6</f>
        <v/>
      </c>
      <c r="AE44" s="20">
        <f>AE6-AD6</f>
        <v/>
      </c>
      <c r="AF44" s="20">
        <f>AF6-AE6</f>
        <v/>
      </c>
      <c r="AG44" s="20">
        <f>AG6-AF6</f>
        <v/>
      </c>
      <c r="AH44" s="20">
        <f>AH6-AG6</f>
        <v/>
      </c>
      <c r="AI44" s="20">
        <f>AI6-AH6</f>
        <v/>
      </c>
      <c r="AJ44" s="172">
        <f>SUM(E44:AG44)</f>
        <v/>
      </c>
    </row>
    <row r="45" ht="15" customHeight="1" s="488">
      <c r="A45" s="500" t="n"/>
      <c r="B45" s="500" t="n"/>
      <c r="C45" s="529" t="inlineStr">
        <is>
          <t>DG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172">
        <f>SUM(E45:AG45)</f>
        <v/>
      </c>
    </row>
    <row r="46" ht="15" customHeight="1" s="488">
      <c r="A46" s="500" t="n">
        <v>2</v>
      </c>
      <c r="B46" s="500" t="inlineStr">
        <is>
          <t>3F</t>
        </is>
      </c>
      <c r="C46" s="500" t="inlineStr">
        <is>
          <t>SL No 540430038845 (EB Unit)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P8-I8</f>
        <v/>
      </c>
      <c r="K46" s="20">
        <f>K8-P8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 t="n">
        <v>0</v>
      </c>
      <c r="Q46" s="20" t="n">
        <v>0</v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172">
        <f>SUM(E46:AG46)</f>
        <v/>
      </c>
    </row>
    <row r="47" ht="15" customHeight="1" s="488">
      <c r="A47" s="500" t="n"/>
      <c r="B47" s="500" t="n"/>
      <c r="C47" s="529" t="inlineStr">
        <is>
          <t>DG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172">
        <f>SUM(E47:AG47)</f>
        <v/>
      </c>
    </row>
    <row r="48" ht="15" customHeight="1" s="488">
      <c r="A48" s="500" t="n">
        <v>3</v>
      </c>
      <c r="B48" s="500" t="inlineStr">
        <is>
          <t>3F</t>
        </is>
      </c>
      <c r="C48" s="500" t="inlineStr">
        <is>
          <t>SL No 540430038844 (EB Unit)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172">
        <f>SUM(E48:AG48)</f>
        <v/>
      </c>
    </row>
    <row r="49" ht="15" customHeight="1" s="488">
      <c r="A49" s="500" t="n"/>
      <c r="B49" s="500" t="n"/>
      <c r="C49" s="529" t="inlineStr">
        <is>
          <t>DG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172">
        <f>SUM(E49:AG49)</f>
        <v/>
      </c>
    </row>
    <row r="50" ht="15" customHeight="1" s="488">
      <c r="A50" s="500" t="n">
        <v>4</v>
      </c>
      <c r="B50" s="500" t="inlineStr">
        <is>
          <t>3F</t>
        </is>
      </c>
      <c r="C50" s="500" t="inlineStr">
        <is>
          <t>SL No 540430038821 (EB Unit)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172">
        <f>SUM(E50:AG50)</f>
        <v/>
      </c>
    </row>
    <row r="51" ht="15" customHeight="1" s="488">
      <c r="A51" s="500" t="n"/>
      <c r="B51" s="500" t="n"/>
      <c r="C51" s="529" t="inlineStr">
        <is>
          <t>DG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172">
        <f>SUM(E51:AG51)</f>
        <v/>
      </c>
    </row>
    <row r="52" ht="15" customHeight="1" s="488">
      <c r="A52" s="500" t="n">
        <v>5</v>
      </c>
      <c r="B52" s="500" t="inlineStr">
        <is>
          <t>3F</t>
        </is>
      </c>
      <c r="C52" s="500" t="inlineStr">
        <is>
          <t>SL No 540430038849 (EB Unit)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172">
        <f>SUM(E52:AG52)</f>
        <v/>
      </c>
    </row>
    <row r="53" ht="15" customHeight="1" s="488">
      <c r="A53" s="500" t="n"/>
      <c r="B53" s="500" t="n"/>
      <c r="C53" s="529" t="inlineStr">
        <is>
          <t>DG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172">
        <f>SUM(E53:AG53)</f>
        <v/>
      </c>
    </row>
    <row r="54" ht="15" customHeight="1" s="488">
      <c r="A54" s="500" t="n">
        <v>6</v>
      </c>
      <c r="B54" s="500" t="inlineStr">
        <is>
          <t>3F</t>
        </is>
      </c>
      <c r="C54" s="500" t="inlineStr">
        <is>
          <t>SL No 540430038696 (EB Unit)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172">
        <f>SUM(E54:AG54)</f>
        <v/>
      </c>
    </row>
    <row r="55" ht="15" customHeight="1" s="488">
      <c r="A55" s="500" t="n"/>
      <c r="B55" s="500" t="n"/>
      <c r="C55" s="529" t="inlineStr">
        <is>
          <t>DG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172">
        <f>SUM(E55:AG55)</f>
        <v/>
      </c>
    </row>
    <row r="56" ht="15" customHeight="1" s="488">
      <c r="A56" s="500" t="n">
        <v>7</v>
      </c>
      <c r="B56" s="500" t="inlineStr">
        <is>
          <t>3F</t>
        </is>
      </c>
      <c r="C56" s="500" t="inlineStr">
        <is>
          <t>SL No 540430038843 (EB Unit)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172">
        <f>SUM(E56:AG56)</f>
        <v/>
      </c>
    </row>
    <row r="57" ht="15" customHeight="1" s="488">
      <c r="A57" s="500" t="n"/>
      <c r="B57" s="500" t="n"/>
      <c r="C57" s="529" t="inlineStr">
        <is>
          <t>DG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172">
        <f>SUM(E57:AG57)</f>
        <v/>
      </c>
    </row>
    <row r="58" ht="15" customHeight="1" s="488">
      <c r="A58" s="500" t="n">
        <v>8</v>
      </c>
      <c r="B58" s="500" t="inlineStr">
        <is>
          <t>3F</t>
        </is>
      </c>
      <c r="C58" s="500" t="inlineStr">
        <is>
          <t>SL No 540430038848 (EB Unit)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172">
        <f>SUM(E58:AG58)</f>
        <v/>
      </c>
    </row>
    <row r="59" ht="15" customHeight="1" s="488">
      <c r="A59" s="500" t="n"/>
      <c r="B59" s="500" t="n"/>
      <c r="C59" s="529" t="inlineStr">
        <is>
          <t>DG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172">
        <f>SUM(E59:AG59)</f>
        <v/>
      </c>
    </row>
    <row r="60" ht="15" customHeight="1" s="488">
      <c r="A60" s="99" t="n"/>
      <c r="B60" s="99" t="n"/>
      <c r="C60" s="511" t="inlineStr">
        <is>
          <t>Total Power - EB Unit</t>
        </is>
      </c>
      <c r="D60" s="501" t="n"/>
      <c r="E60" s="23">
        <f>SUM(E58,E56,E54,E52,E50,E48,E46,E44)</f>
        <v/>
      </c>
      <c r="F60" s="23">
        <f>SUM(F58,F56,F54,F52,F50,F48,F46,F44)</f>
        <v/>
      </c>
      <c r="G60" s="23">
        <f>SUM(G58,G56,G54,G52,G50,G48,G46,G44)</f>
        <v/>
      </c>
      <c r="H60" s="23">
        <f>SUM(H58,H56,H54,H52,H50,H48,H46,H44)</f>
        <v/>
      </c>
      <c r="I60" s="23">
        <f>SUM(I58,I56,I54,I52,I50,I48,I46,I44)</f>
        <v/>
      </c>
      <c r="J60" s="23">
        <f>SUM(J58,J56,J54,J52,J50,J48,J46,J44)</f>
        <v/>
      </c>
      <c r="K60" s="23">
        <f>SUM(K58,K56,K54,K52,K50,K48,K46,K44)</f>
        <v/>
      </c>
      <c r="L60" s="23">
        <f>SUM(L58,L56,L54,L52,L50,L48,L46,L44)</f>
        <v/>
      </c>
      <c r="M60" s="23">
        <f>SUM(M58,M56,M54,M52,M50,M48,M46,M44)</f>
        <v/>
      </c>
      <c r="N60" s="23">
        <f>SUM(N58,N56,N54,N52,N50,N48,N46,N44)</f>
        <v/>
      </c>
      <c r="O60" s="23">
        <f>SUM(O58,O56,O54,O52,O50,O48,O46,O44)</f>
        <v/>
      </c>
      <c r="P60" s="23">
        <f>SUM(P58,P56,P54,P52,P50,P48,P46,P44)</f>
        <v/>
      </c>
      <c r="Q60" s="23">
        <f>SUM(Q58,Q56,Q54,Q52,Q50,Q48,Q46,Q44)</f>
        <v/>
      </c>
      <c r="R60" s="23">
        <f>SUM(R58,R56,R54,R52,R50,R48,R46,R44)</f>
        <v/>
      </c>
      <c r="S60" s="23">
        <f>SUM(S58,S56,S54,S52,S50,S48,S46,S44)</f>
        <v/>
      </c>
      <c r="T60" s="23">
        <f>SUM(T58,T56,T54,T52,T50,T48,T46,T44)</f>
        <v/>
      </c>
      <c r="U60" s="23">
        <f>SUM(U58,U56,U54,U52,U50,U48,U46,U44)</f>
        <v/>
      </c>
      <c r="V60" s="23">
        <f>SUM(V58,V56,V54,V52,V50,V48,V46,V44)</f>
        <v/>
      </c>
      <c r="W60" s="23">
        <f>SUM(W58,W56,W54,W52,W50,W48,W46,W44)</f>
        <v/>
      </c>
      <c r="X60" s="23">
        <f>SUM(X58,X56,X54,X52,X50,X48,X46,X44)</f>
        <v/>
      </c>
      <c r="Y60" s="23">
        <f>SUM(Y58,Y56,Y54,Y52,Y50,Y48,Y46,Y44)</f>
        <v/>
      </c>
      <c r="Z60" s="23">
        <f>SUM(Z58,Z56,Z54,Z52,Z50,Z48,Z46,Z44)</f>
        <v/>
      </c>
      <c r="AA60" s="23">
        <f>SUM(AA58,AA56,AA54,AA52,AA50,AA48,AA46,AA44)</f>
        <v/>
      </c>
      <c r="AB60" s="23">
        <f>SUM(AB58,AB56,AB54,AB52,AB50,AB48,AB46,AB44)</f>
        <v/>
      </c>
      <c r="AC60" s="23">
        <f>SUM(AC58,AC56,AC54,AC52,AC50,AC48,AC46,AC44)</f>
        <v/>
      </c>
      <c r="AD60" s="23">
        <f>SUM(AD58,AD56,AD54,AD52,AD50,AD48,AD46,AD44)</f>
        <v/>
      </c>
      <c r="AE60" s="23">
        <f>SUM(AE58,AE56,AE54,AE52,AE50,AE48,AE46,AE44)</f>
        <v/>
      </c>
      <c r="AF60" s="23">
        <f>SUM(AF58,AF56,AF54,AF52,AF50,AF48,AF46,AF44)</f>
        <v/>
      </c>
      <c r="AG60" s="23">
        <f>SUM(AG58,AG56,AG54,AG52,AG50,AG48,AG46,AG44)</f>
        <v/>
      </c>
      <c r="AH60" s="23">
        <f>SUM(AH58,AH56,AH54,AH52,AH50,AH48,AH46,AH44)</f>
        <v/>
      </c>
      <c r="AI60" s="23">
        <f>SUM(AI58,AI56,AI54,AI52,AI50,AI48,AI46,AI44)</f>
        <v/>
      </c>
      <c r="AJ60" s="173">
        <f>SUM(E60:AG60)</f>
        <v/>
      </c>
    </row>
    <row r="61" ht="15" customHeight="1" s="488">
      <c r="A61" s="99" t="n"/>
      <c r="B61" s="99" t="n"/>
      <c r="C61" s="145" t="inlineStr">
        <is>
          <t>Total Power- DG</t>
        </is>
      </c>
      <c r="D61" s="108" t="n"/>
      <c r="E61" s="23">
        <f>SUM(E45,E47,E49,E51,E53,E55,E57,E59)</f>
        <v/>
      </c>
      <c r="F61" s="23">
        <f>SUM(F45,F47,F49,F51,F53,F55,F57,F59)</f>
        <v/>
      </c>
      <c r="G61" s="23">
        <f>SUM(G45,G47,G49,G51,G53,G55,G57,G59)</f>
        <v/>
      </c>
      <c r="H61" s="23">
        <f>SUM(H45,H47,H49,H51,H53,H55,H57,H59)</f>
        <v/>
      </c>
      <c r="I61" s="23">
        <f>SUM(I45,I47,I49,I51,I53,I55,I57,I59)</f>
        <v/>
      </c>
      <c r="J61" s="23">
        <f>SUM(J45,J47,J49,J51,J53,J55,J57,J59)</f>
        <v/>
      </c>
      <c r="K61" s="23">
        <f>SUM(K45,K47,K49,K51,K53,K55,K57,K59)</f>
        <v/>
      </c>
      <c r="L61" s="23">
        <f>SUM(L45,L47,L49,L51,L53,L55,L57,L59)</f>
        <v/>
      </c>
      <c r="M61" s="23">
        <f>SUM(M45,M47,M49,M51,M53,M55,M57,M59)</f>
        <v/>
      </c>
      <c r="N61" s="23">
        <f>SUM(N45,N47,N49,N51,N53,N55,N57,N59)</f>
        <v/>
      </c>
      <c r="O61" s="23">
        <f>SUM(O45,O47,O49,O51,O53,O55,O57,O59)</f>
        <v/>
      </c>
      <c r="P61" s="23">
        <f>SUM(P45,P47,P49,P51,P53,P55,P57,P59)</f>
        <v/>
      </c>
      <c r="Q61" s="23">
        <f>SUM(Q45,Q47,Q49,Q51,Q53,Q55,Q57,Q59)</f>
        <v/>
      </c>
      <c r="R61" s="23">
        <f>SUM(R45,R47,R49,R51,R53,R55,R57,R59)</f>
        <v/>
      </c>
      <c r="S61" s="23">
        <f>SUM(S45,S47,S49,S51,S53,S55,S57,S59)</f>
        <v/>
      </c>
      <c r="T61" s="23">
        <f>SUM(T45,T47,T49,T51,T53,T55,T57,T59)</f>
        <v/>
      </c>
      <c r="U61" s="23">
        <f>SUM(U45,U47,U49,U51,U53,U55,U57,U59)</f>
        <v/>
      </c>
      <c r="V61" s="23">
        <f>SUM(V45,V47,V49,V51,V53,V55,V57,V59)</f>
        <v/>
      </c>
      <c r="W61" s="23">
        <f>SUM(W45,W47,W49,W51,W53,W55,W57,W59)</f>
        <v/>
      </c>
      <c r="X61" s="23">
        <f>SUM(X45,X47,X49,X51,X53,X55,X57,X59)</f>
        <v/>
      </c>
      <c r="Y61" s="23">
        <f>SUM(Y45,Y47,Y49,Y51,Y53,Y55,Y57,Y59)</f>
        <v/>
      </c>
      <c r="Z61" s="23">
        <f>SUM(Z45,Z47,Z49,Z51,Z53,Z55,Z57,Z59)</f>
        <v/>
      </c>
      <c r="AA61" s="23">
        <f>SUM(AA45,AA47,AA49,AA51,AA53,AA55,AA57,AA59)</f>
        <v/>
      </c>
      <c r="AB61" s="23">
        <f>SUM(AB45,AB47,AB49,AB51,AB53,AB55,AB57,AB59)</f>
        <v/>
      </c>
      <c r="AC61" s="23">
        <f>SUM(AC45,AC47,AC49,AC51,AC53,AC55,AC57,AC59)</f>
        <v/>
      </c>
      <c r="AD61" s="23">
        <f>SUM(AD45,AD47,AD49,AD51,AD53,AD55,AD57,AD59)</f>
        <v/>
      </c>
      <c r="AE61" s="23">
        <f>SUM(AE45,AE47,AE49,AE51,AE53,AE55,AE57,AE59)</f>
        <v/>
      </c>
      <c r="AF61" s="23">
        <f>SUM(AF45,AF47,AF49,AF51,AF53,AF55,AF57,AF59)</f>
        <v/>
      </c>
      <c r="AG61" s="23">
        <f>SUM(AG45,AG47,AG49,AG51,AG53,AG55,AG57,AG59)</f>
        <v/>
      </c>
      <c r="AH61" s="23">
        <f>SUM(AH45,AH47,AH49,AH51,AH53,AH55,AH57,AH59)</f>
        <v/>
      </c>
      <c r="AI61" s="23">
        <f>SUM(AI45,AI47,AI49,AI51,AI53,AI55,AI57,AI59)</f>
        <v/>
      </c>
      <c r="AJ61" s="173">
        <f>SUM(E61:AG61)</f>
        <v/>
      </c>
    </row>
    <row r="62">
      <c r="A62" s="539" t="n"/>
      <c r="B62" s="539" t="n"/>
      <c r="C62" s="532" t="inlineStr">
        <is>
          <t>Total Power Cumulative</t>
        </is>
      </c>
      <c r="D62" s="501" t="n"/>
      <c r="E62" s="102">
        <f>E60</f>
        <v/>
      </c>
      <c r="F62" s="102">
        <f>F60</f>
        <v/>
      </c>
      <c r="G62" s="102">
        <f>G60</f>
        <v/>
      </c>
      <c r="H62" s="102">
        <f>H60</f>
        <v/>
      </c>
      <c r="I62" s="102">
        <f>I60</f>
        <v/>
      </c>
      <c r="J62" s="102">
        <f>J60</f>
        <v/>
      </c>
      <c r="K62" s="102">
        <f>K60</f>
        <v/>
      </c>
      <c r="L62" s="102">
        <f>L60</f>
        <v/>
      </c>
      <c r="M62" s="102">
        <f>M60</f>
        <v/>
      </c>
      <c r="N62" s="102">
        <f>N60</f>
        <v/>
      </c>
      <c r="O62" s="102">
        <f>O60</f>
        <v/>
      </c>
      <c r="P62" s="102">
        <f>P60</f>
        <v/>
      </c>
      <c r="Q62" s="102">
        <f>Q60</f>
        <v/>
      </c>
      <c r="R62" s="102">
        <f>R60</f>
        <v/>
      </c>
      <c r="S62" s="102">
        <f>S60</f>
        <v/>
      </c>
      <c r="T62" s="102">
        <f>T60</f>
        <v/>
      </c>
      <c r="U62" s="102">
        <f>U60</f>
        <v/>
      </c>
      <c r="V62" s="102">
        <f>V60</f>
        <v/>
      </c>
      <c r="W62" s="102">
        <f>W60</f>
        <v/>
      </c>
      <c r="X62" s="102">
        <f>X60</f>
        <v/>
      </c>
      <c r="Y62" s="102">
        <f>Y60</f>
        <v/>
      </c>
      <c r="Z62" s="102">
        <f>Z60</f>
        <v/>
      </c>
      <c r="AA62" s="102">
        <f>AA60</f>
        <v/>
      </c>
      <c r="AB62" s="102">
        <f>AB60</f>
        <v/>
      </c>
      <c r="AC62" s="102">
        <f>AC60</f>
        <v/>
      </c>
      <c r="AD62" s="102">
        <f>AD60</f>
        <v/>
      </c>
      <c r="AE62" s="102">
        <f>AE60</f>
        <v/>
      </c>
      <c r="AF62" s="102">
        <f>AF60</f>
        <v/>
      </c>
      <c r="AG62" s="102">
        <f>AG60</f>
        <v/>
      </c>
      <c r="AH62" s="102">
        <f>AH60</f>
        <v/>
      </c>
      <c r="AI62" s="102">
        <f>AI60</f>
        <v/>
      </c>
      <c r="AJ62" s="174">
        <f>AJ60</f>
        <v/>
      </c>
    </row>
    <row r="63">
      <c r="A63" s="94" t="n"/>
      <c r="B63" s="534" t="n"/>
      <c r="C63" s="146" t="n"/>
      <c r="D63" s="109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171" t="n"/>
      <c r="AJ63" s="171" t="n"/>
    </row>
    <row r="64">
      <c r="A64" s="28" t="inlineStr">
        <is>
          <t>S No</t>
        </is>
      </c>
      <c r="B64" s="28" t="inlineStr">
        <is>
          <t>Location</t>
        </is>
      </c>
      <c r="C64" s="513" t="inlineStr">
        <is>
          <t>Meter</t>
        </is>
      </c>
      <c r="D64" s="50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175" t="n"/>
      <c r="AJ64" s="176" t="n"/>
    </row>
    <row r="65">
      <c r="A65" s="500" t="n">
        <v>1</v>
      </c>
      <c r="B65" s="500" t="inlineStr">
        <is>
          <t>3F</t>
        </is>
      </c>
      <c r="C65" s="503" t="inlineStr">
        <is>
          <t>AHU1</t>
        </is>
      </c>
      <c r="D65" s="501" t="n"/>
      <c r="E65" s="102">
        <f>E23-D23</f>
        <v/>
      </c>
      <c r="F65" s="102">
        <f>F23-E23</f>
        <v/>
      </c>
      <c r="G65" s="102">
        <f>G23-F23</f>
        <v/>
      </c>
      <c r="H65" s="102">
        <f>H23-G23</f>
        <v/>
      </c>
      <c r="I65" s="102">
        <f>I23-H23</f>
        <v/>
      </c>
      <c r="J65" s="102">
        <f>J23-I23</f>
        <v/>
      </c>
      <c r="K65" s="102">
        <f>K23-J23</f>
        <v/>
      </c>
      <c r="L65" s="102">
        <f>L23-K23</f>
        <v/>
      </c>
      <c r="M65" s="102">
        <f>M23-L23</f>
        <v/>
      </c>
      <c r="N65" s="102">
        <f>N23-M23</f>
        <v/>
      </c>
      <c r="O65" s="102">
        <f>O23-N23</f>
        <v/>
      </c>
      <c r="P65" s="102">
        <f>P23-O23</f>
        <v/>
      </c>
      <c r="Q65" s="102">
        <f>Q23-P23</f>
        <v/>
      </c>
      <c r="R65" s="102">
        <f>R23-Q23</f>
        <v/>
      </c>
      <c r="S65" s="102">
        <f>S23-R23</f>
        <v/>
      </c>
      <c r="T65" s="102">
        <f>T23-S23</f>
        <v/>
      </c>
      <c r="U65" s="102">
        <f>U23-T23</f>
        <v/>
      </c>
      <c r="V65" s="102">
        <f>V23-U23</f>
        <v/>
      </c>
      <c r="W65" s="102">
        <f>W23-V23</f>
        <v/>
      </c>
      <c r="X65" s="102">
        <f>X23-W23</f>
        <v/>
      </c>
      <c r="Y65" s="102">
        <f>Y23-X23</f>
        <v/>
      </c>
      <c r="Z65" s="102">
        <f>Z23-Y23</f>
        <v/>
      </c>
      <c r="AA65" s="102">
        <f>AA23-Z23</f>
        <v/>
      </c>
      <c r="AB65" s="102">
        <f>AB23-AA23</f>
        <v/>
      </c>
      <c r="AC65" s="102">
        <f>AC23-AB23</f>
        <v/>
      </c>
      <c r="AD65" s="102">
        <f>AD23-AC23</f>
        <v/>
      </c>
      <c r="AE65" s="102">
        <f>AE23-AD23</f>
        <v/>
      </c>
      <c r="AF65" s="102">
        <f>AF23-AE23</f>
        <v/>
      </c>
      <c r="AG65" s="102">
        <f>AG23-AF23</f>
        <v/>
      </c>
      <c r="AH65" s="102">
        <f>AH23-AG23</f>
        <v/>
      </c>
      <c r="AI65" s="102">
        <f>AI23-AH23</f>
        <v/>
      </c>
      <c r="AJ65" s="174">
        <f>SUM(E65:AG65)</f>
        <v/>
      </c>
    </row>
    <row r="66">
      <c r="A66" s="500" t="n"/>
      <c r="B66" s="500" t="n"/>
      <c r="C66" s="531" t="inlineStr">
        <is>
          <t>DG</t>
        </is>
      </c>
      <c r="D66" s="501" t="n"/>
      <c r="E66" s="102">
        <f>E24-D24</f>
        <v/>
      </c>
      <c r="F66" s="102">
        <f>F24-E24</f>
        <v/>
      </c>
      <c r="G66" s="102">
        <f>G24-F24</f>
        <v/>
      </c>
      <c r="H66" s="102">
        <f>H24-G24</f>
        <v/>
      </c>
      <c r="I66" s="102">
        <f>I24-H24</f>
        <v/>
      </c>
      <c r="J66" s="102">
        <f>J24-I24</f>
        <v/>
      </c>
      <c r="K66" s="102">
        <f>K24-J24</f>
        <v/>
      </c>
      <c r="L66" s="102">
        <f>L24-K24</f>
        <v/>
      </c>
      <c r="M66" s="102">
        <f>M24-L24</f>
        <v/>
      </c>
      <c r="N66" s="102">
        <f>N24-M24</f>
        <v/>
      </c>
      <c r="O66" s="102">
        <f>O24-N24</f>
        <v/>
      </c>
      <c r="P66" s="102">
        <f>P24-O24</f>
        <v/>
      </c>
      <c r="Q66" s="102">
        <f>Q24-P24</f>
        <v/>
      </c>
      <c r="R66" s="102">
        <f>R24-Q24</f>
        <v/>
      </c>
      <c r="S66" s="102">
        <f>S24-R24</f>
        <v/>
      </c>
      <c r="T66" s="102">
        <f>T24-S24</f>
        <v/>
      </c>
      <c r="U66" s="102">
        <f>U24-T24</f>
        <v/>
      </c>
      <c r="V66" s="102">
        <f>V24-U24</f>
        <v/>
      </c>
      <c r="W66" s="102">
        <f>W24-V24</f>
        <v/>
      </c>
      <c r="X66" s="102">
        <f>X24-W24</f>
        <v/>
      </c>
      <c r="Y66" s="102">
        <f>Y24-X24</f>
        <v/>
      </c>
      <c r="Z66" s="102">
        <f>Z24-Y24</f>
        <v/>
      </c>
      <c r="AA66" s="102">
        <f>AA24-Z24</f>
        <v/>
      </c>
      <c r="AB66" s="102">
        <f>AB24-AA24</f>
        <v/>
      </c>
      <c r="AC66" s="102">
        <f>AC24-AB24</f>
        <v/>
      </c>
      <c r="AD66" s="102">
        <f>AD24-AC24</f>
        <v/>
      </c>
      <c r="AE66" s="102">
        <f>AE24-AD24</f>
        <v/>
      </c>
      <c r="AF66" s="102">
        <f>AF24-AE24</f>
        <v/>
      </c>
      <c r="AG66" s="102">
        <f>AG24-AF24</f>
        <v/>
      </c>
      <c r="AH66" s="102">
        <f>AH24-AG24</f>
        <v/>
      </c>
      <c r="AI66" s="102">
        <f>AI24-AH24</f>
        <v/>
      </c>
      <c r="AJ66" s="174">
        <f>SUM(E66:AG66)</f>
        <v/>
      </c>
    </row>
    <row r="67">
      <c r="A67" s="500" t="n">
        <v>2</v>
      </c>
      <c r="B67" s="500" t="inlineStr">
        <is>
          <t>3F</t>
        </is>
      </c>
      <c r="C67" s="503" t="inlineStr">
        <is>
          <t>AHU2</t>
        </is>
      </c>
      <c r="D67" s="501" t="n"/>
      <c r="E67" s="102">
        <f>E25-D25</f>
        <v/>
      </c>
      <c r="F67" s="102">
        <f>F25-E25</f>
        <v/>
      </c>
      <c r="G67" s="102">
        <f>G25-F25</f>
        <v/>
      </c>
      <c r="H67" s="102">
        <f>H25-G25</f>
        <v/>
      </c>
      <c r="I67" s="102">
        <f>I25-H25</f>
        <v/>
      </c>
      <c r="J67" s="102">
        <f>J25-I25</f>
        <v/>
      </c>
      <c r="K67" s="102">
        <f>K25-J25</f>
        <v/>
      </c>
      <c r="L67" s="102">
        <f>L25-K25</f>
        <v/>
      </c>
      <c r="M67" s="102">
        <f>M25-L25</f>
        <v/>
      </c>
      <c r="N67" s="102">
        <f>N25-M25</f>
        <v/>
      </c>
      <c r="O67" s="102">
        <f>O25-N25</f>
        <v/>
      </c>
      <c r="P67" s="102">
        <f>P25-O25</f>
        <v/>
      </c>
      <c r="Q67" s="102">
        <f>Q25-P25</f>
        <v/>
      </c>
      <c r="R67" s="102">
        <f>R25-Q25</f>
        <v/>
      </c>
      <c r="S67" s="102">
        <f>S25-R25</f>
        <v/>
      </c>
      <c r="T67" s="102">
        <f>T25-S25</f>
        <v/>
      </c>
      <c r="U67" s="102">
        <f>U25-T25</f>
        <v/>
      </c>
      <c r="V67" s="102">
        <f>V25-U25</f>
        <v/>
      </c>
      <c r="W67" s="102">
        <f>W25-V25</f>
        <v/>
      </c>
      <c r="X67" s="102">
        <f>X25-W25</f>
        <v/>
      </c>
      <c r="Y67" s="102">
        <f>Y25-X25</f>
        <v/>
      </c>
      <c r="Z67" s="102">
        <f>Z25-Y25</f>
        <v/>
      </c>
      <c r="AA67" s="102">
        <f>AA25-Z25</f>
        <v/>
      </c>
      <c r="AB67" s="102">
        <f>AB25-AA25</f>
        <v/>
      </c>
      <c r="AC67" s="102">
        <f>AC25-AB25</f>
        <v/>
      </c>
      <c r="AD67" s="102">
        <f>AD25-AC25</f>
        <v/>
      </c>
      <c r="AE67" s="102">
        <f>AE25-AD25</f>
        <v/>
      </c>
      <c r="AF67" s="102">
        <f>AF25-AE25</f>
        <v/>
      </c>
      <c r="AG67" s="102">
        <f>AG25-AF25</f>
        <v/>
      </c>
      <c r="AH67" s="102">
        <f>AH25-AG25</f>
        <v/>
      </c>
      <c r="AI67" s="102">
        <f>AI25-AH25</f>
        <v/>
      </c>
      <c r="AJ67" s="174">
        <f>SUM(E67:AG67)</f>
        <v/>
      </c>
    </row>
    <row r="68">
      <c r="A68" s="500" t="n"/>
      <c r="B68" s="500" t="n"/>
      <c r="C68" s="531" t="inlineStr">
        <is>
          <t>DG</t>
        </is>
      </c>
      <c r="D68" s="501" t="n"/>
      <c r="E68" s="102">
        <f>E26-D26</f>
        <v/>
      </c>
      <c r="F68" s="102">
        <f>F26-E26</f>
        <v/>
      </c>
      <c r="G68" s="102">
        <f>G26-F26</f>
        <v/>
      </c>
      <c r="H68" s="102">
        <f>H26-G26</f>
        <v/>
      </c>
      <c r="I68" s="102">
        <f>I26-H26</f>
        <v/>
      </c>
      <c r="J68" s="102">
        <f>J26-I26</f>
        <v/>
      </c>
      <c r="K68" s="102">
        <f>K26-J26</f>
        <v/>
      </c>
      <c r="L68" s="102">
        <f>L26-K26</f>
        <v/>
      </c>
      <c r="M68" s="102">
        <f>M26-L26</f>
        <v/>
      </c>
      <c r="N68" s="102">
        <f>N26-M26</f>
        <v/>
      </c>
      <c r="O68" s="102">
        <f>O26-N26</f>
        <v/>
      </c>
      <c r="P68" s="102">
        <f>P26-O26</f>
        <v/>
      </c>
      <c r="Q68" s="102">
        <f>Q26-P26</f>
        <v/>
      </c>
      <c r="R68" s="102">
        <f>R26-Q26</f>
        <v/>
      </c>
      <c r="S68" s="102">
        <f>S26-R26</f>
        <v/>
      </c>
      <c r="T68" s="102">
        <f>T26-S26</f>
        <v/>
      </c>
      <c r="U68" s="102">
        <f>U26-T26</f>
        <v/>
      </c>
      <c r="V68" s="102">
        <f>V26-U26</f>
        <v/>
      </c>
      <c r="W68" s="102">
        <f>W26-V26</f>
        <v/>
      </c>
      <c r="X68" s="102">
        <f>X26-W26</f>
        <v/>
      </c>
      <c r="Y68" s="102">
        <f>Y26-X26</f>
        <v/>
      </c>
      <c r="Z68" s="102">
        <f>Z26-Y26</f>
        <v/>
      </c>
      <c r="AA68" s="102">
        <f>AA26-Z26</f>
        <v/>
      </c>
      <c r="AB68" s="102">
        <f>AB26-AA26</f>
        <v/>
      </c>
      <c r="AC68" s="102">
        <f>AC26-AB26</f>
        <v/>
      </c>
      <c r="AD68" s="102">
        <f>AD26-AC26</f>
        <v/>
      </c>
      <c r="AE68" s="102">
        <f>AE26-AD26</f>
        <v/>
      </c>
      <c r="AF68" s="102">
        <f>AF26-AE26</f>
        <v/>
      </c>
      <c r="AG68" s="102">
        <f>AG26-AF26</f>
        <v/>
      </c>
      <c r="AH68" s="102">
        <f>AH26-AG26</f>
        <v/>
      </c>
      <c r="AI68" s="102">
        <f>AI26-AH26</f>
        <v/>
      </c>
      <c r="AJ68" s="174">
        <f>SUM(E68:AG68)</f>
        <v/>
      </c>
    </row>
    <row r="69">
      <c r="A69" s="500" t="n">
        <v>3</v>
      </c>
      <c r="B69" s="500" t="inlineStr">
        <is>
          <t>3F</t>
        </is>
      </c>
      <c r="C69" s="503" t="inlineStr">
        <is>
          <t>AHU3</t>
        </is>
      </c>
      <c r="D69" s="501" t="n"/>
      <c r="E69" s="102">
        <f>E27-D27</f>
        <v/>
      </c>
      <c r="F69" s="102">
        <f>F27-E27</f>
        <v/>
      </c>
      <c r="G69" s="102">
        <f>G27-F27</f>
        <v/>
      </c>
      <c r="H69" s="102">
        <f>H27-G27</f>
        <v/>
      </c>
      <c r="I69" s="102">
        <f>I27-H27</f>
        <v/>
      </c>
      <c r="J69" s="102">
        <f>J27-I27</f>
        <v/>
      </c>
      <c r="K69" s="102">
        <f>K27-J27</f>
        <v/>
      </c>
      <c r="L69" s="102">
        <f>L27-K27</f>
        <v/>
      </c>
      <c r="M69" s="102">
        <f>M27-L27</f>
        <v/>
      </c>
      <c r="N69" s="102">
        <f>N27-M27</f>
        <v/>
      </c>
      <c r="O69" s="102">
        <f>O27-N27</f>
        <v/>
      </c>
      <c r="P69" s="102">
        <f>P27-O27</f>
        <v/>
      </c>
      <c r="Q69" s="102">
        <f>Q27-P27</f>
        <v/>
      </c>
      <c r="R69" s="102">
        <f>R27-Q27</f>
        <v/>
      </c>
      <c r="S69" s="102">
        <f>S27-R27</f>
        <v/>
      </c>
      <c r="T69" s="102">
        <f>T27-S27</f>
        <v/>
      </c>
      <c r="U69" s="102">
        <f>U27-T27</f>
        <v/>
      </c>
      <c r="V69" s="102">
        <f>V27-U27</f>
        <v/>
      </c>
      <c r="W69" s="102">
        <f>W27-V27</f>
        <v/>
      </c>
      <c r="X69" s="102">
        <f>X27-W27</f>
        <v/>
      </c>
      <c r="Y69" s="102">
        <f>Y27-X27</f>
        <v/>
      </c>
      <c r="Z69" s="102">
        <f>Z27-Y27</f>
        <v/>
      </c>
      <c r="AA69" s="102">
        <f>AA27-Z27</f>
        <v/>
      </c>
      <c r="AB69" s="102">
        <f>AB27-AA27</f>
        <v/>
      </c>
      <c r="AC69" s="102">
        <f>AC27-AB27</f>
        <v/>
      </c>
      <c r="AD69" s="102">
        <f>AD27-AC27</f>
        <v/>
      </c>
      <c r="AE69" s="102">
        <f>AE27-AD27</f>
        <v/>
      </c>
      <c r="AF69" s="102">
        <f>AF27-AE27</f>
        <v/>
      </c>
      <c r="AG69" s="102">
        <f>AG27-AF27</f>
        <v/>
      </c>
      <c r="AH69" s="102">
        <f>AH27-AG27</f>
        <v/>
      </c>
      <c r="AI69" s="102">
        <f>AI27-AH27</f>
        <v/>
      </c>
      <c r="AJ69" s="174">
        <f>SUM(E69:AG69)</f>
        <v/>
      </c>
      <c r="AK69" s="115" t="inlineStr">
        <is>
          <t>EB</t>
        </is>
      </c>
      <c r="AL69" s="116">
        <f>AJ60</f>
        <v/>
      </c>
    </row>
    <row r="70">
      <c r="A70" s="500" t="n"/>
      <c r="B70" s="500" t="n"/>
      <c r="C70" s="531" t="inlineStr">
        <is>
          <t>DG</t>
        </is>
      </c>
      <c r="D70" s="501" t="n"/>
      <c r="E70" s="102">
        <f>E28-D28</f>
        <v/>
      </c>
      <c r="F70" s="102">
        <f>F28-E28</f>
        <v/>
      </c>
      <c r="G70" s="102">
        <f>G28-F28</f>
        <v/>
      </c>
      <c r="H70" s="102">
        <f>H28-G28</f>
        <v/>
      </c>
      <c r="I70" s="102">
        <f>I28-H28</f>
        <v/>
      </c>
      <c r="J70" s="102">
        <f>J28-I28</f>
        <v/>
      </c>
      <c r="K70" s="102">
        <f>K28-J28</f>
        <v/>
      </c>
      <c r="L70" s="102">
        <f>L28-K28</f>
        <v/>
      </c>
      <c r="M70" s="102">
        <f>M28-L28</f>
        <v/>
      </c>
      <c r="N70" s="102">
        <f>N28-M28</f>
        <v/>
      </c>
      <c r="O70" s="102">
        <f>O28-N28</f>
        <v/>
      </c>
      <c r="P70" s="102">
        <f>P28-O28</f>
        <v/>
      </c>
      <c r="Q70" s="102">
        <f>Q28-P28</f>
        <v/>
      </c>
      <c r="R70" s="102">
        <f>R28-Q28</f>
        <v/>
      </c>
      <c r="S70" s="102">
        <f>S28-R28</f>
        <v/>
      </c>
      <c r="T70" s="102">
        <f>T28-S28</f>
        <v/>
      </c>
      <c r="U70" s="102">
        <f>U28-T28</f>
        <v/>
      </c>
      <c r="V70" s="102">
        <f>V28-U28</f>
        <v/>
      </c>
      <c r="W70" s="102">
        <f>W28-V28</f>
        <v/>
      </c>
      <c r="X70" s="102">
        <f>X28-W28</f>
        <v/>
      </c>
      <c r="Y70" s="102">
        <f>Y28-X28</f>
        <v/>
      </c>
      <c r="Z70" s="102">
        <f>Z28-Y28</f>
        <v/>
      </c>
      <c r="AA70" s="102">
        <f>AA28-Z28</f>
        <v/>
      </c>
      <c r="AB70" s="102">
        <f>AB28-AA28</f>
        <v/>
      </c>
      <c r="AC70" s="102">
        <f>AC28-AB28</f>
        <v/>
      </c>
      <c r="AD70" s="102">
        <f>AD28-AC28</f>
        <v/>
      </c>
      <c r="AE70" s="102">
        <f>AE28-AD28</f>
        <v/>
      </c>
      <c r="AF70" s="102">
        <f>AF28-AE28</f>
        <v/>
      </c>
      <c r="AG70" s="102">
        <f>AG28-AF28</f>
        <v/>
      </c>
      <c r="AH70" s="102">
        <f>AH28-AG28</f>
        <v/>
      </c>
      <c r="AI70" s="102">
        <f>AI28-AH28</f>
        <v/>
      </c>
      <c r="AJ70" s="174">
        <f>SUM(E70:AG70)</f>
        <v/>
      </c>
      <c r="AK70" s="115" t="inlineStr">
        <is>
          <t>AHU</t>
        </is>
      </c>
      <c r="AL70" s="116">
        <f>AJ73</f>
        <v/>
      </c>
    </row>
    <row r="71">
      <c r="A71" s="500" t="n">
        <v>4</v>
      </c>
      <c r="B71" s="500" t="inlineStr">
        <is>
          <t>3F</t>
        </is>
      </c>
      <c r="C71" s="503" t="inlineStr">
        <is>
          <t>AHU4</t>
        </is>
      </c>
      <c r="D71" s="501" t="n"/>
      <c r="E71" s="102">
        <f>E29-D29</f>
        <v/>
      </c>
      <c r="F71" s="102">
        <f>F29-E29</f>
        <v/>
      </c>
      <c r="G71" s="102">
        <f>G29-F29</f>
        <v/>
      </c>
      <c r="H71" s="102">
        <f>H29-G29</f>
        <v/>
      </c>
      <c r="I71" s="102">
        <f>I29-H29</f>
        <v/>
      </c>
      <c r="J71" s="102">
        <f>J29-I29</f>
        <v/>
      </c>
      <c r="K71" s="102">
        <f>K29-J29</f>
        <v/>
      </c>
      <c r="L71" s="102">
        <f>L29-K29</f>
        <v/>
      </c>
      <c r="M71" s="102">
        <f>M29-L29</f>
        <v/>
      </c>
      <c r="N71" s="102">
        <f>N29-M29</f>
        <v/>
      </c>
      <c r="O71" s="102">
        <f>O29-N29</f>
        <v/>
      </c>
      <c r="P71" s="102">
        <f>P29-O29</f>
        <v/>
      </c>
      <c r="Q71" s="102">
        <f>Q29-P29</f>
        <v/>
      </c>
      <c r="R71" s="102">
        <f>R29-Q29</f>
        <v/>
      </c>
      <c r="S71" s="102">
        <f>S29-R29</f>
        <v/>
      </c>
      <c r="T71" s="102">
        <f>T29-S29</f>
        <v/>
      </c>
      <c r="U71" s="102">
        <f>U29-T29</f>
        <v/>
      </c>
      <c r="V71" s="102">
        <f>V29-U29</f>
        <v/>
      </c>
      <c r="W71" s="102">
        <f>W29-V29</f>
        <v/>
      </c>
      <c r="X71" s="102">
        <f>X29-W29</f>
        <v/>
      </c>
      <c r="Y71" s="102">
        <f>Y29-X29</f>
        <v/>
      </c>
      <c r="Z71" s="102">
        <f>Z29-Y29</f>
        <v/>
      </c>
      <c r="AA71" s="102">
        <f>AA29-Z29</f>
        <v/>
      </c>
      <c r="AB71" s="102">
        <f>AB29-AA29</f>
        <v/>
      </c>
      <c r="AC71" s="102">
        <f>AC29-AB29</f>
        <v/>
      </c>
      <c r="AD71" s="102">
        <f>AD29-AC29</f>
        <v/>
      </c>
      <c r="AE71" s="102">
        <f>AE29-AD29</f>
        <v/>
      </c>
      <c r="AF71" s="102">
        <f>AF29-AE29</f>
        <v/>
      </c>
      <c r="AG71" s="102">
        <f>AG29-AF29</f>
        <v/>
      </c>
      <c r="AH71" s="102">
        <f>AH29-AG29</f>
        <v/>
      </c>
      <c r="AI71" s="102">
        <f>AI29-AH29</f>
        <v/>
      </c>
      <c r="AJ71" s="174">
        <f>SUM(E71:AG71)</f>
        <v/>
      </c>
      <c r="AK71" s="115" t="inlineStr">
        <is>
          <t>BTU</t>
        </is>
      </c>
      <c r="AL71" s="116">
        <f>AJ79*40%</f>
        <v/>
      </c>
    </row>
    <row r="72">
      <c r="A72" s="500" t="n"/>
      <c r="B72" s="500" t="n"/>
      <c r="C72" s="531" t="inlineStr">
        <is>
          <t>DG</t>
        </is>
      </c>
      <c r="D72" s="501" t="n"/>
      <c r="E72" s="102">
        <f>E30-D30</f>
        <v/>
      </c>
      <c r="F72" s="102">
        <f>F30-E30</f>
        <v/>
      </c>
      <c r="G72" s="102">
        <f>G30-F30</f>
        <v/>
      </c>
      <c r="H72" s="102">
        <f>H30-G30</f>
        <v/>
      </c>
      <c r="I72" s="102">
        <f>I30-H30</f>
        <v/>
      </c>
      <c r="J72" s="102">
        <f>J30-I30</f>
        <v/>
      </c>
      <c r="K72" s="102">
        <f>K30-J30</f>
        <v/>
      </c>
      <c r="L72" s="102">
        <f>L30-K30</f>
        <v/>
      </c>
      <c r="M72" s="102">
        <f>M30-L30</f>
        <v/>
      </c>
      <c r="N72" s="102">
        <f>N30-M30</f>
        <v/>
      </c>
      <c r="O72" s="102">
        <f>O30-N30</f>
        <v/>
      </c>
      <c r="P72" s="102">
        <f>P30-O30</f>
        <v/>
      </c>
      <c r="Q72" s="102">
        <f>Q30-P30</f>
        <v/>
      </c>
      <c r="R72" s="102">
        <f>R30-Q30</f>
        <v/>
      </c>
      <c r="S72" s="102">
        <f>S30-R30</f>
        <v/>
      </c>
      <c r="T72" s="102">
        <f>T30-S30</f>
        <v/>
      </c>
      <c r="U72" s="102">
        <f>U30-T30</f>
        <v/>
      </c>
      <c r="V72" s="102">
        <f>V30-U30</f>
        <v/>
      </c>
      <c r="W72" s="102">
        <f>W30-V30</f>
        <v/>
      </c>
      <c r="X72" s="102">
        <f>X30-W30</f>
        <v/>
      </c>
      <c r="Y72" s="102">
        <f>Y30-X30</f>
        <v/>
      </c>
      <c r="Z72" s="102">
        <f>Z30-Y30</f>
        <v/>
      </c>
      <c r="AA72" s="102">
        <f>AA30-Z30</f>
        <v/>
      </c>
      <c r="AB72" s="102">
        <f>AB30-AA30</f>
        <v/>
      </c>
      <c r="AC72" s="102">
        <f>AC30-AB30</f>
        <v/>
      </c>
      <c r="AD72" s="102">
        <f>AD30-AC30</f>
        <v/>
      </c>
      <c r="AE72" s="102">
        <f>AE30-AD30</f>
        <v/>
      </c>
      <c r="AF72" s="102">
        <f>AF30-AE30</f>
        <v/>
      </c>
      <c r="AG72" s="102">
        <f>AG30-AF30</f>
        <v/>
      </c>
      <c r="AH72" s="102">
        <f>AH30-AG30</f>
        <v/>
      </c>
      <c r="AI72" s="102">
        <f>AI30-AH30</f>
        <v/>
      </c>
      <c r="AJ72" s="174">
        <f>SUM(E72:AG72)</f>
        <v/>
      </c>
      <c r="AK72" s="117" t="inlineStr">
        <is>
          <t>DG</t>
        </is>
      </c>
      <c r="AL72" s="118">
        <f>AJ61+AJ74</f>
        <v/>
      </c>
    </row>
    <row r="73" ht="15" customHeight="1" s="488">
      <c r="A73" s="99" t="n"/>
      <c r="B73" s="99" t="n"/>
      <c r="C73" s="511" t="inlineStr">
        <is>
          <t>Total AHU Power Consumption</t>
        </is>
      </c>
      <c r="D73" s="501" t="n"/>
      <c r="E73" s="23">
        <f>SUM(E65,E67,E69,E71)</f>
        <v/>
      </c>
      <c r="F73" s="23">
        <f>SUM(F65,F67,F69,F71)</f>
        <v/>
      </c>
      <c r="G73" s="23">
        <f>SUM(G65,G67,G69,G71)</f>
        <v/>
      </c>
      <c r="H73" s="23">
        <f>SUM(H65,H67,H69,H71)</f>
        <v/>
      </c>
      <c r="I73" s="23">
        <f>SUM(I65,I67,I69,I71)</f>
        <v/>
      </c>
      <c r="J73" s="23">
        <f>SUM(J65,J67,J69,J71)</f>
        <v/>
      </c>
      <c r="K73" s="23">
        <f>SUM(K65,K67,K69,K71)</f>
        <v/>
      </c>
      <c r="L73" s="23">
        <f>SUM(L65,L67,L69,L71)</f>
        <v/>
      </c>
      <c r="M73" s="23">
        <f>SUM(M65,M67,M69,M71)</f>
        <v/>
      </c>
      <c r="N73" s="23">
        <f>SUM(N65,N67,N69,N71)</f>
        <v/>
      </c>
      <c r="O73" s="23">
        <f>SUM(O65,O67,O69,O71)</f>
        <v/>
      </c>
      <c r="P73" s="23">
        <f>SUM(P65,P67,P69,P71)</f>
        <v/>
      </c>
      <c r="Q73" s="23">
        <f>SUM(Q65,Q67,Q69,Q71)</f>
        <v/>
      </c>
      <c r="R73" s="23">
        <f>SUM(R65,R67,R69,R71)</f>
        <v/>
      </c>
      <c r="S73" s="23">
        <f>SUM(S65,S67,S69,S71)</f>
        <v/>
      </c>
      <c r="T73" s="23">
        <f>SUM(T65,T67,T69,T71)</f>
        <v/>
      </c>
      <c r="U73" s="23">
        <f>SUM(U65,U67,U69,U71)</f>
        <v/>
      </c>
      <c r="V73" s="23">
        <f>SUM(V65,V67,V69,V71)</f>
        <v/>
      </c>
      <c r="W73" s="23">
        <f>SUM(W65,W67,W69,W71)</f>
        <v/>
      </c>
      <c r="X73" s="23">
        <f>SUM(X65,X67,X69,X71)</f>
        <v/>
      </c>
      <c r="Y73" s="23">
        <f>SUM(Y65,Y67,Y69,Y71)</f>
        <v/>
      </c>
      <c r="Z73" s="23">
        <f>SUM(Z65,Z67,Z69,Z71)</f>
        <v/>
      </c>
      <c r="AA73" s="23">
        <f>SUM(AA65,AA67,AA69,AA71)</f>
        <v/>
      </c>
      <c r="AB73" s="23">
        <f>SUM(AB65,AB67,AB69,AB71)</f>
        <v/>
      </c>
      <c r="AC73" s="23">
        <f>SUM(AC65,AC67,AC69,AC71)</f>
        <v/>
      </c>
      <c r="AD73" s="23">
        <f>SUM(AD65,AD67,AD69,AD71)</f>
        <v/>
      </c>
      <c r="AE73" s="23">
        <f>SUM(AE65,AE67,AE69,AE71)</f>
        <v/>
      </c>
      <c r="AF73" s="23">
        <f>SUM(AF65,AF67,AF69,AF71)</f>
        <v/>
      </c>
      <c r="AG73" s="23">
        <f>SUM(AG65,AG67,AG69,AG71)</f>
        <v/>
      </c>
      <c r="AH73" s="23">
        <f>SUM(AH65,AH67,AH69,AH71)</f>
        <v/>
      </c>
      <c r="AI73" s="23">
        <f>SUM(AI65,AI67,AI69,AI71)</f>
        <v/>
      </c>
      <c r="AJ73" s="173">
        <f>SUM(E73:AG73)</f>
        <v/>
      </c>
    </row>
    <row r="74" ht="15" customHeight="1" s="488">
      <c r="A74" s="99" t="n"/>
      <c r="B74" s="99" t="n"/>
      <c r="C74" s="502" t="inlineStr">
        <is>
          <t>Total AHU DG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173">
        <f>SUM(E74:AG74)</f>
        <v/>
      </c>
    </row>
    <row r="75">
      <c r="A75" s="500" t="n">
        <v>1</v>
      </c>
      <c r="B75" s="500" t="inlineStr">
        <is>
          <t>3F</t>
        </is>
      </c>
      <c r="C75" s="500" t="inlineStr">
        <is>
          <t>AHU1 - BTU</t>
        </is>
      </c>
      <c r="D75" s="501" t="n"/>
      <c r="E75" s="102">
        <f>E32-D32</f>
        <v/>
      </c>
      <c r="F75" s="102">
        <f>F32-E32</f>
        <v/>
      </c>
      <c r="G75" s="102">
        <f>G32-F32</f>
        <v/>
      </c>
      <c r="H75" s="102">
        <f>H32-G32</f>
        <v/>
      </c>
      <c r="I75" s="102">
        <f>I32-H32</f>
        <v/>
      </c>
      <c r="J75" s="102">
        <f>J32-I32</f>
        <v/>
      </c>
      <c r="K75" s="102">
        <f>K32-J32</f>
        <v/>
      </c>
      <c r="L75" s="102">
        <f>L32-K32</f>
        <v/>
      </c>
      <c r="M75" s="102">
        <f>M32-L32</f>
        <v/>
      </c>
      <c r="N75" s="102">
        <f>N32-M32</f>
        <v/>
      </c>
      <c r="O75" s="102">
        <f>O32-N32</f>
        <v/>
      </c>
      <c r="P75" s="102">
        <f>P32-O32</f>
        <v/>
      </c>
      <c r="Q75" s="102">
        <f>Q32-P32</f>
        <v/>
      </c>
      <c r="R75" s="102">
        <f>R32-Q32</f>
        <v/>
      </c>
      <c r="S75" s="102">
        <f>S32-R32</f>
        <v/>
      </c>
      <c r="T75" s="102">
        <f>T32-S32</f>
        <v/>
      </c>
      <c r="U75" s="102">
        <f>U32-T32</f>
        <v/>
      </c>
      <c r="V75" s="102">
        <f>V32-U32</f>
        <v/>
      </c>
      <c r="W75" s="102">
        <f>W32-V32</f>
        <v/>
      </c>
      <c r="X75" s="102">
        <f>X32-W32</f>
        <v/>
      </c>
      <c r="Y75" s="102">
        <f>Y32-X32</f>
        <v/>
      </c>
      <c r="Z75" s="102">
        <f>Z32-Y32</f>
        <v/>
      </c>
      <c r="AA75" s="102">
        <f>AA32-Z32</f>
        <v/>
      </c>
      <c r="AB75" s="102">
        <f>AB32-AA32</f>
        <v/>
      </c>
      <c r="AC75" s="102">
        <f>AC32-AB32</f>
        <v/>
      </c>
      <c r="AD75" s="102">
        <f>AD32-AC32</f>
        <v/>
      </c>
      <c r="AE75" s="102">
        <f>AE32-AD32</f>
        <v/>
      </c>
      <c r="AF75" s="102">
        <f>AF32-AE32</f>
        <v/>
      </c>
      <c r="AG75" s="102">
        <f>AG32-AF32</f>
        <v/>
      </c>
      <c r="AH75" s="102">
        <f>AH32-AG32</f>
        <v/>
      </c>
      <c r="AI75" s="102">
        <f>AI32-AH32</f>
        <v/>
      </c>
      <c r="AJ75" s="174">
        <f>SUM(E75:AG75)</f>
        <v/>
      </c>
    </row>
    <row r="76">
      <c r="A76" s="500" t="n">
        <v>2</v>
      </c>
      <c r="B76" s="500" t="inlineStr">
        <is>
          <t>3F</t>
        </is>
      </c>
      <c r="C76" s="500" t="inlineStr">
        <is>
          <t>AHU2 - BTU</t>
        </is>
      </c>
      <c r="D76" s="501" t="n"/>
      <c r="E76" s="102">
        <f>E33-D33</f>
        <v/>
      </c>
      <c r="F76" s="102">
        <f>F33-E33</f>
        <v/>
      </c>
      <c r="G76" s="102">
        <f>G33-F33</f>
        <v/>
      </c>
      <c r="H76" s="102">
        <f>H33-G33</f>
        <v/>
      </c>
      <c r="I76" s="102">
        <f>I33-H33</f>
        <v/>
      </c>
      <c r="J76" s="102">
        <f>J33-I33</f>
        <v/>
      </c>
      <c r="K76" s="102">
        <f>K33-J33</f>
        <v/>
      </c>
      <c r="L76" s="102">
        <f>L33-K33</f>
        <v/>
      </c>
      <c r="M76" s="102">
        <f>M33-L33</f>
        <v/>
      </c>
      <c r="N76" s="102">
        <f>N33-M33</f>
        <v/>
      </c>
      <c r="O76" s="102">
        <f>O33-N33</f>
        <v/>
      </c>
      <c r="P76" s="102">
        <f>P33-O33</f>
        <v/>
      </c>
      <c r="Q76" s="102">
        <f>Q33-P33</f>
        <v/>
      </c>
      <c r="R76" s="102">
        <f>R33-Q33</f>
        <v/>
      </c>
      <c r="S76" s="102">
        <f>S33-R33</f>
        <v/>
      </c>
      <c r="T76" s="102">
        <f>T33-S33</f>
        <v/>
      </c>
      <c r="U76" s="102">
        <f>U33-T33</f>
        <v/>
      </c>
      <c r="V76" s="102">
        <f>V33-U33</f>
        <v/>
      </c>
      <c r="W76" s="102">
        <f>W33-V33</f>
        <v/>
      </c>
      <c r="X76" s="102">
        <f>X33-W33</f>
        <v/>
      </c>
      <c r="Y76" s="102">
        <f>Y33-X33</f>
        <v/>
      </c>
      <c r="Z76" s="102">
        <f>Z33-Y33</f>
        <v/>
      </c>
      <c r="AA76" s="102">
        <f>AA33-Z33</f>
        <v/>
      </c>
      <c r="AB76" s="102">
        <f>AB33-AA33</f>
        <v/>
      </c>
      <c r="AC76" s="102">
        <f>AC33-AB33</f>
        <v/>
      </c>
      <c r="AD76" s="102">
        <f>AD33-AC33</f>
        <v/>
      </c>
      <c r="AE76" s="102">
        <f>AE33-AD33</f>
        <v/>
      </c>
      <c r="AF76" s="102">
        <f>AF33-AE33</f>
        <v/>
      </c>
      <c r="AG76" s="102">
        <f>AG33-AF33</f>
        <v/>
      </c>
      <c r="AH76" s="102">
        <f>AH33-AG33</f>
        <v/>
      </c>
      <c r="AI76" s="102">
        <f>AI33-AH33</f>
        <v/>
      </c>
      <c r="AJ76" s="174">
        <f>SUM(E76:AG76)</f>
        <v/>
      </c>
    </row>
    <row r="77">
      <c r="A77" s="500" t="n">
        <v>3</v>
      </c>
      <c r="B77" s="500" t="inlineStr">
        <is>
          <t>3F</t>
        </is>
      </c>
      <c r="C77" s="500" t="inlineStr">
        <is>
          <t>AHU3 - BTU</t>
        </is>
      </c>
      <c r="D77" s="501" t="n"/>
      <c r="E77" s="102">
        <f>E34-D34</f>
        <v/>
      </c>
      <c r="F77" s="102">
        <f>F34-E34</f>
        <v/>
      </c>
      <c r="G77" s="102">
        <f>G34-F34</f>
        <v/>
      </c>
      <c r="H77" s="102">
        <f>H34-G34</f>
        <v/>
      </c>
      <c r="I77" s="102">
        <f>I34-H34</f>
        <v/>
      </c>
      <c r="J77" s="102">
        <f>J34-I34</f>
        <v/>
      </c>
      <c r="K77" s="102">
        <f>K34-J34</f>
        <v/>
      </c>
      <c r="L77" s="102">
        <f>L34-K34</f>
        <v/>
      </c>
      <c r="M77" s="102">
        <f>M34-L34</f>
        <v/>
      </c>
      <c r="N77" s="102">
        <f>N34-M34</f>
        <v/>
      </c>
      <c r="O77" s="102">
        <f>O34-N34</f>
        <v/>
      </c>
      <c r="P77" s="102">
        <f>P34-O34</f>
        <v/>
      </c>
      <c r="Q77" s="102">
        <f>Q34-P34</f>
        <v/>
      </c>
      <c r="R77" s="102">
        <f>R34-Q34</f>
        <v/>
      </c>
      <c r="S77" s="102">
        <f>S34-R34</f>
        <v/>
      </c>
      <c r="T77" s="102">
        <f>T34-S34</f>
        <v/>
      </c>
      <c r="U77" s="102">
        <f>U34-T34</f>
        <v/>
      </c>
      <c r="V77" s="102">
        <f>V34-U34</f>
        <v/>
      </c>
      <c r="W77" s="102">
        <f>W34-V34</f>
        <v/>
      </c>
      <c r="X77" s="102">
        <f>X34-W34</f>
        <v/>
      </c>
      <c r="Y77" s="102">
        <f>Y34-X34</f>
        <v/>
      </c>
      <c r="Z77" s="102">
        <f>Z34-Y34</f>
        <v/>
      </c>
      <c r="AA77" s="102">
        <f>AA34-Z34</f>
        <v/>
      </c>
      <c r="AB77" s="102">
        <f>AB34-AA34</f>
        <v/>
      </c>
      <c r="AC77" s="102">
        <f>AC34-AB34</f>
        <v/>
      </c>
      <c r="AD77" s="102">
        <f>AD34-AC34</f>
        <v/>
      </c>
      <c r="AE77" s="102">
        <f>AE34-AD34</f>
        <v/>
      </c>
      <c r="AF77" s="102">
        <f>AF34-AE34</f>
        <v/>
      </c>
      <c r="AG77" s="102">
        <f>AG34-AF34</f>
        <v/>
      </c>
      <c r="AH77" s="102">
        <f>AH34-AG34</f>
        <v/>
      </c>
      <c r="AI77" s="102">
        <f>AI34-AH34</f>
        <v/>
      </c>
      <c r="AJ77" s="174">
        <f>SUM(E77:AG77)</f>
        <v/>
      </c>
    </row>
    <row r="78">
      <c r="A78" s="500" t="n">
        <v>4</v>
      </c>
      <c r="B78" s="500" t="inlineStr">
        <is>
          <t>3F</t>
        </is>
      </c>
      <c r="C78" s="500" t="inlineStr">
        <is>
          <t>AHU4 - BTU</t>
        </is>
      </c>
      <c r="D78" s="501" t="n"/>
      <c r="E78" s="102">
        <f>E35-D35</f>
        <v/>
      </c>
      <c r="F78" s="102">
        <f>F35-E35</f>
        <v/>
      </c>
      <c r="G78" s="102">
        <f>G35-F35</f>
        <v/>
      </c>
      <c r="H78" s="102">
        <f>H35-G35</f>
        <v/>
      </c>
      <c r="I78" s="102">
        <f>I35-H35</f>
        <v/>
      </c>
      <c r="J78" s="102">
        <f>J35-I35</f>
        <v/>
      </c>
      <c r="K78" s="102">
        <f>K35-J35</f>
        <v/>
      </c>
      <c r="L78" s="102">
        <f>L35-K35</f>
        <v/>
      </c>
      <c r="M78" s="102">
        <f>M35-L35</f>
        <v/>
      </c>
      <c r="N78" s="102">
        <f>N35-M35</f>
        <v/>
      </c>
      <c r="O78" s="102">
        <f>O35-N35</f>
        <v/>
      </c>
      <c r="P78" s="102">
        <f>P35-O35</f>
        <v/>
      </c>
      <c r="Q78" s="102">
        <f>Q35-P35</f>
        <v/>
      </c>
      <c r="R78" s="102">
        <f>R35-Q35</f>
        <v/>
      </c>
      <c r="S78" s="102">
        <f>S35-R35</f>
        <v/>
      </c>
      <c r="T78" s="102">
        <f>T35-S35</f>
        <v/>
      </c>
      <c r="U78" s="102">
        <f>U35-T35</f>
        <v/>
      </c>
      <c r="V78" s="102">
        <f>V35-U35</f>
        <v/>
      </c>
      <c r="W78" s="102">
        <f>W35-V35</f>
        <v/>
      </c>
      <c r="X78" s="102">
        <f>X35-W35</f>
        <v/>
      </c>
      <c r="Y78" s="102">
        <f>Y35-X35</f>
        <v/>
      </c>
      <c r="Z78" s="102">
        <f>Z35-Y35</f>
        <v/>
      </c>
      <c r="AA78" s="102">
        <f>AA35-Z35</f>
        <v/>
      </c>
      <c r="AB78" s="102">
        <f>AB35-AA35</f>
        <v/>
      </c>
      <c r="AC78" s="102">
        <f>AC35-AB35</f>
        <v/>
      </c>
      <c r="AD78" s="102">
        <f>AD35-AC35</f>
        <v/>
      </c>
      <c r="AE78" s="102">
        <f>AE35-AD35</f>
        <v/>
      </c>
      <c r="AF78" s="102">
        <f>AF35-AE35</f>
        <v/>
      </c>
      <c r="AG78" s="102">
        <f>AG35-AF35</f>
        <v/>
      </c>
      <c r="AH78" s="102">
        <f>AH35-AG35</f>
        <v/>
      </c>
      <c r="AI78" s="102">
        <f>AI35-AH35</f>
        <v/>
      </c>
      <c r="AJ78" s="174">
        <f>SUM(E78:AG78)</f>
        <v/>
      </c>
    </row>
    <row r="79" ht="15" customHeight="1" s="488">
      <c r="A79" s="99" t="n"/>
      <c r="B79" s="99" t="n"/>
      <c r="C79" s="511" t="inlineStr">
        <is>
          <t>Total BTU Consumption</t>
        </is>
      </c>
      <c r="D79" s="501" t="n"/>
      <c r="E79" s="23">
        <f>SUM(E75:E78)</f>
        <v/>
      </c>
      <c r="F79" s="23">
        <f>SUM(F75:F78)</f>
        <v/>
      </c>
      <c r="G79" s="23">
        <f>SUM(G75:G78)</f>
        <v/>
      </c>
      <c r="H79" s="23">
        <f>SUM(H75:H78)</f>
        <v/>
      </c>
      <c r="I79" s="23">
        <f>SUM(I75:I78)</f>
        <v/>
      </c>
      <c r="J79" s="23">
        <f>SUM(J75:J78)</f>
        <v/>
      </c>
      <c r="K79" s="23">
        <f>SUM(K75:K78)</f>
        <v/>
      </c>
      <c r="L79" s="23">
        <f>SUM(L75:L78)</f>
        <v/>
      </c>
      <c r="M79" s="23">
        <f>SUM(M75:M78)</f>
        <v/>
      </c>
      <c r="N79" s="23">
        <f>SUM(N75:N78)</f>
        <v/>
      </c>
      <c r="O79" s="23">
        <f>SUM(O75:O78)</f>
        <v/>
      </c>
      <c r="P79" s="23">
        <f>SUM(P75:P78)</f>
        <v/>
      </c>
      <c r="Q79" s="23">
        <f>SUM(Q75:Q78)</f>
        <v/>
      </c>
      <c r="R79" s="23">
        <f>SUM(R75:R78)</f>
        <v/>
      </c>
      <c r="S79" s="23">
        <f>SUM(S75:S78)</f>
        <v/>
      </c>
      <c r="T79" s="23">
        <f>SUM(T75:T78)</f>
        <v/>
      </c>
      <c r="U79" s="23">
        <f>SUM(U75:U78)</f>
        <v/>
      </c>
      <c r="V79" s="23">
        <f>SUM(V75:V78)</f>
        <v/>
      </c>
      <c r="W79" s="23">
        <f>SUM(W75:W78)</f>
        <v/>
      </c>
      <c r="X79" s="23">
        <f>SUM(X75:X78)</f>
        <v/>
      </c>
      <c r="Y79" s="23">
        <f>SUM(Y75:Y78)</f>
        <v/>
      </c>
      <c r="Z79" s="23">
        <f>SUM(Z75:Z78)</f>
        <v/>
      </c>
      <c r="AA79" s="23">
        <f>SUM(AA75:AA78)</f>
        <v/>
      </c>
      <c r="AB79" s="23">
        <f>SUM(AB75:AB78)</f>
        <v/>
      </c>
      <c r="AC79" s="23">
        <f>SUM(AC75:AC78)</f>
        <v/>
      </c>
      <c r="AD79" s="23">
        <f>SUM(AD75:AD78)</f>
        <v/>
      </c>
      <c r="AE79" s="23">
        <f>SUM(AE75:AE78)</f>
        <v/>
      </c>
      <c r="AF79" s="23">
        <f>SUM(AF75:AF78)</f>
        <v/>
      </c>
      <c r="AG79" s="23">
        <f>SUM(AG75:AG78)</f>
        <v/>
      </c>
      <c r="AH79" s="23">
        <f>SUM(AH75:AH78)</f>
        <v/>
      </c>
      <c r="AI79" s="23">
        <f>SUM(AI75:AI78)</f>
        <v/>
      </c>
      <c r="AJ79" s="173">
        <f>SUM(AJ75:AJ78)</f>
        <v/>
      </c>
    </row>
  </sheetData>
  <mergeCells count="49">
    <mergeCell ref="C77:D77"/>
    <mergeCell ref="AJ40:AJ43"/>
    <mergeCell ref="C62:D62"/>
    <mergeCell ref="C68:D68"/>
    <mergeCell ref="C58:D58"/>
    <mergeCell ref="C40:D43"/>
    <mergeCell ref="C45:D45"/>
    <mergeCell ref="AJ2:AJ5"/>
    <mergeCell ref="E1:AH1"/>
    <mergeCell ref="C74:D74"/>
    <mergeCell ref="C64:D64"/>
    <mergeCell ref="B2:B5"/>
    <mergeCell ref="C79:D79"/>
    <mergeCell ref="B38:D38"/>
    <mergeCell ref="D2:D5"/>
    <mergeCell ref="C73:D73"/>
    <mergeCell ref="C47:D47"/>
    <mergeCell ref="C54:D54"/>
    <mergeCell ref="C65:D65"/>
    <mergeCell ref="C55:D55"/>
    <mergeCell ref="C50:D50"/>
    <mergeCell ref="C75:D75"/>
    <mergeCell ref="C44:D44"/>
    <mergeCell ref="C56:D56"/>
    <mergeCell ref="C59:D59"/>
    <mergeCell ref="A1:D1"/>
    <mergeCell ref="C49:D49"/>
    <mergeCell ref="C46:D46"/>
    <mergeCell ref="B40:B43"/>
    <mergeCell ref="A22:AJ22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31:AJ31"/>
    <mergeCell ref="C72:D72"/>
    <mergeCell ref="C67:D67"/>
    <mergeCell ref="C57:D57"/>
    <mergeCell ref="C66:D66"/>
    <mergeCell ref="C53:D53"/>
    <mergeCell ref="B39:D39"/>
    <mergeCell ref="C78:D78"/>
    <mergeCell ref="C69:D69"/>
    <mergeCell ref="A40:A43"/>
  </mergeCells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K79"/>
  <sheetViews>
    <sheetView topLeftCell="A13" zoomScale="80" zoomScaleNormal="80" workbookViewId="0">
      <selection activeCell="AR78" sqref="AR78"/>
    </sheetView>
  </sheetViews>
  <sheetFormatPr baseColWidth="8" defaultRowHeight="14.5"/>
  <cols>
    <col width="14" bestFit="1" customWidth="1" style="488" min="1" max="1"/>
    <col width="27" bestFit="1" customWidth="1" style="488" min="2" max="2"/>
    <col width="32" bestFit="1" customWidth="1" style="488" min="3" max="3"/>
    <col width="20" bestFit="1" customWidth="1" style="488" min="4" max="4"/>
    <col width="23" bestFit="1" customWidth="1" style="488" min="5" max="5"/>
    <col width="23" customWidth="1" style="488" min="6" max="34"/>
    <col width="18" bestFit="1" customWidth="1" style="488" min="35" max="35"/>
    <col width="14" customWidth="1" style="488" min="36" max="36"/>
    <col width="18" customWidth="1" style="488" min="37" max="37"/>
  </cols>
  <sheetData>
    <row r="1" ht="17.25" customHeight="1" s="488">
      <c r="A1" s="573" t="n"/>
      <c r="B1" s="505" t="n"/>
      <c r="C1" s="505" t="n"/>
      <c r="D1" s="506" t="n"/>
      <c r="E1" s="601" t="inlineStr">
        <is>
          <t>APRIL-25</t>
        </is>
      </c>
      <c r="F1" s="505" t="n"/>
      <c r="G1" s="505" t="n"/>
      <c r="H1" s="505" t="n"/>
      <c r="I1" s="505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5" t="n"/>
      <c r="AE1" s="505" t="n"/>
      <c r="AF1" s="505" t="n"/>
      <c r="AG1" s="505" t="n"/>
      <c r="AH1" s="505" t="n"/>
      <c r="AI1" s="50" t="n"/>
    </row>
    <row r="2">
      <c r="A2" s="508" t="inlineStr">
        <is>
          <t>Sr.No</t>
        </is>
      </c>
      <c r="B2" s="508" t="inlineStr">
        <is>
          <t>Location</t>
        </is>
      </c>
      <c r="C2" s="580" t="inlineStr">
        <is>
          <t>Meter</t>
        </is>
      </c>
      <c r="D2" s="562" t="inlineStr">
        <is>
          <t>Previous Reading</t>
        </is>
      </c>
      <c r="E2" s="51" t="n">
        <v>45748</v>
      </c>
      <c r="F2" s="51" t="n">
        <v>45749</v>
      </c>
      <c r="G2" s="51" t="n">
        <v>45750</v>
      </c>
      <c r="H2" s="51" t="n">
        <v>45751</v>
      </c>
      <c r="I2" s="51" t="n">
        <v>45752</v>
      </c>
      <c r="J2" s="51" t="n">
        <v>45753</v>
      </c>
      <c r="K2" s="51" t="n">
        <v>45754</v>
      </c>
      <c r="L2" s="51" t="n">
        <v>45755</v>
      </c>
      <c r="M2" s="51" t="n">
        <v>45756</v>
      </c>
      <c r="N2" s="51" t="n">
        <v>45757</v>
      </c>
      <c r="O2" s="51" t="n">
        <v>45758</v>
      </c>
      <c r="P2" s="51" t="n">
        <v>45759</v>
      </c>
      <c r="Q2" s="51" t="n">
        <v>45760</v>
      </c>
      <c r="R2" s="51" t="n">
        <v>45761</v>
      </c>
      <c r="S2" s="51" t="n">
        <v>45762</v>
      </c>
      <c r="T2" s="51" t="n">
        <v>45763</v>
      </c>
      <c r="U2" s="51" t="n">
        <v>45764</v>
      </c>
      <c r="V2" s="51" t="n">
        <v>45765</v>
      </c>
      <c r="W2" s="51" t="n">
        <v>45766</v>
      </c>
      <c r="X2" s="51" t="n">
        <v>45767</v>
      </c>
      <c r="Y2" s="51" t="n">
        <v>45768</v>
      </c>
      <c r="Z2" s="51" t="n">
        <v>45769</v>
      </c>
      <c r="AA2" s="51" t="n">
        <v>45770</v>
      </c>
      <c r="AB2" s="51" t="n">
        <v>45771</v>
      </c>
      <c r="AC2" s="51" t="n">
        <v>45772</v>
      </c>
      <c r="AD2" s="51" t="n">
        <v>45773</v>
      </c>
      <c r="AE2" s="51" t="n">
        <v>45774</v>
      </c>
      <c r="AF2" s="51" t="n">
        <v>45775</v>
      </c>
      <c r="AG2" s="51" t="n">
        <v>45776</v>
      </c>
      <c r="AH2" s="51" t="n">
        <v>45777</v>
      </c>
      <c r="AI2" s="518" t="inlineStr">
        <is>
          <t>Consumption</t>
        </is>
      </c>
    </row>
    <row r="3">
      <c r="A3" s="509" t="n"/>
      <c r="B3" s="509" t="n"/>
      <c r="C3" s="509" t="n"/>
      <c r="D3" s="509" t="n"/>
      <c r="E3" s="52" t="inlineStr">
        <is>
          <t>TUE</t>
        </is>
      </c>
      <c r="F3" s="52" t="inlineStr">
        <is>
          <t>WED</t>
        </is>
      </c>
      <c r="G3" s="52" t="inlineStr">
        <is>
          <t>THU</t>
        </is>
      </c>
      <c r="H3" s="52" t="inlineStr">
        <is>
          <t>FRI</t>
        </is>
      </c>
      <c r="I3" s="52" t="inlineStr">
        <is>
          <t>SAT</t>
        </is>
      </c>
      <c r="J3" s="52" t="inlineStr">
        <is>
          <t>SUN</t>
        </is>
      </c>
      <c r="K3" s="52" t="inlineStr">
        <is>
          <t>MON</t>
        </is>
      </c>
      <c r="L3" s="52" t="inlineStr">
        <is>
          <t>TUE</t>
        </is>
      </c>
      <c r="M3" s="52" t="inlineStr">
        <is>
          <t>WED</t>
        </is>
      </c>
      <c r="N3" s="52" t="inlineStr">
        <is>
          <t>THU</t>
        </is>
      </c>
      <c r="O3" s="52" t="inlineStr">
        <is>
          <t>FRI</t>
        </is>
      </c>
      <c r="P3" s="52" t="inlineStr">
        <is>
          <t>SAT</t>
        </is>
      </c>
      <c r="Q3" s="52" t="inlineStr">
        <is>
          <t>SUN</t>
        </is>
      </c>
      <c r="R3" s="52" t="inlineStr">
        <is>
          <t>MON</t>
        </is>
      </c>
      <c r="S3" s="52" t="inlineStr">
        <is>
          <t>TUE</t>
        </is>
      </c>
      <c r="T3" s="52" t="inlineStr">
        <is>
          <t>WED</t>
        </is>
      </c>
      <c r="U3" s="52" t="inlineStr">
        <is>
          <t>THU</t>
        </is>
      </c>
      <c r="V3" s="52" t="inlineStr">
        <is>
          <t>FRI</t>
        </is>
      </c>
      <c r="W3" s="52" t="inlineStr">
        <is>
          <t>SAT</t>
        </is>
      </c>
      <c r="X3" s="52" t="inlineStr">
        <is>
          <t>SUN</t>
        </is>
      </c>
      <c r="Y3" s="52" t="inlineStr">
        <is>
          <t>MON</t>
        </is>
      </c>
      <c r="Z3" s="52" t="inlineStr">
        <is>
          <t>TUE</t>
        </is>
      </c>
      <c r="AA3" s="52" t="inlineStr">
        <is>
          <t>WED</t>
        </is>
      </c>
      <c r="AB3" s="52" t="inlineStr">
        <is>
          <t>THU</t>
        </is>
      </c>
      <c r="AC3" s="52" t="inlineStr">
        <is>
          <t>FRI</t>
        </is>
      </c>
      <c r="AD3" s="52" t="inlineStr">
        <is>
          <t>SAT</t>
        </is>
      </c>
      <c r="AE3" s="52" t="inlineStr">
        <is>
          <t>SUN</t>
        </is>
      </c>
      <c r="AF3" s="52" t="inlineStr">
        <is>
          <t>MON</t>
        </is>
      </c>
      <c r="AG3" s="52" t="inlineStr">
        <is>
          <t>TUE</t>
        </is>
      </c>
      <c r="AH3" s="52" t="inlineStr">
        <is>
          <t>WED</t>
        </is>
      </c>
      <c r="AI3" s="509" t="n"/>
    </row>
    <row r="4">
      <c r="A4" s="509" t="n"/>
      <c r="B4" s="509" t="n"/>
      <c r="C4" s="509" t="n"/>
      <c r="D4" s="509" t="n"/>
      <c r="E4" s="52" t="inlineStr">
        <is>
          <t>Time</t>
        </is>
      </c>
      <c r="F4" s="52" t="inlineStr">
        <is>
          <t>Time</t>
        </is>
      </c>
      <c r="G4" s="52" t="inlineStr">
        <is>
          <t>Time</t>
        </is>
      </c>
      <c r="H4" s="52" t="inlineStr">
        <is>
          <t>Time</t>
        </is>
      </c>
      <c r="I4" s="52" t="inlineStr">
        <is>
          <t>Time</t>
        </is>
      </c>
      <c r="J4" s="52" t="inlineStr">
        <is>
          <t>Time</t>
        </is>
      </c>
      <c r="K4" s="52" t="inlineStr">
        <is>
          <t>Time</t>
        </is>
      </c>
      <c r="L4" s="52" t="inlineStr">
        <is>
          <t>Time</t>
        </is>
      </c>
      <c r="M4" s="52" t="inlineStr">
        <is>
          <t>Time</t>
        </is>
      </c>
      <c r="N4" s="52" t="inlineStr">
        <is>
          <t>Time</t>
        </is>
      </c>
      <c r="O4" s="52" t="inlineStr">
        <is>
          <t>Time</t>
        </is>
      </c>
      <c r="P4" s="52" t="inlineStr">
        <is>
          <t>Time</t>
        </is>
      </c>
      <c r="Q4" s="52" t="inlineStr">
        <is>
          <t>Time</t>
        </is>
      </c>
      <c r="R4" s="52" t="inlineStr">
        <is>
          <t>Time</t>
        </is>
      </c>
      <c r="S4" s="52" t="inlineStr">
        <is>
          <t>Time</t>
        </is>
      </c>
      <c r="T4" s="52" t="inlineStr">
        <is>
          <t>Time</t>
        </is>
      </c>
      <c r="U4" s="52" t="inlineStr">
        <is>
          <t>Time</t>
        </is>
      </c>
      <c r="V4" s="52" t="inlineStr">
        <is>
          <t>Time</t>
        </is>
      </c>
      <c r="W4" s="52" t="inlineStr">
        <is>
          <t>Time</t>
        </is>
      </c>
      <c r="X4" s="52" t="inlineStr">
        <is>
          <t>Time</t>
        </is>
      </c>
      <c r="Y4" s="52" t="inlineStr">
        <is>
          <t>Time</t>
        </is>
      </c>
      <c r="Z4" s="52" t="inlineStr">
        <is>
          <t>Time</t>
        </is>
      </c>
      <c r="AA4" s="52" t="inlineStr">
        <is>
          <t>Time</t>
        </is>
      </c>
      <c r="AB4" s="52" t="inlineStr">
        <is>
          <t>Time</t>
        </is>
      </c>
      <c r="AC4" s="52" t="inlineStr">
        <is>
          <t>Time</t>
        </is>
      </c>
      <c r="AD4" s="52" t="inlineStr">
        <is>
          <t>Time</t>
        </is>
      </c>
      <c r="AE4" s="52" t="inlineStr">
        <is>
          <t>Time</t>
        </is>
      </c>
      <c r="AF4" s="52" t="inlineStr">
        <is>
          <t>Time</t>
        </is>
      </c>
      <c r="AG4" s="52" t="inlineStr">
        <is>
          <t>Time</t>
        </is>
      </c>
      <c r="AH4" s="52" t="inlineStr">
        <is>
          <t>Time</t>
        </is>
      </c>
      <c r="AI4" s="509" t="n"/>
    </row>
    <row r="5">
      <c r="A5" s="510" t="n"/>
      <c r="B5" s="510" t="n"/>
      <c r="C5" s="510" t="n"/>
      <c r="D5" s="510" t="n"/>
      <c r="E5" s="53" t="n">
        <v>0.3333333333333333</v>
      </c>
      <c r="F5" s="53" t="n">
        <v>0.3333333333333333</v>
      </c>
      <c r="G5" s="53" t="n">
        <v>0.3333333333333333</v>
      </c>
      <c r="H5" s="53" t="n">
        <v>0.3333333333333333</v>
      </c>
      <c r="I5" s="53" t="n">
        <v>0.3333333333333333</v>
      </c>
      <c r="J5" s="53" t="n">
        <v>0.3333333333333333</v>
      </c>
      <c r="K5" s="53" t="n">
        <v>0.3333333333333333</v>
      </c>
      <c r="L5" s="53" t="n">
        <v>0.3333333333333333</v>
      </c>
      <c r="M5" s="53" t="n">
        <v>0.3333333333333333</v>
      </c>
      <c r="N5" s="53" t="n">
        <v>0.3333333333333333</v>
      </c>
      <c r="O5" s="53" t="n">
        <v>0.3333333333333333</v>
      </c>
      <c r="P5" s="53" t="n">
        <v>0.3333333333333333</v>
      </c>
      <c r="Q5" s="53" t="n">
        <v>0.3333333333333333</v>
      </c>
      <c r="R5" s="53" t="n">
        <v>0.3333333333333333</v>
      </c>
      <c r="S5" s="53" t="n">
        <v>0.3333333333333333</v>
      </c>
      <c r="T5" s="53" t="n">
        <v>0.3333333333333333</v>
      </c>
      <c r="U5" s="53" t="n">
        <v>0.3333333333333333</v>
      </c>
      <c r="V5" s="53" t="n">
        <v>0.3333333333333333</v>
      </c>
      <c r="W5" s="53" t="n">
        <v>0.3333333333333333</v>
      </c>
      <c r="X5" s="53" t="n">
        <v>0.3333333333333333</v>
      </c>
      <c r="Y5" s="53" t="n">
        <v>0.3333333333333333</v>
      </c>
      <c r="Z5" s="53" t="n">
        <v>0.3333333333333333</v>
      </c>
      <c r="AA5" s="53" t="n">
        <v>0.3333333333333333</v>
      </c>
      <c r="AB5" s="53" t="n">
        <v>0.3333333333333333</v>
      </c>
      <c r="AC5" s="53" t="n">
        <v>0.3333333333333333</v>
      </c>
      <c r="AD5" s="53" t="n">
        <v>0.3333333333333333</v>
      </c>
      <c r="AE5" s="53" t="n">
        <v>0.3333333333333333</v>
      </c>
      <c r="AF5" s="53" t="n">
        <v>0.3333333333333333</v>
      </c>
      <c r="AG5" s="53" t="n">
        <v>0.3333333333333333</v>
      </c>
      <c r="AH5" s="53" t="n">
        <v>0.3333333333333333</v>
      </c>
      <c r="AI5" s="510" t="n"/>
    </row>
    <row r="6">
      <c r="A6" s="48" t="n">
        <v>1</v>
      </c>
      <c r="B6" s="561" t="inlineStr">
        <is>
          <t>3F</t>
        </is>
      </c>
      <c r="C6" s="139" t="inlineStr">
        <is>
          <t>SL No 540430038840 (EB Unit)</t>
        </is>
      </c>
      <c r="D6" s="48" t="n">
        <v>99316</v>
      </c>
      <c r="E6" s="561" t="n">
        <v>99689</v>
      </c>
      <c r="F6" s="561" t="n">
        <v>99966</v>
      </c>
      <c r="G6" s="8" t="n">
        <v>100236</v>
      </c>
      <c r="H6" s="5" t="n">
        <v>100510</v>
      </c>
      <c r="I6" s="561" t="n">
        <v>100722</v>
      </c>
      <c r="J6" s="561" t="n">
        <v>100937</v>
      </c>
      <c r="K6" s="561" t="n">
        <v>101202</v>
      </c>
      <c r="L6" s="58" t="n">
        <v>101476</v>
      </c>
      <c r="M6" s="48" t="n">
        <v>101749</v>
      </c>
      <c r="N6" s="59" t="n">
        <v>102027</v>
      </c>
      <c r="O6" s="561" t="n">
        <v>102299</v>
      </c>
      <c r="P6" s="58" t="n">
        <v>102506</v>
      </c>
      <c r="Q6" s="48" t="n">
        <v>102709</v>
      </c>
      <c r="R6" s="59" t="n">
        <v>102975</v>
      </c>
      <c r="S6" s="561" t="n">
        <v>103249</v>
      </c>
      <c r="T6" s="561" t="n">
        <v>103510</v>
      </c>
      <c r="U6" s="561" t="n">
        <v>103733</v>
      </c>
      <c r="V6" s="125" t="n">
        <v>103977</v>
      </c>
      <c r="W6" s="561" t="n">
        <v>104182</v>
      </c>
      <c r="X6" s="561" t="n">
        <v>104379</v>
      </c>
      <c r="Y6" s="561" t="n">
        <v>104624</v>
      </c>
      <c r="Z6" s="561" t="n">
        <v>104883</v>
      </c>
      <c r="AA6" s="561" t="n">
        <v>105149</v>
      </c>
      <c r="AB6" s="561" t="n">
        <v>105315</v>
      </c>
      <c r="AC6" s="561" t="n">
        <v>105574</v>
      </c>
      <c r="AD6" s="561" t="n">
        <v>105773</v>
      </c>
      <c r="AE6" s="561" t="n">
        <v>105972</v>
      </c>
      <c r="AF6" s="561" t="n">
        <v>106231</v>
      </c>
      <c r="AG6" s="48" t="n">
        <v>106505</v>
      </c>
      <c r="AH6" s="48" t="n">
        <v>106913</v>
      </c>
      <c r="AI6" s="57">
        <f>AH6-D6</f>
        <v/>
      </c>
    </row>
    <row r="7">
      <c r="A7" s="8" t="n"/>
      <c r="B7" s="8" t="n"/>
      <c r="C7" s="140" t="inlineStr">
        <is>
          <t>DG</t>
        </is>
      </c>
      <c r="D7" s="8" t="n">
        <v>3970</v>
      </c>
      <c r="E7" s="8" t="n">
        <v>3970</v>
      </c>
      <c r="F7" s="8" t="n">
        <v>3970</v>
      </c>
      <c r="G7" s="8" t="n">
        <v>3970</v>
      </c>
      <c r="H7" s="8" t="n">
        <v>3970</v>
      </c>
      <c r="I7" s="8" t="n">
        <v>3970</v>
      </c>
      <c r="J7" s="8" t="n">
        <v>3970</v>
      </c>
      <c r="K7" s="8" t="n">
        <v>3970</v>
      </c>
      <c r="L7" s="8" t="n">
        <v>3970</v>
      </c>
      <c r="M7" s="8" t="n">
        <v>3970</v>
      </c>
      <c r="N7" s="8" t="n">
        <v>3970</v>
      </c>
      <c r="O7" s="8" t="n">
        <v>3970</v>
      </c>
      <c r="P7" s="8" t="n">
        <v>3970</v>
      </c>
      <c r="Q7" s="8" t="n">
        <v>3970</v>
      </c>
      <c r="R7" s="8" t="n">
        <v>3970</v>
      </c>
      <c r="S7" s="8" t="n">
        <v>3970</v>
      </c>
      <c r="T7" s="8" t="n">
        <v>3970</v>
      </c>
      <c r="U7" s="8" t="n">
        <v>4012</v>
      </c>
      <c r="V7" s="8" t="n">
        <v>4012</v>
      </c>
      <c r="W7" s="8" t="n">
        <v>4012</v>
      </c>
      <c r="X7" s="8" t="n">
        <v>4012</v>
      </c>
      <c r="Y7" s="8" t="n">
        <v>4012</v>
      </c>
      <c r="Z7" s="8" t="n">
        <v>4012</v>
      </c>
      <c r="AA7" s="8" t="n">
        <v>4012</v>
      </c>
      <c r="AB7" s="8" t="n">
        <v>4113</v>
      </c>
      <c r="AC7" s="8" t="n">
        <v>4118</v>
      </c>
      <c r="AD7" s="8" t="n">
        <v>4118</v>
      </c>
      <c r="AE7" s="8" t="n">
        <v>4118</v>
      </c>
      <c r="AF7" s="8" t="n">
        <v>4118</v>
      </c>
      <c r="AG7" s="8" t="n">
        <v>4118</v>
      </c>
      <c r="AH7" s="8" t="n">
        <v>4118</v>
      </c>
      <c r="AI7" s="57">
        <f>AH7-D7</f>
        <v/>
      </c>
    </row>
    <row r="8">
      <c r="A8" s="561" t="n">
        <v>2</v>
      </c>
      <c r="B8" s="561" t="inlineStr">
        <is>
          <t>3F</t>
        </is>
      </c>
      <c r="C8" s="141" t="inlineStr">
        <is>
          <t>SL No 540430038845 (EB Unit)</t>
        </is>
      </c>
      <c r="D8" s="561" t="n">
        <v>1956</v>
      </c>
      <c r="E8" s="561" t="n">
        <v>1956</v>
      </c>
      <c r="F8" s="561" t="n">
        <v>1956</v>
      </c>
      <c r="G8" s="561" t="n">
        <v>1956</v>
      </c>
      <c r="H8" s="561" t="n">
        <v>1956</v>
      </c>
      <c r="I8" s="561" t="n">
        <v>1956</v>
      </c>
      <c r="J8" s="561" t="n">
        <v>1956</v>
      </c>
      <c r="K8" s="561" t="n">
        <v>1956</v>
      </c>
      <c r="L8" s="561" t="n">
        <v>1956</v>
      </c>
      <c r="M8" s="561" t="n">
        <v>1956</v>
      </c>
      <c r="N8" s="561" t="n">
        <v>1956</v>
      </c>
      <c r="O8" s="561" t="n">
        <v>1956</v>
      </c>
      <c r="P8" s="561" t="n">
        <v>1956</v>
      </c>
      <c r="Q8" s="561" t="n">
        <v>1956</v>
      </c>
      <c r="R8" s="561" t="n">
        <v>1956</v>
      </c>
      <c r="S8" s="561" t="n">
        <v>1956</v>
      </c>
      <c r="T8" s="561" t="n">
        <v>1956</v>
      </c>
      <c r="U8" s="561" t="n">
        <v>1956</v>
      </c>
      <c r="V8" s="561" t="n">
        <v>1956</v>
      </c>
      <c r="W8" s="561" t="n">
        <v>1956</v>
      </c>
      <c r="X8" s="561" t="n">
        <v>1956</v>
      </c>
      <c r="Y8" s="561" t="n">
        <v>1956</v>
      </c>
      <c r="Z8" s="561" t="n">
        <v>1956</v>
      </c>
      <c r="AA8" s="561" t="n">
        <v>1956</v>
      </c>
      <c r="AB8" s="561" t="n">
        <v>1956</v>
      </c>
      <c r="AC8" s="561" t="n">
        <v>1956</v>
      </c>
      <c r="AD8" s="561" t="n">
        <v>1956</v>
      </c>
      <c r="AE8" s="561" t="n">
        <v>1956</v>
      </c>
      <c r="AF8" s="561" t="n">
        <v>1956</v>
      </c>
      <c r="AG8" s="561" t="n">
        <v>1956</v>
      </c>
      <c r="AH8" s="561" t="n">
        <v>1956</v>
      </c>
      <c r="AI8" s="57">
        <f>AH8-D8</f>
        <v/>
      </c>
    </row>
    <row r="9">
      <c r="A9" s="561" t="n"/>
      <c r="B9" s="561" t="n"/>
      <c r="C9" s="140" t="inlineStr">
        <is>
          <t>DG</t>
        </is>
      </c>
      <c r="D9" s="561" t="n">
        <v>28.6</v>
      </c>
      <c r="E9" s="561" t="n">
        <v>28.6</v>
      </c>
      <c r="F9" s="561" t="n">
        <v>28.6</v>
      </c>
      <c r="G9" s="561" t="n">
        <v>28.6</v>
      </c>
      <c r="H9" s="561" t="n">
        <v>28.6</v>
      </c>
      <c r="I9" s="561" t="n">
        <v>28.6</v>
      </c>
      <c r="J9" s="561" t="n">
        <v>28.6</v>
      </c>
      <c r="K9" s="561" t="n">
        <v>28.6</v>
      </c>
      <c r="L9" s="561" t="n">
        <v>28.6</v>
      </c>
      <c r="M9" s="561" t="n">
        <v>28.6</v>
      </c>
      <c r="N9" s="561" t="n">
        <v>28.6</v>
      </c>
      <c r="O9" s="561" t="n">
        <v>28.6</v>
      </c>
      <c r="P9" s="561" t="n">
        <v>28.6</v>
      </c>
      <c r="Q9" s="561" t="n">
        <v>28.6</v>
      </c>
      <c r="R9" s="561" t="n">
        <v>28.6</v>
      </c>
      <c r="S9" s="561" t="n">
        <v>28.6</v>
      </c>
      <c r="T9" s="561" t="n">
        <v>28.6</v>
      </c>
      <c r="U9" s="561" t="n">
        <v>28.6</v>
      </c>
      <c r="V9" s="561" t="n">
        <v>28.6</v>
      </c>
      <c r="W9" s="561" t="n">
        <v>28.6</v>
      </c>
      <c r="X9" s="561" t="n">
        <v>28.6</v>
      </c>
      <c r="Y9" s="561" t="n">
        <v>28.6</v>
      </c>
      <c r="Z9" s="561" t="n">
        <v>28.6</v>
      </c>
      <c r="AA9" s="561" t="n">
        <v>28.6</v>
      </c>
      <c r="AB9" s="561" t="n">
        <v>28.6</v>
      </c>
      <c r="AC9" s="561" t="n">
        <v>28.6</v>
      </c>
      <c r="AD9" s="561" t="n">
        <v>28.6</v>
      </c>
      <c r="AE9" s="561" t="n">
        <v>28.6</v>
      </c>
      <c r="AF9" s="561" t="n">
        <v>28.6</v>
      </c>
      <c r="AG9" s="561" t="n">
        <v>28.6</v>
      </c>
      <c r="AH9" s="561" t="n">
        <v>28.6</v>
      </c>
      <c r="AI9" s="57">
        <f>AH9-D9</f>
        <v/>
      </c>
    </row>
    <row r="10">
      <c r="A10" s="561" t="n">
        <v>3</v>
      </c>
      <c r="B10" s="561" t="inlineStr">
        <is>
          <t>3F</t>
        </is>
      </c>
      <c r="C10" s="141" t="inlineStr">
        <is>
          <t>SL No 540430038844 (EB Unit)</t>
        </is>
      </c>
      <c r="D10" s="8" t="n">
        <v>145395</v>
      </c>
      <c r="E10" s="561" t="n">
        <v>145930</v>
      </c>
      <c r="F10" s="561" t="n">
        <v>146340</v>
      </c>
      <c r="G10" s="561" t="n">
        <v>146716</v>
      </c>
      <c r="H10" s="561" t="n">
        <v>147148</v>
      </c>
      <c r="I10" s="561" t="n">
        <v>147438</v>
      </c>
      <c r="J10" s="561" t="n">
        <v>147726</v>
      </c>
      <c r="K10" s="561" t="n">
        <v>148112</v>
      </c>
      <c r="L10" s="561" t="n">
        <v>148516</v>
      </c>
      <c r="M10" s="561" t="n">
        <v>148923</v>
      </c>
      <c r="N10" s="561" t="n">
        <v>149411</v>
      </c>
      <c r="O10" s="561" t="n">
        <v>149823</v>
      </c>
      <c r="P10" s="561" t="n">
        <v>150102</v>
      </c>
      <c r="Q10" s="561" t="n">
        <v>150370</v>
      </c>
      <c r="R10" s="561" t="n">
        <v>150765</v>
      </c>
      <c r="S10" s="561" t="n">
        <v>151167</v>
      </c>
      <c r="T10" s="561" t="n">
        <v>151555</v>
      </c>
      <c r="U10" s="561" t="n">
        <v>151880</v>
      </c>
      <c r="V10" s="561" t="n">
        <v>152224</v>
      </c>
      <c r="W10" s="561" t="n">
        <v>152448</v>
      </c>
      <c r="X10" s="561" t="n">
        <v>152755</v>
      </c>
      <c r="Y10" s="561" t="n">
        <v>153103</v>
      </c>
      <c r="Z10" s="561" t="n">
        <v>153477</v>
      </c>
      <c r="AA10" s="8" t="n">
        <v>153872</v>
      </c>
      <c r="AB10" s="8" t="n">
        <v>154110</v>
      </c>
      <c r="AC10" s="561" t="n">
        <v>154483</v>
      </c>
      <c r="AD10" s="561" t="n">
        <v>154748</v>
      </c>
      <c r="AE10" s="8" t="n">
        <v>155011</v>
      </c>
      <c r="AF10" s="8" t="n">
        <v>155393</v>
      </c>
      <c r="AG10" s="8" t="n">
        <v>155794</v>
      </c>
      <c r="AH10" s="8" t="n">
        <v>156211</v>
      </c>
      <c r="AI10" s="57">
        <f>AH10-D10</f>
        <v/>
      </c>
    </row>
    <row r="11">
      <c r="A11" s="561" t="n"/>
      <c r="B11" s="561" t="n"/>
      <c r="C11" s="140" t="inlineStr">
        <is>
          <t>DG</t>
        </is>
      </c>
      <c r="D11" s="561" t="n">
        <v>5938</v>
      </c>
      <c r="E11" s="561" t="n">
        <v>5938</v>
      </c>
      <c r="F11" s="561" t="n">
        <v>5938</v>
      </c>
      <c r="G11" s="561" t="n">
        <v>5938</v>
      </c>
      <c r="H11" s="561" t="n">
        <v>5938</v>
      </c>
      <c r="I11" s="561" t="n">
        <v>5938</v>
      </c>
      <c r="J11" s="561" t="n">
        <v>5938</v>
      </c>
      <c r="K11" s="561" t="n">
        <v>5938</v>
      </c>
      <c r="L11" s="561" t="n">
        <v>5938</v>
      </c>
      <c r="M11" s="561" t="n">
        <v>5938</v>
      </c>
      <c r="N11" s="561" t="n">
        <v>5938</v>
      </c>
      <c r="O11" s="561" t="n">
        <v>5938</v>
      </c>
      <c r="P11" s="561" t="n">
        <v>5938</v>
      </c>
      <c r="Q11" s="561" t="n">
        <v>5938</v>
      </c>
      <c r="R11" s="561" t="n">
        <v>5938</v>
      </c>
      <c r="S11" s="561" t="n">
        <v>5938</v>
      </c>
      <c r="T11" s="561" t="n">
        <v>5938</v>
      </c>
      <c r="U11" s="561" t="n">
        <v>6002</v>
      </c>
      <c r="V11" s="561" t="n">
        <v>6002</v>
      </c>
      <c r="W11" s="561" t="n">
        <v>6002</v>
      </c>
      <c r="X11" s="561" t="n">
        <v>6002</v>
      </c>
      <c r="Y11" s="561" t="n">
        <v>6002</v>
      </c>
      <c r="Z11" s="561" t="n">
        <v>6002</v>
      </c>
      <c r="AA11" s="561" t="n">
        <v>6002</v>
      </c>
      <c r="AB11" s="561" t="n">
        <v>6157</v>
      </c>
      <c r="AC11" s="561" t="n">
        <v>6164</v>
      </c>
      <c r="AD11" s="561" t="n">
        <v>6164</v>
      </c>
      <c r="AE11" s="561" t="n">
        <v>6164</v>
      </c>
      <c r="AF11" s="561" t="n">
        <v>6164</v>
      </c>
      <c r="AG11" s="561" t="n">
        <v>6164</v>
      </c>
      <c r="AH11" s="561" t="n">
        <v>6164</v>
      </c>
      <c r="AI11" s="57">
        <f>AH11-D11</f>
        <v/>
      </c>
    </row>
    <row r="12">
      <c r="A12" s="561" t="n">
        <v>4</v>
      </c>
      <c r="B12" s="561" t="inlineStr">
        <is>
          <t>3F</t>
        </is>
      </c>
      <c r="C12" s="141" t="inlineStr">
        <is>
          <t>SL No 540430038821 (EB Unit)</t>
        </is>
      </c>
      <c r="D12" s="561" t="n">
        <v>0</v>
      </c>
      <c r="E12" s="561" t="n">
        <v>0</v>
      </c>
      <c r="F12" s="561" t="n">
        <v>0</v>
      </c>
      <c r="G12" s="561" t="n">
        <v>0</v>
      </c>
      <c r="H12" s="561" t="n">
        <v>0</v>
      </c>
      <c r="I12" s="561" t="n">
        <v>0</v>
      </c>
      <c r="J12" s="561" t="n">
        <v>0</v>
      </c>
      <c r="K12" s="561" t="n">
        <v>0</v>
      </c>
      <c r="L12" s="561" t="n">
        <v>0</v>
      </c>
      <c r="M12" s="561" t="n">
        <v>0</v>
      </c>
      <c r="N12" s="561" t="n">
        <v>0</v>
      </c>
      <c r="O12" s="561" t="n">
        <v>0</v>
      </c>
      <c r="P12" s="561" t="n">
        <v>0</v>
      </c>
      <c r="Q12" s="561" t="n">
        <v>0</v>
      </c>
      <c r="R12" s="561" t="n">
        <v>0</v>
      </c>
      <c r="S12" s="561" t="n">
        <v>0</v>
      </c>
      <c r="T12" s="561" t="n">
        <v>0</v>
      </c>
      <c r="U12" s="561" t="n">
        <v>0</v>
      </c>
      <c r="V12" s="561" t="n">
        <v>0</v>
      </c>
      <c r="W12" s="561" t="n">
        <v>0</v>
      </c>
      <c r="X12" s="561" t="n">
        <v>0</v>
      </c>
      <c r="Y12" s="561" t="n">
        <v>0</v>
      </c>
      <c r="Z12" s="561" t="n">
        <v>0</v>
      </c>
      <c r="AA12" s="561" t="n">
        <v>0</v>
      </c>
      <c r="AB12" s="561" t="n">
        <v>0</v>
      </c>
      <c r="AC12" s="561" t="n">
        <v>0</v>
      </c>
      <c r="AD12" s="561" t="n">
        <v>0</v>
      </c>
      <c r="AE12" s="561" t="n">
        <v>0</v>
      </c>
      <c r="AF12" s="561" t="n">
        <v>0</v>
      </c>
      <c r="AG12" s="561" t="n">
        <v>0</v>
      </c>
      <c r="AH12" s="561" t="n">
        <v>0</v>
      </c>
      <c r="AI12" s="57">
        <f>AH12-D12</f>
        <v/>
      </c>
    </row>
    <row r="13">
      <c r="A13" s="561" t="n"/>
      <c r="B13" s="561" t="n"/>
      <c r="C13" s="140" t="inlineStr">
        <is>
          <t>DG</t>
        </is>
      </c>
      <c r="D13" s="561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7">
        <f>AH13-D13</f>
        <v/>
      </c>
    </row>
    <row r="14">
      <c r="A14" s="561" t="n">
        <v>5</v>
      </c>
      <c r="B14" s="561" t="inlineStr">
        <is>
          <t>3F</t>
        </is>
      </c>
      <c r="C14" s="141" t="inlineStr">
        <is>
          <t>SL No 540430038849 (EB Unit)</t>
        </is>
      </c>
      <c r="D14" s="8" t="n">
        <v>68389</v>
      </c>
      <c r="E14" s="561" t="n">
        <v>68656</v>
      </c>
      <c r="F14" s="561" t="n">
        <v>68868</v>
      </c>
      <c r="G14" s="561" t="n">
        <v>69063</v>
      </c>
      <c r="H14" s="561" t="n">
        <v>69256</v>
      </c>
      <c r="I14" s="561" t="n">
        <v>69339</v>
      </c>
      <c r="J14" s="561" t="n">
        <v>69428</v>
      </c>
      <c r="K14" s="561" t="n">
        <v>69626</v>
      </c>
      <c r="L14" s="561" t="n">
        <v>69848</v>
      </c>
      <c r="M14" s="561" t="n">
        <v>70069</v>
      </c>
      <c r="N14" s="561" t="n">
        <v>70290</v>
      </c>
      <c r="O14" s="561" t="n">
        <v>70501</v>
      </c>
      <c r="P14" s="561" t="n">
        <v>70611</v>
      </c>
      <c r="Q14" s="561" t="n">
        <v>70723</v>
      </c>
      <c r="R14" s="561" t="n">
        <v>70929</v>
      </c>
      <c r="S14" s="561" t="n">
        <v>71147</v>
      </c>
      <c r="T14" s="561" t="n">
        <v>71362</v>
      </c>
      <c r="U14" s="33" t="n">
        <v>71536</v>
      </c>
      <c r="V14" s="561" t="n">
        <v>71719</v>
      </c>
      <c r="W14" s="561" t="n">
        <v>71833</v>
      </c>
      <c r="X14" s="561" t="n">
        <v>71951</v>
      </c>
      <c r="Y14" s="561" t="n">
        <v>72153</v>
      </c>
      <c r="Z14" s="561" t="n">
        <v>72359</v>
      </c>
      <c r="AA14" s="8" t="n">
        <v>72583</v>
      </c>
      <c r="AB14" s="8" t="n">
        <v>72713</v>
      </c>
      <c r="AC14" s="561" t="n">
        <v>72912</v>
      </c>
      <c r="AD14" s="561" t="n">
        <v>73013</v>
      </c>
      <c r="AE14" s="8" t="n">
        <v>73102</v>
      </c>
      <c r="AF14" s="8" t="n">
        <v>73309</v>
      </c>
      <c r="AG14" s="8" t="n">
        <v>73521</v>
      </c>
      <c r="AH14" s="8" t="n">
        <v>73751</v>
      </c>
      <c r="AI14" s="57">
        <f>AH14-D14</f>
        <v/>
      </c>
    </row>
    <row r="15">
      <c r="A15" s="561" t="n"/>
      <c r="B15" s="561" t="n"/>
      <c r="C15" s="140" t="inlineStr">
        <is>
          <t>DG</t>
        </is>
      </c>
      <c r="D15" s="561" t="n">
        <v>3018</v>
      </c>
      <c r="E15" s="561" t="n">
        <v>3018</v>
      </c>
      <c r="F15" s="561" t="n">
        <v>3018</v>
      </c>
      <c r="G15" s="561" t="n">
        <v>3018</v>
      </c>
      <c r="H15" s="561" t="n">
        <v>3018</v>
      </c>
      <c r="I15" s="561" t="n">
        <v>3018</v>
      </c>
      <c r="J15" s="561" t="n">
        <v>3018</v>
      </c>
      <c r="K15" s="561" t="n">
        <v>3018</v>
      </c>
      <c r="L15" s="561" t="n">
        <v>3018</v>
      </c>
      <c r="M15" s="561" t="n">
        <v>3018</v>
      </c>
      <c r="N15" s="561" t="n">
        <v>3018</v>
      </c>
      <c r="O15" s="561" t="n">
        <v>3018</v>
      </c>
      <c r="P15" s="561" t="n">
        <v>3018</v>
      </c>
      <c r="Q15" s="561" t="n">
        <v>3018</v>
      </c>
      <c r="R15" s="60" t="n">
        <v>3018</v>
      </c>
      <c r="S15" s="60" t="n">
        <v>3018</v>
      </c>
      <c r="T15" s="60" t="n">
        <v>3018</v>
      </c>
      <c r="U15" s="60" t="n">
        <v>3054</v>
      </c>
      <c r="V15" s="60" t="n">
        <v>3054</v>
      </c>
      <c r="W15" s="60" t="n">
        <v>3054</v>
      </c>
      <c r="X15" s="60" t="n">
        <v>3054</v>
      </c>
      <c r="Y15" s="60" t="n">
        <v>3054</v>
      </c>
      <c r="Z15" s="60" t="n">
        <v>3054</v>
      </c>
      <c r="AA15" s="60" t="n">
        <v>3054</v>
      </c>
      <c r="AB15" s="561" t="n">
        <v>3145</v>
      </c>
      <c r="AC15" s="561" t="n">
        <v>3149</v>
      </c>
      <c r="AD15" s="561" t="n">
        <v>3149</v>
      </c>
      <c r="AE15" s="561" t="n">
        <v>3149</v>
      </c>
      <c r="AF15" s="561" t="n">
        <v>3149</v>
      </c>
      <c r="AG15" s="561" t="n">
        <v>3149</v>
      </c>
      <c r="AH15" s="561" t="n">
        <v>3149</v>
      </c>
      <c r="AI15" s="57">
        <f>AH15-D15</f>
        <v/>
      </c>
    </row>
    <row r="16">
      <c r="A16" s="561" t="n">
        <v>6</v>
      </c>
      <c r="B16" s="561" t="inlineStr">
        <is>
          <t>3F</t>
        </is>
      </c>
      <c r="C16" s="141" t="inlineStr">
        <is>
          <t>SL No 540430038646 (EB Unit)</t>
        </is>
      </c>
      <c r="D16" s="8" t="n">
        <v>82927</v>
      </c>
      <c r="E16" s="131" t="n">
        <v>83233</v>
      </c>
      <c r="F16" s="561" t="n">
        <v>83508</v>
      </c>
      <c r="G16" s="561" t="n">
        <v>83782</v>
      </c>
      <c r="H16" s="561" t="n">
        <v>84070</v>
      </c>
      <c r="I16" s="561" t="n">
        <v>84170</v>
      </c>
      <c r="J16" s="561" t="n">
        <v>84306</v>
      </c>
      <c r="K16" s="58" t="n">
        <v>84574</v>
      </c>
      <c r="L16" s="127" t="n">
        <v>84869</v>
      </c>
      <c r="M16" s="132" t="n">
        <v>85133</v>
      </c>
      <c r="N16" s="132" t="n">
        <v>85433</v>
      </c>
      <c r="O16" s="132" t="n">
        <v>85714</v>
      </c>
      <c r="P16" s="132" t="n">
        <v>85839</v>
      </c>
      <c r="Q16" s="133" t="n">
        <v>85938</v>
      </c>
      <c r="R16" s="132" t="n">
        <v>86224</v>
      </c>
      <c r="S16" s="59" t="n">
        <v>86480</v>
      </c>
      <c r="T16" s="561" t="n">
        <v>86776</v>
      </c>
      <c r="U16" s="561" t="n">
        <v>86992</v>
      </c>
      <c r="V16" s="561" t="n">
        <v>87256</v>
      </c>
      <c r="W16" s="561" t="n">
        <v>87379</v>
      </c>
      <c r="X16" s="561" t="n">
        <v>87492</v>
      </c>
      <c r="Y16" s="561" t="n">
        <v>87766</v>
      </c>
      <c r="Z16" s="561" t="n">
        <v>88049</v>
      </c>
      <c r="AA16" s="561" t="n">
        <v>88327</v>
      </c>
      <c r="AB16" s="8" t="n">
        <v>88490</v>
      </c>
      <c r="AC16" s="561" t="n">
        <v>88752</v>
      </c>
      <c r="AD16" s="561" t="n">
        <v>88854</v>
      </c>
      <c r="AE16" s="8" t="n">
        <v>88954</v>
      </c>
      <c r="AF16" s="8" t="n">
        <v>89219</v>
      </c>
      <c r="AG16" s="561" t="n">
        <v>89471</v>
      </c>
      <c r="AH16" s="8" t="n">
        <v>89738</v>
      </c>
      <c r="AI16" s="57">
        <f>AH16-D16</f>
        <v/>
      </c>
    </row>
    <row r="17">
      <c r="A17" s="561" t="n"/>
      <c r="B17" s="561" t="n"/>
      <c r="C17" s="140" t="inlineStr">
        <is>
          <t>DG</t>
        </is>
      </c>
      <c r="D17" s="561" t="n">
        <v>3935</v>
      </c>
      <c r="E17" s="561" t="n">
        <v>3935</v>
      </c>
      <c r="F17" s="561" t="n">
        <v>3935</v>
      </c>
      <c r="G17" s="561" t="n">
        <v>3935</v>
      </c>
      <c r="H17" s="561" t="n">
        <v>3935</v>
      </c>
      <c r="I17" s="561" t="n">
        <v>3935</v>
      </c>
      <c r="J17" s="561" t="n">
        <v>3935</v>
      </c>
      <c r="K17" s="561" t="n">
        <v>3935</v>
      </c>
      <c r="L17" s="561" t="n">
        <v>3935</v>
      </c>
      <c r="M17" s="561" t="n">
        <v>3935</v>
      </c>
      <c r="N17" s="561" t="n">
        <v>3935</v>
      </c>
      <c r="O17" s="561" t="n">
        <v>3935</v>
      </c>
      <c r="P17" s="561" t="n">
        <v>3935</v>
      </c>
      <c r="Q17" s="561" t="n">
        <v>3935</v>
      </c>
      <c r="R17" s="8" t="n">
        <v>3935</v>
      </c>
      <c r="S17" s="129" t="n">
        <v>3935</v>
      </c>
      <c r="T17" s="129" t="n">
        <v>3935</v>
      </c>
      <c r="U17" s="129" t="n">
        <v>3984</v>
      </c>
      <c r="V17" s="129" t="n">
        <v>3984</v>
      </c>
      <c r="W17" s="129" t="n">
        <v>3984</v>
      </c>
      <c r="X17" s="129" t="n">
        <v>3984</v>
      </c>
      <c r="Y17" s="129" t="n">
        <v>3984</v>
      </c>
      <c r="Z17" s="129" t="n">
        <v>3984</v>
      </c>
      <c r="AA17" s="129" t="n">
        <v>3984</v>
      </c>
      <c r="AB17" s="561" t="n">
        <v>4111</v>
      </c>
      <c r="AC17" s="561" t="n">
        <v>4115</v>
      </c>
      <c r="AD17" s="561" t="n">
        <v>4115</v>
      </c>
      <c r="AE17" s="561" t="n">
        <v>4115</v>
      </c>
      <c r="AF17" s="561" t="n">
        <v>4115</v>
      </c>
      <c r="AG17" s="561" t="n">
        <v>4115</v>
      </c>
      <c r="AH17" s="561" t="n">
        <v>4115</v>
      </c>
      <c r="AI17" s="57">
        <f>AH17-D17</f>
        <v/>
      </c>
    </row>
    <row r="18">
      <c r="A18" s="561" t="n">
        <v>7</v>
      </c>
      <c r="B18" s="561" t="inlineStr">
        <is>
          <t>3F</t>
        </is>
      </c>
      <c r="C18" s="141" t="inlineStr">
        <is>
          <t>SL No 540430038843 (EB Unit)</t>
        </is>
      </c>
      <c r="D18" s="8" t="n">
        <v>275737</v>
      </c>
      <c r="E18" s="561" t="n">
        <v>276527</v>
      </c>
      <c r="F18" s="561" t="n">
        <v>277268</v>
      </c>
      <c r="G18" s="561" t="n">
        <v>277968</v>
      </c>
      <c r="H18" s="561" t="n">
        <v>278677</v>
      </c>
      <c r="I18" s="561" t="n">
        <v>279138</v>
      </c>
      <c r="J18" s="561" t="n">
        <v>279576</v>
      </c>
      <c r="K18" s="561" t="n">
        <v>280282</v>
      </c>
      <c r="L18" s="561" t="n">
        <v>280995</v>
      </c>
      <c r="M18" s="561" t="n">
        <v>281742</v>
      </c>
      <c r="N18" s="5" t="n">
        <v>282497</v>
      </c>
      <c r="O18" s="561" t="n">
        <v>283238</v>
      </c>
      <c r="P18" s="561" t="n">
        <v>283826</v>
      </c>
      <c r="Q18" s="561" t="n">
        <v>284315</v>
      </c>
      <c r="R18" s="8" t="n">
        <v>285041</v>
      </c>
      <c r="S18" s="5" t="n">
        <v>285798</v>
      </c>
      <c r="T18" s="561" t="n">
        <v>286511</v>
      </c>
      <c r="U18" s="561" t="n">
        <v>287147</v>
      </c>
      <c r="V18" s="561" t="n">
        <v>287882</v>
      </c>
      <c r="W18" s="561" t="n">
        <v>288470</v>
      </c>
      <c r="X18" s="33" t="n">
        <v>288976</v>
      </c>
      <c r="Y18" s="561" t="n">
        <v>289662</v>
      </c>
      <c r="Z18" s="561" t="n">
        <v>290311</v>
      </c>
      <c r="AA18" s="8" t="n">
        <v>291081</v>
      </c>
      <c r="AB18" s="8" t="n">
        <v>291523</v>
      </c>
      <c r="AC18" s="561" t="n">
        <v>292273</v>
      </c>
      <c r="AD18" s="561" t="n">
        <v>292832</v>
      </c>
      <c r="AE18" s="8" t="n">
        <v>293259</v>
      </c>
      <c r="AF18" s="8" t="n">
        <v>294017</v>
      </c>
      <c r="AG18" s="8" t="n">
        <v>294785</v>
      </c>
      <c r="AH18" s="8" t="n">
        <v>295586</v>
      </c>
      <c r="AI18" s="57">
        <f>AH18-D18</f>
        <v/>
      </c>
    </row>
    <row r="19">
      <c r="A19" s="561" t="n"/>
      <c r="B19" s="561" t="n"/>
      <c r="C19" s="140" t="inlineStr">
        <is>
          <t>DG</t>
        </is>
      </c>
      <c r="D19" s="561" t="n">
        <v>10746</v>
      </c>
      <c r="E19" s="561" t="n">
        <v>10746</v>
      </c>
      <c r="F19" s="561" t="n">
        <v>10746</v>
      </c>
      <c r="G19" s="561" t="n">
        <v>10746</v>
      </c>
      <c r="H19" s="561" t="n">
        <v>10746</v>
      </c>
      <c r="I19" s="561" t="n">
        <v>10746</v>
      </c>
      <c r="J19" s="561" t="n">
        <v>10746</v>
      </c>
      <c r="K19" s="561" t="n">
        <v>10746</v>
      </c>
      <c r="L19" s="561" t="n">
        <v>10746</v>
      </c>
      <c r="M19" s="561" t="n">
        <v>10746</v>
      </c>
      <c r="N19" s="561" t="n">
        <v>10746</v>
      </c>
      <c r="O19" s="561" t="n">
        <v>10746</v>
      </c>
      <c r="P19" s="561" t="n">
        <v>10746</v>
      </c>
      <c r="Q19" s="561" t="n">
        <v>10746</v>
      </c>
      <c r="R19" s="561" t="n">
        <v>10746</v>
      </c>
      <c r="S19" s="561" t="n">
        <v>10746</v>
      </c>
      <c r="T19" s="561" t="n">
        <v>10746</v>
      </c>
      <c r="U19" s="561" t="n">
        <v>10874</v>
      </c>
      <c r="V19" s="561" t="n">
        <v>10874</v>
      </c>
      <c r="W19" s="561" t="n">
        <v>10874</v>
      </c>
      <c r="X19" s="561" t="n">
        <v>10874</v>
      </c>
      <c r="Y19" s="561" t="n">
        <v>10874</v>
      </c>
      <c r="Z19" s="561" t="n">
        <v>10874</v>
      </c>
      <c r="AA19" s="561" t="n">
        <v>10874</v>
      </c>
      <c r="AB19" s="561" t="n">
        <v>11171</v>
      </c>
      <c r="AC19" s="561" t="n">
        <v>11189</v>
      </c>
      <c r="AD19" s="561" t="n">
        <v>11189</v>
      </c>
      <c r="AE19" s="561" t="n">
        <v>11189</v>
      </c>
      <c r="AF19" s="561" t="n">
        <v>11189</v>
      </c>
      <c r="AG19" s="561" t="n">
        <v>11189</v>
      </c>
      <c r="AH19" s="561" t="n">
        <v>11189</v>
      </c>
      <c r="AI19" s="57">
        <f>AH19-D19</f>
        <v/>
      </c>
    </row>
    <row r="20">
      <c r="A20" s="561" t="n">
        <v>8</v>
      </c>
      <c r="B20" s="561" t="inlineStr">
        <is>
          <t>3F</t>
        </is>
      </c>
      <c r="C20" s="141" t="inlineStr">
        <is>
          <t>SL No 540430038848 (EB Unit)</t>
        </is>
      </c>
      <c r="D20" s="8" t="n">
        <v>55458</v>
      </c>
      <c r="E20" s="561" t="n">
        <v>55635</v>
      </c>
      <c r="F20" s="561" t="n">
        <v>55753</v>
      </c>
      <c r="G20" s="561" t="n">
        <v>55881</v>
      </c>
      <c r="H20" s="561" t="n">
        <v>55997</v>
      </c>
      <c r="I20" s="561" t="n">
        <v>56103</v>
      </c>
      <c r="J20" s="561" t="n">
        <v>56222</v>
      </c>
      <c r="K20" s="561" t="n">
        <v>56397</v>
      </c>
      <c r="L20" s="561" t="n">
        <v>56538</v>
      </c>
      <c r="M20" s="561" t="n">
        <v>56724</v>
      </c>
      <c r="N20" s="561" t="n">
        <v>56869</v>
      </c>
      <c r="O20" s="561" t="n">
        <v>57020</v>
      </c>
      <c r="P20" s="561" t="n">
        <v>57135</v>
      </c>
      <c r="Q20" s="561" t="n">
        <v>57284</v>
      </c>
      <c r="R20" s="561" t="n">
        <v>57421</v>
      </c>
      <c r="S20" s="561" t="n">
        <v>57593</v>
      </c>
      <c r="T20" s="561" t="n">
        <v>57724</v>
      </c>
      <c r="U20" s="561" t="n">
        <v>57885</v>
      </c>
      <c r="V20" s="561" t="n">
        <v>58022</v>
      </c>
      <c r="W20" s="561" t="n">
        <v>58180</v>
      </c>
      <c r="X20" s="561" t="n">
        <v>58301</v>
      </c>
      <c r="Y20" s="561" t="n">
        <v>58480</v>
      </c>
      <c r="Z20" s="561" t="n">
        <v>58507</v>
      </c>
      <c r="AA20" s="8" t="n">
        <v>58729</v>
      </c>
      <c r="AB20" s="8" t="n">
        <v>58786</v>
      </c>
      <c r="AC20" s="561" t="n">
        <v>58915</v>
      </c>
      <c r="AD20" s="561" t="n">
        <v>59026</v>
      </c>
      <c r="AE20" s="8" t="n">
        <v>59159</v>
      </c>
      <c r="AF20" s="8" t="n">
        <v>59293</v>
      </c>
      <c r="AG20" s="8" t="n">
        <v>59455</v>
      </c>
      <c r="AH20" s="8" t="n">
        <v>59619</v>
      </c>
      <c r="AI20" s="57">
        <f>AH20-D20</f>
        <v/>
      </c>
    </row>
    <row r="21">
      <c r="A21" s="561" t="n"/>
      <c r="B21" s="561" t="n"/>
      <c r="C21" s="140" t="inlineStr">
        <is>
          <t>DG</t>
        </is>
      </c>
      <c r="D21" s="561" t="n">
        <v>2048</v>
      </c>
      <c r="E21" s="561" t="n">
        <v>2048</v>
      </c>
      <c r="F21" s="561" t="n">
        <v>2048</v>
      </c>
      <c r="G21" s="561" t="n">
        <v>2048</v>
      </c>
      <c r="H21" s="561" t="n">
        <v>2048</v>
      </c>
      <c r="I21" s="561" t="n">
        <v>2048</v>
      </c>
      <c r="J21" s="561" t="n">
        <v>2048</v>
      </c>
      <c r="K21" s="561" t="n">
        <v>2048</v>
      </c>
      <c r="L21" s="561" t="n">
        <v>2048</v>
      </c>
      <c r="M21" s="561" t="n">
        <v>2048</v>
      </c>
      <c r="N21" s="561" t="n">
        <v>2048</v>
      </c>
      <c r="O21" s="561" t="n">
        <v>2048</v>
      </c>
      <c r="P21" s="561" t="n">
        <v>2048</v>
      </c>
      <c r="Q21" s="561" t="n">
        <v>2048</v>
      </c>
      <c r="R21" s="561" t="n">
        <v>2048</v>
      </c>
      <c r="S21" s="561" t="n">
        <v>2048</v>
      </c>
      <c r="T21" s="561" t="n">
        <v>2048</v>
      </c>
      <c r="U21" s="561" t="n">
        <v>2066</v>
      </c>
      <c r="V21" s="561" t="n">
        <v>2066</v>
      </c>
      <c r="W21" s="561" t="n">
        <v>2066</v>
      </c>
      <c r="X21" s="561" t="n">
        <v>2066</v>
      </c>
      <c r="Y21" s="561" t="n">
        <v>2066</v>
      </c>
      <c r="Z21" s="561" t="n">
        <v>2066</v>
      </c>
      <c r="AA21" s="561" t="n">
        <v>2066</v>
      </c>
      <c r="AB21" s="561" t="n">
        <v>2126</v>
      </c>
      <c r="AC21" s="561" t="n">
        <v>2128</v>
      </c>
      <c r="AD21" s="561" t="n">
        <v>2128</v>
      </c>
      <c r="AE21" s="561" t="n">
        <v>2128</v>
      </c>
      <c r="AF21" s="561" t="n">
        <v>2128</v>
      </c>
      <c r="AG21" s="561" t="n">
        <v>2128</v>
      </c>
      <c r="AH21" s="561" t="n">
        <v>2128</v>
      </c>
      <c r="AI21" s="57">
        <f>AH21-D21</f>
        <v/>
      </c>
    </row>
    <row r="22">
      <c r="A22" s="500" t="n"/>
      <c r="B22" s="520" t="n"/>
      <c r="C22" s="520" t="n"/>
      <c r="D22" s="520" t="n"/>
      <c r="E22" s="520" t="n"/>
      <c r="F22" s="520" t="n"/>
      <c r="G22" s="520" t="n"/>
      <c r="H22" s="520" t="n"/>
      <c r="I22" s="520" t="n"/>
      <c r="J22" s="520" t="n"/>
      <c r="K22" s="520" t="n"/>
      <c r="L22" s="520" t="n"/>
      <c r="M22" s="520" t="n"/>
      <c r="N22" s="520" t="n"/>
      <c r="O22" s="520" t="n"/>
      <c r="P22" s="520" t="n"/>
      <c r="Q22" s="520" t="n"/>
      <c r="R22" s="520" t="n"/>
      <c r="S22" s="520" t="n"/>
      <c r="T22" s="520" t="n"/>
      <c r="U22" s="520" t="n"/>
      <c r="V22" s="520" t="n"/>
      <c r="W22" s="520" t="n"/>
      <c r="X22" s="520" t="n"/>
      <c r="Y22" s="520" t="n"/>
      <c r="Z22" s="520" t="n"/>
      <c r="AA22" s="520" t="n"/>
      <c r="AB22" s="520" t="n"/>
      <c r="AC22" s="520" t="n"/>
      <c r="AD22" s="520" t="n"/>
      <c r="AE22" s="520" t="n"/>
      <c r="AF22" s="520" t="n"/>
      <c r="AG22" s="520" t="n"/>
      <c r="AH22" s="520" t="n"/>
      <c r="AI22" s="501" t="n"/>
    </row>
    <row r="23">
      <c r="A23" s="561" t="n">
        <v>1</v>
      </c>
      <c r="B23" s="561" t="inlineStr">
        <is>
          <t>3F</t>
        </is>
      </c>
      <c r="C23" s="141" t="inlineStr">
        <is>
          <t>AHU1</t>
        </is>
      </c>
      <c r="D23" s="8" t="n">
        <v>25188</v>
      </c>
      <c r="E23" s="561" t="n">
        <v>25249</v>
      </c>
      <c r="F23" s="561" t="n">
        <v>25291</v>
      </c>
      <c r="G23" s="561" t="n">
        <v>25335</v>
      </c>
      <c r="H23" s="561" t="n">
        <v>25376</v>
      </c>
      <c r="I23" s="561" t="n">
        <v>25406</v>
      </c>
      <c r="J23" s="561" t="n">
        <v>25406</v>
      </c>
      <c r="K23" s="561" t="n">
        <v>25490</v>
      </c>
      <c r="L23" s="561" t="n">
        <v>25540</v>
      </c>
      <c r="M23" s="561" t="n">
        <v>25580</v>
      </c>
      <c r="N23" s="561" t="n">
        <v>25630</v>
      </c>
      <c r="O23" s="561" t="n">
        <v>25675</v>
      </c>
      <c r="P23" s="561" t="n">
        <v>25697</v>
      </c>
      <c r="Q23" s="561" t="n">
        <v>25697</v>
      </c>
      <c r="R23" s="561" t="n">
        <v>25767</v>
      </c>
      <c r="S23" s="561" t="n">
        <v>25816</v>
      </c>
      <c r="T23" s="561" t="n">
        <v>25853</v>
      </c>
      <c r="U23" s="561" t="n">
        <v>25878</v>
      </c>
      <c r="V23" s="561" t="n">
        <v>25914</v>
      </c>
      <c r="W23" s="561" t="n">
        <v>25933</v>
      </c>
      <c r="X23" s="561" t="n">
        <v>25933</v>
      </c>
      <c r="Y23" s="561" t="n">
        <v>26010</v>
      </c>
      <c r="Z23" s="561" t="n">
        <v>26047</v>
      </c>
      <c r="AA23" s="561" t="n">
        <v>26081</v>
      </c>
      <c r="AB23" s="561" t="n">
        <v>26109</v>
      </c>
      <c r="AC23" s="561" t="n">
        <v>26142</v>
      </c>
      <c r="AD23" s="561" t="n">
        <v>26160</v>
      </c>
      <c r="AE23" s="561" t="n">
        <v>26160</v>
      </c>
      <c r="AF23" s="561" t="n">
        <v>26209</v>
      </c>
      <c r="AG23" s="561" t="n">
        <v>26273</v>
      </c>
      <c r="AH23" s="8" t="n">
        <v>26337</v>
      </c>
      <c r="AI23" s="7">
        <f>AH23-D23</f>
        <v/>
      </c>
    </row>
    <row r="24">
      <c r="A24" s="561" t="n"/>
      <c r="B24" s="561" t="n"/>
      <c r="C24" s="142" t="inlineStr">
        <is>
          <t>DG</t>
        </is>
      </c>
      <c r="D24" s="561" t="n">
        <v>1832</v>
      </c>
      <c r="E24" s="561" t="n">
        <v>1832</v>
      </c>
      <c r="F24" s="561" t="n">
        <v>1832</v>
      </c>
      <c r="G24" s="561" t="n">
        <v>1832</v>
      </c>
      <c r="H24" s="561" t="n">
        <v>1832</v>
      </c>
      <c r="I24" s="561" t="n">
        <v>1832</v>
      </c>
      <c r="J24" s="561" t="n">
        <v>1832</v>
      </c>
      <c r="K24" s="561" t="n">
        <v>1832</v>
      </c>
      <c r="L24" s="561" t="n">
        <v>1832</v>
      </c>
      <c r="M24" s="561" t="n">
        <v>1832</v>
      </c>
      <c r="N24" s="561" t="n">
        <v>1832</v>
      </c>
      <c r="O24" s="561" t="n">
        <v>1832</v>
      </c>
      <c r="P24" s="561" t="n">
        <v>1832</v>
      </c>
      <c r="Q24" s="561" t="n">
        <v>1832</v>
      </c>
      <c r="R24" s="561" t="n">
        <v>1832</v>
      </c>
      <c r="S24" s="561" t="n">
        <v>1832</v>
      </c>
      <c r="T24" s="561" t="n">
        <v>1832</v>
      </c>
      <c r="U24" s="561" t="n">
        <v>1842</v>
      </c>
      <c r="V24" s="561" t="n">
        <v>1842</v>
      </c>
      <c r="W24" s="561" t="n">
        <v>1842</v>
      </c>
      <c r="X24" s="561" t="n">
        <v>1842</v>
      </c>
      <c r="Y24" s="561" t="n">
        <v>1842</v>
      </c>
      <c r="Z24" s="561" t="n">
        <v>1842</v>
      </c>
      <c r="AA24" s="561" t="n">
        <v>1842</v>
      </c>
      <c r="AB24" s="561" t="n">
        <v>1876</v>
      </c>
      <c r="AC24" s="561" t="n">
        <v>1876</v>
      </c>
      <c r="AD24" s="561" t="n">
        <v>1876</v>
      </c>
      <c r="AE24" s="561" t="n">
        <v>1876</v>
      </c>
      <c r="AF24" s="561" t="n">
        <v>1876</v>
      </c>
      <c r="AG24" s="561" t="n">
        <v>1876</v>
      </c>
      <c r="AH24" s="561" t="n">
        <v>1876</v>
      </c>
      <c r="AI24" s="7">
        <f>AH24-D24</f>
        <v/>
      </c>
    </row>
    <row r="25">
      <c r="A25" s="561" t="n">
        <v>2</v>
      </c>
      <c r="B25" s="561" t="inlineStr">
        <is>
          <t>3F</t>
        </is>
      </c>
      <c r="C25" s="141" t="inlineStr">
        <is>
          <t>AHU2</t>
        </is>
      </c>
      <c r="D25" s="8" t="n">
        <v>25865</v>
      </c>
      <c r="E25" s="561" t="n">
        <v>25918</v>
      </c>
      <c r="F25" s="561" t="n">
        <v>25966</v>
      </c>
      <c r="G25" s="561" t="n">
        <v>26014</v>
      </c>
      <c r="H25" s="561" t="n">
        <v>26060</v>
      </c>
      <c r="I25" s="561" t="n">
        <v>26093</v>
      </c>
      <c r="J25" s="561" t="n">
        <v>26093</v>
      </c>
      <c r="K25" s="561" t="n">
        <v>26178</v>
      </c>
      <c r="L25" s="561" t="n">
        <v>26247</v>
      </c>
      <c r="M25" s="561" t="n">
        <v>26295</v>
      </c>
      <c r="N25" s="561" t="n">
        <v>26340</v>
      </c>
      <c r="O25" s="561" t="n">
        <v>26445</v>
      </c>
      <c r="P25" s="561" t="n">
        <v>26496</v>
      </c>
      <c r="Q25" s="561" t="n">
        <v>26496</v>
      </c>
      <c r="R25" s="561" t="n">
        <v>26583</v>
      </c>
      <c r="S25" s="561" t="n">
        <v>26733</v>
      </c>
      <c r="T25" s="561" t="n">
        <v>26851</v>
      </c>
      <c r="U25" s="561" t="n">
        <v>26908</v>
      </c>
      <c r="V25" s="561" t="n">
        <v>26974</v>
      </c>
      <c r="W25" s="561" t="n">
        <v>27011</v>
      </c>
      <c r="X25" s="561" t="n">
        <v>27011</v>
      </c>
      <c r="Y25" s="561" t="n">
        <v>27104</v>
      </c>
      <c r="Z25" s="561" t="n">
        <v>27173</v>
      </c>
      <c r="AA25" s="561" t="n">
        <v>27244</v>
      </c>
      <c r="AB25" s="561" t="n">
        <v>27272</v>
      </c>
      <c r="AC25" s="561" t="n">
        <v>27324</v>
      </c>
      <c r="AD25" s="561" t="n">
        <v>27350</v>
      </c>
      <c r="AE25" s="561" t="n">
        <v>27350</v>
      </c>
      <c r="AF25" s="561" t="n">
        <v>27420</v>
      </c>
      <c r="AG25" s="561" t="n">
        <v>27524</v>
      </c>
      <c r="AH25" s="8" t="n">
        <v>27621</v>
      </c>
      <c r="AI25" s="7">
        <f>AH25-D25</f>
        <v/>
      </c>
    </row>
    <row r="26">
      <c r="A26" s="561" t="n"/>
      <c r="B26" s="561" t="n"/>
      <c r="C26" s="142" t="inlineStr">
        <is>
          <t>DG</t>
        </is>
      </c>
      <c r="D26" s="561" t="n">
        <v>1797</v>
      </c>
      <c r="E26" s="561" t="n">
        <v>1797</v>
      </c>
      <c r="F26" s="561" t="n">
        <v>1797</v>
      </c>
      <c r="G26" s="561" t="n">
        <v>1797</v>
      </c>
      <c r="H26" s="561" t="n">
        <v>1797</v>
      </c>
      <c r="I26" s="561" t="n">
        <v>1797</v>
      </c>
      <c r="J26" s="561" t="n">
        <v>1797</v>
      </c>
      <c r="K26" s="561" t="n">
        <v>1797</v>
      </c>
      <c r="L26" s="561" t="n">
        <v>1797</v>
      </c>
      <c r="M26" s="561" t="n">
        <v>1797</v>
      </c>
      <c r="N26" s="561" t="n">
        <v>1797</v>
      </c>
      <c r="O26" s="561" t="n">
        <v>1797</v>
      </c>
      <c r="P26" s="561" t="n">
        <v>1797</v>
      </c>
      <c r="Q26" s="561" t="n">
        <v>1797</v>
      </c>
      <c r="R26" s="561" t="n">
        <v>1797</v>
      </c>
      <c r="S26" s="561" t="n">
        <v>1797</v>
      </c>
      <c r="T26" s="561" t="n">
        <v>1797</v>
      </c>
      <c r="U26" s="561" t="n">
        <v>1816</v>
      </c>
      <c r="V26" s="561" t="n">
        <v>1816</v>
      </c>
      <c r="W26" s="561" t="n">
        <v>1816</v>
      </c>
      <c r="X26" s="561" t="n">
        <v>1816</v>
      </c>
      <c r="Y26" s="561" t="n">
        <v>1816</v>
      </c>
      <c r="Z26" s="561" t="n">
        <v>1816</v>
      </c>
      <c r="AA26" s="561" t="n">
        <v>1816</v>
      </c>
      <c r="AB26" s="561" t="n">
        <v>1853</v>
      </c>
      <c r="AC26" s="561" t="n">
        <v>1855</v>
      </c>
      <c r="AD26" s="561" t="n">
        <v>1855</v>
      </c>
      <c r="AE26" s="561" t="n">
        <v>1855</v>
      </c>
      <c r="AF26" s="561" t="n">
        <v>1855</v>
      </c>
      <c r="AG26" s="561" t="n">
        <v>1855</v>
      </c>
      <c r="AH26" s="561" t="n">
        <v>1855</v>
      </c>
      <c r="AI26" s="7">
        <f>AH26-D26</f>
        <v/>
      </c>
    </row>
    <row r="27">
      <c r="A27" s="561" t="n">
        <v>3</v>
      </c>
      <c r="B27" s="561" t="inlineStr">
        <is>
          <t>3F</t>
        </is>
      </c>
      <c r="C27" s="141" t="inlineStr">
        <is>
          <t>AHU3</t>
        </is>
      </c>
      <c r="D27" s="561" t="n">
        <v>27082</v>
      </c>
      <c r="E27" s="561" t="n">
        <v>27156</v>
      </c>
      <c r="F27" s="561" t="n">
        <v>27205</v>
      </c>
      <c r="G27" s="561" t="n">
        <v>27254</v>
      </c>
      <c r="H27" s="561" t="n">
        <v>27299</v>
      </c>
      <c r="I27" s="561" t="n">
        <v>27337</v>
      </c>
      <c r="J27" s="561" t="n">
        <v>27338</v>
      </c>
      <c r="K27" s="561" t="n">
        <v>27435</v>
      </c>
      <c r="L27" s="561" t="n">
        <v>27514</v>
      </c>
      <c r="M27" s="561" t="n">
        <v>27560</v>
      </c>
      <c r="N27" s="561" t="n">
        <v>27599</v>
      </c>
      <c r="O27" s="561" t="n">
        <v>27711</v>
      </c>
      <c r="P27" s="561" t="n">
        <v>27760</v>
      </c>
      <c r="Q27" s="561" t="n">
        <v>27760</v>
      </c>
      <c r="R27" s="561" t="n">
        <v>27823</v>
      </c>
      <c r="S27" s="561" t="n">
        <v>27964</v>
      </c>
      <c r="T27" s="561" t="n">
        <v>28095</v>
      </c>
      <c r="U27" s="561" t="n">
        <v>28180</v>
      </c>
      <c r="V27" s="561" t="n">
        <v>28296</v>
      </c>
      <c r="W27" s="561" t="n">
        <v>28357</v>
      </c>
      <c r="X27" s="561" t="n">
        <v>28357</v>
      </c>
      <c r="Y27" s="561" t="n">
        <v>28465</v>
      </c>
      <c r="Z27" s="561" t="n">
        <v>28520</v>
      </c>
      <c r="AA27" s="561" t="n">
        <v>28635</v>
      </c>
      <c r="AB27" s="561" t="n">
        <v>28688</v>
      </c>
      <c r="AC27" s="561" t="n">
        <v>28763</v>
      </c>
      <c r="AD27" s="561" t="n">
        <v>28791</v>
      </c>
      <c r="AE27" s="561" t="n">
        <v>28791</v>
      </c>
      <c r="AF27" s="561" t="n">
        <v>28904</v>
      </c>
      <c r="AG27" s="561" t="n">
        <v>29027</v>
      </c>
      <c r="AH27" s="561" t="n">
        <v>29154</v>
      </c>
      <c r="AI27" s="7">
        <f>AH27-D27</f>
        <v/>
      </c>
    </row>
    <row r="28">
      <c r="A28" s="561" t="n"/>
      <c r="B28" s="561" t="n"/>
      <c r="C28" s="142" t="inlineStr">
        <is>
          <t>DG</t>
        </is>
      </c>
      <c r="D28" s="561" t="n">
        <v>1903</v>
      </c>
      <c r="E28" s="561" t="n">
        <v>1903</v>
      </c>
      <c r="F28" s="561" t="n">
        <v>1903</v>
      </c>
      <c r="G28" s="561" t="n">
        <v>1903</v>
      </c>
      <c r="H28" s="561" t="n">
        <v>1903</v>
      </c>
      <c r="I28" s="561" t="n">
        <v>1903</v>
      </c>
      <c r="J28" s="561" t="n">
        <v>1903</v>
      </c>
      <c r="K28" s="561" t="n">
        <v>1903</v>
      </c>
      <c r="L28" s="561" t="n">
        <v>1903</v>
      </c>
      <c r="M28" s="561" t="n">
        <v>1903</v>
      </c>
      <c r="N28" s="561" t="n">
        <v>1903</v>
      </c>
      <c r="O28" s="561" t="n">
        <v>1903</v>
      </c>
      <c r="P28" s="561" t="n">
        <v>1903</v>
      </c>
      <c r="Q28" s="561" t="n">
        <v>1903</v>
      </c>
      <c r="R28" s="561" t="n">
        <v>1903</v>
      </c>
      <c r="S28" s="561" t="n">
        <v>1903</v>
      </c>
      <c r="T28" s="561" t="n">
        <v>1903</v>
      </c>
      <c r="U28" s="561" t="n">
        <v>1938</v>
      </c>
      <c r="V28" s="561" t="n">
        <v>1938</v>
      </c>
      <c r="W28" s="561" t="n">
        <v>1938</v>
      </c>
      <c r="X28" s="561" t="n">
        <v>1938</v>
      </c>
      <c r="Y28" s="561" t="n">
        <v>1938</v>
      </c>
      <c r="Z28" s="561" t="n">
        <v>1938</v>
      </c>
      <c r="AA28" s="561" t="n">
        <v>1938</v>
      </c>
      <c r="AB28" s="561" t="n">
        <v>2002</v>
      </c>
      <c r="AC28" s="561" t="n">
        <v>2002</v>
      </c>
      <c r="AD28" s="561" t="n">
        <v>2002</v>
      </c>
      <c r="AE28" s="561" t="n">
        <v>2002</v>
      </c>
      <c r="AF28" s="561" t="n">
        <v>2002</v>
      </c>
      <c r="AG28" s="561" t="n">
        <v>2002</v>
      </c>
      <c r="AH28" s="561" t="n">
        <v>2002</v>
      </c>
      <c r="AI28" s="7">
        <f>AH28-D28</f>
        <v/>
      </c>
    </row>
    <row r="29">
      <c r="A29" s="561" t="n">
        <v>4</v>
      </c>
      <c r="B29" s="561" t="inlineStr">
        <is>
          <t>3F</t>
        </is>
      </c>
      <c r="C29" s="141" t="inlineStr">
        <is>
          <t>AHU4</t>
        </is>
      </c>
      <c r="D29" s="8" t="n">
        <v>23227</v>
      </c>
      <c r="E29" s="561" t="n">
        <v>23276</v>
      </c>
      <c r="F29" s="561" t="n">
        <v>23329</v>
      </c>
      <c r="G29" s="561" t="n">
        <v>23385</v>
      </c>
      <c r="H29" s="561" t="n">
        <v>23434</v>
      </c>
      <c r="I29" s="561" t="n">
        <v>23473</v>
      </c>
      <c r="J29" s="561" t="n">
        <v>23473</v>
      </c>
      <c r="K29" s="561" t="n">
        <v>23545</v>
      </c>
      <c r="L29" s="561" t="n">
        <v>23598</v>
      </c>
      <c r="M29" s="561" t="n">
        <v>23647</v>
      </c>
      <c r="N29" s="561" t="n">
        <v>23700</v>
      </c>
      <c r="O29" s="561" t="n">
        <v>23749</v>
      </c>
      <c r="P29" s="561" t="n">
        <v>23801</v>
      </c>
      <c r="Q29" s="561" t="n">
        <v>23801</v>
      </c>
      <c r="R29" s="561" t="n">
        <v>23862</v>
      </c>
      <c r="S29" s="561" t="n">
        <v>23920</v>
      </c>
      <c r="T29" s="561" t="n">
        <v>23976</v>
      </c>
      <c r="U29" s="561" t="n">
        <v>24009</v>
      </c>
      <c r="V29" s="561" t="n">
        <v>24072</v>
      </c>
      <c r="W29" s="561" t="n">
        <v>24099</v>
      </c>
      <c r="X29" s="561" t="n">
        <v>24099</v>
      </c>
      <c r="Y29" s="561" t="n">
        <v>24188</v>
      </c>
      <c r="Z29" s="561" t="n">
        <v>24235</v>
      </c>
      <c r="AA29" s="561" t="n">
        <v>24284</v>
      </c>
      <c r="AB29" s="561" t="n">
        <v>24313</v>
      </c>
      <c r="AC29" s="561" t="n">
        <v>24358</v>
      </c>
      <c r="AD29" s="561" t="n">
        <v>24392</v>
      </c>
      <c r="AE29" s="561" t="n">
        <v>24392</v>
      </c>
      <c r="AF29" s="561" t="n">
        <v>24451</v>
      </c>
      <c r="AG29" s="561" t="n">
        <v>24550</v>
      </c>
      <c r="AH29" s="8" t="n">
        <v>24643</v>
      </c>
      <c r="AI29" s="7">
        <f>AH29-D29</f>
        <v/>
      </c>
    </row>
    <row r="30">
      <c r="A30" s="561" t="n"/>
      <c r="B30" s="561" t="n"/>
      <c r="C30" s="142" t="inlineStr">
        <is>
          <t>DG</t>
        </is>
      </c>
      <c r="D30" s="561" t="n">
        <v>1686</v>
      </c>
      <c r="E30" s="561" t="n">
        <v>1686</v>
      </c>
      <c r="F30" s="561" t="n">
        <v>1686</v>
      </c>
      <c r="G30" s="561" t="n">
        <v>1686</v>
      </c>
      <c r="H30" s="561" t="n">
        <v>1686</v>
      </c>
      <c r="I30" s="561" t="n">
        <v>1686</v>
      </c>
      <c r="J30" s="561" t="n">
        <v>1686</v>
      </c>
      <c r="K30" s="561" t="n">
        <v>1686</v>
      </c>
      <c r="L30" s="561" t="n">
        <v>1686</v>
      </c>
      <c r="M30" s="561" t="n">
        <v>1686</v>
      </c>
      <c r="N30" s="561" t="n">
        <v>1686</v>
      </c>
      <c r="O30" s="561" t="n">
        <v>1686</v>
      </c>
      <c r="P30" s="561" t="n">
        <v>1686</v>
      </c>
      <c r="Q30" s="561" t="n">
        <v>1686</v>
      </c>
      <c r="R30" s="561" t="n">
        <v>1686</v>
      </c>
      <c r="S30" s="561" t="n">
        <v>1686</v>
      </c>
      <c r="T30" s="561" t="n">
        <v>1686</v>
      </c>
      <c r="U30" s="561" t="n">
        <v>1700</v>
      </c>
      <c r="V30" s="561" t="n">
        <v>1700</v>
      </c>
      <c r="W30" s="561" t="n">
        <v>1700</v>
      </c>
      <c r="X30" s="561" t="n">
        <v>1700</v>
      </c>
      <c r="Y30" s="561" t="n">
        <v>1700</v>
      </c>
      <c r="Z30" s="561" t="n">
        <v>1700</v>
      </c>
      <c r="AA30" s="561" t="n">
        <v>1700</v>
      </c>
      <c r="AB30" s="561" t="n">
        <v>1736</v>
      </c>
      <c r="AC30" s="561" t="n">
        <v>1736</v>
      </c>
      <c r="AD30" s="561" t="n">
        <v>1736</v>
      </c>
      <c r="AE30" s="561" t="n">
        <v>1736</v>
      </c>
      <c r="AF30" s="561" t="n">
        <v>1736</v>
      </c>
      <c r="AG30" s="561" t="n">
        <v>1736</v>
      </c>
      <c r="AH30" s="561" t="n">
        <v>1736</v>
      </c>
      <c r="AI30" s="7">
        <f>AH30-D30</f>
        <v/>
      </c>
    </row>
    <row r="31">
      <c r="A31" s="561" t="n"/>
      <c r="B31" s="520" t="n"/>
      <c r="C31" s="520" t="n"/>
      <c r="D31" s="520" t="n"/>
      <c r="E31" s="520" t="n"/>
      <c r="F31" s="520" t="n"/>
      <c r="G31" s="520" t="n"/>
      <c r="H31" s="520" t="n"/>
      <c r="I31" s="520" t="n"/>
      <c r="J31" s="520" t="n"/>
      <c r="K31" s="520" t="n"/>
      <c r="L31" s="520" t="n"/>
      <c r="M31" s="520" t="n"/>
      <c r="N31" s="520" t="n"/>
      <c r="O31" s="520" t="n"/>
      <c r="P31" s="520" t="n"/>
      <c r="Q31" s="520" t="n"/>
      <c r="R31" s="520" t="n"/>
      <c r="S31" s="520" t="n"/>
      <c r="T31" s="520" t="n"/>
      <c r="U31" s="520" t="n"/>
      <c r="V31" s="520" t="n"/>
      <c r="W31" s="520" t="n"/>
      <c r="X31" s="520" t="n"/>
      <c r="Y31" s="520" t="n"/>
      <c r="Z31" s="520" t="n"/>
      <c r="AA31" s="520" t="n"/>
      <c r="AB31" s="520" t="n"/>
      <c r="AC31" s="520" t="n"/>
      <c r="AD31" s="520" t="n"/>
      <c r="AE31" s="520" t="n"/>
      <c r="AF31" s="520" t="n"/>
      <c r="AG31" s="520" t="n"/>
      <c r="AH31" s="520" t="n"/>
      <c r="AI31" s="501" t="n"/>
    </row>
    <row r="32">
      <c r="A32" s="561" t="n">
        <v>1</v>
      </c>
      <c r="B32" s="561" t="inlineStr">
        <is>
          <t>3F</t>
        </is>
      </c>
      <c r="C32" s="141" t="inlineStr">
        <is>
          <t>AHU1 - BTU</t>
        </is>
      </c>
      <c r="D32" s="9" t="n">
        <v>220563</v>
      </c>
      <c r="E32" s="44" t="n">
        <v>221384</v>
      </c>
      <c r="F32" s="150" t="n">
        <v>222088</v>
      </c>
      <c r="G32" s="150" t="n">
        <v>222781</v>
      </c>
      <c r="H32" s="150" t="n">
        <v>223443</v>
      </c>
      <c r="I32" s="44" t="n">
        <v>223703</v>
      </c>
      <c r="J32" s="150" t="n">
        <v>223703</v>
      </c>
      <c r="K32" s="150" t="n">
        <v>224701</v>
      </c>
      <c r="L32" s="150" t="n">
        <v>225577</v>
      </c>
      <c r="M32" s="44" t="n">
        <v>226449</v>
      </c>
      <c r="N32" s="150" t="n">
        <v>227369</v>
      </c>
      <c r="O32" s="150" t="n">
        <v>228116</v>
      </c>
      <c r="P32" s="150" t="n">
        <v>228440</v>
      </c>
      <c r="Q32" s="44" t="n">
        <v>228440</v>
      </c>
      <c r="R32" s="150" t="n">
        <v>229544</v>
      </c>
      <c r="S32" s="150" t="n">
        <v>230532</v>
      </c>
      <c r="T32" s="150" t="n">
        <v>231469</v>
      </c>
      <c r="U32" s="44" t="n">
        <v>232358</v>
      </c>
      <c r="V32" s="150" t="n">
        <v>233156</v>
      </c>
      <c r="W32" s="150" t="n">
        <v>233534</v>
      </c>
      <c r="X32" s="150" t="n">
        <v>233534</v>
      </c>
      <c r="Y32" s="44" t="n">
        <v>234608</v>
      </c>
      <c r="Z32" s="150" t="n">
        <v>235453</v>
      </c>
      <c r="AA32" s="150" t="n">
        <v>236264</v>
      </c>
      <c r="AB32" s="150" t="n">
        <v>237119</v>
      </c>
      <c r="AC32" s="44" t="n">
        <v>237853</v>
      </c>
      <c r="AD32" s="150" t="n">
        <v>238104</v>
      </c>
      <c r="AE32" s="150" t="n">
        <v>238104</v>
      </c>
      <c r="AF32" s="150" t="n">
        <v>239049</v>
      </c>
      <c r="AG32" s="44" t="n">
        <v>240029</v>
      </c>
      <c r="AH32" s="150" t="n">
        <v>241097</v>
      </c>
      <c r="AI32" s="7">
        <f>AH32-D32</f>
        <v/>
      </c>
    </row>
    <row r="33">
      <c r="A33" s="561" t="n">
        <v>2</v>
      </c>
      <c r="B33" s="561" t="inlineStr">
        <is>
          <t>3F</t>
        </is>
      </c>
      <c r="C33" s="141" t="inlineStr">
        <is>
          <t>AHU2 - BTU</t>
        </is>
      </c>
      <c r="D33" s="9" t="n">
        <v>224872</v>
      </c>
      <c r="E33" s="150" t="n">
        <v>225476</v>
      </c>
      <c r="F33" s="150" t="n">
        <v>226061</v>
      </c>
      <c r="G33" s="150" t="n">
        <v>226649</v>
      </c>
      <c r="H33" s="150" t="n">
        <v>227224</v>
      </c>
      <c r="I33" s="150" t="n">
        <v>227434</v>
      </c>
      <c r="J33" s="150" t="n">
        <v>227439</v>
      </c>
      <c r="K33" s="150" t="n">
        <v>228254</v>
      </c>
      <c r="L33" s="150" t="n">
        <v>228974</v>
      </c>
      <c r="M33" s="150" t="n">
        <v>229643</v>
      </c>
      <c r="N33" s="150" t="n">
        <v>230424</v>
      </c>
      <c r="O33" s="150" t="n">
        <v>231110</v>
      </c>
      <c r="P33" s="150" t="n">
        <v>231282</v>
      </c>
      <c r="Q33" s="150" t="n">
        <v>231282</v>
      </c>
      <c r="R33" s="150" t="n">
        <v>232115</v>
      </c>
      <c r="S33" s="150" t="n">
        <v>232788</v>
      </c>
      <c r="T33" s="150" t="n">
        <v>233480</v>
      </c>
      <c r="U33" s="150" t="n">
        <v>234148</v>
      </c>
      <c r="V33" s="150" t="n">
        <v>234703</v>
      </c>
      <c r="W33" s="150" t="n">
        <v>234995</v>
      </c>
      <c r="X33" s="150" t="n">
        <v>234995</v>
      </c>
      <c r="Y33" s="150" t="n">
        <v>235872</v>
      </c>
      <c r="Z33" s="150" t="n">
        <v>236651</v>
      </c>
      <c r="AA33" s="150" t="n">
        <v>237330</v>
      </c>
      <c r="AB33" s="150" t="n">
        <v>237937</v>
      </c>
      <c r="AC33" s="150" t="n">
        <v>238498</v>
      </c>
      <c r="AD33" s="150" t="n">
        <v>238799</v>
      </c>
      <c r="AE33" s="150" t="n">
        <v>238799</v>
      </c>
      <c r="AF33" s="150" t="n">
        <v>239743</v>
      </c>
      <c r="AG33" s="150" t="n">
        <v>240585</v>
      </c>
      <c r="AH33" s="150" t="n">
        <v>241385</v>
      </c>
      <c r="AI33" s="7">
        <f>AH33-D33</f>
        <v/>
      </c>
    </row>
    <row r="34">
      <c r="A34" s="561" t="n">
        <v>3</v>
      </c>
      <c r="B34" s="561" t="inlineStr">
        <is>
          <t>3F</t>
        </is>
      </c>
      <c r="C34" s="141" t="inlineStr">
        <is>
          <t>AHU3 - BTU</t>
        </is>
      </c>
      <c r="D34" s="9" t="n">
        <v>220395</v>
      </c>
      <c r="E34" s="150" t="n">
        <v>221076</v>
      </c>
      <c r="F34" s="150" t="n">
        <v>221682</v>
      </c>
      <c r="G34" s="150" t="n">
        <v>222319</v>
      </c>
      <c r="H34" s="150" t="n">
        <v>222994</v>
      </c>
      <c r="I34" s="150" t="n">
        <v>223139</v>
      </c>
      <c r="J34" s="150" t="n">
        <v>223139</v>
      </c>
      <c r="K34" s="150" t="n">
        <v>223840</v>
      </c>
      <c r="L34" s="150" t="n">
        <v>224485</v>
      </c>
      <c r="M34" s="150" t="n">
        <v>225212</v>
      </c>
      <c r="N34" s="150" t="n">
        <v>226072</v>
      </c>
      <c r="O34" s="150" t="n">
        <v>226925</v>
      </c>
      <c r="P34" s="150" t="n">
        <v>227336</v>
      </c>
      <c r="Q34" s="150" t="n">
        <v>227336</v>
      </c>
      <c r="R34" s="150" t="n">
        <v>228185</v>
      </c>
      <c r="S34" s="150" t="n">
        <v>228973</v>
      </c>
      <c r="T34" s="150" t="n">
        <v>229563</v>
      </c>
      <c r="U34" s="150" t="n">
        <v>230155</v>
      </c>
      <c r="V34" s="150" t="n">
        <v>230835</v>
      </c>
      <c r="W34" s="150" t="n">
        <v>231011</v>
      </c>
      <c r="X34" s="150" t="n">
        <v>231011</v>
      </c>
      <c r="Y34" s="150" t="n">
        <v>231966</v>
      </c>
      <c r="Z34" s="150" t="n">
        <v>232644</v>
      </c>
      <c r="AA34" s="150" t="n">
        <v>233345</v>
      </c>
      <c r="AB34" s="150" t="n">
        <v>233934</v>
      </c>
      <c r="AC34" s="150" t="n">
        <v>234482</v>
      </c>
      <c r="AD34" s="150" t="n">
        <v>234775</v>
      </c>
      <c r="AE34" s="150" t="n">
        <v>234775</v>
      </c>
      <c r="AF34" s="150" t="n">
        <v>235729</v>
      </c>
      <c r="AG34" s="150" t="n">
        <v>236512</v>
      </c>
      <c r="AH34" s="150" t="n">
        <v>237325</v>
      </c>
      <c r="AI34" s="7">
        <f>AH34-D34</f>
        <v/>
      </c>
    </row>
    <row r="35">
      <c r="A35" s="561" t="n">
        <v>4</v>
      </c>
      <c r="B35" s="561" t="inlineStr">
        <is>
          <t>3F</t>
        </is>
      </c>
      <c r="C35" s="141" t="inlineStr">
        <is>
          <t>AHU4 - BTU</t>
        </is>
      </c>
      <c r="D35" s="9" t="n">
        <v>244029</v>
      </c>
      <c r="E35" s="150" t="n">
        <v>244714</v>
      </c>
      <c r="F35" s="150" t="n">
        <v>245366</v>
      </c>
      <c r="G35" s="150" t="n">
        <v>246018</v>
      </c>
      <c r="H35" s="150" t="n">
        <v>246641</v>
      </c>
      <c r="I35" s="150" t="n">
        <v>246885</v>
      </c>
      <c r="J35" s="150" t="n">
        <v>246885</v>
      </c>
      <c r="K35" s="150" t="n">
        <v>247758</v>
      </c>
      <c r="L35" s="150" t="n">
        <v>248517</v>
      </c>
      <c r="M35" s="150" t="n">
        <v>249284</v>
      </c>
      <c r="N35" s="150" t="n">
        <v>250075</v>
      </c>
      <c r="O35" s="150" t="n">
        <v>250830</v>
      </c>
      <c r="P35" s="150" t="n">
        <v>251131</v>
      </c>
      <c r="Q35" s="150" t="n">
        <v>251131</v>
      </c>
      <c r="R35" s="150" t="n">
        <v>251983</v>
      </c>
      <c r="S35" s="150" t="n">
        <v>252798</v>
      </c>
      <c r="T35" s="150" t="n">
        <v>253588</v>
      </c>
      <c r="U35" s="150" t="n">
        <v>254370</v>
      </c>
      <c r="V35" s="150" t="n">
        <v>255064</v>
      </c>
      <c r="W35" s="150" t="n">
        <v>255390</v>
      </c>
      <c r="X35" s="150" t="n">
        <v>255390</v>
      </c>
      <c r="Y35" s="150" t="n">
        <v>256333</v>
      </c>
      <c r="Z35" s="150" t="n">
        <v>257134</v>
      </c>
      <c r="AA35" s="150" t="n">
        <v>257893</v>
      </c>
      <c r="AB35" s="150" t="n">
        <v>258731</v>
      </c>
      <c r="AC35" s="150" t="n">
        <v>259408</v>
      </c>
      <c r="AD35" s="150" t="n">
        <v>259663</v>
      </c>
      <c r="AE35" s="150" t="n">
        <v>259663</v>
      </c>
      <c r="AF35" s="150" t="n">
        <v>260528</v>
      </c>
      <c r="AG35" s="150" t="n">
        <v>261522</v>
      </c>
      <c r="AH35" s="150" t="n">
        <v>262507</v>
      </c>
      <c r="AI35" s="7">
        <f>AH35-D35</f>
        <v/>
      </c>
    </row>
    <row r="36">
      <c r="A36" s="134" t="n"/>
      <c r="B36" s="134" t="n"/>
      <c r="C36" s="143" t="n"/>
      <c r="D36" s="134" t="n"/>
      <c r="E36" s="13" t="n"/>
      <c r="F36" s="134" t="n"/>
      <c r="G36" s="134" t="n"/>
      <c r="H36" s="134" t="n"/>
      <c r="I36" s="134" t="n"/>
      <c r="J36" s="134" t="n"/>
      <c r="K36" s="134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  <c r="AB36" s="134" t="n"/>
      <c r="AC36" s="6" t="n"/>
      <c r="AD36" s="134" t="n"/>
      <c r="AE36" s="134" t="n"/>
      <c r="AF36" s="134" t="n"/>
      <c r="AG36" s="134" t="n"/>
      <c r="AH36" s="134" t="n"/>
      <c r="AI36" s="136" t="n"/>
    </row>
    <row r="37">
      <c r="A37" s="14" t="n"/>
      <c r="B37" s="137" t="n"/>
      <c r="C37" s="144" t="n"/>
      <c r="D37" s="138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</row>
    <row r="38">
      <c r="A38" s="93" t="n"/>
      <c r="B38" s="539" t="inlineStr">
        <is>
          <t xml:space="preserve"> Daily Energy Report</t>
        </is>
      </c>
      <c r="C38" s="520" t="n"/>
      <c r="D38" s="501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</row>
    <row r="39">
      <c r="A39" s="94" t="n"/>
      <c r="B39" s="534" t="inlineStr">
        <is>
          <t>Electricity Consumption</t>
        </is>
      </c>
      <c r="C39" s="520" t="n"/>
      <c r="D39" s="501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4" t="n"/>
    </row>
    <row r="40">
      <c r="A40" s="533" t="inlineStr">
        <is>
          <t>Sr.No</t>
        </is>
      </c>
      <c r="B40" s="533" t="inlineStr">
        <is>
          <t>Location</t>
        </is>
      </c>
      <c r="C40" s="533" t="inlineStr">
        <is>
          <t>Meter</t>
        </is>
      </c>
      <c r="D40" s="522" t="n"/>
      <c r="E40" s="95">
        <f>E2</f>
        <v/>
      </c>
      <c r="F40" s="95">
        <f>F2</f>
        <v/>
      </c>
      <c r="G40" s="95">
        <f>G2</f>
        <v/>
      </c>
      <c r="H40" s="95">
        <f>H2</f>
        <v/>
      </c>
      <c r="I40" s="95">
        <f>I2</f>
        <v/>
      </c>
      <c r="J40" s="95">
        <f>J2</f>
        <v/>
      </c>
      <c r="K40" s="95">
        <f>K2</f>
        <v/>
      </c>
      <c r="L40" s="95">
        <f>L2</f>
        <v/>
      </c>
      <c r="M40" s="95">
        <f>M2</f>
        <v/>
      </c>
      <c r="N40" s="95">
        <f>N2</f>
        <v/>
      </c>
      <c r="O40" s="95">
        <f>O2</f>
        <v/>
      </c>
      <c r="P40" s="95">
        <f>P2</f>
        <v/>
      </c>
      <c r="Q40" s="95">
        <f>Q2</f>
        <v/>
      </c>
      <c r="R40" s="95">
        <f>R2</f>
        <v/>
      </c>
      <c r="S40" s="95">
        <f>S2</f>
        <v/>
      </c>
      <c r="T40" s="95">
        <f>T2</f>
        <v/>
      </c>
      <c r="U40" s="95">
        <f>U2</f>
        <v/>
      </c>
      <c r="V40" s="95">
        <f>V2</f>
        <v/>
      </c>
      <c r="W40" s="95">
        <f>W2</f>
        <v/>
      </c>
      <c r="X40" s="95">
        <f>X2</f>
        <v/>
      </c>
      <c r="Y40" s="95">
        <f>Y2</f>
        <v/>
      </c>
      <c r="Z40" s="95">
        <f>Z2</f>
        <v/>
      </c>
      <c r="AA40" s="95">
        <f>AA2</f>
        <v/>
      </c>
      <c r="AB40" s="95">
        <f>AB2</f>
        <v/>
      </c>
      <c r="AC40" s="95">
        <f>AC2</f>
        <v/>
      </c>
      <c r="AD40" s="95">
        <f>AD2</f>
        <v/>
      </c>
      <c r="AE40" s="95">
        <f>AE2</f>
        <v/>
      </c>
      <c r="AF40" s="95">
        <f>AF2</f>
        <v/>
      </c>
      <c r="AG40" s="95">
        <f>AG2</f>
        <v/>
      </c>
      <c r="AH40" s="95">
        <f>AH2</f>
        <v/>
      </c>
      <c r="AI40" s="533" t="inlineStr">
        <is>
          <t>Consumption</t>
        </is>
      </c>
    </row>
    <row r="41">
      <c r="A41" s="516" t="n"/>
      <c r="B41" s="516" t="n"/>
      <c r="C41" s="523" t="n"/>
      <c r="D41" s="524" t="n"/>
      <c r="E41" s="96">
        <f>E3</f>
        <v/>
      </c>
      <c r="F41" s="96">
        <f>F3</f>
        <v/>
      </c>
      <c r="G41" s="96">
        <f>G3</f>
        <v/>
      </c>
      <c r="H41" s="96">
        <f>H3</f>
        <v/>
      </c>
      <c r="I41" s="96">
        <f>I3</f>
        <v/>
      </c>
      <c r="J41" s="96">
        <f>J3</f>
        <v/>
      </c>
      <c r="K41" s="96">
        <f>K3</f>
        <v/>
      </c>
      <c r="L41" s="96">
        <f>L3</f>
        <v/>
      </c>
      <c r="M41" s="96">
        <f>M3</f>
        <v/>
      </c>
      <c r="N41" s="96">
        <f>N3</f>
        <v/>
      </c>
      <c r="O41" s="96">
        <f>O3</f>
        <v/>
      </c>
      <c r="P41" s="96">
        <f>P3</f>
        <v/>
      </c>
      <c r="Q41" s="96">
        <f>Q3</f>
        <v/>
      </c>
      <c r="R41" s="96">
        <f>R3</f>
        <v/>
      </c>
      <c r="S41" s="96">
        <f>S3</f>
        <v/>
      </c>
      <c r="T41" s="96">
        <f>T3</f>
        <v/>
      </c>
      <c r="U41" s="96">
        <f>U3</f>
        <v/>
      </c>
      <c r="V41" s="96">
        <f>V3</f>
        <v/>
      </c>
      <c r="W41" s="96">
        <f>W3</f>
        <v/>
      </c>
      <c r="X41" s="96">
        <f>X3</f>
        <v/>
      </c>
      <c r="Y41" s="96">
        <f>Y3</f>
        <v/>
      </c>
      <c r="Z41" s="96">
        <f>Z3</f>
        <v/>
      </c>
      <c r="AA41" s="96">
        <f>AA3</f>
        <v/>
      </c>
      <c r="AB41" s="96">
        <f>AB3</f>
        <v/>
      </c>
      <c r="AC41" s="96">
        <f>AC3</f>
        <v/>
      </c>
      <c r="AD41" s="96">
        <f>AD3</f>
        <v/>
      </c>
      <c r="AE41" s="96">
        <f>AE3</f>
        <v/>
      </c>
      <c r="AF41" s="96">
        <f>AF3</f>
        <v/>
      </c>
      <c r="AG41" s="96">
        <f>AG3</f>
        <v/>
      </c>
      <c r="AH41" s="96">
        <f>AH3</f>
        <v/>
      </c>
      <c r="AI41" s="516" t="n"/>
    </row>
    <row r="42">
      <c r="A42" s="516" t="n"/>
      <c r="B42" s="516" t="n"/>
      <c r="C42" s="523" t="n"/>
      <c r="D42" s="524" t="n"/>
      <c r="E42" s="97" t="inlineStr">
        <is>
          <t>Time</t>
        </is>
      </c>
      <c r="F42" s="97" t="inlineStr">
        <is>
          <t>Time</t>
        </is>
      </c>
      <c r="G42" s="97" t="inlineStr">
        <is>
          <t>Time</t>
        </is>
      </c>
      <c r="H42" s="97" t="inlineStr">
        <is>
          <t>Time</t>
        </is>
      </c>
      <c r="I42" s="97" t="inlineStr">
        <is>
          <t>Time</t>
        </is>
      </c>
      <c r="J42" s="97" t="inlineStr">
        <is>
          <t>Time</t>
        </is>
      </c>
      <c r="K42" s="97" t="inlineStr">
        <is>
          <t>Time</t>
        </is>
      </c>
      <c r="L42" s="97" t="inlineStr">
        <is>
          <t>Time</t>
        </is>
      </c>
      <c r="M42" s="97" t="inlineStr">
        <is>
          <t>Time</t>
        </is>
      </c>
      <c r="N42" s="97" t="inlineStr">
        <is>
          <t>Time</t>
        </is>
      </c>
      <c r="O42" s="97" t="inlineStr">
        <is>
          <t>Time</t>
        </is>
      </c>
      <c r="P42" s="97" t="inlineStr">
        <is>
          <t>Time</t>
        </is>
      </c>
      <c r="Q42" s="97" t="inlineStr">
        <is>
          <t>Time</t>
        </is>
      </c>
      <c r="R42" s="97" t="inlineStr">
        <is>
          <t>Time</t>
        </is>
      </c>
      <c r="S42" s="97" t="inlineStr">
        <is>
          <t>Time</t>
        </is>
      </c>
      <c r="T42" s="97" t="inlineStr">
        <is>
          <t>Time</t>
        </is>
      </c>
      <c r="U42" s="97" t="inlineStr">
        <is>
          <t>Time</t>
        </is>
      </c>
      <c r="V42" s="97" t="inlineStr">
        <is>
          <t>Time</t>
        </is>
      </c>
      <c r="W42" s="97" t="inlineStr">
        <is>
          <t>Time</t>
        </is>
      </c>
      <c r="X42" s="97" t="inlineStr">
        <is>
          <t>Time</t>
        </is>
      </c>
      <c r="Y42" s="97" t="inlineStr">
        <is>
          <t>Time</t>
        </is>
      </c>
      <c r="Z42" s="97" t="inlineStr">
        <is>
          <t>Time</t>
        </is>
      </c>
      <c r="AA42" s="97" t="inlineStr">
        <is>
          <t>Time</t>
        </is>
      </c>
      <c r="AB42" s="97" t="inlineStr">
        <is>
          <t>Time</t>
        </is>
      </c>
      <c r="AC42" s="97" t="inlineStr">
        <is>
          <t>Time</t>
        </is>
      </c>
      <c r="AD42" s="97" t="inlineStr">
        <is>
          <t>Time</t>
        </is>
      </c>
      <c r="AE42" s="97" t="inlineStr">
        <is>
          <t>Time</t>
        </is>
      </c>
      <c r="AF42" s="97" t="inlineStr">
        <is>
          <t>Time</t>
        </is>
      </c>
      <c r="AG42" s="97" t="inlineStr">
        <is>
          <t>Time</t>
        </is>
      </c>
      <c r="AH42" s="95">
        <f>AH4</f>
        <v/>
      </c>
      <c r="AI42" s="516" t="n"/>
    </row>
    <row r="43">
      <c r="A43" s="517" t="n"/>
      <c r="B43" s="517" t="n"/>
      <c r="C43" s="525" t="n"/>
      <c r="D43" s="526" t="n"/>
      <c r="E43" s="98" t="n">
        <v>0.3333333333333333</v>
      </c>
      <c r="F43" s="98" t="n">
        <v>0.3333333333333333</v>
      </c>
      <c r="G43" s="98" t="n">
        <v>0.3333333333333333</v>
      </c>
      <c r="H43" s="98" t="n">
        <v>0.3333333333333333</v>
      </c>
      <c r="I43" s="98" t="n">
        <v>0.3333333333333333</v>
      </c>
      <c r="J43" s="98" t="n">
        <v>0.3333333333333333</v>
      </c>
      <c r="K43" s="98" t="n">
        <v>0.3333333333333333</v>
      </c>
      <c r="L43" s="98" t="n">
        <v>0.3333333333333333</v>
      </c>
      <c r="M43" s="98" t="n">
        <v>0.3333333333333333</v>
      </c>
      <c r="N43" s="98" t="n">
        <v>0.3333333333333333</v>
      </c>
      <c r="O43" s="98" t="n">
        <v>0.3333333333333333</v>
      </c>
      <c r="P43" s="98" t="n">
        <v>0.3333333333333333</v>
      </c>
      <c r="Q43" s="98" t="n">
        <v>0.3333333333333333</v>
      </c>
      <c r="R43" s="98" t="n">
        <v>0.3333333333333333</v>
      </c>
      <c r="S43" s="98" t="n">
        <v>0.3333333333333333</v>
      </c>
      <c r="T43" s="98" t="n">
        <v>0.3333333333333333</v>
      </c>
      <c r="U43" s="98" t="n">
        <v>0.3333333333333333</v>
      </c>
      <c r="V43" s="98" t="n">
        <v>0.3333333333333333</v>
      </c>
      <c r="W43" s="98" t="n">
        <v>0.3333333333333333</v>
      </c>
      <c r="X43" s="98" t="n">
        <v>0.3333333333333333</v>
      </c>
      <c r="Y43" s="98" t="n">
        <v>0.3333333333333333</v>
      </c>
      <c r="Z43" s="98" t="n">
        <v>0.3333333333333333</v>
      </c>
      <c r="AA43" s="98" t="n">
        <v>0.3333333333333333</v>
      </c>
      <c r="AB43" s="98" t="n">
        <v>0.3333333333333333</v>
      </c>
      <c r="AC43" s="98" t="n">
        <v>0.3333333333333333</v>
      </c>
      <c r="AD43" s="98" t="n">
        <v>0.3333333333333333</v>
      </c>
      <c r="AE43" s="98" t="n">
        <v>0.3333333333333333</v>
      </c>
      <c r="AF43" s="98" t="n">
        <v>0.3333333333333333</v>
      </c>
      <c r="AG43" s="98" t="n">
        <v>0.3333333333333333</v>
      </c>
      <c r="AH43" s="98" t="n">
        <v>0.3333333333333333</v>
      </c>
      <c r="AI43" s="517" t="n"/>
    </row>
    <row r="44" ht="15" customHeight="1" s="488">
      <c r="A44" s="500" t="n">
        <v>1</v>
      </c>
      <c r="B44" s="500" t="inlineStr">
        <is>
          <t>3F</t>
        </is>
      </c>
      <c r="C44" s="500" t="inlineStr">
        <is>
          <t>SL No 540430038840 (EB Unit)</t>
        </is>
      </c>
      <c r="D44" s="501" t="n"/>
      <c r="E44" s="20">
        <f>E6-D6</f>
        <v/>
      </c>
      <c r="F44" s="20">
        <f>F6-E6</f>
        <v/>
      </c>
      <c r="G44" s="20">
        <f>G6-F6</f>
        <v/>
      </c>
      <c r="H44" s="20">
        <f>H6-G6</f>
        <v/>
      </c>
      <c r="I44" s="20">
        <f>I6-H6</f>
        <v/>
      </c>
      <c r="J44" s="20">
        <f>J6-I6</f>
        <v/>
      </c>
      <c r="K44" s="20">
        <f>K6-J6</f>
        <v/>
      </c>
      <c r="L44" s="20">
        <f>L6-K6</f>
        <v/>
      </c>
      <c r="M44" s="20">
        <f>M6-L6</f>
        <v/>
      </c>
      <c r="N44" s="20">
        <f>N6-M6</f>
        <v/>
      </c>
      <c r="O44" s="20">
        <f>O6-N6</f>
        <v/>
      </c>
      <c r="P44" s="20">
        <f>P6-O6</f>
        <v/>
      </c>
      <c r="Q44" s="20">
        <f>Q6-P6</f>
        <v/>
      </c>
      <c r="R44" s="20">
        <f>R6-Q6</f>
        <v/>
      </c>
      <c r="S44" s="20">
        <f>S6-R6</f>
        <v/>
      </c>
      <c r="T44" s="20">
        <f>T6-S6</f>
        <v/>
      </c>
      <c r="U44" s="20">
        <f>U6-T6</f>
        <v/>
      </c>
      <c r="V44" s="20">
        <f>V6-U6</f>
        <v/>
      </c>
      <c r="W44" s="20">
        <f>W6-V6</f>
        <v/>
      </c>
      <c r="X44" s="20">
        <f>X6-W6</f>
        <v/>
      </c>
      <c r="Y44" s="20">
        <f>Y6-X6</f>
        <v/>
      </c>
      <c r="Z44" s="20">
        <f>Z6-Y6</f>
        <v/>
      </c>
      <c r="AA44" s="20">
        <f>AA6-Z6</f>
        <v/>
      </c>
      <c r="AB44" s="20">
        <f>AB6-AA6</f>
        <v/>
      </c>
      <c r="AC44" s="20">
        <f>AC6-AB6</f>
        <v/>
      </c>
      <c r="AD44" s="20">
        <f>AD6-AC6</f>
        <v/>
      </c>
      <c r="AE44" s="20">
        <f>AE6-AD6</f>
        <v/>
      </c>
      <c r="AF44" s="20">
        <f>AF6-AE6</f>
        <v/>
      </c>
      <c r="AG44" s="20">
        <f>AG6-AF6</f>
        <v/>
      </c>
      <c r="AH44" s="20">
        <f>AH6-AG6</f>
        <v/>
      </c>
      <c r="AI44" s="21">
        <f>SUM(E44:AH44)</f>
        <v/>
      </c>
    </row>
    <row r="45" ht="15" customHeight="1" s="488">
      <c r="A45" s="500" t="n"/>
      <c r="B45" s="500" t="n"/>
      <c r="C45" s="529" t="inlineStr">
        <is>
          <t>DG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1">
        <f>SUM(E45:AH45)</f>
        <v/>
      </c>
    </row>
    <row r="46" ht="15" customHeight="1" s="488">
      <c r="A46" s="500" t="n">
        <v>2</v>
      </c>
      <c r="B46" s="500" t="inlineStr">
        <is>
          <t>3F</t>
        </is>
      </c>
      <c r="C46" s="500" t="inlineStr">
        <is>
          <t>SL No 540430038845 (EB Unit)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P8-I8</f>
        <v/>
      </c>
      <c r="K46" s="20">
        <f>K8-P8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 t="n">
        <v>0</v>
      </c>
      <c r="Q46" s="20" t="n">
        <v>0</v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1">
        <f>SUM(E46:AH46)</f>
        <v/>
      </c>
    </row>
    <row r="47" ht="15" customHeight="1" s="488">
      <c r="A47" s="500" t="n"/>
      <c r="B47" s="500" t="n"/>
      <c r="C47" s="529" t="inlineStr">
        <is>
          <t>DG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1">
        <f>SUM(E47:AH47)</f>
        <v/>
      </c>
    </row>
    <row r="48" ht="15" customHeight="1" s="488">
      <c r="A48" s="500" t="n">
        <v>3</v>
      </c>
      <c r="B48" s="500" t="inlineStr">
        <is>
          <t>3F</t>
        </is>
      </c>
      <c r="C48" s="500" t="inlineStr">
        <is>
          <t>SL No 540430038844 (EB Unit)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1">
        <f>SUM(E48:AH48)</f>
        <v/>
      </c>
    </row>
    <row r="49" ht="15" customHeight="1" s="488">
      <c r="A49" s="500" t="n"/>
      <c r="B49" s="500" t="n"/>
      <c r="C49" s="529" t="inlineStr">
        <is>
          <t>DG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1">
        <f>SUM(E49:AH49)</f>
        <v/>
      </c>
    </row>
    <row r="50" ht="15" customHeight="1" s="488">
      <c r="A50" s="500" t="n">
        <v>4</v>
      </c>
      <c r="B50" s="500" t="inlineStr">
        <is>
          <t>3F</t>
        </is>
      </c>
      <c r="C50" s="500" t="inlineStr">
        <is>
          <t>SL No 540430038821 (EB Unit)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1">
        <f>SUM(E50:AH50)</f>
        <v/>
      </c>
      <c r="AJ50" s="115" t="inlineStr">
        <is>
          <t>EB</t>
        </is>
      </c>
      <c r="AK50" s="116">
        <f>SUM(AI44,AI46,AI48,AI50,AI52,AI54,AI56,AI58)</f>
        <v/>
      </c>
    </row>
    <row r="51" ht="15" customHeight="1" s="488">
      <c r="A51" s="500" t="n"/>
      <c r="B51" s="500" t="n"/>
      <c r="C51" s="529" t="inlineStr">
        <is>
          <t>DG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147">
        <f>SUM(E51:AH51)</f>
        <v/>
      </c>
      <c r="AJ51" s="115" t="inlineStr">
        <is>
          <t>AHU</t>
        </is>
      </c>
      <c r="AK51" s="116">
        <f>SUM(AI65,AI67,AI69,AI71)</f>
        <v/>
      </c>
    </row>
    <row r="52" ht="15" customHeight="1" s="488">
      <c r="A52" s="500" t="n">
        <v>5</v>
      </c>
      <c r="B52" s="500" t="inlineStr">
        <is>
          <t>3F</t>
        </is>
      </c>
      <c r="C52" s="500" t="inlineStr">
        <is>
          <t>SL No 540430038849 (EB Unit)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149">
        <f>SUM(E52:AH52)</f>
        <v/>
      </c>
      <c r="AJ52" s="115" t="inlineStr">
        <is>
          <t>BTU</t>
        </is>
      </c>
      <c r="AK52" s="116">
        <f>AI79*40%</f>
        <v/>
      </c>
    </row>
    <row r="53" ht="15" customHeight="1" s="488">
      <c r="A53" s="500" t="n"/>
      <c r="B53" s="500" t="n"/>
      <c r="C53" s="529" t="inlineStr">
        <is>
          <t>DG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149">
        <f>SUM(E53:AH53)</f>
        <v/>
      </c>
      <c r="AJ53" s="117" t="inlineStr">
        <is>
          <t>DG</t>
        </is>
      </c>
      <c r="AK53" s="118">
        <f>SUM(AI61,AI74)</f>
        <v/>
      </c>
    </row>
    <row r="54" ht="15" customHeight="1" s="488">
      <c r="A54" s="500" t="n">
        <v>6</v>
      </c>
      <c r="B54" s="500" t="inlineStr">
        <is>
          <t>3F</t>
        </is>
      </c>
      <c r="C54" s="500" t="inlineStr">
        <is>
          <t>SL No 540430038696 (EB Unit)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149">
        <f>SUM(E54:AH54)</f>
        <v/>
      </c>
    </row>
    <row r="55" ht="15" customHeight="1" s="488">
      <c r="A55" s="500" t="n"/>
      <c r="B55" s="500" t="n"/>
      <c r="C55" s="529" t="inlineStr">
        <is>
          <t>DG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149">
        <f>SUM(E55:AH55)</f>
        <v/>
      </c>
    </row>
    <row r="56" ht="15" customHeight="1" s="488">
      <c r="A56" s="500" t="n">
        <v>7</v>
      </c>
      <c r="B56" s="500" t="inlineStr">
        <is>
          <t>3F</t>
        </is>
      </c>
      <c r="C56" s="500" t="inlineStr">
        <is>
          <t>SL No 540430038843 (EB Unit)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149">
        <f>SUM(E56:AH56)</f>
        <v/>
      </c>
    </row>
    <row r="57" ht="15" customHeight="1" s="488">
      <c r="A57" s="500" t="n"/>
      <c r="B57" s="500" t="n"/>
      <c r="C57" s="529" t="inlineStr">
        <is>
          <t>DG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149">
        <f>SUM(E57:AH57)</f>
        <v/>
      </c>
    </row>
    <row r="58" ht="15" customHeight="1" s="488">
      <c r="A58" s="500" t="n">
        <v>8</v>
      </c>
      <c r="B58" s="500" t="inlineStr">
        <is>
          <t>3F</t>
        </is>
      </c>
      <c r="C58" s="500" t="inlineStr">
        <is>
          <t>SL No 540430038848 (EB Unit)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148">
        <f>SUM(E58:AH58)</f>
        <v/>
      </c>
    </row>
    <row r="59" ht="15" customHeight="1" s="488">
      <c r="A59" s="500" t="n"/>
      <c r="B59" s="500" t="n"/>
      <c r="C59" s="529" t="inlineStr">
        <is>
          <t>DG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1">
        <f>SUM(E59:AH59)</f>
        <v/>
      </c>
    </row>
    <row r="60" ht="15" customHeight="1" s="488">
      <c r="A60" s="99" t="n"/>
      <c r="B60" s="99" t="n"/>
      <c r="C60" s="511" t="inlineStr">
        <is>
          <t>Total Power - EB Unit</t>
        </is>
      </c>
      <c r="D60" s="501" t="n"/>
      <c r="E60" s="23">
        <f>SUM(E58,E56,E54,E52,E50,E48,E46,E44)</f>
        <v/>
      </c>
      <c r="F60" s="23">
        <f>SUM(F58,F56,F54,F52,F50,F48,F46,F44)</f>
        <v/>
      </c>
      <c r="G60" s="23">
        <f>SUM(G58,G56,G54,G52,G50,G48,G46,G44)</f>
        <v/>
      </c>
      <c r="H60" s="23">
        <f>SUM(H58,H56,H54,H52,H50,H48,H46,H44)</f>
        <v/>
      </c>
      <c r="I60" s="23">
        <f>SUM(I58,I56,I54,I52,I50,I48,I46,I44)</f>
        <v/>
      </c>
      <c r="J60" s="23">
        <f>SUM(J58,J56,J54,J52,J50,J48,J46,J44)</f>
        <v/>
      </c>
      <c r="K60" s="23">
        <f>SUM(K58,K56,K54,K52,K50,K48,K46,K44)</f>
        <v/>
      </c>
      <c r="L60" s="23">
        <f>SUM(L58,L56,L54,L52,L50,L48,L46,L44)</f>
        <v/>
      </c>
      <c r="M60" s="23">
        <f>SUM(M58,M56,M54,M52,M50,M48,M46,M44)</f>
        <v/>
      </c>
      <c r="N60" s="23">
        <f>SUM(N58,N56,N54,N52,N50,N48,N46,N44)</f>
        <v/>
      </c>
      <c r="O60" s="23">
        <f>SUM(O58,O56,O54,O52,O50,O48,O46,O44)</f>
        <v/>
      </c>
      <c r="P60" s="23">
        <f>SUM(P58,P56,P54,P52,P50,P48,P46,P44)</f>
        <v/>
      </c>
      <c r="Q60" s="23">
        <f>SUM(Q58,Q56,Q54,Q52,Q50,Q48,Q46,Q44)</f>
        <v/>
      </c>
      <c r="R60" s="23">
        <f>SUM(R58,R56,R54,R52,R50,R48,R46,R44)</f>
        <v/>
      </c>
      <c r="S60" s="23">
        <f>SUM(S58,S56,S54,S52,S50,S48,S46,S44)</f>
        <v/>
      </c>
      <c r="T60" s="23">
        <f>SUM(T58,T56,T54,T52,T50,T48,T46,T44)</f>
        <v/>
      </c>
      <c r="U60" s="23">
        <f>SUM(U58,U56,U54,U52,U50,U48,U46,U44)</f>
        <v/>
      </c>
      <c r="V60" s="23">
        <f>SUM(V58,V56,V54,V52,V50,V48,V46,V44)</f>
        <v/>
      </c>
      <c r="W60" s="23">
        <f>SUM(W58,W56,W54,W52,W50,W48,W46,W44)</f>
        <v/>
      </c>
      <c r="X60" s="23">
        <f>SUM(X58,X56,X54,X52,X50,X48,X46,X44)</f>
        <v/>
      </c>
      <c r="Y60" s="23">
        <f>SUM(Y58,Y56,Y54,Y52,Y50,Y48,Y46,Y44)</f>
        <v/>
      </c>
      <c r="Z60" s="23">
        <f>SUM(Z58,Z56,Z54,Z52,Z50,Z48,Z46,Z44)</f>
        <v/>
      </c>
      <c r="AA60" s="23">
        <f>SUM(AA58,AA56,AA54,AA52,AA50,AA48,AA46,AA44)</f>
        <v/>
      </c>
      <c r="AB60" s="23">
        <f>SUM(AB58,AB56,AB54,AB52,AB50,AB48,AB46,AB44)</f>
        <v/>
      </c>
      <c r="AC60" s="23">
        <f>SUM(AC58,AC56,AC54,AC52,AC50,AC48,AC46,AC44)</f>
        <v/>
      </c>
      <c r="AD60" s="23">
        <f>SUM(AD58,AD56,AD54,AD52,AD50,AD48,AD46,AD44)</f>
        <v/>
      </c>
      <c r="AE60" s="23">
        <f>SUM(AE58,AE56,AE54,AE52,AE50,AE48,AE46,AE44)</f>
        <v/>
      </c>
      <c r="AF60" s="23">
        <f>SUM(AF58,AF56,AF54,AF52,AF50,AF48,AF46,AF44)</f>
        <v/>
      </c>
      <c r="AG60" s="23">
        <f>SUM(AG58,AG56,AG54,AG52,AG50,AG48,AG46,AG44)</f>
        <v/>
      </c>
      <c r="AH60" s="23">
        <f>SUM(AH58,AH56,AH54,AH52,AH50,AH48,AH46,AH44)</f>
        <v/>
      </c>
      <c r="AI60" s="24">
        <f>SUM(E60:AH60)</f>
        <v/>
      </c>
    </row>
    <row r="61" ht="15" customHeight="1" s="488">
      <c r="A61" s="99" t="n"/>
      <c r="B61" s="99" t="n"/>
      <c r="C61" s="145" t="inlineStr">
        <is>
          <t>Total Power- DG</t>
        </is>
      </c>
      <c r="D61" s="108" t="n"/>
      <c r="E61" s="23">
        <f>SUM(E45,E47,E49,E51,E53,E55,E57,E59)</f>
        <v/>
      </c>
      <c r="F61" s="23">
        <f>SUM(F45,F47,F49,F51,F53,F55,F57,F59)</f>
        <v/>
      </c>
      <c r="G61" s="23">
        <f>SUM(G45,G47,G49,G51,G53,G55,G57,G59)</f>
        <v/>
      </c>
      <c r="H61" s="23">
        <f>SUM(H45,H47,H49,H51,H53,H55,H57,H59)</f>
        <v/>
      </c>
      <c r="I61" s="23">
        <f>SUM(I45,I47,I49,I51,I53,I55,I57,I59)</f>
        <v/>
      </c>
      <c r="J61" s="23">
        <f>SUM(J45,J47,J49,J51,J53,J55,J57,J59)</f>
        <v/>
      </c>
      <c r="K61" s="23">
        <f>SUM(K45,K47,K49,K51,K53,K55,K57,K59)</f>
        <v/>
      </c>
      <c r="L61" s="23">
        <f>SUM(L45,L47,L49,L51,L53,L55,L57,L59)</f>
        <v/>
      </c>
      <c r="M61" s="23">
        <f>SUM(M45,M47,M49,M51,M53,M55,M57,M59)</f>
        <v/>
      </c>
      <c r="N61" s="23">
        <f>SUM(N45,N47,N49,N51,N53,N55,N57,N59)</f>
        <v/>
      </c>
      <c r="O61" s="23">
        <f>SUM(O45,O47,O49,O51,O53,O55,O57,O59)</f>
        <v/>
      </c>
      <c r="P61" s="23">
        <f>SUM(P45,P47,P49,P51,P53,P55,P57,P59)</f>
        <v/>
      </c>
      <c r="Q61" s="23">
        <f>SUM(Q45,Q47,Q49,Q51,Q53,Q55,Q57,Q59)</f>
        <v/>
      </c>
      <c r="R61" s="23">
        <f>SUM(R45,R47,R49,R51,R53,R55,R57,R59)</f>
        <v/>
      </c>
      <c r="S61" s="23">
        <f>SUM(S45,S47,S49,S51,S53,S55,S57,S59)</f>
        <v/>
      </c>
      <c r="T61" s="23">
        <f>SUM(T45,T47,T49,T51,T53,T55,T57,T59)</f>
        <v/>
      </c>
      <c r="U61" s="23">
        <f>SUM(U45,U47,U49,U51,U53,U55,U57,U59)</f>
        <v/>
      </c>
      <c r="V61" s="23">
        <f>SUM(V45,V47,V49,V51,V53,V55,V57,V59)</f>
        <v/>
      </c>
      <c r="W61" s="23">
        <f>SUM(W45,W47,W49,W51,W53,W55,W57,W59)</f>
        <v/>
      </c>
      <c r="X61" s="23">
        <f>SUM(X45,X47,X49,X51,X53,X55,X57,X59)</f>
        <v/>
      </c>
      <c r="Y61" s="23">
        <f>SUM(Y45,Y47,Y49,Y51,Y53,Y55,Y57,Y59)</f>
        <v/>
      </c>
      <c r="Z61" s="23">
        <f>SUM(Z45,Z47,Z49,Z51,Z53,Z55,Z57,Z59)</f>
        <v/>
      </c>
      <c r="AA61" s="23">
        <f>SUM(AA45,AA47,AA49,AA51,AA53,AA55,AA57,AA59)</f>
        <v/>
      </c>
      <c r="AB61" s="23">
        <f>SUM(AB45,AB47,AB49,AB51,AB53,AB55,AB57,AB59)</f>
        <v/>
      </c>
      <c r="AC61" s="23">
        <f>SUM(AC45,AC47,AC49,AC51,AC53,AC55,AC57,AC59)</f>
        <v/>
      </c>
      <c r="AD61" s="23">
        <f>SUM(AD45,AD47,AD49,AD51,AD53,AD55,AD57,AD59)</f>
        <v/>
      </c>
      <c r="AE61" s="23">
        <f>SUM(AE45,AE47,AE49,AE51,AE53,AE55,AE57,AE59)</f>
        <v/>
      </c>
      <c r="AF61" s="23">
        <f>SUM(AF45,AF47,AF49,AF51,AF53,AF55,AF57,AF59)</f>
        <v/>
      </c>
      <c r="AG61" s="23">
        <f>SUM(AG45,AG47,AG49,AG51,AG53,AG55,AG57,AG59)</f>
        <v/>
      </c>
      <c r="AH61" s="23">
        <f>SUM(AH45,AH47,AH49,AH51,AH53,AH55,AH57,AH59)</f>
        <v/>
      </c>
      <c r="AI61" s="24">
        <f>SUM(E61:AH61)</f>
        <v/>
      </c>
    </row>
    <row r="62">
      <c r="A62" s="539" t="n"/>
      <c r="B62" s="539" t="n"/>
      <c r="C62" s="532" t="inlineStr">
        <is>
          <t>Total Power Cumulative</t>
        </is>
      </c>
      <c r="D62" s="501" t="n"/>
      <c r="E62" s="102">
        <f>E60</f>
        <v/>
      </c>
      <c r="F62" s="102">
        <f>F60</f>
        <v/>
      </c>
      <c r="G62" s="102">
        <f>G60</f>
        <v/>
      </c>
      <c r="H62" s="102">
        <f>H60</f>
        <v/>
      </c>
      <c r="I62" s="102">
        <f>I60</f>
        <v/>
      </c>
      <c r="J62" s="102">
        <f>J60</f>
        <v/>
      </c>
      <c r="K62" s="102">
        <f>K60</f>
        <v/>
      </c>
      <c r="L62" s="102">
        <f>L60</f>
        <v/>
      </c>
      <c r="M62" s="102">
        <f>M60</f>
        <v/>
      </c>
      <c r="N62" s="102">
        <f>N60</f>
        <v/>
      </c>
      <c r="O62" s="102">
        <f>O60</f>
        <v/>
      </c>
      <c r="P62" s="102">
        <f>P60</f>
        <v/>
      </c>
      <c r="Q62" s="102">
        <f>Q60</f>
        <v/>
      </c>
      <c r="R62" s="102">
        <f>R60</f>
        <v/>
      </c>
      <c r="S62" s="102">
        <f>S60</f>
        <v/>
      </c>
      <c r="T62" s="102">
        <f>T60</f>
        <v/>
      </c>
      <c r="U62" s="102">
        <f>U60</f>
        <v/>
      </c>
      <c r="V62" s="102">
        <f>V60</f>
        <v/>
      </c>
      <c r="W62" s="102">
        <f>W60</f>
        <v/>
      </c>
      <c r="X62" s="102">
        <f>X60</f>
        <v/>
      </c>
      <c r="Y62" s="102">
        <f>Y60</f>
        <v/>
      </c>
      <c r="Z62" s="102">
        <f>Z60</f>
        <v/>
      </c>
      <c r="AA62" s="102">
        <f>AA60</f>
        <v/>
      </c>
      <c r="AB62" s="102">
        <f>AB60</f>
        <v/>
      </c>
      <c r="AC62" s="102">
        <f>AC60</f>
        <v/>
      </c>
      <c r="AD62" s="102">
        <f>AD60</f>
        <v/>
      </c>
      <c r="AE62" s="102">
        <f>AE60</f>
        <v/>
      </c>
      <c r="AF62" s="102">
        <f>AF60</f>
        <v/>
      </c>
      <c r="AG62" s="102">
        <f>AG60</f>
        <v/>
      </c>
      <c r="AH62" s="102">
        <f>AH60</f>
        <v/>
      </c>
      <c r="AI62" s="102">
        <f>AI60</f>
        <v/>
      </c>
    </row>
    <row r="63">
      <c r="A63" s="94" t="n"/>
      <c r="B63" s="534" t="n"/>
      <c r="C63" s="146" t="n"/>
      <c r="D63" s="109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4" t="n"/>
    </row>
    <row r="64">
      <c r="A64" s="28" t="inlineStr">
        <is>
          <t>S No</t>
        </is>
      </c>
      <c r="B64" s="28" t="inlineStr">
        <is>
          <t>Location</t>
        </is>
      </c>
      <c r="C64" s="513" t="inlineStr">
        <is>
          <t>Meter</t>
        </is>
      </c>
      <c r="D64" s="501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103" t="n"/>
    </row>
    <row r="65">
      <c r="A65" s="500" t="n">
        <v>1</v>
      </c>
      <c r="B65" s="500" t="inlineStr">
        <is>
          <t>3F</t>
        </is>
      </c>
      <c r="C65" s="503" t="inlineStr">
        <is>
          <t>AHU1</t>
        </is>
      </c>
      <c r="D65" s="501" t="n"/>
      <c r="E65" s="102">
        <f>E23-D23</f>
        <v/>
      </c>
      <c r="F65" s="102">
        <f>F23-E23</f>
        <v/>
      </c>
      <c r="G65" s="102">
        <f>G23-F23</f>
        <v/>
      </c>
      <c r="H65" s="102">
        <f>H23-G23</f>
        <v/>
      </c>
      <c r="I65" s="102">
        <f>I23-H23</f>
        <v/>
      </c>
      <c r="J65" s="102">
        <f>J23-I23</f>
        <v/>
      </c>
      <c r="K65" s="102">
        <f>K23-J23</f>
        <v/>
      </c>
      <c r="L65" s="102">
        <f>L23-K23</f>
        <v/>
      </c>
      <c r="M65" s="102">
        <f>M23-L23</f>
        <v/>
      </c>
      <c r="N65" s="102">
        <f>N23-M23</f>
        <v/>
      </c>
      <c r="O65" s="102">
        <f>O23-N23</f>
        <v/>
      </c>
      <c r="P65" s="102">
        <f>P23-O23</f>
        <v/>
      </c>
      <c r="Q65" s="102">
        <f>Q23-P23</f>
        <v/>
      </c>
      <c r="R65" s="102">
        <f>R23-Q23</f>
        <v/>
      </c>
      <c r="S65" s="102">
        <f>S23-R23</f>
        <v/>
      </c>
      <c r="T65" s="102">
        <f>T23-S23</f>
        <v/>
      </c>
      <c r="U65" s="102">
        <f>U23-T23</f>
        <v/>
      </c>
      <c r="V65" s="102">
        <f>V23-U23</f>
        <v/>
      </c>
      <c r="W65" s="102">
        <f>W23-V23</f>
        <v/>
      </c>
      <c r="X65" s="102">
        <f>X23-W23</f>
        <v/>
      </c>
      <c r="Y65" s="102">
        <f>Y23-X23</f>
        <v/>
      </c>
      <c r="Z65" s="102">
        <f>Z23-Y23</f>
        <v/>
      </c>
      <c r="AA65" s="102">
        <f>AA23-Z23</f>
        <v/>
      </c>
      <c r="AB65" s="102">
        <f>AB23-AA23</f>
        <v/>
      </c>
      <c r="AC65" s="102">
        <f>AC23-AB23</f>
        <v/>
      </c>
      <c r="AD65" s="102">
        <f>AD23-AC23</f>
        <v/>
      </c>
      <c r="AE65" s="102">
        <f>AE23-AD23</f>
        <v/>
      </c>
      <c r="AF65" s="102">
        <f>AF23-AE23</f>
        <v/>
      </c>
      <c r="AG65" s="102">
        <f>AG23-AF23</f>
        <v/>
      </c>
      <c r="AH65" s="102">
        <f>AH23-AG23</f>
        <v/>
      </c>
      <c r="AI65" s="102">
        <f>SUM(E65:AH65)</f>
        <v/>
      </c>
    </row>
    <row r="66">
      <c r="A66" s="500" t="n"/>
      <c r="B66" s="500" t="n"/>
      <c r="C66" s="531" t="inlineStr">
        <is>
          <t>DG</t>
        </is>
      </c>
      <c r="D66" s="501" t="n"/>
      <c r="E66" s="102">
        <f>E24-D24</f>
        <v/>
      </c>
      <c r="F66" s="102">
        <f>F24-E24</f>
        <v/>
      </c>
      <c r="G66" s="102">
        <f>G24-F24</f>
        <v/>
      </c>
      <c r="H66" s="102">
        <f>H24-G24</f>
        <v/>
      </c>
      <c r="I66" s="102">
        <f>I24-H24</f>
        <v/>
      </c>
      <c r="J66" s="102">
        <f>J24-I24</f>
        <v/>
      </c>
      <c r="K66" s="102">
        <f>K24-J24</f>
        <v/>
      </c>
      <c r="L66" s="102">
        <f>L24-K24</f>
        <v/>
      </c>
      <c r="M66" s="102">
        <f>M24-L24</f>
        <v/>
      </c>
      <c r="N66" s="102">
        <f>N24-M24</f>
        <v/>
      </c>
      <c r="O66" s="102">
        <f>O24-N24</f>
        <v/>
      </c>
      <c r="P66" s="102">
        <f>P24-O24</f>
        <v/>
      </c>
      <c r="Q66" s="102">
        <f>Q24-P24</f>
        <v/>
      </c>
      <c r="R66" s="102">
        <f>R24-Q24</f>
        <v/>
      </c>
      <c r="S66" s="102">
        <f>S24-R24</f>
        <v/>
      </c>
      <c r="T66" s="102">
        <f>T24-S24</f>
        <v/>
      </c>
      <c r="U66" s="102">
        <f>U24-T24</f>
        <v/>
      </c>
      <c r="V66" s="102">
        <f>V24-U24</f>
        <v/>
      </c>
      <c r="W66" s="102">
        <f>W24-V24</f>
        <v/>
      </c>
      <c r="X66" s="102">
        <f>X24-W24</f>
        <v/>
      </c>
      <c r="Y66" s="102">
        <f>Y24-X24</f>
        <v/>
      </c>
      <c r="Z66" s="102">
        <f>Z24-Y24</f>
        <v/>
      </c>
      <c r="AA66" s="102">
        <f>AA24-Z24</f>
        <v/>
      </c>
      <c r="AB66" s="102">
        <f>AB24-AA24</f>
        <v/>
      </c>
      <c r="AC66" s="102">
        <f>AC24-AB24</f>
        <v/>
      </c>
      <c r="AD66" s="102">
        <f>AD24-AC24</f>
        <v/>
      </c>
      <c r="AE66" s="102">
        <f>AE24-AD24</f>
        <v/>
      </c>
      <c r="AF66" s="102">
        <f>AF24-AE24</f>
        <v/>
      </c>
      <c r="AG66" s="102">
        <f>AG24-AF24</f>
        <v/>
      </c>
      <c r="AH66" s="102">
        <f>AH24-AG24</f>
        <v/>
      </c>
      <c r="AI66" s="102">
        <f>SUM(E66:AH66)</f>
        <v/>
      </c>
    </row>
    <row r="67">
      <c r="A67" s="500" t="n">
        <v>2</v>
      </c>
      <c r="B67" s="500" t="inlineStr">
        <is>
          <t>3F</t>
        </is>
      </c>
      <c r="C67" s="503" t="inlineStr">
        <is>
          <t>AHU2</t>
        </is>
      </c>
      <c r="D67" s="501" t="n"/>
      <c r="E67" s="102">
        <f>E25-D25</f>
        <v/>
      </c>
      <c r="F67" s="102">
        <f>F25-E25</f>
        <v/>
      </c>
      <c r="G67" s="102">
        <f>G25-F25</f>
        <v/>
      </c>
      <c r="H67" s="102">
        <f>H25-G25</f>
        <v/>
      </c>
      <c r="I67" s="102">
        <f>I25-H25</f>
        <v/>
      </c>
      <c r="J67" s="102">
        <f>J25-I25</f>
        <v/>
      </c>
      <c r="K67" s="102">
        <f>K25-J25</f>
        <v/>
      </c>
      <c r="L67" s="102">
        <f>L25-K25</f>
        <v/>
      </c>
      <c r="M67" s="102">
        <f>M25-L25</f>
        <v/>
      </c>
      <c r="N67" s="102">
        <f>N25-M25</f>
        <v/>
      </c>
      <c r="O67" s="102">
        <f>O25-N25</f>
        <v/>
      </c>
      <c r="P67" s="102">
        <f>P25-O25</f>
        <v/>
      </c>
      <c r="Q67" s="102">
        <f>Q25-P25</f>
        <v/>
      </c>
      <c r="R67" s="102">
        <f>R25-Q25</f>
        <v/>
      </c>
      <c r="S67" s="102">
        <f>S25-R25</f>
        <v/>
      </c>
      <c r="T67" s="102">
        <f>T25-S25</f>
        <v/>
      </c>
      <c r="U67" s="102">
        <f>U25-T25</f>
        <v/>
      </c>
      <c r="V67" s="102">
        <f>V25-U25</f>
        <v/>
      </c>
      <c r="W67" s="102">
        <f>W25-V25</f>
        <v/>
      </c>
      <c r="X67" s="102">
        <f>X25-W25</f>
        <v/>
      </c>
      <c r="Y67" s="102">
        <f>Y25-X25</f>
        <v/>
      </c>
      <c r="Z67" s="102">
        <f>Z25-Y25</f>
        <v/>
      </c>
      <c r="AA67" s="102">
        <f>AA25-Z25</f>
        <v/>
      </c>
      <c r="AB67" s="102">
        <f>AB25-AA25</f>
        <v/>
      </c>
      <c r="AC67" s="102">
        <f>AC25-AB25</f>
        <v/>
      </c>
      <c r="AD67" s="102">
        <f>AD25-AC25</f>
        <v/>
      </c>
      <c r="AE67" s="102">
        <f>AE25-AD25</f>
        <v/>
      </c>
      <c r="AF67" s="102">
        <f>AF25-AE25</f>
        <v/>
      </c>
      <c r="AG67" s="102">
        <f>AG25-AF25</f>
        <v/>
      </c>
      <c r="AH67" s="102">
        <f>AH25-AG25</f>
        <v/>
      </c>
      <c r="AI67" s="102">
        <f>SUM(E67:AH67)</f>
        <v/>
      </c>
    </row>
    <row r="68">
      <c r="A68" s="500" t="n"/>
      <c r="B68" s="500" t="n"/>
      <c r="C68" s="531" t="inlineStr">
        <is>
          <t>DG</t>
        </is>
      </c>
      <c r="D68" s="501" t="n"/>
      <c r="E68" s="102">
        <f>E26-D26</f>
        <v/>
      </c>
      <c r="F68" s="102">
        <f>F26-E26</f>
        <v/>
      </c>
      <c r="G68" s="102">
        <f>G26-F26</f>
        <v/>
      </c>
      <c r="H68" s="102">
        <f>H26-G26</f>
        <v/>
      </c>
      <c r="I68" s="102">
        <f>I26-H26</f>
        <v/>
      </c>
      <c r="J68" s="102">
        <f>J26-I26</f>
        <v/>
      </c>
      <c r="K68" s="102">
        <f>K26-J26</f>
        <v/>
      </c>
      <c r="L68" s="102">
        <f>L26-K26</f>
        <v/>
      </c>
      <c r="M68" s="102">
        <f>M26-L26</f>
        <v/>
      </c>
      <c r="N68" s="102">
        <f>N26-M26</f>
        <v/>
      </c>
      <c r="O68" s="102">
        <f>O26-N26</f>
        <v/>
      </c>
      <c r="P68" s="102">
        <f>P26-O26</f>
        <v/>
      </c>
      <c r="Q68" s="102">
        <f>Q26-P26</f>
        <v/>
      </c>
      <c r="R68" s="102">
        <f>R26-Q26</f>
        <v/>
      </c>
      <c r="S68" s="102">
        <f>S26-R26</f>
        <v/>
      </c>
      <c r="T68" s="102">
        <f>T26-S26</f>
        <v/>
      </c>
      <c r="U68" s="102">
        <f>U26-T26</f>
        <v/>
      </c>
      <c r="V68" s="102">
        <f>V26-U26</f>
        <v/>
      </c>
      <c r="W68" s="102">
        <f>W26-V26</f>
        <v/>
      </c>
      <c r="X68" s="102">
        <f>X26-W26</f>
        <v/>
      </c>
      <c r="Y68" s="102">
        <f>Y26-X26</f>
        <v/>
      </c>
      <c r="Z68" s="102">
        <f>Z26-Y26</f>
        <v/>
      </c>
      <c r="AA68" s="102">
        <f>AA26-Z26</f>
        <v/>
      </c>
      <c r="AB68" s="102">
        <f>AB26-AA26</f>
        <v/>
      </c>
      <c r="AC68" s="102">
        <f>AC26-AB26</f>
        <v/>
      </c>
      <c r="AD68" s="102">
        <f>AD26-AC26</f>
        <v/>
      </c>
      <c r="AE68" s="102">
        <f>AE26-AD26</f>
        <v/>
      </c>
      <c r="AF68" s="102">
        <f>AF26-AE26</f>
        <v/>
      </c>
      <c r="AG68" s="102">
        <f>AG26-AF26</f>
        <v/>
      </c>
      <c r="AH68" s="102">
        <f>AH26-AG26</f>
        <v/>
      </c>
      <c r="AI68" s="102">
        <f>SUM(E68:AH68)</f>
        <v/>
      </c>
    </row>
    <row r="69">
      <c r="A69" s="500" t="n">
        <v>3</v>
      </c>
      <c r="B69" s="500" t="inlineStr">
        <is>
          <t>3F</t>
        </is>
      </c>
      <c r="C69" s="503" t="inlineStr">
        <is>
          <t>AHU3</t>
        </is>
      </c>
      <c r="D69" s="501" t="n"/>
      <c r="E69" s="102">
        <f>E27-D27</f>
        <v/>
      </c>
      <c r="F69" s="102">
        <f>F27-E27</f>
        <v/>
      </c>
      <c r="G69" s="102">
        <f>G27-F27</f>
        <v/>
      </c>
      <c r="H69" s="102">
        <f>H27-G27</f>
        <v/>
      </c>
      <c r="I69" s="102">
        <f>I27-H27</f>
        <v/>
      </c>
      <c r="J69" s="102">
        <f>J27-I27</f>
        <v/>
      </c>
      <c r="K69" s="102">
        <f>K27-J27</f>
        <v/>
      </c>
      <c r="L69" s="102">
        <f>L27-K27</f>
        <v/>
      </c>
      <c r="M69" s="102">
        <f>M27-L27</f>
        <v/>
      </c>
      <c r="N69" s="102">
        <f>N27-M27</f>
        <v/>
      </c>
      <c r="O69" s="102">
        <f>O27-N27</f>
        <v/>
      </c>
      <c r="P69" s="102">
        <f>P27-O27</f>
        <v/>
      </c>
      <c r="Q69" s="102">
        <f>Q27-P27</f>
        <v/>
      </c>
      <c r="R69" s="102">
        <f>R27-Q27</f>
        <v/>
      </c>
      <c r="S69" s="102">
        <f>S27-R27</f>
        <v/>
      </c>
      <c r="T69" s="102">
        <f>T27-S27</f>
        <v/>
      </c>
      <c r="U69" s="102">
        <f>U27-T27</f>
        <v/>
      </c>
      <c r="V69" s="102">
        <f>V27-U27</f>
        <v/>
      </c>
      <c r="W69" s="102">
        <f>W27-V27</f>
        <v/>
      </c>
      <c r="X69" s="102">
        <f>X27-W27</f>
        <v/>
      </c>
      <c r="Y69" s="102">
        <f>Y27-X27</f>
        <v/>
      </c>
      <c r="Z69" s="102">
        <f>Z27-Y27</f>
        <v/>
      </c>
      <c r="AA69" s="102">
        <f>AA27-Z27</f>
        <v/>
      </c>
      <c r="AB69" s="102">
        <f>AB27-AA27</f>
        <v/>
      </c>
      <c r="AC69" s="102">
        <f>AC27-AB27</f>
        <v/>
      </c>
      <c r="AD69" s="102">
        <f>AD27-AC27</f>
        <v/>
      </c>
      <c r="AE69" s="102">
        <f>AE27-AD27</f>
        <v/>
      </c>
      <c r="AF69" s="102">
        <f>AF27-AE27</f>
        <v/>
      </c>
      <c r="AG69" s="102">
        <f>AG27-AF27</f>
        <v/>
      </c>
      <c r="AH69" s="102">
        <f>AH27-AG27</f>
        <v/>
      </c>
      <c r="AI69" s="102">
        <f>SUM(E69:AH69)</f>
        <v/>
      </c>
    </row>
    <row r="70">
      <c r="A70" s="500" t="n"/>
      <c r="B70" s="500" t="n"/>
      <c r="C70" s="531" t="inlineStr">
        <is>
          <t>DG</t>
        </is>
      </c>
      <c r="D70" s="501" t="n"/>
      <c r="E70" s="102">
        <f>E28-D28</f>
        <v/>
      </c>
      <c r="F70" s="102">
        <f>F28-E28</f>
        <v/>
      </c>
      <c r="G70" s="102">
        <f>G28-F28</f>
        <v/>
      </c>
      <c r="H70" s="102">
        <f>H28-G28</f>
        <v/>
      </c>
      <c r="I70" s="102">
        <f>I28-H28</f>
        <v/>
      </c>
      <c r="J70" s="102">
        <f>J28-I28</f>
        <v/>
      </c>
      <c r="K70" s="102">
        <f>K28-J28</f>
        <v/>
      </c>
      <c r="L70" s="102">
        <f>L28-K28</f>
        <v/>
      </c>
      <c r="M70" s="102">
        <f>M28-L28</f>
        <v/>
      </c>
      <c r="N70" s="102">
        <f>N28-M28</f>
        <v/>
      </c>
      <c r="O70" s="102">
        <f>O28-N28</f>
        <v/>
      </c>
      <c r="P70" s="102">
        <f>P28-O28</f>
        <v/>
      </c>
      <c r="Q70" s="102">
        <f>Q28-P28</f>
        <v/>
      </c>
      <c r="R70" s="102">
        <f>R28-Q28</f>
        <v/>
      </c>
      <c r="S70" s="102">
        <f>S28-R28</f>
        <v/>
      </c>
      <c r="T70" s="102">
        <f>T28-S28</f>
        <v/>
      </c>
      <c r="U70" s="102">
        <f>U28-T28</f>
        <v/>
      </c>
      <c r="V70" s="102">
        <f>V28-U28</f>
        <v/>
      </c>
      <c r="W70" s="102">
        <f>W28-V28</f>
        <v/>
      </c>
      <c r="X70" s="102">
        <f>X28-W28</f>
        <v/>
      </c>
      <c r="Y70" s="102">
        <f>Y28-X28</f>
        <v/>
      </c>
      <c r="Z70" s="102">
        <f>Z28-Y28</f>
        <v/>
      </c>
      <c r="AA70" s="102">
        <f>AA28-Z28</f>
        <v/>
      </c>
      <c r="AB70" s="102">
        <f>AB28-AA28</f>
        <v/>
      </c>
      <c r="AC70" s="102">
        <f>AC28-AB28</f>
        <v/>
      </c>
      <c r="AD70" s="102">
        <f>AD28-AC28</f>
        <v/>
      </c>
      <c r="AE70" s="102">
        <f>AE28-AD28</f>
        <v/>
      </c>
      <c r="AF70" s="102">
        <f>AF28-AE28</f>
        <v/>
      </c>
      <c r="AG70" s="102">
        <f>AG28-AF28</f>
        <v/>
      </c>
      <c r="AH70" s="102">
        <f>AH28-AG28</f>
        <v/>
      </c>
      <c r="AI70" s="102">
        <f>SUM(E70:AH70)</f>
        <v/>
      </c>
    </row>
    <row r="71">
      <c r="A71" s="500" t="n">
        <v>4</v>
      </c>
      <c r="B71" s="500" t="inlineStr">
        <is>
          <t>3F</t>
        </is>
      </c>
      <c r="C71" s="503" t="inlineStr">
        <is>
          <t>AHU4</t>
        </is>
      </c>
      <c r="D71" s="501" t="n"/>
      <c r="E71" s="102">
        <f>E29-D29</f>
        <v/>
      </c>
      <c r="F71" s="102">
        <f>F29-E29</f>
        <v/>
      </c>
      <c r="G71" s="102">
        <f>G29-F29</f>
        <v/>
      </c>
      <c r="H71" s="102">
        <f>H29-G29</f>
        <v/>
      </c>
      <c r="I71" s="102">
        <f>I29-H29</f>
        <v/>
      </c>
      <c r="J71" s="102">
        <f>J29-I29</f>
        <v/>
      </c>
      <c r="K71" s="102">
        <f>K29-J29</f>
        <v/>
      </c>
      <c r="L71" s="102">
        <f>L29-K29</f>
        <v/>
      </c>
      <c r="M71" s="102">
        <f>M29-L29</f>
        <v/>
      </c>
      <c r="N71" s="102">
        <f>N29-M29</f>
        <v/>
      </c>
      <c r="O71" s="102">
        <f>O29-N29</f>
        <v/>
      </c>
      <c r="P71" s="102">
        <f>P29-O29</f>
        <v/>
      </c>
      <c r="Q71" s="102">
        <f>Q29-P29</f>
        <v/>
      </c>
      <c r="R71" s="102">
        <f>R29-Q29</f>
        <v/>
      </c>
      <c r="S71" s="102">
        <f>S29-R29</f>
        <v/>
      </c>
      <c r="T71" s="102">
        <f>T29-S29</f>
        <v/>
      </c>
      <c r="U71" s="102">
        <f>U29-T29</f>
        <v/>
      </c>
      <c r="V71" s="102">
        <f>V29-U29</f>
        <v/>
      </c>
      <c r="W71" s="102">
        <f>W29-V29</f>
        <v/>
      </c>
      <c r="X71" s="102">
        <f>X29-W29</f>
        <v/>
      </c>
      <c r="Y71" s="102">
        <f>Y29-X29</f>
        <v/>
      </c>
      <c r="Z71" s="102">
        <f>Z29-Y29</f>
        <v/>
      </c>
      <c r="AA71" s="102">
        <f>AA29-Z29</f>
        <v/>
      </c>
      <c r="AB71" s="102">
        <f>AB29-AA29</f>
        <v/>
      </c>
      <c r="AC71" s="102">
        <f>AC29-AB29</f>
        <v/>
      </c>
      <c r="AD71" s="102">
        <f>AD29-AC29</f>
        <v/>
      </c>
      <c r="AE71" s="102">
        <f>AE29-AD29</f>
        <v/>
      </c>
      <c r="AF71" s="102">
        <f>AF29-AE29</f>
        <v/>
      </c>
      <c r="AG71" s="102">
        <f>AG29-AF29</f>
        <v/>
      </c>
      <c r="AH71" s="102">
        <f>AH29-AG29</f>
        <v/>
      </c>
      <c r="AI71" s="102">
        <f>SUM(E71:AH71)</f>
        <v/>
      </c>
    </row>
    <row r="72">
      <c r="A72" s="500" t="n"/>
      <c r="B72" s="500" t="n"/>
      <c r="C72" s="531" t="inlineStr">
        <is>
          <t>DG</t>
        </is>
      </c>
      <c r="D72" s="501" t="n"/>
      <c r="E72" s="102">
        <f>E30-D30</f>
        <v/>
      </c>
      <c r="F72" s="102">
        <f>F30-E30</f>
        <v/>
      </c>
      <c r="G72" s="102">
        <f>G30-F30</f>
        <v/>
      </c>
      <c r="H72" s="102">
        <f>H30-G30</f>
        <v/>
      </c>
      <c r="I72" s="102">
        <f>I30-H30</f>
        <v/>
      </c>
      <c r="J72" s="102">
        <f>J30-I30</f>
        <v/>
      </c>
      <c r="K72" s="102">
        <f>K30-J30</f>
        <v/>
      </c>
      <c r="L72" s="102">
        <f>L30-K30</f>
        <v/>
      </c>
      <c r="M72" s="102">
        <f>M30-L30</f>
        <v/>
      </c>
      <c r="N72" s="102">
        <f>N30-M30</f>
        <v/>
      </c>
      <c r="O72" s="102">
        <f>O30-N30</f>
        <v/>
      </c>
      <c r="P72" s="102">
        <f>P30-O30</f>
        <v/>
      </c>
      <c r="Q72" s="102">
        <f>Q30-P30</f>
        <v/>
      </c>
      <c r="R72" s="102">
        <f>R30-Q30</f>
        <v/>
      </c>
      <c r="S72" s="102">
        <f>S30-R30</f>
        <v/>
      </c>
      <c r="T72" s="102">
        <f>T30-S30</f>
        <v/>
      </c>
      <c r="U72" s="102">
        <f>U30-T30</f>
        <v/>
      </c>
      <c r="V72" s="102">
        <f>V30-U30</f>
        <v/>
      </c>
      <c r="W72" s="102">
        <f>W30-V30</f>
        <v/>
      </c>
      <c r="X72" s="102">
        <f>X30-W30</f>
        <v/>
      </c>
      <c r="Y72" s="102">
        <f>Y30-X30</f>
        <v/>
      </c>
      <c r="Z72" s="102">
        <f>Z30-Y30</f>
        <v/>
      </c>
      <c r="AA72" s="102">
        <f>AA30-Z30</f>
        <v/>
      </c>
      <c r="AB72" s="102">
        <f>AB30-AA30</f>
        <v/>
      </c>
      <c r="AC72" s="102">
        <f>AC30-AB30</f>
        <v/>
      </c>
      <c r="AD72" s="102">
        <f>AD30-AC30</f>
        <v/>
      </c>
      <c r="AE72" s="102">
        <f>AE30-AD30</f>
        <v/>
      </c>
      <c r="AF72" s="102">
        <f>AF30-AE30</f>
        <v/>
      </c>
      <c r="AG72" s="102">
        <f>AG30-AF30</f>
        <v/>
      </c>
      <c r="AH72" s="102">
        <f>AH30-AG30</f>
        <v/>
      </c>
      <c r="AI72" s="102">
        <f>SUM(E72:AH72)</f>
        <v/>
      </c>
    </row>
    <row r="73" ht="15" customHeight="1" s="488">
      <c r="A73" s="99" t="n"/>
      <c r="B73" s="99" t="n"/>
      <c r="C73" s="511" t="inlineStr">
        <is>
          <t>Total AHU Power Consumption</t>
        </is>
      </c>
      <c r="D73" s="501" t="n"/>
      <c r="E73" s="23">
        <f>SUM(E65,E67,E69,E71)</f>
        <v/>
      </c>
      <c r="F73" s="23">
        <f>SUM(F65,F67,F69,F71)</f>
        <v/>
      </c>
      <c r="G73" s="23">
        <f>SUM(G65,G67,G69,G71)</f>
        <v/>
      </c>
      <c r="H73" s="23">
        <f>SUM(H65,H67,H69,H71)</f>
        <v/>
      </c>
      <c r="I73" s="23">
        <f>SUM(I65,I67,I69,I71)</f>
        <v/>
      </c>
      <c r="J73" s="23">
        <f>SUM(J65,J67,J69,J71)</f>
        <v/>
      </c>
      <c r="K73" s="23">
        <f>SUM(K65,K67,K69,K71)</f>
        <v/>
      </c>
      <c r="L73" s="23">
        <f>SUM(L65,L67,L69,L71)</f>
        <v/>
      </c>
      <c r="M73" s="23">
        <f>SUM(M65,M67,M69,M71)</f>
        <v/>
      </c>
      <c r="N73" s="23">
        <f>SUM(N65,N67,N69,N71)</f>
        <v/>
      </c>
      <c r="O73" s="23">
        <f>SUM(O65,O67,O69,O71)</f>
        <v/>
      </c>
      <c r="P73" s="23">
        <f>SUM(P65,P67,P69,P71)</f>
        <v/>
      </c>
      <c r="Q73" s="23">
        <f>SUM(Q65,Q67,Q69,Q71)</f>
        <v/>
      </c>
      <c r="R73" s="23">
        <f>SUM(R65,R67,R69,R71)</f>
        <v/>
      </c>
      <c r="S73" s="23">
        <f>SUM(S65,S67,S69,S71)</f>
        <v/>
      </c>
      <c r="T73" s="23">
        <f>SUM(T65,T67,T69,T71)</f>
        <v/>
      </c>
      <c r="U73" s="23">
        <f>SUM(U65,U67,U69,U71)</f>
        <v/>
      </c>
      <c r="V73" s="23">
        <f>SUM(V65,V67,V69,V71)</f>
        <v/>
      </c>
      <c r="W73" s="23">
        <f>SUM(W65,W67,W69,W71)</f>
        <v/>
      </c>
      <c r="X73" s="23">
        <f>SUM(X65,X67,X69,X71)</f>
        <v/>
      </c>
      <c r="Y73" s="23">
        <f>SUM(Y65,Y67,Y69,Y71)</f>
        <v/>
      </c>
      <c r="Z73" s="23">
        <f>SUM(Z65,Z67,Z69,Z71)</f>
        <v/>
      </c>
      <c r="AA73" s="23">
        <f>SUM(AA65,AA67,AA69,AA71)</f>
        <v/>
      </c>
      <c r="AB73" s="23">
        <f>SUM(AB65,AB67,AB69,AB71)</f>
        <v/>
      </c>
      <c r="AC73" s="23">
        <f>SUM(AC65,AC67,AC69,AC71)</f>
        <v/>
      </c>
      <c r="AD73" s="23">
        <f>SUM(AD65,AD67,AD69,AD71)</f>
        <v/>
      </c>
      <c r="AE73" s="23">
        <f>SUM(AE65,AE67,AE69,AE71)</f>
        <v/>
      </c>
      <c r="AF73" s="23">
        <f>SUM(AF65,AF67,AF69,AF71)</f>
        <v/>
      </c>
      <c r="AG73" s="23">
        <f>SUM(AG65,AG67,AG69,AG71)</f>
        <v/>
      </c>
      <c r="AH73" s="23">
        <f>SUM(AH65,AH67,AH69,AH71)</f>
        <v/>
      </c>
      <c r="AI73" s="24">
        <f>SUM(E73:AH73)</f>
        <v/>
      </c>
    </row>
    <row r="74" ht="15" customHeight="1" s="488">
      <c r="A74" s="99" t="n"/>
      <c r="B74" s="99" t="n"/>
      <c r="C74" s="502" t="inlineStr">
        <is>
          <t>Total AHU DG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4">
        <f>SUM(E74:AH74)</f>
        <v/>
      </c>
    </row>
    <row r="75">
      <c r="A75" s="500" t="n">
        <v>1</v>
      </c>
      <c r="B75" s="500" t="inlineStr">
        <is>
          <t>3F</t>
        </is>
      </c>
      <c r="C75" s="500" t="inlineStr">
        <is>
          <t>AHU1 - BTU</t>
        </is>
      </c>
      <c r="D75" s="501" t="n"/>
      <c r="E75" s="102">
        <f>E32-D32</f>
        <v/>
      </c>
      <c r="F75" s="102">
        <f>F32-E32</f>
        <v/>
      </c>
      <c r="G75" s="102">
        <f>G32-F32</f>
        <v/>
      </c>
      <c r="H75" s="102">
        <f>H32-G32</f>
        <v/>
      </c>
      <c r="I75" s="102">
        <f>I32-H32</f>
        <v/>
      </c>
      <c r="J75" s="102">
        <f>J32-I32</f>
        <v/>
      </c>
      <c r="K75" s="102">
        <f>K32-J32</f>
        <v/>
      </c>
      <c r="L75" s="102">
        <f>L32-K32</f>
        <v/>
      </c>
      <c r="M75" s="102">
        <f>M32-L32</f>
        <v/>
      </c>
      <c r="N75" s="102">
        <f>N32-M32</f>
        <v/>
      </c>
      <c r="O75" s="102">
        <f>O32-N32</f>
        <v/>
      </c>
      <c r="P75" s="102">
        <f>P32-O32</f>
        <v/>
      </c>
      <c r="Q75" s="102">
        <f>Q32-P32</f>
        <v/>
      </c>
      <c r="R75" s="102">
        <f>R32-Q32</f>
        <v/>
      </c>
      <c r="S75" s="102">
        <f>S32-R32</f>
        <v/>
      </c>
      <c r="T75" s="102">
        <f>T32-S32</f>
        <v/>
      </c>
      <c r="U75" s="102">
        <f>U32-T32</f>
        <v/>
      </c>
      <c r="V75" s="102">
        <f>V32-U32</f>
        <v/>
      </c>
      <c r="W75" s="102">
        <f>W32-V32</f>
        <v/>
      </c>
      <c r="X75" s="102">
        <f>X32-W32</f>
        <v/>
      </c>
      <c r="Y75" s="102">
        <f>Y32-X32</f>
        <v/>
      </c>
      <c r="Z75" s="102">
        <f>Z32-Y32</f>
        <v/>
      </c>
      <c r="AA75" s="102">
        <f>AA32-Z32</f>
        <v/>
      </c>
      <c r="AB75" s="102">
        <f>AB32-AA32</f>
        <v/>
      </c>
      <c r="AC75" s="102">
        <f>AC32-AB32</f>
        <v/>
      </c>
      <c r="AD75" s="102">
        <f>AD32-AC32</f>
        <v/>
      </c>
      <c r="AE75" s="102">
        <f>AE32-AD32</f>
        <v/>
      </c>
      <c r="AF75" s="102">
        <f>AF32-AE32</f>
        <v/>
      </c>
      <c r="AG75" s="102">
        <f>AG32-AF32</f>
        <v/>
      </c>
      <c r="AH75" s="102">
        <f>AH32-AG32</f>
        <v/>
      </c>
      <c r="AI75" s="102">
        <f>SUM(E75:AH75)</f>
        <v/>
      </c>
    </row>
    <row r="76">
      <c r="A76" s="500" t="n">
        <v>2</v>
      </c>
      <c r="B76" s="500" t="inlineStr">
        <is>
          <t>3F</t>
        </is>
      </c>
      <c r="C76" s="500" t="inlineStr">
        <is>
          <t>AHU2 - BTU</t>
        </is>
      </c>
      <c r="D76" s="501" t="n"/>
      <c r="E76" s="102">
        <f>E33-D33</f>
        <v/>
      </c>
      <c r="F76" s="102">
        <f>F33-E33</f>
        <v/>
      </c>
      <c r="G76" s="102">
        <f>G33-F33</f>
        <v/>
      </c>
      <c r="H76" s="102">
        <f>H33-G33</f>
        <v/>
      </c>
      <c r="I76" s="102">
        <f>I33-H33</f>
        <v/>
      </c>
      <c r="J76" s="102">
        <f>J33-I33</f>
        <v/>
      </c>
      <c r="K76" s="102">
        <f>K33-J33</f>
        <v/>
      </c>
      <c r="L76" s="102">
        <f>L33-K33</f>
        <v/>
      </c>
      <c r="M76" s="102">
        <f>M33-L33</f>
        <v/>
      </c>
      <c r="N76" s="102">
        <f>N33-M33</f>
        <v/>
      </c>
      <c r="O76" s="102">
        <f>O33-N33</f>
        <v/>
      </c>
      <c r="P76" s="102">
        <f>P33-O33</f>
        <v/>
      </c>
      <c r="Q76" s="102">
        <f>Q33-P33</f>
        <v/>
      </c>
      <c r="R76" s="102">
        <f>R33-Q33</f>
        <v/>
      </c>
      <c r="S76" s="102">
        <f>S33-R33</f>
        <v/>
      </c>
      <c r="T76" s="102">
        <f>T33-S33</f>
        <v/>
      </c>
      <c r="U76" s="102">
        <f>U33-T33</f>
        <v/>
      </c>
      <c r="V76" s="102">
        <f>V33-U33</f>
        <v/>
      </c>
      <c r="W76" s="102">
        <f>W33-V33</f>
        <v/>
      </c>
      <c r="X76" s="102">
        <f>X33-W33</f>
        <v/>
      </c>
      <c r="Y76" s="102">
        <f>Y33-X33</f>
        <v/>
      </c>
      <c r="Z76" s="102">
        <f>Z33-Y33</f>
        <v/>
      </c>
      <c r="AA76" s="102">
        <f>AA33-Z33</f>
        <v/>
      </c>
      <c r="AB76" s="102">
        <f>AB33-AA33</f>
        <v/>
      </c>
      <c r="AC76" s="102">
        <f>AC33-AB33</f>
        <v/>
      </c>
      <c r="AD76" s="102">
        <f>AD33-AC33</f>
        <v/>
      </c>
      <c r="AE76" s="102">
        <f>AE33-AD33</f>
        <v/>
      </c>
      <c r="AF76" s="102">
        <f>AF33-AE33</f>
        <v/>
      </c>
      <c r="AG76" s="102">
        <f>AG33-AF33</f>
        <v/>
      </c>
      <c r="AH76" s="102">
        <f>AH33-AG33</f>
        <v/>
      </c>
      <c r="AI76" s="102">
        <f>SUM(E76:AH76)</f>
        <v/>
      </c>
    </row>
    <row r="77">
      <c r="A77" s="500" t="n">
        <v>3</v>
      </c>
      <c r="B77" s="500" t="inlineStr">
        <is>
          <t>3F</t>
        </is>
      </c>
      <c r="C77" s="500" t="inlineStr">
        <is>
          <t>AHU3 - BTU</t>
        </is>
      </c>
      <c r="D77" s="501" t="n"/>
      <c r="E77" s="102">
        <f>E34-D34</f>
        <v/>
      </c>
      <c r="F77" s="102">
        <f>F34-E34</f>
        <v/>
      </c>
      <c r="G77" s="102">
        <f>G34-F34</f>
        <v/>
      </c>
      <c r="H77" s="102">
        <f>H34-G34</f>
        <v/>
      </c>
      <c r="I77" s="102">
        <f>I34-H34</f>
        <v/>
      </c>
      <c r="J77" s="102">
        <f>J34-I34</f>
        <v/>
      </c>
      <c r="K77" s="102">
        <f>K34-J34</f>
        <v/>
      </c>
      <c r="L77" s="102">
        <f>L34-K34</f>
        <v/>
      </c>
      <c r="M77" s="102">
        <f>M34-L34</f>
        <v/>
      </c>
      <c r="N77" s="102">
        <f>N34-M34</f>
        <v/>
      </c>
      <c r="O77" s="102">
        <f>O34-N34</f>
        <v/>
      </c>
      <c r="P77" s="102">
        <f>P34-O34</f>
        <v/>
      </c>
      <c r="Q77" s="102">
        <f>Q34-P34</f>
        <v/>
      </c>
      <c r="R77" s="102">
        <f>R34-Q34</f>
        <v/>
      </c>
      <c r="S77" s="102">
        <f>S34-R34</f>
        <v/>
      </c>
      <c r="T77" s="102">
        <f>T34-S34</f>
        <v/>
      </c>
      <c r="U77" s="102">
        <f>U34-T34</f>
        <v/>
      </c>
      <c r="V77" s="102">
        <f>V34-U34</f>
        <v/>
      </c>
      <c r="W77" s="102">
        <f>W34-V34</f>
        <v/>
      </c>
      <c r="X77" s="102">
        <f>X34-W34</f>
        <v/>
      </c>
      <c r="Y77" s="102">
        <f>Y34-X34</f>
        <v/>
      </c>
      <c r="Z77" s="102">
        <f>Z34-Y34</f>
        <v/>
      </c>
      <c r="AA77" s="102">
        <f>AA34-Z34</f>
        <v/>
      </c>
      <c r="AB77" s="102">
        <f>AB34-AA34</f>
        <v/>
      </c>
      <c r="AC77" s="102">
        <f>AC34-AB34</f>
        <v/>
      </c>
      <c r="AD77" s="102">
        <f>AD34-AC34</f>
        <v/>
      </c>
      <c r="AE77" s="102">
        <f>AE34-AD34</f>
        <v/>
      </c>
      <c r="AF77" s="102">
        <f>AF34-AE34</f>
        <v/>
      </c>
      <c r="AG77" s="102">
        <f>AG34-AF34</f>
        <v/>
      </c>
      <c r="AH77" s="102">
        <f>AH34-AG34</f>
        <v/>
      </c>
      <c r="AI77" s="102">
        <f>SUM(E77:AH77)</f>
        <v/>
      </c>
    </row>
    <row r="78">
      <c r="A78" s="500" t="n">
        <v>4</v>
      </c>
      <c r="B78" s="500" t="inlineStr">
        <is>
          <t>3F</t>
        </is>
      </c>
      <c r="C78" s="500" t="inlineStr">
        <is>
          <t>AHU4 - BTU</t>
        </is>
      </c>
      <c r="D78" s="501" t="n"/>
      <c r="E78" s="102">
        <f>E35-D35</f>
        <v/>
      </c>
      <c r="F78" s="102">
        <f>F35-E35</f>
        <v/>
      </c>
      <c r="G78" s="102">
        <f>G35-F35</f>
        <v/>
      </c>
      <c r="H78" s="102">
        <f>H35-G35</f>
        <v/>
      </c>
      <c r="I78" s="102">
        <f>I35-H35</f>
        <v/>
      </c>
      <c r="J78" s="102">
        <f>J35-I35</f>
        <v/>
      </c>
      <c r="K78" s="102">
        <f>K35-J35</f>
        <v/>
      </c>
      <c r="L78" s="102">
        <f>L35-K35</f>
        <v/>
      </c>
      <c r="M78" s="102">
        <f>M35-L35</f>
        <v/>
      </c>
      <c r="N78" s="102">
        <f>N35-M35</f>
        <v/>
      </c>
      <c r="O78" s="102">
        <f>O35-N35</f>
        <v/>
      </c>
      <c r="P78" s="102">
        <f>P35-O35</f>
        <v/>
      </c>
      <c r="Q78" s="102">
        <f>Q35-P35</f>
        <v/>
      </c>
      <c r="R78" s="102">
        <f>R35-Q35</f>
        <v/>
      </c>
      <c r="S78" s="102">
        <f>S35-R35</f>
        <v/>
      </c>
      <c r="T78" s="102">
        <f>T35-S35</f>
        <v/>
      </c>
      <c r="U78" s="102">
        <f>U35-T35</f>
        <v/>
      </c>
      <c r="V78" s="102">
        <f>V35-U35</f>
        <v/>
      </c>
      <c r="W78" s="102">
        <f>W35-V35</f>
        <v/>
      </c>
      <c r="X78" s="102">
        <f>X35-W35</f>
        <v/>
      </c>
      <c r="Y78" s="102">
        <f>Y35-X35</f>
        <v/>
      </c>
      <c r="Z78" s="102">
        <f>Z35-Y35</f>
        <v/>
      </c>
      <c r="AA78" s="102">
        <f>AA35-Z35</f>
        <v/>
      </c>
      <c r="AB78" s="102">
        <f>AB35-AA35</f>
        <v/>
      </c>
      <c r="AC78" s="102">
        <f>AC35-AB35</f>
        <v/>
      </c>
      <c r="AD78" s="102">
        <f>AD35-AC35</f>
        <v/>
      </c>
      <c r="AE78" s="102">
        <f>AE35-AD35</f>
        <v/>
      </c>
      <c r="AF78" s="102">
        <f>AF35-AE35</f>
        <v/>
      </c>
      <c r="AG78" s="102">
        <f>AG35-AF35</f>
        <v/>
      </c>
      <c r="AH78" s="102">
        <f>AH35-AG35</f>
        <v/>
      </c>
      <c r="AI78" s="102">
        <f>SUM(E78:AH78)</f>
        <v/>
      </c>
    </row>
    <row r="79" ht="15" customHeight="1" s="488">
      <c r="A79" s="99" t="n"/>
      <c r="B79" s="99" t="n"/>
      <c r="C79" s="511" t="inlineStr">
        <is>
          <t>Total BTU Consumption</t>
        </is>
      </c>
      <c r="D79" s="501" t="n"/>
      <c r="E79" s="23">
        <f>SUM(E75:E78)</f>
        <v/>
      </c>
      <c r="F79" s="23">
        <f>SUM(F75:F78)</f>
        <v/>
      </c>
      <c r="G79" s="23">
        <f>SUM(G75:G78)</f>
        <v/>
      </c>
      <c r="H79" s="23">
        <f>SUM(H75:H78)</f>
        <v/>
      </c>
      <c r="I79" s="23">
        <f>SUM(I75:I78)</f>
        <v/>
      </c>
      <c r="J79" s="23">
        <f>SUM(J75:J78)</f>
        <v/>
      </c>
      <c r="K79" s="23">
        <f>SUM(K75:K78)</f>
        <v/>
      </c>
      <c r="L79" s="23">
        <f>SUM(L75:L78)</f>
        <v/>
      </c>
      <c r="M79" s="23">
        <f>SUM(M75:M78)</f>
        <v/>
      </c>
      <c r="N79" s="23">
        <f>SUM(N75:N78)</f>
        <v/>
      </c>
      <c r="O79" s="23">
        <f>SUM(O75:O78)</f>
        <v/>
      </c>
      <c r="P79" s="23">
        <f>SUM(P75:P78)</f>
        <v/>
      </c>
      <c r="Q79" s="23">
        <f>SUM(Q75:Q78)</f>
        <v/>
      </c>
      <c r="R79" s="23">
        <f>SUM(R75:R78)</f>
        <v/>
      </c>
      <c r="S79" s="23">
        <f>SUM(S75:S78)</f>
        <v/>
      </c>
      <c r="T79" s="23">
        <f>SUM(T75:T78)</f>
        <v/>
      </c>
      <c r="U79" s="23">
        <f>SUM(U75:U78)</f>
        <v/>
      </c>
      <c r="V79" s="23">
        <f>SUM(V75:V78)</f>
        <v/>
      </c>
      <c r="W79" s="23">
        <f>SUM(W75:W78)</f>
        <v/>
      </c>
      <c r="X79" s="23">
        <f>SUM(X75:X78)</f>
        <v/>
      </c>
      <c r="Y79" s="23">
        <f>SUM(Y75:Y78)</f>
        <v/>
      </c>
      <c r="Z79" s="23">
        <f>SUM(Z75:Z78)</f>
        <v/>
      </c>
      <c r="AA79" s="23">
        <f>SUM(AA75:AA78)</f>
        <v/>
      </c>
      <c r="AB79" s="23">
        <f>SUM(AB75:AB78)</f>
        <v/>
      </c>
      <c r="AC79" s="23">
        <f>SUM(AC75:AC78)</f>
        <v/>
      </c>
      <c r="AD79" s="23">
        <f>SUM(AD75:AD78)</f>
        <v/>
      </c>
      <c r="AE79" s="23">
        <f>SUM(AE75:AE78)</f>
        <v/>
      </c>
      <c r="AF79" s="23">
        <f>SUM(AF75:AF78)</f>
        <v/>
      </c>
      <c r="AG79" s="23">
        <f>SUM(AG75:AG78)</f>
        <v/>
      </c>
      <c r="AH79" s="23">
        <f>SUM(AH75:AH78)</f>
        <v/>
      </c>
      <c r="AI79" s="24">
        <f>SUM(AI75:AI78)</f>
        <v/>
      </c>
    </row>
  </sheetData>
  <mergeCells count="49">
    <mergeCell ref="C77:D77"/>
    <mergeCell ref="C62:D62"/>
    <mergeCell ref="C68:D68"/>
    <mergeCell ref="C40:D43"/>
    <mergeCell ref="C58:D58"/>
    <mergeCell ref="A31:AI31"/>
    <mergeCell ref="C45:D45"/>
    <mergeCell ref="E1:AH1"/>
    <mergeCell ref="C74:D74"/>
    <mergeCell ref="C64:D64"/>
    <mergeCell ref="B2:B5"/>
    <mergeCell ref="C79:D79"/>
    <mergeCell ref="B38:D38"/>
    <mergeCell ref="D2:D5"/>
    <mergeCell ref="C73:D73"/>
    <mergeCell ref="AI40:AI43"/>
    <mergeCell ref="C47:D47"/>
    <mergeCell ref="C54:D54"/>
    <mergeCell ref="C65:D65"/>
    <mergeCell ref="C55:D55"/>
    <mergeCell ref="C50:D50"/>
    <mergeCell ref="C75:D75"/>
    <mergeCell ref="C44:D44"/>
    <mergeCell ref="C56:D56"/>
    <mergeCell ref="A40:A43"/>
    <mergeCell ref="C59:D59"/>
    <mergeCell ref="A1:D1"/>
    <mergeCell ref="C46:D46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  <mergeCell ref="AI2:AI5"/>
    <mergeCell ref="C72:D72"/>
    <mergeCell ref="C67:D67"/>
    <mergeCell ref="C57:D57"/>
    <mergeCell ref="C66:D66"/>
    <mergeCell ref="A22:AI22"/>
    <mergeCell ref="C53:D53"/>
    <mergeCell ref="B39:D39"/>
    <mergeCell ref="C78:D78"/>
    <mergeCell ref="C69:D69"/>
    <mergeCell ref="C49:D49"/>
  </mergeCells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AL80"/>
  <sheetViews>
    <sheetView topLeftCell="G1" zoomScale="80" zoomScaleNormal="80" workbookViewId="0">
      <selection activeCell="AJ80" sqref="AJ80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143" min="3" max="3"/>
    <col width="20" bestFit="1" customWidth="1" style="110" min="4" max="4"/>
    <col width="23" bestFit="1" customWidth="1" style="70" min="5" max="5"/>
    <col width="23" customWidth="1" style="488" min="6" max="6"/>
    <col width="23" bestFit="1" customWidth="1" style="70" min="7" max="11"/>
    <col width="23" customWidth="1" style="488" min="12" max="16"/>
    <col width="23" bestFit="1" customWidth="1" style="70" min="17" max="18"/>
    <col width="23" customWidth="1" style="488" min="19" max="19"/>
    <col width="23" customWidth="1" style="70" min="20" max="20"/>
    <col width="23" bestFit="1" customWidth="1" style="70" min="21" max="22"/>
    <col width="23" customWidth="1" style="488" min="23" max="26"/>
    <col width="23" bestFit="1" customWidth="1" style="70" min="27" max="30"/>
    <col width="23" customWidth="1" style="70" min="31" max="31"/>
    <col width="23" bestFit="1" customWidth="1" style="70" min="32" max="33"/>
    <col width="23" customWidth="1" style="70" min="34" max="34"/>
    <col width="23" bestFit="1" customWidth="1" style="70" min="35" max="35"/>
    <col width="18" bestFit="1" customWidth="1" style="70" min="36" max="36"/>
    <col width="14" customWidth="1" style="70" min="37" max="37"/>
    <col width="18" customWidth="1" style="70" min="38" max="39"/>
    <col width="18" customWidth="1" style="70" min="40" max="16384"/>
  </cols>
  <sheetData>
    <row r="2" ht="16.5" customHeight="1" s="488">
      <c r="A2" s="573" t="n"/>
      <c r="B2" s="505" t="n"/>
      <c r="C2" s="505" t="n"/>
      <c r="D2" s="506" t="n"/>
      <c r="E2" s="602" t="inlineStr">
        <is>
          <t>MARCH-25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5" t="n"/>
      <c r="AI2" s="506" t="n"/>
      <c r="AJ2" s="50" t="n"/>
    </row>
    <row r="3" ht="12.75" customHeight="1" s="488">
      <c r="A3" s="508" t="inlineStr">
        <is>
          <t>Sr.No</t>
        </is>
      </c>
      <c r="B3" s="508" t="inlineStr">
        <is>
          <t>Location</t>
        </is>
      </c>
      <c r="C3" s="580" t="inlineStr">
        <is>
          <t>Meter</t>
        </is>
      </c>
      <c r="D3" s="562" t="inlineStr">
        <is>
          <t>Previous Reading</t>
        </is>
      </c>
      <c r="E3" s="51" t="n">
        <v>45717</v>
      </c>
      <c r="F3" s="51" t="n">
        <v>45718</v>
      </c>
      <c r="G3" s="51" t="n">
        <v>45719</v>
      </c>
      <c r="H3" s="51" t="n">
        <v>45720</v>
      </c>
      <c r="I3" s="51" t="n">
        <v>45721</v>
      </c>
      <c r="J3" s="51" t="n">
        <v>45722</v>
      </c>
      <c r="K3" s="51" t="n">
        <v>45723</v>
      </c>
      <c r="L3" s="51" t="n">
        <v>45724</v>
      </c>
      <c r="M3" s="51" t="n">
        <v>45725</v>
      </c>
      <c r="N3" s="51" t="n">
        <v>45726</v>
      </c>
      <c r="O3" s="51" t="n">
        <v>45727</v>
      </c>
      <c r="P3" s="51" t="n">
        <v>45728</v>
      </c>
      <c r="Q3" s="51" t="n">
        <v>45729</v>
      </c>
      <c r="R3" s="51" t="n">
        <v>45730</v>
      </c>
      <c r="S3" s="51" t="n">
        <v>45731</v>
      </c>
      <c r="T3" s="51" t="n">
        <v>45732</v>
      </c>
      <c r="U3" s="51" t="n">
        <v>45733</v>
      </c>
      <c r="V3" s="51" t="n">
        <v>45734</v>
      </c>
      <c r="W3" s="51" t="n">
        <v>45735</v>
      </c>
      <c r="X3" s="51" t="n">
        <v>45736</v>
      </c>
      <c r="Y3" s="51" t="n">
        <v>45737</v>
      </c>
      <c r="Z3" s="51" t="n">
        <v>45738</v>
      </c>
      <c r="AA3" s="51" t="n">
        <v>45739</v>
      </c>
      <c r="AB3" s="51" t="n">
        <v>45740</v>
      </c>
      <c r="AC3" s="51" t="n">
        <v>45741</v>
      </c>
      <c r="AD3" s="51" t="n">
        <v>45742</v>
      </c>
      <c r="AE3" s="51" t="n">
        <v>45743</v>
      </c>
      <c r="AF3" s="51" t="n">
        <v>45744</v>
      </c>
      <c r="AG3" s="51" t="n">
        <v>45745</v>
      </c>
      <c r="AH3" s="51" t="n">
        <v>45746</v>
      </c>
      <c r="AI3" s="51" t="n">
        <v>45747</v>
      </c>
      <c r="AJ3" s="518" t="inlineStr">
        <is>
          <t>Consumption</t>
        </is>
      </c>
    </row>
    <row r="4" ht="14.5" customHeight="1" s="488">
      <c r="A4" s="509" t="n"/>
      <c r="B4" s="509" t="n"/>
      <c r="C4" s="509" t="n"/>
      <c r="D4" s="509" t="n"/>
      <c r="E4" s="52" t="inlineStr">
        <is>
          <t>SAT</t>
        </is>
      </c>
      <c r="F4" s="52" t="inlineStr">
        <is>
          <t>SUN</t>
        </is>
      </c>
      <c r="G4" s="52" t="inlineStr">
        <is>
          <t>MON</t>
        </is>
      </c>
      <c r="H4" s="52" t="inlineStr">
        <is>
          <t>TUE</t>
        </is>
      </c>
      <c r="I4" s="52" t="inlineStr">
        <is>
          <t>WED</t>
        </is>
      </c>
      <c r="J4" s="52" t="inlineStr">
        <is>
          <t>THU</t>
        </is>
      </c>
      <c r="K4" s="52" t="inlineStr">
        <is>
          <t>FRI</t>
        </is>
      </c>
      <c r="L4" s="52" t="inlineStr">
        <is>
          <t>SAT</t>
        </is>
      </c>
      <c r="M4" s="52" t="inlineStr">
        <is>
          <t>SUN</t>
        </is>
      </c>
      <c r="N4" s="52" t="inlineStr">
        <is>
          <t>MON</t>
        </is>
      </c>
      <c r="O4" s="52" t="inlineStr">
        <is>
          <t>TUE</t>
        </is>
      </c>
      <c r="P4" s="52" t="inlineStr">
        <is>
          <t>WED</t>
        </is>
      </c>
      <c r="Q4" s="52" t="inlineStr">
        <is>
          <t>THU</t>
        </is>
      </c>
      <c r="R4" s="52" t="inlineStr">
        <is>
          <t>FRI</t>
        </is>
      </c>
      <c r="S4" s="52" t="inlineStr">
        <is>
          <t>SAT</t>
        </is>
      </c>
      <c r="T4" s="52" t="inlineStr">
        <is>
          <t>SUN</t>
        </is>
      </c>
      <c r="U4" s="52" t="inlineStr">
        <is>
          <t>MON</t>
        </is>
      </c>
      <c r="V4" s="52" t="inlineStr">
        <is>
          <t>TUE</t>
        </is>
      </c>
      <c r="W4" s="52" t="inlineStr">
        <is>
          <t>WED</t>
        </is>
      </c>
      <c r="X4" s="52" t="inlineStr">
        <is>
          <t>THU</t>
        </is>
      </c>
      <c r="Y4" s="52" t="inlineStr">
        <is>
          <t>FRI</t>
        </is>
      </c>
      <c r="Z4" s="52" t="inlineStr">
        <is>
          <t>SAT</t>
        </is>
      </c>
      <c r="AA4" s="52" t="inlineStr">
        <is>
          <t>SUN</t>
        </is>
      </c>
      <c r="AB4" s="52" t="inlineStr">
        <is>
          <t>MON</t>
        </is>
      </c>
      <c r="AC4" s="52" t="inlineStr">
        <is>
          <t>TUE</t>
        </is>
      </c>
      <c r="AD4" s="52" t="inlineStr">
        <is>
          <t>WED</t>
        </is>
      </c>
      <c r="AE4" s="52" t="inlineStr">
        <is>
          <t>THU</t>
        </is>
      </c>
      <c r="AF4" s="52" t="inlineStr">
        <is>
          <t>FRI</t>
        </is>
      </c>
      <c r="AG4" s="52" t="inlineStr">
        <is>
          <t>SAT</t>
        </is>
      </c>
      <c r="AH4" s="52" t="inlineStr">
        <is>
          <t>SUN</t>
        </is>
      </c>
      <c r="AI4" s="52" t="inlineStr">
        <is>
          <t>MON</t>
        </is>
      </c>
      <c r="AJ4" s="509" t="n"/>
    </row>
    <row r="5" ht="14.5" customHeight="1" s="488">
      <c r="A5" s="509" t="n"/>
      <c r="B5" s="509" t="n"/>
      <c r="C5" s="509" t="n"/>
      <c r="D5" s="509" t="n"/>
      <c r="E5" s="52" t="inlineStr">
        <is>
          <t>Time</t>
        </is>
      </c>
      <c r="F5" s="52" t="inlineStr">
        <is>
          <t>Time</t>
        </is>
      </c>
      <c r="G5" s="52" t="inlineStr">
        <is>
          <t>Time</t>
        </is>
      </c>
      <c r="H5" s="52" t="inlineStr">
        <is>
          <t>Time</t>
        </is>
      </c>
      <c r="I5" s="52" t="inlineStr">
        <is>
          <t>Time</t>
        </is>
      </c>
      <c r="J5" s="52" t="inlineStr">
        <is>
          <t>Time</t>
        </is>
      </c>
      <c r="K5" s="52" t="inlineStr">
        <is>
          <t>Time</t>
        </is>
      </c>
      <c r="L5" s="52" t="inlineStr">
        <is>
          <t>Time</t>
        </is>
      </c>
      <c r="M5" s="52" t="inlineStr">
        <is>
          <t>Time</t>
        </is>
      </c>
      <c r="N5" s="52" t="inlineStr">
        <is>
          <t>Time</t>
        </is>
      </c>
      <c r="O5" s="52" t="inlineStr">
        <is>
          <t>Time</t>
        </is>
      </c>
      <c r="P5" s="52" t="inlineStr">
        <is>
          <t>Time</t>
        </is>
      </c>
      <c r="Q5" s="52" t="inlineStr">
        <is>
          <t>Time</t>
        </is>
      </c>
      <c r="R5" s="52" t="inlineStr">
        <is>
          <t>Time</t>
        </is>
      </c>
      <c r="S5" s="52" t="inlineStr">
        <is>
          <t>Time</t>
        </is>
      </c>
      <c r="T5" s="52" t="inlineStr">
        <is>
          <t>Time</t>
        </is>
      </c>
      <c r="U5" s="52" t="inlineStr">
        <is>
          <t>Time</t>
        </is>
      </c>
      <c r="V5" s="52" t="inlineStr">
        <is>
          <t>Time</t>
        </is>
      </c>
      <c r="W5" s="52" t="inlineStr">
        <is>
          <t>Time</t>
        </is>
      </c>
      <c r="X5" s="52" t="inlineStr">
        <is>
          <t>Time</t>
        </is>
      </c>
      <c r="Y5" s="52" t="inlineStr">
        <is>
          <t>Time</t>
        </is>
      </c>
      <c r="Z5" s="52" t="inlineStr">
        <is>
          <t>Time</t>
        </is>
      </c>
      <c r="AA5" s="52" t="inlineStr">
        <is>
          <t>Time</t>
        </is>
      </c>
      <c r="AB5" s="52" t="inlineStr">
        <is>
          <t>Time</t>
        </is>
      </c>
      <c r="AC5" s="52" t="inlineStr">
        <is>
          <t>Time</t>
        </is>
      </c>
      <c r="AD5" s="52" t="inlineStr">
        <is>
          <t>Time</t>
        </is>
      </c>
      <c r="AE5" s="52" t="inlineStr">
        <is>
          <t>Time</t>
        </is>
      </c>
      <c r="AF5" s="52" t="inlineStr">
        <is>
          <t>Time</t>
        </is>
      </c>
      <c r="AG5" s="52" t="inlineStr">
        <is>
          <t>Time</t>
        </is>
      </c>
      <c r="AH5" s="52" t="inlineStr">
        <is>
          <t>Time</t>
        </is>
      </c>
      <c r="AI5" s="52" t="inlineStr">
        <is>
          <t>Time</t>
        </is>
      </c>
      <c r="AJ5" s="509" t="n"/>
    </row>
    <row r="6" ht="14.5" customHeight="1" s="488">
      <c r="A6" s="510" t="n"/>
      <c r="B6" s="510" t="n"/>
      <c r="C6" s="510" t="n"/>
      <c r="D6" s="510" t="n"/>
      <c r="E6" s="53" t="n">
        <v>0.3333333333333333</v>
      </c>
      <c r="F6" s="53" t="n">
        <v>0.3333333333333333</v>
      </c>
      <c r="G6" s="53" t="n">
        <v>0.3333333333333333</v>
      </c>
      <c r="H6" s="53" t="n">
        <v>0.3333333333333333</v>
      </c>
      <c r="I6" s="53" t="n">
        <v>0.3333333333333333</v>
      </c>
      <c r="J6" s="53" t="n">
        <v>0.3333333333333333</v>
      </c>
      <c r="K6" s="53" t="n">
        <v>0.3333333333333333</v>
      </c>
      <c r="L6" s="53" t="n">
        <v>0.3333333333333333</v>
      </c>
      <c r="M6" s="53" t="n">
        <v>0.3333333333333333</v>
      </c>
      <c r="N6" s="53" t="n">
        <v>0.3333333333333333</v>
      </c>
      <c r="O6" s="53" t="n">
        <v>0.3333333333333333</v>
      </c>
      <c r="P6" s="53" t="n">
        <v>0.3333333333333333</v>
      </c>
      <c r="Q6" s="53" t="n">
        <v>0.3333333333333333</v>
      </c>
      <c r="R6" s="53" t="n">
        <v>0.3333333333333333</v>
      </c>
      <c r="S6" s="53" t="n">
        <v>0.3333333333333333</v>
      </c>
      <c r="T6" s="53" t="n">
        <v>0.3333333333333333</v>
      </c>
      <c r="U6" s="53" t="n">
        <v>0.3333333333333333</v>
      </c>
      <c r="V6" s="53" t="n">
        <v>0.3333333333333333</v>
      </c>
      <c r="W6" s="53" t="n">
        <v>0.3333333333333333</v>
      </c>
      <c r="X6" s="53" t="n">
        <v>0.3333333333333333</v>
      </c>
      <c r="Y6" s="53" t="n">
        <v>0.3333333333333333</v>
      </c>
      <c r="Z6" s="53" t="n">
        <v>0.3333333333333333</v>
      </c>
      <c r="AA6" s="53" t="n">
        <v>0.3333333333333333</v>
      </c>
      <c r="AB6" s="53" t="n">
        <v>0.3333333333333333</v>
      </c>
      <c r="AC6" s="53" t="n">
        <v>0.3333333333333333</v>
      </c>
      <c r="AD6" s="53" t="n">
        <v>0.3333333333333333</v>
      </c>
      <c r="AE6" s="53" t="n">
        <v>0.3333333333333333</v>
      </c>
      <c r="AF6" s="53" t="n">
        <v>0.3333333333333333</v>
      </c>
      <c r="AG6" s="53" t="n">
        <v>0.3333333333333333</v>
      </c>
      <c r="AH6" s="53" t="n">
        <v>0.3333333333333333</v>
      </c>
      <c r="AI6" s="53" t="n">
        <v>0.3333333333333333</v>
      </c>
      <c r="AJ6" s="510" t="n"/>
    </row>
    <row r="7" ht="20.15" customHeight="1" s="488">
      <c r="A7" s="48" t="n">
        <v>1</v>
      </c>
      <c r="B7" s="48" t="inlineStr">
        <is>
          <t>3F</t>
        </is>
      </c>
      <c r="C7" s="139" t="inlineStr">
        <is>
          <t>SL No 540430038840 (EB Unit)</t>
        </is>
      </c>
      <c r="D7" s="565" t="n">
        <v>91663</v>
      </c>
      <c r="E7" s="561" t="n">
        <v>92019</v>
      </c>
      <c r="F7" s="561" t="n">
        <v>92228</v>
      </c>
      <c r="G7" s="8" t="n">
        <v>92483</v>
      </c>
      <c r="H7" s="5" t="n">
        <v>92758</v>
      </c>
      <c r="I7" s="561" t="n">
        <v>93012</v>
      </c>
      <c r="J7" s="561" t="n">
        <v>93286</v>
      </c>
      <c r="K7" s="561" t="n">
        <v>93636</v>
      </c>
      <c r="L7" s="58" t="n">
        <v>93844</v>
      </c>
      <c r="M7" s="48" t="n">
        <v>94034</v>
      </c>
      <c r="N7" s="59" t="n">
        <v>94298</v>
      </c>
      <c r="O7" s="561" t="n">
        <v>94563</v>
      </c>
      <c r="P7" s="58" t="n">
        <v>94813</v>
      </c>
      <c r="Q7" s="48" t="n">
        <v>95061</v>
      </c>
      <c r="R7" s="59" t="n">
        <v>95269</v>
      </c>
      <c r="S7" s="561" t="n">
        <v>95490</v>
      </c>
      <c r="T7" s="561" t="n">
        <v>95698</v>
      </c>
      <c r="U7" s="561" t="n">
        <v>95996</v>
      </c>
      <c r="V7" s="125" t="n">
        <v>96217</v>
      </c>
      <c r="W7" s="561" t="n">
        <v>96488</v>
      </c>
      <c r="X7" s="561" t="n">
        <v>96760</v>
      </c>
      <c r="Y7" s="561" t="n">
        <v>97024</v>
      </c>
      <c r="Z7" s="561" t="n">
        <v>97247</v>
      </c>
      <c r="AA7" s="561" t="n">
        <v>97452</v>
      </c>
      <c r="AB7" s="561" t="n">
        <v>97704</v>
      </c>
      <c r="AC7" s="561" t="n">
        <v>97976</v>
      </c>
      <c r="AD7" s="561" t="n">
        <v>98245</v>
      </c>
      <c r="AE7" s="561" t="n">
        <v>98527</v>
      </c>
      <c r="AF7" s="561" t="n">
        <v>98788</v>
      </c>
      <c r="AG7" s="48" t="n">
        <v>99006</v>
      </c>
      <c r="AH7" s="48" t="n">
        <v>99215</v>
      </c>
      <c r="AI7" s="48" t="n">
        <v>99316</v>
      </c>
      <c r="AJ7" s="57">
        <f>AI7-D7</f>
        <v/>
      </c>
      <c r="AK7" s="78" t="n"/>
    </row>
    <row r="8" ht="20.15" customHeight="1" s="488">
      <c r="A8" s="8" t="n"/>
      <c r="B8" s="8" t="n"/>
      <c r="C8" s="140" t="inlineStr">
        <is>
          <t>DG</t>
        </is>
      </c>
      <c r="D8" s="45" t="n">
        <v>3877</v>
      </c>
      <c r="E8" s="8" t="n">
        <v>3885</v>
      </c>
      <c r="F8" s="8" t="n">
        <v>3885</v>
      </c>
      <c r="G8" s="8" t="n">
        <v>3885</v>
      </c>
      <c r="H8" s="8" t="n">
        <v>3885</v>
      </c>
      <c r="I8" s="8" t="n">
        <v>3885</v>
      </c>
      <c r="J8" s="8" t="n">
        <v>3885</v>
      </c>
      <c r="K8" s="8" t="n">
        <v>3885</v>
      </c>
      <c r="L8" s="8" t="n">
        <v>3902</v>
      </c>
      <c r="M8" s="8" t="n">
        <v>3918</v>
      </c>
      <c r="N8" s="8" t="n">
        <v>3918</v>
      </c>
      <c r="O8" s="8" t="n">
        <v>3918</v>
      </c>
      <c r="P8" s="8" t="n">
        <v>3918</v>
      </c>
      <c r="Q8" s="8" t="n">
        <v>3918</v>
      </c>
      <c r="R8" s="8" t="n">
        <v>3923</v>
      </c>
      <c r="S8" s="8" t="n">
        <v>3923</v>
      </c>
      <c r="T8" s="8" t="n">
        <v>3923</v>
      </c>
      <c r="U8" s="8" t="n">
        <v>3923</v>
      </c>
      <c r="V8" s="8" t="n">
        <v>3944</v>
      </c>
      <c r="W8" s="8" t="n">
        <v>3949</v>
      </c>
      <c r="X8" s="8" t="n">
        <v>3949</v>
      </c>
      <c r="Y8" s="8" t="n">
        <v>3949</v>
      </c>
      <c r="Z8" s="8" t="n">
        <v>3950</v>
      </c>
      <c r="AA8" s="8" t="n">
        <v>3950</v>
      </c>
      <c r="AB8" s="8" t="n">
        <v>3970</v>
      </c>
      <c r="AC8" s="8" t="n">
        <v>3970</v>
      </c>
      <c r="AD8" s="8" t="n">
        <v>3970</v>
      </c>
      <c r="AE8" s="8" t="n">
        <v>3970</v>
      </c>
      <c r="AF8" s="8" t="n">
        <v>3970</v>
      </c>
      <c r="AG8" s="8" t="n">
        <v>3970</v>
      </c>
      <c r="AH8" s="8" t="n">
        <v>3970</v>
      </c>
      <c r="AI8" s="8" t="n">
        <v>3970</v>
      </c>
      <c r="AJ8" s="57">
        <f>AI8-D8</f>
        <v/>
      </c>
      <c r="AK8" s="78" t="n"/>
    </row>
    <row r="9" ht="20.15" customHeight="1" s="488">
      <c r="A9" s="561" t="n">
        <v>2</v>
      </c>
      <c r="B9" s="561" t="inlineStr">
        <is>
          <t>3F</t>
        </is>
      </c>
      <c r="C9" s="141" t="inlineStr">
        <is>
          <t>SL No 540430038845 (EB Unit)</t>
        </is>
      </c>
      <c r="D9" s="565" t="n">
        <v>1956</v>
      </c>
      <c r="E9" s="561" t="n">
        <v>1956</v>
      </c>
      <c r="F9" s="561" t="n">
        <v>1956</v>
      </c>
      <c r="G9" s="561" t="n">
        <v>1956</v>
      </c>
      <c r="H9" s="561" t="n">
        <v>1956</v>
      </c>
      <c r="I9" s="561" t="n">
        <v>1956</v>
      </c>
      <c r="J9" s="561" t="n">
        <v>1956</v>
      </c>
      <c r="K9" s="561" t="n">
        <v>1956</v>
      </c>
      <c r="L9" s="561" t="n">
        <v>1956</v>
      </c>
      <c r="M9" s="561" t="n">
        <v>1956</v>
      </c>
      <c r="N9" s="561" t="n">
        <v>1956</v>
      </c>
      <c r="O9" s="561" t="n">
        <v>1956</v>
      </c>
      <c r="P9" s="561" t="n">
        <v>1956</v>
      </c>
      <c r="Q9" s="561" t="n">
        <v>1956</v>
      </c>
      <c r="R9" s="561" t="n">
        <v>1956</v>
      </c>
      <c r="S9" s="561" t="n">
        <v>1956</v>
      </c>
      <c r="T9" s="561" t="n">
        <v>1956</v>
      </c>
      <c r="U9" s="561" t="n">
        <v>1956</v>
      </c>
      <c r="V9" s="561" t="n">
        <v>1956</v>
      </c>
      <c r="W9" s="561" t="n">
        <v>1956</v>
      </c>
      <c r="X9" s="561" t="n">
        <v>1956</v>
      </c>
      <c r="Y9" s="561" t="n">
        <v>1956</v>
      </c>
      <c r="Z9" s="561" t="n">
        <v>1956</v>
      </c>
      <c r="AA9" s="561" t="n">
        <v>1956</v>
      </c>
      <c r="AB9" s="561" t="n">
        <v>1956</v>
      </c>
      <c r="AC9" s="561" t="n">
        <v>1956</v>
      </c>
      <c r="AD9" s="561" t="n">
        <v>1956</v>
      </c>
      <c r="AE9" s="561" t="n">
        <v>1956</v>
      </c>
      <c r="AF9" s="561" t="n">
        <v>1956</v>
      </c>
      <c r="AG9" s="561" t="n">
        <v>1956</v>
      </c>
      <c r="AH9" s="561" t="n">
        <v>1956</v>
      </c>
      <c r="AI9" s="561" t="n">
        <v>1956</v>
      </c>
      <c r="AJ9" s="57">
        <f>AI9-D9</f>
        <v/>
      </c>
    </row>
    <row r="10" ht="20.15" customHeight="1" s="488">
      <c r="A10" s="561" t="n"/>
      <c r="B10" s="561" t="n"/>
      <c r="C10" s="140" t="inlineStr">
        <is>
          <t>DG</t>
        </is>
      </c>
      <c r="D10" s="565" t="n">
        <v>28.6</v>
      </c>
      <c r="E10" s="561" t="n">
        <v>28.6</v>
      </c>
      <c r="F10" s="561" t="n">
        <v>28.6</v>
      </c>
      <c r="G10" s="561" t="n">
        <v>28.6</v>
      </c>
      <c r="H10" s="561" t="n">
        <v>28.6</v>
      </c>
      <c r="I10" s="561" t="n">
        <v>28.6</v>
      </c>
      <c r="J10" s="561" t="n">
        <v>28.6</v>
      </c>
      <c r="K10" s="561" t="n">
        <v>28.6</v>
      </c>
      <c r="L10" s="561" t="n">
        <v>28.6</v>
      </c>
      <c r="M10" s="561" t="n">
        <v>28.6</v>
      </c>
      <c r="N10" s="561" t="n">
        <v>28.6</v>
      </c>
      <c r="O10" s="561" t="n">
        <v>28.6</v>
      </c>
      <c r="P10" s="561" t="n">
        <v>28.6</v>
      </c>
      <c r="Q10" s="561" t="n">
        <v>28.6</v>
      </c>
      <c r="R10" s="561" t="n">
        <v>28.6</v>
      </c>
      <c r="S10" s="561" t="n">
        <v>28.6</v>
      </c>
      <c r="T10" s="561" t="n">
        <v>28.6</v>
      </c>
      <c r="U10" s="561" t="n">
        <v>28.6</v>
      </c>
      <c r="V10" s="561" t="n">
        <v>28.6</v>
      </c>
      <c r="W10" s="561" t="n">
        <v>28.6</v>
      </c>
      <c r="X10" s="561" t="n">
        <v>28.6</v>
      </c>
      <c r="Y10" s="561" t="n">
        <v>28.6</v>
      </c>
      <c r="Z10" s="561" t="n">
        <v>28.6</v>
      </c>
      <c r="AA10" s="561" t="n">
        <v>28.6</v>
      </c>
      <c r="AB10" s="561" t="n">
        <v>28.6</v>
      </c>
      <c r="AC10" s="561" t="n">
        <v>28.6</v>
      </c>
      <c r="AD10" s="561" t="n">
        <v>28.6</v>
      </c>
      <c r="AE10" s="561" t="n">
        <v>28.6</v>
      </c>
      <c r="AF10" s="561" t="n">
        <v>28.6</v>
      </c>
      <c r="AG10" s="561" t="n">
        <v>28.6</v>
      </c>
      <c r="AH10" s="561" t="n">
        <v>28.6</v>
      </c>
      <c r="AI10" s="561" t="n">
        <v>28.6</v>
      </c>
      <c r="AJ10" s="57">
        <f>AI10-D10</f>
        <v/>
      </c>
    </row>
    <row r="11" ht="20.15" customHeight="1" s="488">
      <c r="A11" s="561" t="n">
        <v>3</v>
      </c>
      <c r="B11" s="561" t="inlineStr">
        <is>
          <t>3F</t>
        </is>
      </c>
      <c r="C11" s="141" t="inlineStr">
        <is>
          <t>SL No 540430038844 (EB Unit)</t>
        </is>
      </c>
      <c r="D11" s="45" t="n">
        <v>134648</v>
      </c>
      <c r="E11" s="561" t="n">
        <v>135143</v>
      </c>
      <c r="F11" s="561" t="n">
        <v>135420</v>
      </c>
      <c r="G11" s="561" t="n">
        <v>135791</v>
      </c>
      <c r="H11" s="561" t="n">
        <v>136190</v>
      </c>
      <c r="I11" s="561" t="n">
        <v>136563</v>
      </c>
      <c r="J11" s="561" t="n">
        <v>136964</v>
      </c>
      <c r="K11" s="561" t="n">
        <v>137341</v>
      </c>
      <c r="L11" s="561" t="n">
        <v>137582</v>
      </c>
      <c r="M11" s="561" t="n">
        <v>137874</v>
      </c>
      <c r="N11" s="561" t="n">
        <v>138255</v>
      </c>
      <c r="O11" s="561" t="n">
        <v>138637</v>
      </c>
      <c r="P11" s="561" t="n">
        <v>138999</v>
      </c>
      <c r="Q11" s="561" t="n">
        <v>139346</v>
      </c>
      <c r="R11" s="561" t="n">
        <v>139624</v>
      </c>
      <c r="S11" s="561" t="n">
        <v>139918</v>
      </c>
      <c r="T11" s="561" t="n">
        <v>140197</v>
      </c>
      <c r="U11" s="561" t="n">
        <v>140598</v>
      </c>
      <c r="V11" s="561" t="n">
        <v>140959</v>
      </c>
      <c r="W11" s="561" t="n">
        <v>141357</v>
      </c>
      <c r="X11" s="561" t="n">
        <v>141759</v>
      </c>
      <c r="Y11" s="561" t="n">
        <v>142145</v>
      </c>
      <c r="Z11" s="561" t="n">
        <v>142445</v>
      </c>
      <c r="AA11" s="8" t="n">
        <v>142719</v>
      </c>
      <c r="AB11" s="8" t="n">
        <v>143091</v>
      </c>
      <c r="AC11" s="561" t="n">
        <v>143478</v>
      </c>
      <c r="AD11" s="561" t="n">
        <v>143888</v>
      </c>
      <c r="AE11" s="8" t="n">
        <v>144308</v>
      </c>
      <c r="AF11" s="8" t="n">
        <v>144688</v>
      </c>
      <c r="AG11" s="8" t="n">
        <v>144984</v>
      </c>
      <c r="AH11" s="8" t="n">
        <v>145266</v>
      </c>
      <c r="AI11" s="8" t="n">
        <v>145395</v>
      </c>
      <c r="AJ11" s="57">
        <f>AI11-D11</f>
        <v/>
      </c>
    </row>
    <row r="12" ht="20.15" customHeight="1" s="488">
      <c r="A12" s="561" t="n"/>
      <c r="B12" s="561" t="n"/>
      <c r="C12" s="140" t="inlineStr">
        <is>
          <t>DG</t>
        </is>
      </c>
      <c r="D12" s="565" t="n">
        <v>5807</v>
      </c>
      <c r="E12" s="561" t="n">
        <v>5807</v>
      </c>
      <c r="F12" s="561" t="n">
        <v>5807</v>
      </c>
      <c r="G12" s="561" t="n">
        <v>5817</v>
      </c>
      <c r="H12" s="561" t="n">
        <v>5817</v>
      </c>
      <c r="I12" s="561" t="n">
        <v>5817</v>
      </c>
      <c r="J12" s="561" t="n">
        <v>5817</v>
      </c>
      <c r="K12" s="561" t="n">
        <v>5817</v>
      </c>
      <c r="L12" s="561" t="n">
        <v>5841</v>
      </c>
      <c r="M12" s="561" t="n">
        <v>5861</v>
      </c>
      <c r="N12" s="561" t="n">
        <v>5861</v>
      </c>
      <c r="O12" s="561" t="n">
        <v>5861</v>
      </c>
      <c r="P12" s="561" t="n">
        <v>5861</v>
      </c>
      <c r="Q12" s="561" t="n">
        <v>5861</v>
      </c>
      <c r="R12" s="561" t="n">
        <v>5868</v>
      </c>
      <c r="S12" s="561" t="n">
        <v>5868</v>
      </c>
      <c r="T12" s="561" t="n">
        <v>5868</v>
      </c>
      <c r="U12" s="561" t="n">
        <v>5868</v>
      </c>
      <c r="V12" s="561" t="n">
        <v>5901</v>
      </c>
      <c r="W12" s="561" t="n">
        <v>5909</v>
      </c>
      <c r="X12" s="561" t="n">
        <v>5909</v>
      </c>
      <c r="Y12" s="561" t="n">
        <v>5909</v>
      </c>
      <c r="Z12" s="561" t="n">
        <v>5910</v>
      </c>
      <c r="AA12" s="561" t="n">
        <v>5910</v>
      </c>
      <c r="AB12" s="561" t="n">
        <v>5938</v>
      </c>
      <c r="AC12" s="561" t="n">
        <v>5938</v>
      </c>
      <c r="AD12" s="561" t="n">
        <v>5938</v>
      </c>
      <c r="AE12" s="561" t="n">
        <v>5938</v>
      </c>
      <c r="AF12" s="561" t="n">
        <v>5938</v>
      </c>
      <c r="AG12" s="561" t="n">
        <v>5938</v>
      </c>
      <c r="AH12" s="561" t="n">
        <v>5938</v>
      </c>
      <c r="AI12" s="561" t="n">
        <v>5938</v>
      </c>
      <c r="AJ12" s="57">
        <f>AI12-D12</f>
        <v/>
      </c>
    </row>
    <row r="13" ht="20.15" customHeight="1" s="488">
      <c r="A13" s="561" t="n">
        <v>4</v>
      </c>
      <c r="B13" s="561" t="inlineStr">
        <is>
          <t>3F</t>
        </is>
      </c>
      <c r="C13" s="141" t="inlineStr">
        <is>
          <t>SL No 540430038821 (EB Unit)</t>
        </is>
      </c>
      <c r="D13" s="565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61" t="n">
        <v>0</v>
      </c>
      <c r="AJ13" s="57">
        <f>AI13-D13</f>
        <v/>
      </c>
    </row>
    <row r="14" ht="20.15" customHeight="1" s="488">
      <c r="A14" s="561" t="n"/>
      <c r="B14" s="561" t="n"/>
      <c r="C14" s="140" t="inlineStr">
        <is>
          <t>DG</t>
        </is>
      </c>
      <c r="D14" s="565" t="n">
        <v>0</v>
      </c>
      <c r="E14" s="561" t="n">
        <v>0</v>
      </c>
      <c r="F14" s="561" t="n">
        <v>0</v>
      </c>
      <c r="G14" s="561" t="n">
        <v>0</v>
      </c>
      <c r="H14" s="561" t="n">
        <v>0</v>
      </c>
      <c r="I14" s="561" t="n">
        <v>0</v>
      </c>
      <c r="J14" s="561" t="n">
        <v>0</v>
      </c>
      <c r="K14" s="561" t="n">
        <v>0</v>
      </c>
      <c r="L14" s="561" t="n">
        <v>0</v>
      </c>
      <c r="M14" s="561" t="n">
        <v>0</v>
      </c>
      <c r="N14" s="561" t="n">
        <v>0</v>
      </c>
      <c r="O14" s="561" t="n">
        <v>0</v>
      </c>
      <c r="P14" s="561" t="n">
        <v>0</v>
      </c>
      <c r="Q14" s="561" t="n">
        <v>0</v>
      </c>
      <c r="R14" s="561" t="n">
        <v>0</v>
      </c>
      <c r="S14" s="561" t="n">
        <v>0</v>
      </c>
      <c r="T14" s="561" t="n">
        <v>0</v>
      </c>
      <c r="U14" s="561" t="n">
        <v>0</v>
      </c>
      <c r="V14" s="561" t="n">
        <v>0</v>
      </c>
      <c r="W14" s="561" t="n">
        <v>0</v>
      </c>
      <c r="X14" s="561" t="n">
        <v>0</v>
      </c>
      <c r="Y14" s="561" t="n">
        <v>0</v>
      </c>
      <c r="Z14" s="561" t="n">
        <v>0</v>
      </c>
      <c r="AA14" s="561" t="n">
        <v>0</v>
      </c>
      <c r="AB14" s="561" t="n">
        <v>0</v>
      </c>
      <c r="AC14" s="561" t="n">
        <v>0</v>
      </c>
      <c r="AD14" s="561" t="n">
        <v>0</v>
      </c>
      <c r="AE14" s="561" t="n">
        <v>0</v>
      </c>
      <c r="AF14" s="561" t="n">
        <v>0</v>
      </c>
      <c r="AG14" s="561" t="n">
        <v>0</v>
      </c>
      <c r="AH14" s="561" t="n">
        <v>0</v>
      </c>
      <c r="AI14" s="561" t="n">
        <v>0</v>
      </c>
      <c r="AJ14" s="57">
        <f>AI14-D14</f>
        <v/>
      </c>
    </row>
    <row r="15" ht="20.15" customHeight="1" s="488">
      <c r="A15" s="561" t="n">
        <v>5</v>
      </c>
      <c r="B15" s="561" t="inlineStr">
        <is>
          <t>3F</t>
        </is>
      </c>
      <c r="C15" s="141" t="inlineStr">
        <is>
          <t>SL No 540430038849 (EB Unit)</t>
        </is>
      </c>
      <c r="D15" s="45" t="n">
        <v>62776</v>
      </c>
      <c r="E15" s="561" t="n">
        <v>63047</v>
      </c>
      <c r="F15" s="561" t="n">
        <v>63186</v>
      </c>
      <c r="G15" s="561" t="n">
        <v>63424</v>
      </c>
      <c r="H15" s="561" t="n">
        <v>63679</v>
      </c>
      <c r="I15" s="561" t="n">
        <v>63921</v>
      </c>
      <c r="J15" s="561" t="n">
        <v>64170</v>
      </c>
      <c r="K15" s="561" t="n">
        <v>64420</v>
      </c>
      <c r="L15" s="561" t="n">
        <v>64564</v>
      </c>
      <c r="M15" s="561" t="n">
        <v>64685</v>
      </c>
      <c r="N15" s="561" t="n">
        <v>64891</v>
      </c>
      <c r="O15" s="561" t="n">
        <v>65099</v>
      </c>
      <c r="P15" s="561" t="n">
        <v>65292</v>
      </c>
      <c r="Q15" s="561" t="n">
        <v>65468</v>
      </c>
      <c r="R15" s="561" t="n">
        <v>65578</v>
      </c>
      <c r="S15" s="561" t="n">
        <v>65699</v>
      </c>
      <c r="T15" s="561" t="n">
        <v>65818</v>
      </c>
      <c r="U15" s="33" t="n">
        <v>66032</v>
      </c>
      <c r="V15" s="561" t="n">
        <v>66206</v>
      </c>
      <c r="W15" s="561" t="n">
        <v>66400</v>
      </c>
      <c r="X15" s="561" t="n">
        <v>66611</v>
      </c>
      <c r="Y15" s="561" t="n">
        <v>66812</v>
      </c>
      <c r="Z15" s="561" t="n">
        <v>66913</v>
      </c>
      <c r="AA15" s="8" t="n">
        <v>67034</v>
      </c>
      <c r="AB15" s="8" t="n">
        <v>67238</v>
      </c>
      <c r="AC15" s="561" t="n">
        <v>67467</v>
      </c>
      <c r="AD15" s="561" t="n">
        <v>67675</v>
      </c>
      <c r="AE15" s="8" t="n">
        <v>67891</v>
      </c>
      <c r="AF15" s="8" t="n">
        <v>68095</v>
      </c>
      <c r="AG15" s="8" t="n">
        <v>68216</v>
      </c>
      <c r="AH15" s="8" t="n">
        <v>68337</v>
      </c>
      <c r="AI15" s="8" t="n">
        <v>68389</v>
      </c>
      <c r="AJ15" s="57">
        <f>AI15-D15</f>
        <v/>
      </c>
    </row>
    <row r="16" ht="20.15" customHeight="1" s="488">
      <c r="A16" s="561" t="n"/>
      <c r="B16" s="561" t="n"/>
      <c r="C16" s="140" t="inlineStr">
        <is>
          <t>DG</t>
        </is>
      </c>
      <c r="D16" s="565" t="n">
        <v>2950</v>
      </c>
      <c r="E16" s="561" t="n">
        <v>2955</v>
      </c>
      <c r="F16" s="561" t="n">
        <v>2955</v>
      </c>
      <c r="G16" s="561" t="n">
        <v>2955</v>
      </c>
      <c r="H16" s="561" t="n">
        <v>2955</v>
      </c>
      <c r="I16" s="561" t="n">
        <v>2955</v>
      </c>
      <c r="J16" s="561" t="n">
        <v>2955</v>
      </c>
      <c r="K16" s="561" t="n">
        <v>2955</v>
      </c>
      <c r="L16" s="60" t="n">
        <v>2964</v>
      </c>
      <c r="M16" s="60" t="n">
        <v>2979</v>
      </c>
      <c r="N16" s="60" t="n">
        <v>2979</v>
      </c>
      <c r="O16" s="60" t="n">
        <v>2979</v>
      </c>
      <c r="P16" s="60" t="n">
        <v>2979</v>
      </c>
      <c r="Q16" s="60" t="n">
        <v>2979</v>
      </c>
      <c r="R16" s="60" t="n">
        <v>2982</v>
      </c>
      <c r="S16" s="60" t="n">
        <v>2982</v>
      </c>
      <c r="T16" s="60" t="n">
        <v>2982</v>
      </c>
      <c r="U16" s="60" t="n">
        <v>2982</v>
      </c>
      <c r="V16" s="60" t="n">
        <v>2998</v>
      </c>
      <c r="W16" s="60" t="n">
        <v>3002</v>
      </c>
      <c r="X16" s="60" t="n">
        <v>3002</v>
      </c>
      <c r="Y16" s="60" t="n">
        <v>3002</v>
      </c>
      <c r="Z16" s="60" t="n">
        <v>3002</v>
      </c>
      <c r="AA16" s="60" t="n">
        <v>3002</v>
      </c>
      <c r="AB16" s="561" t="n">
        <v>3018</v>
      </c>
      <c r="AC16" s="561" t="n">
        <v>3018</v>
      </c>
      <c r="AD16" s="561" t="n">
        <v>3018</v>
      </c>
      <c r="AE16" s="561" t="n">
        <v>3018</v>
      </c>
      <c r="AF16" s="561" t="n">
        <v>3018</v>
      </c>
      <c r="AG16" s="561" t="n">
        <v>3018</v>
      </c>
      <c r="AH16" s="561" t="n">
        <v>3018</v>
      </c>
      <c r="AI16" s="561" t="n">
        <v>3018</v>
      </c>
      <c r="AJ16" s="57">
        <f>AI16-D16</f>
        <v/>
      </c>
    </row>
    <row r="17" ht="20.15" customHeight="1" s="488">
      <c r="A17" s="561" t="n">
        <v>6</v>
      </c>
      <c r="B17" s="561" t="inlineStr">
        <is>
          <t>3F</t>
        </is>
      </c>
      <c r="C17" s="141" t="inlineStr">
        <is>
          <t>SL No 540430038646 (EB Unit)</t>
        </is>
      </c>
      <c r="D17" s="45" t="n">
        <v>76460</v>
      </c>
      <c r="E17" s="131" t="n">
        <v>76728</v>
      </c>
      <c r="F17" s="561" t="n">
        <v>76843</v>
      </c>
      <c r="G17" s="561" t="n">
        <v>77094</v>
      </c>
      <c r="H17" s="561" t="n">
        <v>77355</v>
      </c>
      <c r="I17" s="561" t="n">
        <v>77609</v>
      </c>
      <c r="J17" s="561" t="n">
        <v>77869</v>
      </c>
      <c r="K17" s="58" t="n">
        <v>78107</v>
      </c>
      <c r="L17" s="127" t="n">
        <v>78258</v>
      </c>
      <c r="M17" s="132" t="n">
        <v>78357</v>
      </c>
      <c r="N17" s="132" t="n">
        <v>78627</v>
      </c>
      <c r="O17" s="132" t="n">
        <v>78896</v>
      </c>
      <c r="P17" s="132" t="n">
        <v>79147</v>
      </c>
      <c r="Q17" s="133" t="n">
        <v>79393</v>
      </c>
      <c r="R17" s="132" t="n">
        <v>79481</v>
      </c>
      <c r="S17" s="59" t="n">
        <v>79593</v>
      </c>
      <c r="T17" s="561" t="n">
        <v>79687</v>
      </c>
      <c r="U17" s="561" t="n">
        <v>79967</v>
      </c>
      <c r="V17" s="561" t="n">
        <v>80169</v>
      </c>
      <c r="W17" s="561" t="n">
        <v>80444</v>
      </c>
      <c r="X17" s="561" t="n">
        <v>80715</v>
      </c>
      <c r="Y17" s="561" t="n">
        <v>80999</v>
      </c>
      <c r="Z17" s="561" t="n">
        <v>81129</v>
      </c>
      <c r="AA17" s="561" t="n">
        <v>81248</v>
      </c>
      <c r="AB17" s="8" t="n">
        <v>81568</v>
      </c>
      <c r="AC17" s="561" t="n">
        <v>81850</v>
      </c>
      <c r="AD17" s="561" t="n">
        <v>82104</v>
      </c>
      <c r="AE17" s="8" t="n">
        <v>82403</v>
      </c>
      <c r="AF17" s="8" t="n">
        <v>82644</v>
      </c>
      <c r="AG17" s="561" t="n">
        <v>82761</v>
      </c>
      <c r="AH17" s="8" t="n">
        <v>82867</v>
      </c>
      <c r="AI17" s="8" t="n">
        <v>82927</v>
      </c>
      <c r="AJ17" s="57">
        <f>AI17-D17</f>
        <v/>
      </c>
    </row>
    <row r="18" ht="20.15" customHeight="1" s="488">
      <c r="A18" s="561" t="n"/>
      <c r="B18" s="561" t="n"/>
      <c r="C18" s="140" t="inlineStr">
        <is>
          <t>DG</t>
        </is>
      </c>
      <c r="D18" s="565" t="n">
        <v>3854</v>
      </c>
      <c r="E18" s="561" t="n">
        <v>3861</v>
      </c>
      <c r="F18" s="561" t="n">
        <v>3861</v>
      </c>
      <c r="G18" s="561" t="n">
        <v>3861</v>
      </c>
      <c r="H18" s="561" t="n">
        <v>3861</v>
      </c>
      <c r="I18" s="561" t="n">
        <v>3861</v>
      </c>
      <c r="J18" s="561" t="n">
        <v>3861</v>
      </c>
      <c r="K18" s="561" t="n">
        <v>3861</v>
      </c>
      <c r="L18" s="8" t="n">
        <v>3873</v>
      </c>
      <c r="M18" s="8" t="n">
        <v>3878</v>
      </c>
      <c r="N18" s="8" t="n">
        <v>3878</v>
      </c>
      <c r="O18" s="8" t="n">
        <v>3878</v>
      </c>
      <c r="P18" s="8" t="n">
        <v>3878</v>
      </c>
      <c r="Q18" s="8" t="n">
        <v>3878</v>
      </c>
      <c r="R18" s="8" t="n">
        <v>3880</v>
      </c>
      <c r="S18" s="129" t="n">
        <v>3880</v>
      </c>
      <c r="T18" s="129" t="n">
        <v>3880</v>
      </c>
      <c r="U18" s="129" t="n">
        <v>3880</v>
      </c>
      <c r="V18" s="8" t="n">
        <v>3903</v>
      </c>
      <c r="W18" s="8" t="n">
        <v>3908</v>
      </c>
      <c r="X18" s="8" t="n">
        <v>3908</v>
      </c>
      <c r="Y18" s="8" t="n">
        <v>3908</v>
      </c>
      <c r="Z18" s="561" t="n">
        <v>3909</v>
      </c>
      <c r="AA18" s="561" t="n">
        <v>3909</v>
      </c>
      <c r="AB18" s="561" t="n">
        <v>3935</v>
      </c>
      <c r="AC18" s="561" t="n">
        <v>3935</v>
      </c>
      <c r="AD18" s="561" t="n">
        <v>3935</v>
      </c>
      <c r="AE18" s="561" t="n">
        <v>3935</v>
      </c>
      <c r="AF18" s="561" t="n">
        <v>3935</v>
      </c>
      <c r="AG18" s="561" t="n">
        <v>3935</v>
      </c>
      <c r="AH18" s="561" t="n">
        <v>3935</v>
      </c>
      <c r="AI18" s="561" t="n">
        <v>3935</v>
      </c>
      <c r="AJ18" s="57">
        <f>AI18-D18</f>
        <v/>
      </c>
    </row>
    <row r="19" ht="20.15" customHeight="1" s="488">
      <c r="A19" s="561" t="n">
        <v>7</v>
      </c>
      <c r="B19" s="561" t="inlineStr">
        <is>
          <t>3F</t>
        </is>
      </c>
      <c r="C19" s="141" t="inlineStr">
        <is>
          <t>SL No 540430038843 (EB Unit)</t>
        </is>
      </c>
      <c r="D19" s="45" t="n">
        <v>255821</v>
      </c>
      <c r="E19" s="561" t="n">
        <v>256803</v>
      </c>
      <c r="F19" s="561" t="n">
        <v>257277</v>
      </c>
      <c r="G19" s="561" t="n">
        <v>257977</v>
      </c>
      <c r="H19" s="561" t="n">
        <v>258722</v>
      </c>
      <c r="I19" s="561" t="n">
        <v>259403</v>
      </c>
      <c r="J19" s="561" t="n">
        <v>260116</v>
      </c>
      <c r="K19" s="561" t="n">
        <v>260841</v>
      </c>
      <c r="L19" s="561" t="n">
        <v>261422</v>
      </c>
      <c r="M19" s="561" t="n">
        <v>261871</v>
      </c>
      <c r="N19" s="5" t="n">
        <v>262604</v>
      </c>
      <c r="O19" s="561" t="n">
        <v>263344</v>
      </c>
      <c r="P19" s="561" t="n">
        <v>264040</v>
      </c>
      <c r="Q19" s="561" t="n">
        <v>264777</v>
      </c>
      <c r="R19" s="8" t="n">
        <v>265180</v>
      </c>
      <c r="S19" s="5" t="n">
        <v>265697</v>
      </c>
      <c r="T19" s="561" t="n">
        <v>266152</v>
      </c>
      <c r="U19" s="561" t="n">
        <v>266931</v>
      </c>
      <c r="V19" s="561" t="n">
        <v>267558</v>
      </c>
      <c r="W19" s="561" t="n">
        <v>268273</v>
      </c>
      <c r="X19" s="33" t="n">
        <v>269010</v>
      </c>
      <c r="Y19" s="561" t="n">
        <v>269707</v>
      </c>
      <c r="Z19" s="561" t="n">
        <v>270276</v>
      </c>
      <c r="AA19" s="8" t="n">
        <v>270770</v>
      </c>
      <c r="AB19" s="8" t="n">
        <v>271392</v>
      </c>
      <c r="AC19" s="561" t="n">
        <v>272110</v>
      </c>
      <c r="AD19" s="561" t="n">
        <v>272816</v>
      </c>
      <c r="AE19" s="8" t="n">
        <v>273836</v>
      </c>
      <c r="AF19" s="8" t="n">
        <v>274528</v>
      </c>
      <c r="AG19" s="8" t="n">
        <v>275049</v>
      </c>
      <c r="AH19" s="8" t="n">
        <v>275563</v>
      </c>
      <c r="AI19" s="8" t="n">
        <v>275737</v>
      </c>
      <c r="AJ19" s="57">
        <f>AI19-D19</f>
        <v/>
      </c>
    </row>
    <row r="20" ht="20.15" customHeight="1" s="488">
      <c r="A20" s="561" t="n"/>
      <c r="B20" s="561" t="n"/>
      <c r="C20" s="140" t="inlineStr">
        <is>
          <t>DG</t>
        </is>
      </c>
      <c r="D20" s="565" t="n">
        <v>10477</v>
      </c>
      <c r="E20" s="561" t="n">
        <v>10503</v>
      </c>
      <c r="F20" s="561" t="n">
        <v>10503</v>
      </c>
      <c r="G20" s="561" t="n">
        <v>10503</v>
      </c>
      <c r="H20" s="561" t="n">
        <v>10503</v>
      </c>
      <c r="I20" s="561" t="n">
        <v>10503</v>
      </c>
      <c r="J20" s="561" t="n">
        <v>10503</v>
      </c>
      <c r="K20" s="561" t="n">
        <v>10503</v>
      </c>
      <c r="L20" s="561" t="n">
        <v>10551</v>
      </c>
      <c r="M20" s="561" t="n">
        <v>10597</v>
      </c>
      <c r="N20" s="561" t="n">
        <v>10597</v>
      </c>
      <c r="O20" s="561" t="n">
        <v>10597</v>
      </c>
      <c r="P20" s="561" t="n">
        <v>10597</v>
      </c>
      <c r="Q20" s="561" t="n">
        <v>10597</v>
      </c>
      <c r="R20" s="561" t="n">
        <v>10605</v>
      </c>
      <c r="S20" s="561" t="n">
        <v>10605</v>
      </c>
      <c r="T20" s="561" t="n">
        <v>10605</v>
      </c>
      <c r="U20" s="561" t="n">
        <v>10605</v>
      </c>
      <c r="V20" s="561" t="n">
        <v>10660</v>
      </c>
      <c r="W20" s="561" t="n">
        <v>10671</v>
      </c>
      <c r="X20" s="561" t="n">
        <v>10671</v>
      </c>
      <c r="Y20" s="561" t="n">
        <v>10671</v>
      </c>
      <c r="Z20" s="561" t="n">
        <v>10673</v>
      </c>
      <c r="AA20" s="561" t="n">
        <v>10673</v>
      </c>
      <c r="AB20" s="561" t="n">
        <v>10746</v>
      </c>
      <c r="AC20" s="561" t="n">
        <v>10746</v>
      </c>
      <c r="AD20" s="561" t="n">
        <v>10746</v>
      </c>
      <c r="AE20" s="561" t="n">
        <v>10746</v>
      </c>
      <c r="AF20" s="561" t="n">
        <v>10746</v>
      </c>
      <c r="AG20" s="561" t="n">
        <v>10746</v>
      </c>
      <c r="AH20" s="561" t="n">
        <v>10746</v>
      </c>
      <c r="AI20" s="561" t="n">
        <v>10746</v>
      </c>
      <c r="AJ20" s="57">
        <f>AI20-D20</f>
        <v/>
      </c>
    </row>
    <row r="21" ht="20.15" customHeight="1" s="488">
      <c r="A21" s="561" t="n">
        <v>8</v>
      </c>
      <c r="B21" s="561" t="inlineStr">
        <is>
          <t>3F</t>
        </is>
      </c>
      <c r="C21" s="141" t="inlineStr">
        <is>
          <t>SL No 540430038848 (EB Unit)</t>
        </is>
      </c>
      <c r="D21" s="45" t="n">
        <v>51469</v>
      </c>
      <c r="E21" s="561" t="n">
        <v>51720</v>
      </c>
      <c r="F21" s="561" t="n">
        <v>51841</v>
      </c>
      <c r="G21" s="561" t="n">
        <v>52004</v>
      </c>
      <c r="H21" s="561" t="n">
        <v>52141</v>
      </c>
      <c r="I21" s="561" t="n">
        <v>52276</v>
      </c>
      <c r="J21" s="561" t="n">
        <v>52372</v>
      </c>
      <c r="K21" s="561" t="n">
        <v>52483</v>
      </c>
      <c r="L21" s="561" t="n">
        <v>52553</v>
      </c>
      <c r="M21" s="561" t="n">
        <v>52625</v>
      </c>
      <c r="N21" s="561" t="n">
        <v>52798</v>
      </c>
      <c r="O21" s="561" t="n">
        <v>52930</v>
      </c>
      <c r="P21" s="561" t="n">
        <v>53087</v>
      </c>
      <c r="Q21" s="561" t="n">
        <v>53217</v>
      </c>
      <c r="R21" s="561" t="n">
        <v>53360</v>
      </c>
      <c r="S21" s="561" t="n">
        <v>53484</v>
      </c>
      <c r="T21" s="561" t="n">
        <v>53625</v>
      </c>
      <c r="U21" s="561" t="n">
        <v>53778</v>
      </c>
      <c r="V21" s="561" t="n">
        <v>53903</v>
      </c>
      <c r="W21" s="561" t="n">
        <v>54020</v>
      </c>
      <c r="X21" s="561" t="n">
        <v>54173</v>
      </c>
      <c r="Y21" s="561" t="n">
        <v>54298</v>
      </c>
      <c r="Z21" s="561" t="n">
        <v>54450</v>
      </c>
      <c r="AA21" s="8" t="n">
        <v>54556</v>
      </c>
      <c r="AB21" s="8" t="n">
        <v>54715</v>
      </c>
      <c r="AC21" s="561" t="n">
        <v>54827</v>
      </c>
      <c r="AD21" s="561" t="n">
        <v>54954</v>
      </c>
      <c r="AE21" s="8" t="n">
        <v>55095</v>
      </c>
      <c r="AF21" s="8" t="n">
        <v>55249</v>
      </c>
      <c r="AG21" s="8" t="n">
        <v>55337</v>
      </c>
      <c r="AH21" s="8" t="n">
        <v>55433</v>
      </c>
      <c r="AI21" s="8" t="n">
        <v>55458</v>
      </c>
      <c r="AJ21" s="57">
        <f>AI21-D21</f>
        <v/>
      </c>
    </row>
    <row r="22" ht="20.15" customHeight="1" s="488">
      <c r="A22" s="561" t="n"/>
      <c r="B22" s="561" t="n"/>
      <c r="C22" s="140" t="inlineStr">
        <is>
          <t>DG</t>
        </is>
      </c>
      <c r="D22" s="565" t="n">
        <v>2009</v>
      </c>
      <c r="E22" s="561" t="n">
        <v>2012</v>
      </c>
      <c r="F22" s="561" t="n">
        <v>2012</v>
      </c>
      <c r="G22" s="561" t="n">
        <v>2012</v>
      </c>
      <c r="H22" s="561" t="n">
        <v>2012</v>
      </c>
      <c r="I22" s="561" t="n">
        <v>2012</v>
      </c>
      <c r="J22" s="561" t="n">
        <v>2012</v>
      </c>
      <c r="K22" s="561" t="n">
        <v>2012</v>
      </c>
      <c r="L22" s="561" t="n">
        <v>2017</v>
      </c>
      <c r="M22" s="561" t="n">
        <v>2031</v>
      </c>
      <c r="N22" s="561" t="n">
        <v>2031</v>
      </c>
      <c r="O22" s="561" t="n">
        <v>2031</v>
      </c>
      <c r="P22" s="561" t="n">
        <v>2031</v>
      </c>
      <c r="Q22" s="561" t="n">
        <v>2031</v>
      </c>
      <c r="R22" s="561" t="n">
        <v>2032</v>
      </c>
      <c r="S22" s="561" t="n">
        <v>2032</v>
      </c>
      <c r="T22" s="561" t="n">
        <v>2032</v>
      </c>
      <c r="U22" s="561" t="n">
        <v>2032</v>
      </c>
      <c r="V22" s="561" t="n">
        <v>2041</v>
      </c>
      <c r="W22" s="561" t="n">
        <v>2041</v>
      </c>
      <c r="X22" s="561" t="n">
        <v>2041</v>
      </c>
      <c r="Y22" s="561" t="n">
        <v>2041</v>
      </c>
      <c r="Z22" s="561" t="n">
        <v>2042</v>
      </c>
      <c r="AA22" s="561" t="n">
        <v>2042</v>
      </c>
      <c r="AB22" s="561" t="n">
        <v>2048</v>
      </c>
      <c r="AC22" s="561" t="n">
        <v>2048</v>
      </c>
      <c r="AD22" s="561" t="n">
        <v>2048</v>
      </c>
      <c r="AE22" s="561" t="n">
        <v>2048</v>
      </c>
      <c r="AF22" s="561" t="n">
        <v>2048</v>
      </c>
      <c r="AG22" s="561" t="n">
        <v>2048</v>
      </c>
      <c r="AH22" s="561" t="n">
        <v>2048</v>
      </c>
      <c r="AI22" s="561" t="n">
        <v>2048</v>
      </c>
      <c r="AJ22" s="57">
        <f>AI22-D22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20" t="n"/>
      <c r="AJ23" s="501" t="n"/>
    </row>
    <row r="24" ht="14.5" customHeight="1" s="488">
      <c r="A24" s="561" t="n">
        <v>1</v>
      </c>
      <c r="B24" s="561" t="inlineStr">
        <is>
          <t>3F</t>
        </is>
      </c>
      <c r="C24" s="141" t="inlineStr">
        <is>
          <t>AHU1</t>
        </is>
      </c>
      <c r="D24" s="565" t="n">
        <v>24020</v>
      </c>
      <c r="E24" s="561" t="n">
        <v>24114</v>
      </c>
      <c r="F24" s="561" t="n">
        <v>24115</v>
      </c>
      <c r="G24" s="561" t="n">
        <v>24179</v>
      </c>
      <c r="H24" s="561" t="n">
        <v>24253</v>
      </c>
      <c r="I24" s="561" t="n">
        <v>24305</v>
      </c>
      <c r="J24" s="561" t="n">
        <v>24339</v>
      </c>
      <c r="K24" s="561" t="n">
        <v>24372</v>
      </c>
      <c r="L24" s="561" t="n">
        <v>24405</v>
      </c>
      <c r="M24" s="561" t="n">
        <v>24405</v>
      </c>
      <c r="N24" s="561" t="n">
        <v>24454</v>
      </c>
      <c r="O24" s="561" t="n">
        <v>24506</v>
      </c>
      <c r="P24" s="561" t="n">
        <v>24551</v>
      </c>
      <c r="Q24" s="561" t="n">
        <v>24592</v>
      </c>
      <c r="R24" s="561" t="n">
        <v>24593</v>
      </c>
      <c r="S24" s="561" t="n">
        <v>24614</v>
      </c>
      <c r="T24" s="561" t="n">
        <v>24614</v>
      </c>
      <c r="U24" s="561" t="n">
        <v>24687</v>
      </c>
      <c r="V24" s="561" t="n">
        <v>24731</v>
      </c>
      <c r="W24" s="561" t="n">
        <v>24768</v>
      </c>
      <c r="X24" s="561" t="n">
        <v>24817</v>
      </c>
      <c r="Y24" s="561" t="n">
        <v>24865</v>
      </c>
      <c r="Z24" s="561" t="n">
        <v>24901</v>
      </c>
      <c r="AA24" s="561" t="n">
        <v>24901</v>
      </c>
      <c r="AB24" s="561" t="n">
        <v>24948</v>
      </c>
      <c r="AC24" s="561" t="n">
        <v>24987</v>
      </c>
      <c r="AD24" s="561" t="n">
        <v>25041</v>
      </c>
      <c r="AE24" s="561" t="n">
        <v>25094</v>
      </c>
      <c r="AF24" s="561" t="n">
        <v>25137</v>
      </c>
      <c r="AG24" s="561" t="n">
        <v>25187</v>
      </c>
      <c r="AH24" s="8" t="n">
        <v>25187</v>
      </c>
      <c r="AI24" s="8" t="n">
        <v>25188</v>
      </c>
      <c r="AJ24" s="7">
        <f>AI24-D24</f>
        <v/>
      </c>
    </row>
    <row r="25" ht="14.5" customHeight="1" s="488">
      <c r="A25" s="561" t="n"/>
      <c r="B25" s="561" t="n"/>
      <c r="C25" s="142" t="inlineStr">
        <is>
          <t>DG</t>
        </is>
      </c>
      <c r="D25" s="565" t="n">
        <v>1821</v>
      </c>
      <c r="E25" s="561" t="n">
        <v>1821</v>
      </c>
      <c r="F25" s="561" t="n">
        <v>1821</v>
      </c>
      <c r="G25" s="561" t="n">
        <v>1821</v>
      </c>
      <c r="H25" s="561" t="n">
        <v>1821</v>
      </c>
      <c r="I25" s="561" t="n">
        <v>1821</v>
      </c>
      <c r="J25" s="561" t="n">
        <v>1821</v>
      </c>
      <c r="K25" s="561" t="n">
        <v>1821</v>
      </c>
      <c r="L25" s="561" t="n">
        <v>1821</v>
      </c>
      <c r="M25" s="561" t="n">
        <v>1821</v>
      </c>
      <c r="N25" s="561" t="n">
        <v>1821</v>
      </c>
      <c r="O25" s="561" t="n">
        <v>1821</v>
      </c>
      <c r="P25" s="561" t="n">
        <v>1821</v>
      </c>
      <c r="Q25" s="561" t="n">
        <v>1821</v>
      </c>
      <c r="R25" s="561" t="n">
        <v>1821</v>
      </c>
      <c r="S25" s="561" t="n">
        <v>1821</v>
      </c>
      <c r="T25" s="561" t="n">
        <v>1821</v>
      </c>
      <c r="U25" s="561" t="n">
        <v>1821</v>
      </c>
      <c r="V25" s="561" t="n">
        <v>1824</v>
      </c>
      <c r="W25" s="561" t="n">
        <v>1825</v>
      </c>
      <c r="X25" s="561" t="n">
        <v>1825</v>
      </c>
      <c r="Y25" s="561" t="n">
        <v>1825</v>
      </c>
      <c r="Z25" s="561" t="n">
        <v>1825</v>
      </c>
      <c r="AA25" s="561" t="n">
        <v>1825</v>
      </c>
      <c r="AB25" s="561" t="n">
        <v>1832</v>
      </c>
      <c r="AC25" s="561" t="n">
        <v>1832</v>
      </c>
      <c r="AD25" s="561" t="n">
        <v>1832</v>
      </c>
      <c r="AE25" s="561" t="n">
        <v>1832</v>
      </c>
      <c r="AF25" s="561" t="n">
        <v>1832</v>
      </c>
      <c r="AG25" s="561" t="n">
        <v>1832</v>
      </c>
      <c r="AH25" s="561" t="n">
        <v>1832</v>
      </c>
      <c r="AI25" s="561" t="n">
        <v>1832</v>
      </c>
      <c r="AJ25" s="7">
        <f>AI25-D25</f>
        <v/>
      </c>
    </row>
    <row r="26" ht="14.5" customHeight="1" s="488">
      <c r="A26" s="561" t="n">
        <v>2</v>
      </c>
      <c r="B26" s="561" t="inlineStr">
        <is>
          <t>3F</t>
        </is>
      </c>
      <c r="C26" s="141" t="inlineStr">
        <is>
          <t>AHU2</t>
        </is>
      </c>
      <c r="D26" s="45" t="n">
        <v>24157</v>
      </c>
      <c r="E26" s="561" t="n">
        <v>24260</v>
      </c>
      <c r="F26" s="561" t="n">
        <v>24260</v>
      </c>
      <c r="G26" s="561" t="n">
        <v>24331</v>
      </c>
      <c r="H26" s="561" t="n">
        <v>24385</v>
      </c>
      <c r="I26" s="561" t="n">
        <v>24435</v>
      </c>
      <c r="J26" s="561" t="n">
        <v>24513</v>
      </c>
      <c r="K26" s="561" t="n">
        <v>24594</v>
      </c>
      <c r="L26" s="561" t="n">
        <v>24620</v>
      </c>
      <c r="M26" s="561" t="n">
        <v>24620</v>
      </c>
      <c r="N26" s="561" t="n">
        <v>24696</v>
      </c>
      <c r="O26" s="561" t="n">
        <v>24778</v>
      </c>
      <c r="P26" s="561" t="n">
        <v>24854</v>
      </c>
      <c r="Q26" s="561" t="n">
        <v>24932</v>
      </c>
      <c r="R26" s="561" t="n">
        <v>24932</v>
      </c>
      <c r="S26" s="561" t="n">
        <v>24978</v>
      </c>
      <c r="T26" s="561" t="n">
        <v>24978</v>
      </c>
      <c r="U26" s="561" t="n">
        <v>25063</v>
      </c>
      <c r="V26" s="561" t="n">
        <v>25140</v>
      </c>
      <c r="W26" s="561" t="n">
        <v>25211</v>
      </c>
      <c r="X26" s="561" t="n">
        <v>25259</v>
      </c>
      <c r="Y26" s="561" t="n">
        <v>25370</v>
      </c>
      <c r="Z26" s="561" t="n">
        <v>25438</v>
      </c>
      <c r="AA26" s="561" t="n">
        <v>25438</v>
      </c>
      <c r="AB26" s="561" t="n">
        <v>25520</v>
      </c>
      <c r="AC26" s="561" t="n">
        <v>25604</v>
      </c>
      <c r="AD26" s="561" t="n">
        <v>25660</v>
      </c>
      <c r="AE26" s="561" t="n">
        <v>25726</v>
      </c>
      <c r="AF26" s="561" t="n">
        <v>25803</v>
      </c>
      <c r="AG26" s="561" t="n">
        <v>25864</v>
      </c>
      <c r="AH26" s="8" t="n">
        <v>25864</v>
      </c>
      <c r="AI26" s="8" t="n">
        <v>25865</v>
      </c>
      <c r="AJ26" s="7">
        <f>AI26-D26</f>
        <v/>
      </c>
    </row>
    <row r="27" ht="14.5" customHeight="1" s="488">
      <c r="A27" s="561" t="n"/>
      <c r="B27" s="561" t="n"/>
      <c r="C27" s="142" t="inlineStr">
        <is>
          <t>DG</t>
        </is>
      </c>
      <c r="D27" s="565" t="n">
        <v>1772</v>
      </c>
      <c r="E27" s="561" t="n">
        <v>1772</v>
      </c>
      <c r="F27" s="561" t="n">
        <v>1772</v>
      </c>
      <c r="G27" s="561" t="n">
        <v>1772</v>
      </c>
      <c r="H27" s="561" t="n">
        <v>1772</v>
      </c>
      <c r="I27" s="561" t="n">
        <v>1772</v>
      </c>
      <c r="J27" s="561" t="n">
        <v>1772</v>
      </c>
      <c r="K27" s="561" t="n">
        <v>1772</v>
      </c>
      <c r="L27" s="561" t="n">
        <v>1772</v>
      </c>
      <c r="M27" s="561" t="n">
        <v>1772</v>
      </c>
      <c r="N27" s="561" t="n">
        <v>1772</v>
      </c>
      <c r="O27" s="561" t="n">
        <v>1772</v>
      </c>
      <c r="P27" s="561" t="n">
        <v>1772</v>
      </c>
      <c r="Q27" s="561" t="n">
        <v>1772</v>
      </c>
      <c r="R27" s="561" t="n">
        <v>1772</v>
      </c>
      <c r="S27" s="561" t="n">
        <v>1772</v>
      </c>
      <c r="T27" s="561" t="n">
        <v>1772</v>
      </c>
      <c r="U27" s="561" t="n">
        <v>1772</v>
      </c>
      <c r="V27" s="561" t="n">
        <v>1778</v>
      </c>
      <c r="W27" s="561" t="n">
        <v>1780</v>
      </c>
      <c r="X27" s="561" t="n">
        <v>1780</v>
      </c>
      <c r="Y27" s="561" t="n">
        <v>1780</v>
      </c>
      <c r="Z27" s="561" t="n">
        <v>1780</v>
      </c>
      <c r="AA27" s="561" t="n">
        <v>1780</v>
      </c>
      <c r="AB27" s="561" t="n">
        <v>1797</v>
      </c>
      <c r="AC27" s="561" t="n">
        <v>1797</v>
      </c>
      <c r="AD27" s="561" t="n">
        <v>1797</v>
      </c>
      <c r="AE27" s="561" t="n">
        <v>1797</v>
      </c>
      <c r="AF27" s="561" t="n">
        <v>1797</v>
      </c>
      <c r="AG27" s="561" t="n">
        <v>1797</v>
      </c>
      <c r="AH27" s="561" t="n">
        <v>1797</v>
      </c>
      <c r="AI27" s="561" t="n">
        <v>1797</v>
      </c>
      <c r="AJ27" s="7">
        <f>AI27-D27</f>
        <v/>
      </c>
    </row>
    <row r="28" ht="14.5" customHeight="1" s="488">
      <c r="A28" s="561" t="n">
        <v>3</v>
      </c>
      <c r="B28" s="561" t="inlineStr">
        <is>
          <t>3F</t>
        </is>
      </c>
      <c r="C28" s="141" t="inlineStr">
        <is>
          <t>AHU3</t>
        </is>
      </c>
      <c r="D28" s="565" t="n">
        <v>24421</v>
      </c>
      <c r="E28" s="561" t="n">
        <v>24604</v>
      </c>
      <c r="F28" s="561" t="n">
        <v>24604</v>
      </c>
      <c r="G28" s="561" t="n">
        <v>24729</v>
      </c>
      <c r="H28" s="561" t="n">
        <v>24869</v>
      </c>
      <c r="I28" s="561" t="n">
        <v>24998</v>
      </c>
      <c r="J28" s="561" t="n">
        <v>25113</v>
      </c>
      <c r="K28" s="561" t="n">
        <v>25230</v>
      </c>
      <c r="L28" s="561" t="n">
        <v>25297</v>
      </c>
      <c r="M28" s="561" t="n">
        <v>25297</v>
      </c>
      <c r="N28" s="561" t="n">
        <v>25423</v>
      </c>
      <c r="O28" s="561" t="n">
        <v>25557</v>
      </c>
      <c r="P28" s="561" t="n">
        <v>25670</v>
      </c>
      <c r="Q28" s="561" t="n">
        <v>25786</v>
      </c>
      <c r="R28" s="561" t="n">
        <v>25786</v>
      </c>
      <c r="S28" s="561" t="n">
        <v>25855</v>
      </c>
      <c r="T28" s="561" t="n">
        <v>25855</v>
      </c>
      <c r="U28" s="561" t="n">
        <v>25982</v>
      </c>
      <c r="V28" s="561" t="n">
        <v>26097</v>
      </c>
      <c r="W28" s="561" t="n">
        <v>26209</v>
      </c>
      <c r="X28" s="561" t="n">
        <v>26309</v>
      </c>
      <c r="Y28" s="561" t="n">
        <v>26463</v>
      </c>
      <c r="Z28" s="561" t="n">
        <v>26561</v>
      </c>
      <c r="AA28" s="561" t="n">
        <v>26561</v>
      </c>
      <c r="AB28" s="561" t="n">
        <v>26674</v>
      </c>
      <c r="AC28" s="561" t="n">
        <v>26801</v>
      </c>
      <c r="AD28" s="561" t="n">
        <v>26880</v>
      </c>
      <c r="AE28" s="561" t="n">
        <v>26963</v>
      </c>
      <c r="AF28" s="561" t="n">
        <v>27018</v>
      </c>
      <c r="AG28" s="561" t="n">
        <v>27081</v>
      </c>
      <c r="AH28" s="561" t="n">
        <v>27081</v>
      </c>
      <c r="AI28" s="561" t="n">
        <v>27082</v>
      </c>
      <c r="AJ28" s="7">
        <f>AI28-D28</f>
        <v/>
      </c>
    </row>
    <row r="29" ht="14.5" customHeight="1" s="488">
      <c r="A29" s="561" t="n"/>
      <c r="B29" s="561" t="n"/>
      <c r="C29" s="142" t="inlineStr">
        <is>
          <t>DG</t>
        </is>
      </c>
      <c r="D29" s="565" t="n">
        <v>1866</v>
      </c>
      <c r="E29" s="561" t="n">
        <v>1866</v>
      </c>
      <c r="F29" s="561" t="n">
        <v>1866</v>
      </c>
      <c r="G29" s="561" t="n">
        <v>1866</v>
      </c>
      <c r="H29" s="561" t="n">
        <v>1866</v>
      </c>
      <c r="I29" s="561" t="n">
        <v>1866</v>
      </c>
      <c r="J29" s="561" t="n">
        <v>1866</v>
      </c>
      <c r="K29" s="561" t="n">
        <v>1866</v>
      </c>
      <c r="L29" s="561" t="n">
        <v>1867</v>
      </c>
      <c r="M29" s="561" t="n">
        <v>1867</v>
      </c>
      <c r="N29" s="561" t="n">
        <v>1867</v>
      </c>
      <c r="O29" s="561" t="n">
        <v>1867</v>
      </c>
      <c r="P29" s="561" t="n">
        <v>1867</v>
      </c>
      <c r="Q29" s="561" t="n">
        <v>1867</v>
      </c>
      <c r="R29" s="561" t="n">
        <v>1867</v>
      </c>
      <c r="S29" s="561" t="n">
        <v>1867</v>
      </c>
      <c r="T29" s="561" t="n">
        <v>1867</v>
      </c>
      <c r="U29" s="561" t="n">
        <v>1867</v>
      </c>
      <c r="V29" s="561" t="n">
        <v>1877</v>
      </c>
      <c r="W29" s="561" t="n">
        <v>1880</v>
      </c>
      <c r="X29" s="561" t="n">
        <v>1880</v>
      </c>
      <c r="Y29" s="561" t="n">
        <v>1880</v>
      </c>
      <c r="Z29" s="561" t="n">
        <v>1881</v>
      </c>
      <c r="AA29" s="561" t="n">
        <v>1881</v>
      </c>
      <c r="AB29" s="561" t="n">
        <v>1903</v>
      </c>
      <c r="AC29" s="561" t="n">
        <v>1903</v>
      </c>
      <c r="AD29" s="561" t="n">
        <v>1903</v>
      </c>
      <c r="AE29" s="561" t="n">
        <v>1903</v>
      </c>
      <c r="AF29" s="561" t="n">
        <v>1903</v>
      </c>
      <c r="AG29" s="561" t="n">
        <v>1903</v>
      </c>
      <c r="AH29" s="561" t="n">
        <v>1903</v>
      </c>
      <c r="AI29" s="561" t="n">
        <v>1903</v>
      </c>
      <c r="AJ29" s="7">
        <f>AI29-D29</f>
        <v/>
      </c>
    </row>
    <row r="30" ht="14.5" customHeight="1" s="488">
      <c r="A30" s="561" t="n">
        <v>4</v>
      </c>
      <c r="B30" s="561" t="inlineStr">
        <is>
          <t>3F</t>
        </is>
      </c>
      <c r="C30" s="141" t="inlineStr">
        <is>
          <t>AHU4</t>
        </is>
      </c>
      <c r="D30" s="565" t="n">
        <v>21969</v>
      </c>
      <c r="E30" s="561" t="n">
        <v>22048</v>
      </c>
      <c r="F30" s="561" t="n">
        <v>22048</v>
      </c>
      <c r="G30" s="561" t="n">
        <v>22099</v>
      </c>
      <c r="H30" s="561" t="n">
        <v>22166</v>
      </c>
      <c r="I30" s="561" t="n">
        <v>22229</v>
      </c>
      <c r="J30" s="561" t="n">
        <v>22279</v>
      </c>
      <c r="K30" s="561" t="n">
        <v>22316</v>
      </c>
      <c r="L30" s="561" t="n">
        <v>22338</v>
      </c>
      <c r="M30" s="561" t="n">
        <v>22338</v>
      </c>
      <c r="N30" s="561" t="n">
        <v>22387</v>
      </c>
      <c r="O30" s="561" t="n">
        <v>22436</v>
      </c>
      <c r="P30" s="561" t="n">
        <v>22498</v>
      </c>
      <c r="Q30" s="561" t="n">
        <v>22563</v>
      </c>
      <c r="R30" s="561" t="n">
        <v>22564</v>
      </c>
      <c r="S30" s="561" t="n">
        <v>22588</v>
      </c>
      <c r="T30" s="561" t="n">
        <v>22588</v>
      </c>
      <c r="U30" s="561" t="n">
        <v>22639</v>
      </c>
      <c r="V30" s="561" t="n">
        <v>22694</v>
      </c>
      <c r="W30" s="561" t="n">
        <v>22734</v>
      </c>
      <c r="X30" s="561" t="n">
        <v>22809</v>
      </c>
      <c r="Y30" s="561" t="n">
        <v>22858</v>
      </c>
      <c r="Z30" s="561" t="n">
        <v>22897</v>
      </c>
      <c r="AA30" s="561" t="n">
        <v>22897</v>
      </c>
      <c r="AB30" s="561" t="n">
        <v>22960</v>
      </c>
      <c r="AC30" s="561" t="n">
        <v>23006</v>
      </c>
      <c r="AD30" s="561" t="n">
        <v>23081</v>
      </c>
      <c r="AE30" s="561" t="n">
        <v>23133</v>
      </c>
      <c r="AF30" s="561" t="n">
        <v>23183</v>
      </c>
      <c r="AG30" s="561" t="n">
        <v>23226</v>
      </c>
      <c r="AH30" s="8" t="n">
        <v>23226</v>
      </c>
      <c r="AI30" s="8" t="n">
        <v>23227</v>
      </c>
      <c r="AJ30" s="7">
        <f>AI30-D30</f>
        <v/>
      </c>
    </row>
    <row r="31" ht="14.5" customHeight="1" s="488">
      <c r="A31" s="561" t="n"/>
      <c r="B31" s="561" t="n"/>
      <c r="C31" s="142" t="inlineStr">
        <is>
          <t>DG</t>
        </is>
      </c>
      <c r="D31" s="565" t="n">
        <v>1676</v>
      </c>
      <c r="E31" s="561" t="n">
        <v>1676</v>
      </c>
      <c r="F31" s="561" t="n">
        <v>1676</v>
      </c>
      <c r="G31" s="561" t="n">
        <v>1676</v>
      </c>
      <c r="H31" s="561" t="n">
        <v>1676</v>
      </c>
      <c r="I31" s="561" t="n">
        <v>1676</v>
      </c>
      <c r="J31" s="561" t="n">
        <v>1676</v>
      </c>
      <c r="K31" s="561" t="n">
        <v>1676</v>
      </c>
      <c r="L31" s="561" t="n">
        <v>1676</v>
      </c>
      <c r="M31" s="561" t="n">
        <v>1676</v>
      </c>
      <c r="N31" s="561" t="n">
        <v>1676</v>
      </c>
      <c r="O31" s="561" t="n">
        <v>1676</v>
      </c>
      <c r="P31" s="561" t="n">
        <v>1676</v>
      </c>
      <c r="Q31" s="561" t="n">
        <v>1676</v>
      </c>
      <c r="R31" s="561" t="n">
        <v>1677</v>
      </c>
      <c r="S31" s="561" t="n">
        <v>1677</v>
      </c>
      <c r="T31" s="561" t="n">
        <v>1677</v>
      </c>
      <c r="U31" s="561" t="n">
        <v>1677</v>
      </c>
      <c r="V31" s="561" t="n">
        <v>1680</v>
      </c>
      <c r="W31" s="561" t="n">
        <v>1681</v>
      </c>
      <c r="X31" s="561" t="n">
        <v>1681</v>
      </c>
      <c r="Y31" s="561" t="n">
        <v>1681</v>
      </c>
      <c r="Z31" s="561" t="n">
        <v>1682</v>
      </c>
      <c r="AA31" s="561" t="n">
        <v>1682</v>
      </c>
      <c r="AB31" s="561" t="n">
        <v>1686</v>
      </c>
      <c r="AC31" s="561" t="n">
        <v>1686</v>
      </c>
      <c r="AD31" s="561" t="n">
        <v>1686</v>
      </c>
      <c r="AE31" s="561" t="n">
        <v>1686</v>
      </c>
      <c r="AF31" s="561" t="n">
        <v>1686</v>
      </c>
      <c r="AG31" s="561" t="n">
        <v>1686</v>
      </c>
      <c r="AH31" s="561" t="n">
        <v>1686</v>
      </c>
      <c r="AI31" s="561" t="n">
        <v>1686</v>
      </c>
      <c r="AJ31" s="7">
        <f>AI31-D31</f>
        <v/>
      </c>
    </row>
    <row r="32" ht="14.5" customHeight="1" s="488">
      <c r="A32" s="561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20" t="n"/>
      <c r="AJ32" s="501" t="n"/>
    </row>
    <row r="33" ht="14.5" customHeight="1" s="488">
      <c r="A33" s="561" t="n">
        <v>1</v>
      </c>
      <c r="B33" s="561" t="inlineStr">
        <is>
          <t>3F</t>
        </is>
      </c>
      <c r="C33" s="141" t="inlineStr">
        <is>
          <t>AHU1 - BTU</t>
        </is>
      </c>
      <c r="D33" s="9" t="n">
        <v>204528</v>
      </c>
      <c r="E33" s="40" t="n">
        <v>205133</v>
      </c>
      <c r="F33" s="10" t="n">
        <v>205133</v>
      </c>
      <c r="G33" s="10" t="n">
        <v>206112</v>
      </c>
      <c r="H33" s="10" t="n">
        <v>206840</v>
      </c>
      <c r="I33" s="40" t="n">
        <v>207466</v>
      </c>
      <c r="J33" s="10" t="n">
        <v>208023</v>
      </c>
      <c r="K33" s="10" t="n">
        <v>208582</v>
      </c>
      <c r="L33" s="10" t="n">
        <v>208822</v>
      </c>
      <c r="M33" s="40" t="n">
        <v>208822</v>
      </c>
      <c r="N33" s="10" t="n">
        <v>209692</v>
      </c>
      <c r="O33" s="10" t="n">
        <v>210404</v>
      </c>
      <c r="P33" s="10" t="n">
        <v>211092</v>
      </c>
      <c r="Q33" s="40" t="n">
        <v>211747</v>
      </c>
      <c r="R33" s="10" t="n">
        <v>211747</v>
      </c>
      <c r="S33" s="10" t="n">
        <v>212012</v>
      </c>
      <c r="T33" s="10" t="n">
        <v>212012</v>
      </c>
      <c r="U33" s="40" t="n">
        <v>212938</v>
      </c>
      <c r="V33" s="10" t="n">
        <v>213688</v>
      </c>
      <c r="W33" s="10" t="n">
        <v>214429</v>
      </c>
      <c r="X33" s="10" t="n">
        <v>215218</v>
      </c>
      <c r="Y33" s="40" t="n">
        <v>215880</v>
      </c>
      <c r="Z33" s="10" t="n">
        <v>216242</v>
      </c>
      <c r="AA33" s="10" t="n">
        <v>216242</v>
      </c>
      <c r="AB33" s="10" t="n">
        <v>217084</v>
      </c>
      <c r="AC33" s="40" t="n">
        <v>217901</v>
      </c>
      <c r="AD33" s="10" t="n">
        <v>218784</v>
      </c>
      <c r="AE33" s="10" t="n">
        <v>219562</v>
      </c>
      <c r="AF33" s="10" t="n">
        <v>220306</v>
      </c>
      <c r="AG33" s="40" t="n">
        <v>220563</v>
      </c>
      <c r="AH33" s="10" t="n">
        <v>220563</v>
      </c>
      <c r="AI33" s="10" t="n">
        <v>220563</v>
      </c>
      <c r="AJ33" s="7">
        <f>AI33-D33</f>
        <v/>
      </c>
    </row>
    <row r="34" ht="14.5" customHeight="1" s="488">
      <c r="A34" s="561" t="n">
        <v>2</v>
      </c>
      <c r="B34" s="561" t="inlineStr">
        <is>
          <t>3F</t>
        </is>
      </c>
      <c r="C34" s="141" t="inlineStr">
        <is>
          <t>AHU2 - BTU</t>
        </is>
      </c>
      <c r="D34" s="9" t="n">
        <v>211729</v>
      </c>
      <c r="E34" s="10" t="n">
        <v>212106</v>
      </c>
      <c r="F34" s="10" t="n">
        <v>212106</v>
      </c>
      <c r="G34" s="10" t="n">
        <v>212711</v>
      </c>
      <c r="H34" s="10" t="n">
        <v>213252</v>
      </c>
      <c r="I34" s="10" t="n">
        <v>213684</v>
      </c>
      <c r="J34" s="10" t="n">
        <v>214137</v>
      </c>
      <c r="K34" s="10" t="n">
        <v>214657</v>
      </c>
      <c r="L34" s="10" t="n">
        <v>214823</v>
      </c>
      <c r="M34" s="10" t="n">
        <v>214823</v>
      </c>
      <c r="N34" s="10" t="n">
        <v>215509</v>
      </c>
      <c r="O34" s="10" t="n">
        <v>216088</v>
      </c>
      <c r="P34" s="10" t="n">
        <v>216763</v>
      </c>
      <c r="Q34" s="10" t="n">
        <v>217284</v>
      </c>
      <c r="R34" s="10" t="n">
        <v>217284</v>
      </c>
      <c r="S34" s="10" t="n">
        <v>217527</v>
      </c>
      <c r="T34" s="10" t="n">
        <v>217527</v>
      </c>
      <c r="U34" s="10" t="n">
        <v>218345</v>
      </c>
      <c r="V34" s="10" t="n">
        <v>219030</v>
      </c>
      <c r="W34" s="10" t="n">
        <v>219746</v>
      </c>
      <c r="X34" s="10" t="n">
        <v>220342</v>
      </c>
      <c r="Y34" s="10" t="n">
        <v>220845</v>
      </c>
      <c r="Z34" s="10" t="n">
        <v>221227</v>
      </c>
      <c r="AA34" s="10" t="n">
        <v>221227</v>
      </c>
      <c r="AB34" s="10" t="n">
        <v>221901</v>
      </c>
      <c r="AC34" s="10" t="n">
        <v>222679</v>
      </c>
      <c r="AD34" s="10" t="n">
        <v>223394</v>
      </c>
      <c r="AE34" s="10" t="n">
        <v>224038</v>
      </c>
      <c r="AF34" s="10" t="n">
        <v>224606</v>
      </c>
      <c r="AG34" s="10" t="n">
        <v>224872</v>
      </c>
      <c r="AH34" s="10" t="n">
        <v>224872</v>
      </c>
      <c r="AI34" s="10" t="n">
        <v>224872</v>
      </c>
      <c r="AJ34" s="7">
        <f>AI34-D34</f>
        <v/>
      </c>
    </row>
    <row r="35" ht="14.5" customHeight="1" s="488">
      <c r="A35" s="561" t="n">
        <v>3</v>
      </c>
      <c r="B35" s="561" t="inlineStr">
        <is>
          <t>3F</t>
        </is>
      </c>
      <c r="C35" s="141" t="inlineStr">
        <is>
          <t>AHU3 - BTU</t>
        </is>
      </c>
      <c r="D35" s="9" t="n">
        <v>208888</v>
      </c>
      <c r="E35" s="10" t="n">
        <v>209149</v>
      </c>
      <c r="F35" s="10" t="n">
        <v>209149</v>
      </c>
      <c r="G35" s="10" t="n">
        <v>209563</v>
      </c>
      <c r="H35" s="10" t="n">
        <v>209981</v>
      </c>
      <c r="I35" s="10" t="n">
        <v>210276</v>
      </c>
      <c r="J35" s="10" t="n">
        <v>210650</v>
      </c>
      <c r="K35" s="10" t="n">
        <v>211050</v>
      </c>
      <c r="L35" s="10" t="n">
        <v>211211</v>
      </c>
      <c r="M35" s="10" t="n">
        <v>211211</v>
      </c>
      <c r="N35" s="10" t="n">
        <v>211802</v>
      </c>
      <c r="O35" s="10" t="n">
        <v>212283</v>
      </c>
      <c r="P35" s="10" t="n">
        <v>212971</v>
      </c>
      <c r="Q35" s="10" t="n">
        <v>213413</v>
      </c>
      <c r="R35" s="10" t="n">
        <v>213413</v>
      </c>
      <c r="S35" s="10" t="n">
        <v>213640</v>
      </c>
      <c r="T35" s="10" t="n">
        <v>213640</v>
      </c>
      <c r="U35" s="10" t="n">
        <v>214360</v>
      </c>
      <c r="V35" s="10" t="n">
        <v>215084</v>
      </c>
      <c r="W35" s="10" t="n">
        <v>215704</v>
      </c>
      <c r="X35" s="10" t="n">
        <v>216215</v>
      </c>
      <c r="Y35" s="10" t="n">
        <v>216639</v>
      </c>
      <c r="Z35" s="10" t="n">
        <v>216899</v>
      </c>
      <c r="AA35" s="10" t="n">
        <v>216899</v>
      </c>
      <c r="AB35" s="10" t="n">
        <v>217704</v>
      </c>
      <c r="AC35" s="10" t="n">
        <v>218334</v>
      </c>
      <c r="AD35" s="10" t="n">
        <v>218949</v>
      </c>
      <c r="AE35" s="10" t="n">
        <v>219594</v>
      </c>
      <c r="AF35" s="10" t="n">
        <v>220142</v>
      </c>
      <c r="AG35" s="10" t="n">
        <v>220395</v>
      </c>
      <c r="AH35" s="10" t="n">
        <v>220395</v>
      </c>
      <c r="AI35" s="10" t="n">
        <v>220395</v>
      </c>
      <c r="AJ35" s="7">
        <f>AI35-D35</f>
        <v/>
      </c>
    </row>
    <row r="36" ht="14.5" customHeight="1" s="488">
      <c r="A36" s="561" t="n">
        <v>4</v>
      </c>
      <c r="B36" s="561" t="inlineStr">
        <is>
          <t>3F</t>
        </is>
      </c>
      <c r="C36" s="141" t="inlineStr">
        <is>
          <t>AHU4 - BTU</t>
        </is>
      </c>
      <c r="D36" s="9" t="n">
        <v>230669</v>
      </c>
      <c r="E36" s="10" t="n">
        <v>231224</v>
      </c>
      <c r="F36" s="10" t="n">
        <v>231224</v>
      </c>
      <c r="G36" s="10" t="n">
        <v>231914</v>
      </c>
      <c r="H36" s="10" t="n">
        <v>232513</v>
      </c>
      <c r="I36" s="10" t="n">
        <v>233136</v>
      </c>
      <c r="J36" s="10" t="n">
        <v>233568</v>
      </c>
      <c r="K36" s="10" t="n">
        <v>234049</v>
      </c>
      <c r="L36" s="10" t="n">
        <v>234245</v>
      </c>
      <c r="M36" s="10" t="n">
        <v>234245</v>
      </c>
      <c r="N36" s="10" t="n">
        <v>234949</v>
      </c>
      <c r="O36" s="10" t="n">
        <v>235494</v>
      </c>
      <c r="P36" s="10" t="n">
        <v>236061</v>
      </c>
      <c r="Q36" s="10" t="n">
        <v>236609</v>
      </c>
      <c r="R36" s="10" t="n">
        <v>236609</v>
      </c>
      <c r="S36" s="10" t="n">
        <v>236803</v>
      </c>
      <c r="T36" s="10" t="n">
        <v>236803</v>
      </c>
      <c r="U36" s="10" t="n">
        <v>237482</v>
      </c>
      <c r="V36" s="10" t="n">
        <v>238138</v>
      </c>
      <c r="W36" s="10" t="n">
        <v>238792</v>
      </c>
      <c r="X36" s="10" t="n">
        <v>239470</v>
      </c>
      <c r="Y36" s="10" t="n">
        <v>240053</v>
      </c>
      <c r="Z36" s="10" t="n">
        <v>240371</v>
      </c>
      <c r="AA36" s="10" t="n">
        <v>240371</v>
      </c>
      <c r="AB36" s="10" t="n">
        <v>241047</v>
      </c>
      <c r="AC36" s="10" t="n">
        <v>241709</v>
      </c>
      <c r="AD36" s="10" t="n">
        <v>242463</v>
      </c>
      <c r="AE36" s="10" t="n">
        <v>243122</v>
      </c>
      <c r="AF36" s="10" t="n">
        <v>243810</v>
      </c>
      <c r="AG36" s="10" t="n">
        <v>244029</v>
      </c>
      <c r="AH36" s="10" t="n">
        <v>244029</v>
      </c>
      <c r="AI36" s="10" t="n">
        <v>244029</v>
      </c>
      <c r="AJ36" s="7">
        <f>AI36-D36</f>
        <v/>
      </c>
    </row>
    <row r="37" ht="14.5" customHeight="1" s="488">
      <c r="A37" s="134" t="n"/>
      <c r="B37" s="134" t="n"/>
      <c r="D37" s="134" t="n"/>
      <c r="E37" s="13" t="n"/>
      <c r="F37" s="134" t="n"/>
      <c r="G37" s="134" t="n"/>
      <c r="H37" s="134" t="n"/>
      <c r="I37" s="134" t="n"/>
      <c r="J37" s="134" t="n"/>
      <c r="K37" s="134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6" t="n"/>
      <c r="AD37" s="134" t="n"/>
      <c r="AE37" s="134" t="n"/>
      <c r="AF37" s="134" t="n"/>
      <c r="AG37" s="134" t="n"/>
      <c r="AH37" s="134" t="n"/>
      <c r="AI37" s="134" t="n"/>
      <c r="AJ37" s="136" t="n"/>
    </row>
    <row r="38" ht="14.5" customHeight="1" s="488">
      <c r="A38" s="14" t="n"/>
      <c r="B38" s="137" t="n"/>
      <c r="C38" s="144" t="n"/>
      <c r="D38" s="138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  <c r="AJ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95">
        <f>AG3</f>
        <v/>
      </c>
      <c r="AH41" s="95">
        <f>AH3</f>
        <v/>
      </c>
      <c r="AI41" s="95">
        <f>AI3</f>
        <v/>
      </c>
      <c r="AJ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96">
        <f>AG4</f>
        <v/>
      </c>
      <c r="AH42" s="96">
        <f>AH4</f>
        <v/>
      </c>
      <c r="AI42" s="96">
        <f>AI4</f>
        <v/>
      </c>
      <c r="AJ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97" t="inlineStr">
        <is>
          <t>Time</t>
        </is>
      </c>
      <c r="AH43" s="95">
        <f>AH5</f>
        <v/>
      </c>
      <c r="AI43" s="97" t="inlineStr">
        <is>
          <t>Time</t>
        </is>
      </c>
      <c r="AJ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98" t="n">
        <v>0.3333333333333333</v>
      </c>
      <c r="AH44" s="98" t="n">
        <v>0.3333333333333333</v>
      </c>
      <c r="AI44" s="98" t="n">
        <v>0.3333333333333333</v>
      </c>
      <c r="AJ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105">
        <f>SUM(E54:AI54)</f>
        <v/>
      </c>
      <c r="AK54" s="115" t="inlineStr">
        <is>
          <t>EB</t>
        </is>
      </c>
      <c r="AL54" s="116">
        <f>SUM(AJ7,AJ9,AJ11,AJ13,AJ15,AJ17,AJ19,AJ21)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105">
        <f>SUM(E55:AI55)</f>
        <v/>
      </c>
      <c r="AK55" s="115" t="inlineStr">
        <is>
          <t>AHU</t>
        </is>
      </c>
      <c r="AL55" s="116">
        <f>SUM(AJ24,AJ26,AJ28,AJ30)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105">
        <f>SUM(E56:AI56)</f>
        <v/>
      </c>
      <c r="AK56" s="115" t="inlineStr">
        <is>
          <t>BTU</t>
        </is>
      </c>
      <c r="AL56" s="116">
        <f>AJ80*40%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105">
        <f>SUM(E57:AI57)</f>
        <v/>
      </c>
      <c r="AK57" s="117" t="inlineStr">
        <is>
          <t>DG</t>
        </is>
      </c>
      <c r="AL57" s="118">
        <f>SUM(AJ8,AJ10,AJ12,AJ14,AJ16,AJ18,AJ20,AJ22,AJ25,AJ27,AJ29,AJ31)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20">
        <f>AI22-AH22</f>
        <v/>
      </c>
      <c r="AJ60" s="21">
        <f>SUM(E60:AI60)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23">
        <f>SUM(AI59,AI57,AI55,AI53,AI51,AI49,AI47,AI45)</f>
        <v/>
      </c>
      <c r="AJ61" s="24">
        <f>SUM(E61:AI61)</f>
        <v/>
      </c>
      <c r="AK61" s="78" t="n"/>
    </row>
    <row r="62" ht="15" customHeight="1" s="488">
      <c r="A62" s="99" t="n"/>
      <c r="B62" s="99" t="n"/>
      <c r="C62" s="145" t="inlineStr">
        <is>
          <t>Total Power- DG</t>
        </is>
      </c>
      <c r="D62" s="108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23">
        <f>SUM(AI46,AI48,AI50,AI52,AI54,AI56,AI58,AI60)</f>
        <v/>
      </c>
      <c r="AJ62" s="24">
        <f>SUM(E62:AI62)</f>
        <v/>
      </c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F61</f>
        <v/>
      </c>
      <c r="G63" s="102">
        <f>G61</f>
        <v/>
      </c>
      <c r="H63" s="102">
        <f>H61</f>
        <v/>
      </c>
      <c r="I63" s="102">
        <f>I61</f>
        <v/>
      </c>
      <c r="J63" s="102">
        <f>J61</f>
        <v/>
      </c>
      <c r="K63" s="102">
        <f>K61</f>
        <v/>
      </c>
      <c r="L63" s="102">
        <f>L61</f>
        <v/>
      </c>
      <c r="M63" s="102">
        <f>M61</f>
        <v/>
      </c>
      <c r="N63" s="102">
        <f>N61</f>
        <v/>
      </c>
      <c r="O63" s="102">
        <f>O61</f>
        <v/>
      </c>
      <c r="P63" s="102">
        <f>P61</f>
        <v/>
      </c>
      <c r="Q63" s="102">
        <f>Q61</f>
        <v/>
      </c>
      <c r="R63" s="102">
        <f>R61</f>
        <v/>
      </c>
      <c r="S63" s="102">
        <f>S61</f>
        <v/>
      </c>
      <c r="T63" s="102">
        <f>T61</f>
        <v/>
      </c>
      <c r="U63" s="102">
        <f>U61</f>
        <v/>
      </c>
      <c r="V63" s="102">
        <f>V61</f>
        <v/>
      </c>
      <c r="W63" s="102">
        <f>W61</f>
        <v/>
      </c>
      <c r="X63" s="102">
        <f>X61</f>
        <v/>
      </c>
      <c r="Y63" s="102">
        <f>Y61</f>
        <v/>
      </c>
      <c r="Z63" s="102">
        <f>Z61</f>
        <v/>
      </c>
      <c r="AA63" s="102">
        <f>AA61</f>
        <v/>
      </c>
      <c r="AB63" s="102">
        <f>AB61</f>
        <v/>
      </c>
      <c r="AC63" s="102">
        <f>AC61</f>
        <v/>
      </c>
      <c r="AD63" s="102">
        <f>AD61</f>
        <v/>
      </c>
      <c r="AE63" s="102">
        <f>AE61</f>
        <v/>
      </c>
      <c r="AF63" s="102">
        <f>AF61</f>
        <v/>
      </c>
      <c r="AG63" s="102">
        <f>AG61</f>
        <v/>
      </c>
      <c r="AH63" s="102">
        <f>AH61</f>
        <v/>
      </c>
      <c r="AI63" s="102">
        <f>AI61</f>
        <v/>
      </c>
      <c r="AJ63" s="102">
        <f>AJ61</f>
        <v/>
      </c>
    </row>
    <row r="64" ht="13" customHeight="1" s="488">
      <c r="A64" s="94" t="n"/>
      <c r="B64" s="534" t="n"/>
      <c r="C64" s="146" t="n"/>
      <c r="D64" s="109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  <c r="AJ64" s="94" t="n"/>
    </row>
    <row r="65" ht="14.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AI24-AH24</f>
        <v/>
      </c>
      <c r="AJ66" s="30">
        <f>SUM(E66:AI66)</f>
        <v/>
      </c>
      <c r="AL66" s="78" t="n"/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AI25-AH25</f>
        <v/>
      </c>
      <c r="AJ67" s="30">
        <f>SUM(E67:AI67)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AI26-AH26</f>
        <v/>
      </c>
      <c r="AJ68" s="30">
        <f>SUM(E68:AI68)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AI27-AH27</f>
        <v/>
      </c>
      <c r="AJ69" s="30">
        <f>SUM(E69:AI69)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AI28-AH28</f>
        <v/>
      </c>
      <c r="AJ70" s="30">
        <f>SUM(E70:AI70)</f>
        <v/>
      </c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AI29-AH29</f>
        <v/>
      </c>
      <c r="AJ71" s="30">
        <f>SUM(E71:AI71)</f>
        <v/>
      </c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AI30-AH30</f>
        <v/>
      </c>
      <c r="AJ72" s="30">
        <f>SUM(E72:AI72)</f>
        <v/>
      </c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AI31-AH31</f>
        <v/>
      </c>
      <c r="AJ73" s="30">
        <f>SUM(E73:AI73)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  <c r="AK74" s="78" t="n"/>
      <c r="AL74" s="78" t="n"/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3">
        <f>SUM(AI67,AI69,AI71,AI73)</f>
        <v/>
      </c>
      <c r="AJ75" s="24">
        <f>SUM(E75:AI75)</f>
        <v/>
      </c>
      <c r="AK75" s="78" t="n"/>
      <c r="AL75" s="78" t="n"/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AI33-AH33</f>
        <v/>
      </c>
      <c r="AJ76" s="30">
        <f>SUM(E76:AI76)</f>
        <v/>
      </c>
      <c r="AL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AI34-AH34</f>
        <v/>
      </c>
      <c r="AJ77" s="30">
        <f>SUM(E77:AI77)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AI35-AH35</f>
        <v/>
      </c>
      <c r="AJ78" s="30">
        <f>SUM(E78:AI78)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AI36-AH36</f>
        <v/>
      </c>
      <c r="AJ79" s="30">
        <f>SUM(E79:AI79)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3">
        <f>SUM(AI76:AI79)</f>
        <v/>
      </c>
      <c r="AJ80" s="24">
        <f>SUM(AJ76:AJ79)</f>
        <v/>
      </c>
      <c r="AK80" s="78" t="n"/>
    </row>
  </sheetData>
  <mergeCells count="49">
    <mergeCell ref="C77:D77"/>
    <mergeCell ref="C68:D68"/>
    <mergeCell ref="E2:AI2"/>
    <mergeCell ref="C58:D58"/>
    <mergeCell ref="B3:B6"/>
    <mergeCell ref="C45:D45"/>
    <mergeCell ref="C74:D74"/>
    <mergeCell ref="C79:D79"/>
    <mergeCell ref="C73:D73"/>
    <mergeCell ref="C47:D47"/>
    <mergeCell ref="C54:D54"/>
    <mergeCell ref="C63:D63"/>
    <mergeCell ref="C65:D65"/>
    <mergeCell ref="B40:D40"/>
    <mergeCell ref="A41:A44"/>
    <mergeCell ref="A3:A6"/>
    <mergeCell ref="C75:D75"/>
    <mergeCell ref="AJ3:AJ6"/>
    <mergeCell ref="C50:D50"/>
    <mergeCell ref="C55:D55"/>
    <mergeCell ref="C53:D53"/>
    <mergeCell ref="C80:D80"/>
    <mergeCell ref="C56:D56"/>
    <mergeCell ref="C59:D59"/>
    <mergeCell ref="A23:AJ23"/>
    <mergeCell ref="A32:AJ32"/>
    <mergeCell ref="C46:D46"/>
    <mergeCell ref="C60:D60"/>
    <mergeCell ref="C51:D51"/>
    <mergeCell ref="C76:D76"/>
    <mergeCell ref="C71:D71"/>
    <mergeCell ref="D3:D6"/>
    <mergeCell ref="C61:D61"/>
    <mergeCell ref="C52:D52"/>
    <mergeCell ref="C70:D70"/>
    <mergeCell ref="C48:D48"/>
    <mergeCell ref="B41:B44"/>
    <mergeCell ref="C72:D72"/>
    <mergeCell ref="C67:D67"/>
    <mergeCell ref="C57:D57"/>
    <mergeCell ref="C3:C6"/>
    <mergeCell ref="C66:D66"/>
    <mergeCell ref="C41:D44"/>
    <mergeCell ref="A2:D2"/>
    <mergeCell ref="AJ41:AJ44"/>
    <mergeCell ref="B39:D39"/>
    <mergeCell ref="C78:D78"/>
    <mergeCell ref="C69:D69"/>
    <mergeCell ref="C49:D4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AI80"/>
  <sheetViews>
    <sheetView topLeftCell="J1" zoomScaleNormal="100" workbookViewId="0">
      <selection activeCell="AB29" sqref="AB29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143" min="3" max="3"/>
    <col width="20" bestFit="1" customWidth="1" style="110" min="4" max="4"/>
    <col width="23" bestFit="1" customWidth="1" style="70" min="5" max="5"/>
    <col width="23" customWidth="1" style="488" min="6" max="7"/>
    <col width="23" bestFit="1" customWidth="1" style="70" min="8" max="11"/>
    <col width="23" customWidth="1" style="488" min="12" max="19"/>
    <col width="23" bestFit="1" customWidth="1" style="70" min="20" max="22"/>
    <col width="23" customWidth="1" style="488" min="23" max="26"/>
    <col width="23" bestFit="1" customWidth="1" style="70" min="27" max="28"/>
    <col width="23" customWidth="1" style="488" min="29" max="29"/>
    <col width="23" bestFit="1" customWidth="1" style="70" min="30" max="30"/>
    <col width="23" customWidth="1" style="70" min="31" max="31"/>
    <col width="23" bestFit="1" customWidth="1" style="70" min="32" max="32"/>
    <col width="18" bestFit="1" customWidth="1" style="70" min="33" max="33"/>
    <col width="14" customWidth="1" style="70" min="34" max="34"/>
    <col width="18" customWidth="1" style="70" min="35" max="36"/>
    <col width="18" customWidth="1" style="70" min="37" max="16384"/>
  </cols>
  <sheetData>
    <row r="2" ht="16.5" customHeight="1" s="488">
      <c r="A2" s="573" t="n"/>
      <c r="B2" s="505" t="n"/>
      <c r="C2" s="505" t="n"/>
      <c r="D2" s="506" t="n"/>
      <c r="E2" s="602" t="inlineStr">
        <is>
          <t>October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6" t="n"/>
      <c r="AG2" s="50" t="n"/>
    </row>
    <row r="3" ht="12.75" customHeight="1" s="488">
      <c r="A3" s="508" t="inlineStr">
        <is>
          <t>Sr.No</t>
        </is>
      </c>
      <c r="B3" s="508" t="inlineStr">
        <is>
          <t>Location</t>
        </is>
      </c>
      <c r="C3" s="580" t="inlineStr">
        <is>
          <t>Meter</t>
        </is>
      </c>
      <c r="D3" s="562" t="inlineStr">
        <is>
          <t>Previous Reading</t>
        </is>
      </c>
      <c r="E3" s="51" t="n">
        <v>45689</v>
      </c>
      <c r="F3" s="51" t="n">
        <v>45690</v>
      </c>
      <c r="G3" s="51" t="n">
        <v>45691</v>
      </c>
      <c r="H3" s="51" t="n">
        <v>45692</v>
      </c>
      <c r="I3" s="51" t="n">
        <v>45693</v>
      </c>
      <c r="J3" s="51" t="n">
        <v>45694</v>
      </c>
      <c r="K3" s="51" t="n">
        <v>45695</v>
      </c>
      <c r="L3" s="51" t="n">
        <v>45696</v>
      </c>
      <c r="M3" s="51" t="n">
        <v>45697</v>
      </c>
      <c r="N3" s="51" t="n">
        <v>45698</v>
      </c>
      <c r="O3" s="51" t="n">
        <v>45699</v>
      </c>
      <c r="P3" s="51" t="n">
        <v>45700</v>
      </c>
      <c r="Q3" s="51" t="n">
        <v>45701</v>
      </c>
      <c r="R3" s="51" t="n">
        <v>45702</v>
      </c>
      <c r="S3" s="51" t="n">
        <v>45703</v>
      </c>
      <c r="T3" s="51" t="n">
        <v>45704</v>
      </c>
      <c r="U3" s="51" t="n">
        <v>45705</v>
      </c>
      <c r="V3" s="51" t="n">
        <v>45706</v>
      </c>
      <c r="W3" s="51" t="n">
        <v>45707</v>
      </c>
      <c r="X3" s="51" t="n">
        <v>45708</v>
      </c>
      <c r="Y3" s="51" t="n">
        <v>45709</v>
      </c>
      <c r="Z3" s="51" t="n">
        <v>45710</v>
      </c>
      <c r="AA3" s="51" t="n">
        <v>45711</v>
      </c>
      <c r="AB3" s="51" t="n">
        <v>45712</v>
      </c>
      <c r="AC3" s="51" t="n">
        <v>45713</v>
      </c>
      <c r="AD3" s="51" t="n">
        <v>45714</v>
      </c>
      <c r="AE3" s="51" t="n">
        <v>45715</v>
      </c>
      <c r="AF3" s="51" t="n">
        <v>45716</v>
      </c>
      <c r="AG3" s="518" t="inlineStr">
        <is>
          <t>Consumption</t>
        </is>
      </c>
    </row>
    <row r="4" ht="14.5" customHeight="1" s="488">
      <c r="A4" s="509" t="n"/>
      <c r="B4" s="509" t="n"/>
      <c r="C4" s="509" t="n"/>
      <c r="D4" s="509" t="n"/>
      <c r="E4" s="52" t="inlineStr">
        <is>
          <t>SAT</t>
        </is>
      </c>
      <c r="F4" s="52" t="inlineStr">
        <is>
          <t>SUN</t>
        </is>
      </c>
      <c r="G4" s="52" t="inlineStr">
        <is>
          <t>MON</t>
        </is>
      </c>
      <c r="H4" s="52" t="inlineStr">
        <is>
          <t>TUE</t>
        </is>
      </c>
      <c r="I4" s="52" t="inlineStr">
        <is>
          <t>WED</t>
        </is>
      </c>
      <c r="J4" s="52" t="inlineStr">
        <is>
          <t>THU</t>
        </is>
      </c>
      <c r="K4" s="52" t="inlineStr">
        <is>
          <t>FRI</t>
        </is>
      </c>
      <c r="L4" s="52" t="inlineStr">
        <is>
          <t>SAT</t>
        </is>
      </c>
      <c r="M4" s="52" t="inlineStr">
        <is>
          <t>SUN</t>
        </is>
      </c>
      <c r="N4" s="52" t="inlineStr">
        <is>
          <t>MON</t>
        </is>
      </c>
      <c r="O4" s="52" t="inlineStr">
        <is>
          <t>TUE</t>
        </is>
      </c>
      <c r="P4" s="52" t="inlineStr">
        <is>
          <t>WED</t>
        </is>
      </c>
      <c r="Q4" s="52" t="inlineStr">
        <is>
          <t>THU</t>
        </is>
      </c>
      <c r="R4" s="52" t="inlineStr">
        <is>
          <t>FRI</t>
        </is>
      </c>
      <c r="S4" s="52" t="inlineStr">
        <is>
          <t>SAT</t>
        </is>
      </c>
      <c r="T4" s="52" t="inlineStr">
        <is>
          <t>SUN</t>
        </is>
      </c>
      <c r="U4" s="52" t="inlineStr">
        <is>
          <t>MON</t>
        </is>
      </c>
      <c r="V4" s="52" t="inlineStr">
        <is>
          <t>TUE</t>
        </is>
      </c>
      <c r="W4" s="52" t="inlineStr">
        <is>
          <t>WED</t>
        </is>
      </c>
      <c r="X4" s="52" t="inlineStr">
        <is>
          <t>THU</t>
        </is>
      </c>
      <c r="Y4" s="52" t="inlineStr">
        <is>
          <t>FRI</t>
        </is>
      </c>
      <c r="Z4" s="52" t="inlineStr">
        <is>
          <t>SAT</t>
        </is>
      </c>
      <c r="AA4" s="52" t="inlineStr">
        <is>
          <t>SUN</t>
        </is>
      </c>
      <c r="AB4" s="52" t="inlineStr">
        <is>
          <t>MON</t>
        </is>
      </c>
      <c r="AC4" s="52" t="inlineStr">
        <is>
          <t>TUE</t>
        </is>
      </c>
      <c r="AD4" s="52" t="inlineStr">
        <is>
          <t>WED</t>
        </is>
      </c>
      <c r="AE4" s="52" t="inlineStr">
        <is>
          <t>THU</t>
        </is>
      </c>
      <c r="AF4" s="52" t="inlineStr">
        <is>
          <t>FRI</t>
        </is>
      </c>
      <c r="AG4" s="509" t="n"/>
    </row>
    <row r="5" ht="14.5" customHeight="1" s="488">
      <c r="A5" s="509" t="n"/>
      <c r="B5" s="509" t="n"/>
      <c r="C5" s="509" t="n"/>
      <c r="D5" s="509" t="n"/>
      <c r="E5" s="52" t="inlineStr">
        <is>
          <t>Time</t>
        </is>
      </c>
      <c r="F5" s="52" t="inlineStr">
        <is>
          <t>Time</t>
        </is>
      </c>
      <c r="G5" s="52" t="inlineStr">
        <is>
          <t>Time</t>
        </is>
      </c>
      <c r="H5" s="52" t="inlineStr">
        <is>
          <t>Time</t>
        </is>
      </c>
      <c r="I5" s="52" t="inlineStr">
        <is>
          <t>Time</t>
        </is>
      </c>
      <c r="J5" s="52" t="inlineStr">
        <is>
          <t>Time</t>
        </is>
      </c>
      <c r="K5" s="52" t="inlineStr">
        <is>
          <t>Time</t>
        </is>
      </c>
      <c r="L5" s="52" t="inlineStr">
        <is>
          <t>Time</t>
        </is>
      </c>
      <c r="M5" s="52" t="inlineStr">
        <is>
          <t>Time</t>
        </is>
      </c>
      <c r="N5" s="52" t="inlineStr">
        <is>
          <t>Time</t>
        </is>
      </c>
      <c r="O5" s="52" t="inlineStr">
        <is>
          <t>Time</t>
        </is>
      </c>
      <c r="P5" s="52" t="inlineStr">
        <is>
          <t>Time</t>
        </is>
      </c>
      <c r="Q5" s="52" t="inlineStr">
        <is>
          <t>Time</t>
        </is>
      </c>
      <c r="R5" s="52" t="inlineStr">
        <is>
          <t>Time</t>
        </is>
      </c>
      <c r="S5" s="52" t="inlineStr">
        <is>
          <t>Time</t>
        </is>
      </c>
      <c r="T5" s="52" t="inlineStr">
        <is>
          <t>Time</t>
        </is>
      </c>
      <c r="U5" s="52" t="inlineStr">
        <is>
          <t>Time</t>
        </is>
      </c>
      <c r="V5" s="52" t="inlineStr">
        <is>
          <t>Time</t>
        </is>
      </c>
      <c r="W5" s="52" t="inlineStr">
        <is>
          <t>Time</t>
        </is>
      </c>
      <c r="X5" s="52" t="inlineStr">
        <is>
          <t>Time</t>
        </is>
      </c>
      <c r="Y5" s="52" t="inlineStr">
        <is>
          <t>Time</t>
        </is>
      </c>
      <c r="Z5" s="52" t="inlineStr">
        <is>
          <t>Time</t>
        </is>
      </c>
      <c r="AA5" s="52" t="inlineStr">
        <is>
          <t>Time</t>
        </is>
      </c>
      <c r="AB5" s="52" t="inlineStr">
        <is>
          <t>Time</t>
        </is>
      </c>
      <c r="AC5" s="52" t="inlineStr">
        <is>
          <t>Time</t>
        </is>
      </c>
      <c r="AD5" s="52" t="inlineStr">
        <is>
          <t>Time</t>
        </is>
      </c>
      <c r="AE5" s="52" t="inlineStr">
        <is>
          <t>Time</t>
        </is>
      </c>
      <c r="AF5" s="52" t="inlineStr">
        <is>
          <t>Time</t>
        </is>
      </c>
      <c r="AG5" s="509" t="n"/>
    </row>
    <row r="6" ht="14.5" customHeight="1" s="488">
      <c r="A6" s="510" t="n"/>
      <c r="B6" s="510" t="n"/>
      <c r="C6" s="510" t="n"/>
      <c r="D6" s="510" t="n"/>
      <c r="E6" s="53" t="n">
        <v>0.3333333333333333</v>
      </c>
      <c r="F6" s="53" t="n">
        <v>0.3333333333333333</v>
      </c>
      <c r="G6" s="53" t="n">
        <v>0.3333333333333333</v>
      </c>
      <c r="H6" s="53" t="n">
        <v>0.3333333333333333</v>
      </c>
      <c r="I6" s="53" t="n">
        <v>0.3333333333333333</v>
      </c>
      <c r="J6" s="53" t="n">
        <v>0.3333333333333333</v>
      </c>
      <c r="K6" s="53" t="n">
        <v>0.3333333333333333</v>
      </c>
      <c r="L6" s="53" t="n">
        <v>0.3333333333333333</v>
      </c>
      <c r="M6" s="53" t="n">
        <v>0.3333333333333333</v>
      </c>
      <c r="N6" s="53" t="n">
        <v>0.3333333333333333</v>
      </c>
      <c r="O6" s="53" t="n">
        <v>0.3333333333333333</v>
      </c>
      <c r="P6" s="53" t="n">
        <v>0.3333333333333333</v>
      </c>
      <c r="Q6" s="53" t="n">
        <v>0.3333333333333333</v>
      </c>
      <c r="R6" s="53" t="n">
        <v>0.3333333333333333</v>
      </c>
      <c r="S6" s="53" t="n">
        <v>0.3333333333333333</v>
      </c>
      <c r="T6" s="53" t="n">
        <v>0.3333333333333333</v>
      </c>
      <c r="U6" s="53" t="n">
        <v>0.3333333333333333</v>
      </c>
      <c r="V6" s="53" t="n">
        <v>0.3333333333333333</v>
      </c>
      <c r="W6" s="53" t="n">
        <v>0.3333333333333333</v>
      </c>
      <c r="X6" s="53" t="n">
        <v>0.3333333333333333</v>
      </c>
      <c r="Y6" s="53" t="n">
        <v>0.3333333333333333</v>
      </c>
      <c r="Z6" s="53" t="n">
        <v>0.3333333333333333</v>
      </c>
      <c r="AA6" s="53" t="n">
        <v>0.3333333333333333</v>
      </c>
      <c r="AB6" s="53" t="n">
        <v>0.3333333333333333</v>
      </c>
      <c r="AC6" s="53" t="n">
        <v>0.3333333333333333</v>
      </c>
      <c r="AD6" s="53" t="n">
        <v>0.3333333333333333</v>
      </c>
      <c r="AE6" s="53" t="n">
        <v>0.3333333333333333</v>
      </c>
      <c r="AF6" s="53" t="n">
        <v>0.3333333333333333</v>
      </c>
      <c r="AG6" s="510" t="n"/>
    </row>
    <row r="7" ht="20.15" customHeight="1" s="488">
      <c r="A7" s="48" t="n">
        <v>1</v>
      </c>
      <c r="B7" s="48" t="inlineStr">
        <is>
          <t>3F</t>
        </is>
      </c>
      <c r="C7" s="139" t="inlineStr">
        <is>
          <t>SL No 540430038840 (EB Unit)</t>
        </is>
      </c>
      <c r="D7" s="55" t="n">
        <v>84669</v>
      </c>
      <c r="E7" s="561" t="n">
        <v>84989</v>
      </c>
      <c r="F7" s="561" t="n">
        <v>85202</v>
      </c>
      <c r="G7" s="8" t="n">
        <v>85467</v>
      </c>
      <c r="H7" s="5" t="n">
        <v>85732</v>
      </c>
      <c r="I7" s="561" t="n">
        <v>85997</v>
      </c>
      <c r="J7" s="561" t="n">
        <v>86276</v>
      </c>
      <c r="K7" s="561" t="n">
        <v>86534</v>
      </c>
      <c r="L7" s="58" t="n">
        <v>86749</v>
      </c>
      <c r="M7" s="48" t="n">
        <v>86976</v>
      </c>
      <c r="N7" s="59" t="n">
        <v>87236</v>
      </c>
      <c r="O7" s="561" t="n">
        <v>87505</v>
      </c>
      <c r="P7" s="58" t="n">
        <v>87786</v>
      </c>
      <c r="Q7" s="48" t="n">
        <v>88057</v>
      </c>
      <c r="R7" s="59" t="n">
        <v>88298</v>
      </c>
      <c r="S7" s="561" t="n">
        <v>88513</v>
      </c>
      <c r="T7" s="561" t="n">
        <v>88724</v>
      </c>
      <c r="U7" s="561" t="n">
        <v>88987</v>
      </c>
      <c r="V7" s="125" t="n">
        <v>89257</v>
      </c>
      <c r="W7" s="561" t="n">
        <v>89533</v>
      </c>
      <c r="X7" s="561" t="n">
        <v>89813</v>
      </c>
      <c r="Y7" s="561" t="n">
        <v>90075</v>
      </c>
      <c r="Z7" s="561" t="n">
        <v>90295</v>
      </c>
      <c r="AA7" s="561" t="n">
        <v>90508</v>
      </c>
      <c r="AB7" s="561" t="n">
        <v>90759</v>
      </c>
      <c r="AC7" s="561" t="n">
        <v>91026</v>
      </c>
      <c r="AD7" s="561" t="n">
        <v>91279</v>
      </c>
      <c r="AE7" s="561" t="n">
        <v>91547</v>
      </c>
      <c r="AF7" s="561" t="n">
        <v>91663</v>
      </c>
      <c r="AG7" s="57">
        <f>AF7-D7</f>
        <v/>
      </c>
      <c r="AH7" s="78" t="n"/>
    </row>
    <row r="8" ht="20.15" customHeight="1" s="488">
      <c r="A8" s="8" t="n"/>
      <c r="B8" s="8" t="n"/>
      <c r="C8" s="140" t="inlineStr">
        <is>
          <t>DG</t>
        </is>
      </c>
      <c r="D8" s="45" t="n">
        <v>3872</v>
      </c>
      <c r="E8" s="8" t="n">
        <v>3872</v>
      </c>
      <c r="F8" s="8" t="n">
        <v>3872</v>
      </c>
      <c r="G8" s="8" t="n">
        <v>3872</v>
      </c>
      <c r="H8" s="8" t="n">
        <v>3872</v>
      </c>
      <c r="I8" s="8" t="n">
        <v>3872</v>
      </c>
      <c r="J8" s="8" t="n">
        <v>3872</v>
      </c>
      <c r="K8" s="8" t="n">
        <v>3872</v>
      </c>
      <c r="L8" s="8" t="n">
        <v>3877</v>
      </c>
      <c r="M8" s="8" t="n">
        <v>3877</v>
      </c>
      <c r="N8" s="8" t="n">
        <v>3877</v>
      </c>
      <c r="O8" s="8" t="n">
        <v>3877</v>
      </c>
      <c r="P8" s="8" t="n">
        <v>3877</v>
      </c>
      <c r="Q8" s="8" t="n">
        <v>3877</v>
      </c>
      <c r="R8" s="8" t="n">
        <v>3877</v>
      </c>
      <c r="S8" s="8" t="n">
        <v>3877</v>
      </c>
      <c r="T8" s="8" t="n">
        <v>3877</v>
      </c>
      <c r="U8" s="8" t="n">
        <v>3877</v>
      </c>
      <c r="V8" s="8" t="n">
        <v>3877</v>
      </c>
      <c r="W8" s="8" t="n">
        <v>3877</v>
      </c>
      <c r="X8" s="8" t="n">
        <v>3877</v>
      </c>
      <c r="Y8" s="8" t="n">
        <v>3877</v>
      </c>
      <c r="Z8" s="8" t="n">
        <v>3877</v>
      </c>
      <c r="AA8" s="8" t="n">
        <v>3877</v>
      </c>
      <c r="AB8" s="8" t="n">
        <v>3877</v>
      </c>
      <c r="AC8" s="8" t="n">
        <v>3877</v>
      </c>
      <c r="AD8" s="8" t="n">
        <v>3877</v>
      </c>
      <c r="AE8" s="8" t="n">
        <v>3877</v>
      </c>
      <c r="AF8" s="8" t="n">
        <v>3877</v>
      </c>
      <c r="AG8" s="57">
        <f>AF8-D8</f>
        <v/>
      </c>
      <c r="AH8" s="78" t="n"/>
    </row>
    <row r="9" ht="20.15" customHeight="1" s="488">
      <c r="A9" s="561" t="n">
        <v>2</v>
      </c>
      <c r="B9" s="561" t="inlineStr">
        <is>
          <t>3F</t>
        </is>
      </c>
      <c r="C9" s="141" t="inlineStr">
        <is>
          <t>SL No 540430038845 (EB Unit)</t>
        </is>
      </c>
      <c r="D9" s="565" t="n">
        <v>1956</v>
      </c>
      <c r="E9" s="561" t="n">
        <v>1956</v>
      </c>
      <c r="F9" s="561" t="n">
        <v>1956</v>
      </c>
      <c r="G9" s="561" t="n">
        <v>1956</v>
      </c>
      <c r="H9" s="561" t="n">
        <v>1956</v>
      </c>
      <c r="I9" s="561" t="n">
        <v>1956</v>
      </c>
      <c r="J9" s="561" t="n">
        <v>1956</v>
      </c>
      <c r="K9" s="561" t="n">
        <v>1956</v>
      </c>
      <c r="L9" s="561" t="n">
        <v>1956</v>
      </c>
      <c r="M9" s="561" t="n">
        <v>1956</v>
      </c>
      <c r="N9" s="561" t="n">
        <v>1956</v>
      </c>
      <c r="O9" s="561" t="n">
        <v>1956</v>
      </c>
      <c r="P9" s="561" t="n">
        <v>1956</v>
      </c>
      <c r="Q9" s="561" t="n">
        <v>1956</v>
      </c>
      <c r="R9" s="561" t="n">
        <v>1956</v>
      </c>
      <c r="S9" s="561" t="n">
        <v>1956</v>
      </c>
      <c r="T9" s="561" t="n">
        <v>1956</v>
      </c>
      <c r="U9" s="561" t="n">
        <v>1956</v>
      </c>
      <c r="V9" s="561" t="n">
        <v>1956</v>
      </c>
      <c r="W9" s="561" t="n">
        <v>1956</v>
      </c>
      <c r="X9" s="561" t="n">
        <v>1956</v>
      </c>
      <c r="Y9" s="561" t="n">
        <v>1956</v>
      </c>
      <c r="Z9" s="561" t="n">
        <v>1956</v>
      </c>
      <c r="AA9" s="561" t="n">
        <v>1956</v>
      </c>
      <c r="AB9" s="561" t="n">
        <v>1956</v>
      </c>
      <c r="AC9" s="561" t="n">
        <v>1956</v>
      </c>
      <c r="AD9" s="561" t="n">
        <v>1956</v>
      </c>
      <c r="AE9" s="561" t="n">
        <v>1956</v>
      </c>
      <c r="AF9" s="561" t="n">
        <v>1956</v>
      </c>
      <c r="AG9" s="57">
        <f>AF9-D9</f>
        <v/>
      </c>
    </row>
    <row r="10" ht="20.15" customHeight="1" s="488">
      <c r="A10" s="561" t="n"/>
      <c r="B10" s="561" t="n"/>
      <c r="C10" s="140" t="inlineStr">
        <is>
          <t>DG</t>
        </is>
      </c>
      <c r="D10" s="565" t="n">
        <v>28.6</v>
      </c>
      <c r="E10" s="561" t="n">
        <v>28.6</v>
      </c>
      <c r="F10" s="561" t="n">
        <v>28.6</v>
      </c>
      <c r="G10" s="561" t="n">
        <v>28.6</v>
      </c>
      <c r="H10" s="561" t="n">
        <v>28.6</v>
      </c>
      <c r="I10" s="561" t="n">
        <v>28.6</v>
      </c>
      <c r="J10" s="561" t="n">
        <v>28.6</v>
      </c>
      <c r="K10" s="561" t="n">
        <v>28.6</v>
      </c>
      <c r="L10" s="561" t="n">
        <v>28.6</v>
      </c>
      <c r="M10" s="561" t="n">
        <v>28.6</v>
      </c>
      <c r="N10" s="561" t="n">
        <v>28.6</v>
      </c>
      <c r="O10" s="561" t="n">
        <v>28.6</v>
      </c>
      <c r="P10" s="561" t="n">
        <v>28.6</v>
      </c>
      <c r="Q10" s="561" t="n">
        <v>28.6</v>
      </c>
      <c r="R10" s="561" t="n">
        <v>28.6</v>
      </c>
      <c r="S10" s="561" t="n">
        <v>28.6</v>
      </c>
      <c r="T10" s="561" t="n">
        <v>28.6</v>
      </c>
      <c r="U10" s="561" t="n">
        <v>28.6</v>
      </c>
      <c r="V10" s="561" t="n">
        <v>28.6</v>
      </c>
      <c r="W10" s="561" t="n">
        <v>28.6</v>
      </c>
      <c r="X10" s="561" t="n">
        <v>28.6</v>
      </c>
      <c r="Y10" s="561" t="n">
        <v>28.6</v>
      </c>
      <c r="Z10" s="561" t="n">
        <v>28.6</v>
      </c>
      <c r="AA10" s="561" t="n">
        <v>28.6</v>
      </c>
      <c r="AB10" s="561" t="n">
        <v>28.6</v>
      </c>
      <c r="AC10" s="561" t="n">
        <v>28.6</v>
      </c>
      <c r="AD10" s="561" t="n">
        <v>28.6</v>
      </c>
      <c r="AE10" s="561" t="n">
        <v>28.6</v>
      </c>
      <c r="AF10" s="561" t="n">
        <v>28.6</v>
      </c>
      <c r="AG10" s="57">
        <f>AF10-D10</f>
        <v/>
      </c>
    </row>
    <row r="11" ht="20.15" customHeight="1" s="488">
      <c r="A11" s="561" t="n">
        <v>3</v>
      </c>
      <c r="B11" s="561" t="inlineStr">
        <is>
          <t>3F</t>
        </is>
      </c>
      <c r="C11" s="141" t="inlineStr">
        <is>
          <t>SL No 540430038844 (EB Unit)</t>
        </is>
      </c>
      <c r="D11" s="45" t="n">
        <v>124715</v>
      </c>
      <c r="E11" s="561" t="n">
        <v>125147</v>
      </c>
      <c r="F11" s="561" t="n">
        <v>125429</v>
      </c>
      <c r="G11" s="561" t="n">
        <v>125816</v>
      </c>
      <c r="H11" s="561" t="n">
        <v>126203</v>
      </c>
      <c r="I11" s="561" t="n">
        <v>126584</v>
      </c>
      <c r="J11" s="561" t="n">
        <v>126992</v>
      </c>
      <c r="K11" s="561" t="n">
        <v>127364</v>
      </c>
      <c r="L11" s="561" t="n">
        <v>127650</v>
      </c>
      <c r="M11" s="561" t="n">
        <v>127953</v>
      </c>
      <c r="N11" s="561" t="n">
        <v>128334</v>
      </c>
      <c r="O11" s="561" t="n">
        <v>128723</v>
      </c>
      <c r="P11" s="561" t="n">
        <v>129136</v>
      </c>
      <c r="Q11" s="561" t="n">
        <v>129533</v>
      </c>
      <c r="R11" s="561" t="n">
        <v>129874</v>
      </c>
      <c r="S11" s="561" t="n">
        <v>130161</v>
      </c>
      <c r="T11" s="561" t="n">
        <v>130437</v>
      </c>
      <c r="U11" s="561" t="n">
        <v>130816</v>
      </c>
      <c r="V11" s="561" t="n">
        <v>131209</v>
      </c>
      <c r="W11" s="561" t="n">
        <v>131615</v>
      </c>
      <c r="X11" s="561" t="n">
        <v>132030</v>
      </c>
      <c r="Y11" s="561" t="n">
        <v>132410</v>
      </c>
      <c r="Z11" s="561" t="n">
        <v>132706</v>
      </c>
      <c r="AA11" s="8" t="n">
        <v>132983</v>
      </c>
      <c r="AB11" s="8" t="n">
        <v>133344</v>
      </c>
      <c r="AC11" s="561" t="n">
        <v>133729</v>
      </c>
      <c r="AD11" s="561" t="n">
        <v>134092</v>
      </c>
      <c r="AE11" s="8" t="n">
        <v>134485</v>
      </c>
      <c r="AF11" s="8" t="n">
        <v>134648</v>
      </c>
      <c r="AG11" s="57">
        <f>AF11-D11</f>
        <v/>
      </c>
    </row>
    <row r="12" ht="20.15" customHeight="1" s="488">
      <c r="A12" s="561" t="n"/>
      <c r="B12" s="561" t="n"/>
      <c r="C12" s="140" t="inlineStr">
        <is>
          <t>DG</t>
        </is>
      </c>
      <c r="D12" s="565" t="n">
        <v>5799</v>
      </c>
      <c r="E12" s="561" t="n">
        <v>5799</v>
      </c>
      <c r="F12" s="561" t="n">
        <v>5799</v>
      </c>
      <c r="G12" s="561" t="n">
        <v>5799</v>
      </c>
      <c r="H12" s="561" t="n">
        <v>5799</v>
      </c>
      <c r="I12" s="561" t="n">
        <v>5799</v>
      </c>
      <c r="J12" s="561" t="n">
        <v>5799</v>
      </c>
      <c r="K12" s="561" t="n">
        <v>5799</v>
      </c>
      <c r="L12" s="561" t="n">
        <v>5807</v>
      </c>
      <c r="M12" s="561" t="n">
        <v>5807</v>
      </c>
      <c r="N12" s="561" t="n">
        <v>5807</v>
      </c>
      <c r="O12" s="561" t="n">
        <v>5807</v>
      </c>
      <c r="P12" s="561" t="n">
        <v>5807</v>
      </c>
      <c r="Q12" s="561" t="n">
        <v>5807</v>
      </c>
      <c r="R12" s="561" t="n">
        <v>5807</v>
      </c>
      <c r="S12" s="561" t="n">
        <v>5807</v>
      </c>
      <c r="T12" s="561" t="n">
        <v>5807</v>
      </c>
      <c r="U12" s="561" t="n">
        <v>5807</v>
      </c>
      <c r="V12" s="561" t="n">
        <v>5807</v>
      </c>
      <c r="W12" s="561" t="n">
        <v>5807</v>
      </c>
      <c r="X12" s="561" t="n">
        <v>5807</v>
      </c>
      <c r="Y12" s="561" t="n">
        <v>5807</v>
      </c>
      <c r="Z12" s="561" t="n">
        <v>5807</v>
      </c>
      <c r="AA12" s="561" t="n">
        <v>5807</v>
      </c>
      <c r="AB12" s="561" t="n">
        <v>5807</v>
      </c>
      <c r="AC12" s="561" t="n">
        <v>5807</v>
      </c>
      <c r="AD12" s="561" t="n">
        <v>5807</v>
      </c>
      <c r="AE12" s="561" t="n">
        <v>5807</v>
      </c>
      <c r="AF12" s="561" t="n">
        <v>5807</v>
      </c>
      <c r="AG12" s="57">
        <f>AF12-D12</f>
        <v/>
      </c>
    </row>
    <row r="13" ht="20.15" customHeight="1" s="488">
      <c r="A13" s="561" t="n">
        <v>4</v>
      </c>
      <c r="B13" s="561" t="inlineStr">
        <is>
          <t>3F</t>
        </is>
      </c>
      <c r="C13" s="141" t="inlineStr">
        <is>
          <t>SL No 540430038821 (EB Unit)</t>
        </is>
      </c>
      <c r="D13" s="565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7">
        <f>AF13-D13</f>
        <v/>
      </c>
    </row>
    <row r="14" ht="20.15" customHeight="1" s="488">
      <c r="A14" s="561" t="n"/>
      <c r="B14" s="561" t="n"/>
      <c r="C14" s="140" t="inlineStr">
        <is>
          <t>DG</t>
        </is>
      </c>
      <c r="D14" s="565" t="n">
        <v>0</v>
      </c>
      <c r="E14" s="561" t="n">
        <v>0</v>
      </c>
      <c r="F14" s="561" t="n">
        <v>0</v>
      </c>
      <c r="G14" s="561" t="n">
        <v>0</v>
      </c>
      <c r="H14" s="561" t="n">
        <v>0</v>
      </c>
      <c r="I14" s="561" t="n">
        <v>0</v>
      </c>
      <c r="J14" s="561" t="n">
        <v>0</v>
      </c>
      <c r="K14" s="561" t="n">
        <v>0</v>
      </c>
      <c r="L14" s="561" t="n">
        <v>0</v>
      </c>
      <c r="M14" s="561" t="n">
        <v>0</v>
      </c>
      <c r="N14" s="561" t="n">
        <v>0</v>
      </c>
      <c r="O14" s="561" t="n">
        <v>0</v>
      </c>
      <c r="P14" s="561" t="n">
        <v>0</v>
      </c>
      <c r="Q14" s="561" t="n">
        <v>0</v>
      </c>
      <c r="R14" s="561" t="n">
        <v>0</v>
      </c>
      <c r="S14" s="561" t="n">
        <v>0</v>
      </c>
      <c r="T14" s="561" t="n">
        <v>0</v>
      </c>
      <c r="U14" s="561" t="n">
        <v>0</v>
      </c>
      <c r="V14" s="561" t="n">
        <v>0</v>
      </c>
      <c r="W14" s="561" t="n">
        <v>0</v>
      </c>
      <c r="X14" s="561" t="n">
        <v>0</v>
      </c>
      <c r="Y14" s="561" t="n">
        <v>0</v>
      </c>
      <c r="Z14" s="561" t="n">
        <v>0</v>
      </c>
      <c r="AA14" s="561" t="n">
        <v>0</v>
      </c>
      <c r="AB14" s="561" t="n">
        <v>0</v>
      </c>
      <c r="AC14" s="561" t="n">
        <v>0</v>
      </c>
      <c r="AD14" s="561" t="n">
        <v>0</v>
      </c>
      <c r="AE14" s="561" t="n">
        <v>0</v>
      </c>
      <c r="AF14" s="561" t="n">
        <v>0</v>
      </c>
      <c r="AG14" s="57">
        <f>AF14-D14</f>
        <v/>
      </c>
    </row>
    <row r="15" ht="20.15" customHeight="1" s="488">
      <c r="A15" s="561" t="n">
        <v>5</v>
      </c>
      <c r="B15" s="561" t="inlineStr">
        <is>
          <t>3F</t>
        </is>
      </c>
      <c r="C15" s="141" t="inlineStr">
        <is>
          <t>SL No 540430038849 (EB Unit)</t>
        </is>
      </c>
      <c r="D15" s="45" t="n">
        <v>56491</v>
      </c>
      <c r="E15" s="561" t="n">
        <v>56749</v>
      </c>
      <c r="F15" s="561" t="n">
        <v>56895</v>
      </c>
      <c r="G15" s="561" t="n">
        <v>57149</v>
      </c>
      <c r="H15" s="561" t="n">
        <v>57409</v>
      </c>
      <c r="I15" s="561" t="n">
        <v>57657</v>
      </c>
      <c r="J15" s="561" t="n">
        <v>57919</v>
      </c>
      <c r="K15" s="561" t="n">
        <v>58155</v>
      </c>
      <c r="L15" s="561" t="n">
        <v>58316</v>
      </c>
      <c r="M15" s="561" t="n">
        <v>58472</v>
      </c>
      <c r="N15" s="561" t="n">
        <v>58724</v>
      </c>
      <c r="O15" s="561" t="n">
        <v>58988</v>
      </c>
      <c r="P15" s="561" t="n">
        <v>59268</v>
      </c>
      <c r="Q15" s="561" t="n">
        <v>59544</v>
      </c>
      <c r="R15" s="561" t="n">
        <v>59786</v>
      </c>
      <c r="S15" s="561" t="n">
        <v>59955</v>
      </c>
      <c r="T15" s="561" t="n">
        <v>60100</v>
      </c>
      <c r="U15" s="33" t="n">
        <v>60355</v>
      </c>
      <c r="V15" s="561" t="n">
        <v>60610</v>
      </c>
      <c r="W15" s="561" t="n">
        <v>60888</v>
      </c>
      <c r="X15" s="561" t="n">
        <v>61162</v>
      </c>
      <c r="Y15" s="561" t="n">
        <v>61413</v>
      </c>
      <c r="Z15" s="561" t="n">
        <v>61547</v>
      </c>
      <c r="AA15" s="8" t="n">
        <v>61694</v>
      </c>
      <c r="AB15" s="8" t="n">
        <v>61931</v>
      </c>
      <c r="AC15" s="561" t="n">
        <v>62190</v>
      </c>
      <c r="AD15" s="561" t="n">
        <v>62419</v>
      </c>
      <c r="AE15" s="8" t="n">
        <v>62674</v>
      </c>
      <c r="AF15" s="8" t="n">
        <v>62776</v>
      </c>
      <c r="AG15" s="57">
        <f>AF15-D15</f>
        <v/>
      </c>
    </row>
    <row r="16" ht="20.15" customHeight="1" s="488">
      <c r="A16" s="561" t="n"/>
      <c r="B16" s="561" t="n"/>
      <c r="C16" s="140" t="inlineStr">
        <is>
          <t>DG</t>
        </is>
      </c>
      <c r="D16" s="565" t="n">
        <v>2944</v>
      </c>
      <c r="E16" s="561" t="n">
        <v>2944</v>
      </c>
      <c r="F16" s="561" t="n">
        <v>2944</v>
      </c>
      <c r="G16" s="561" t="n">
        <v>2944</v>
      </c>
      <c r="H16" s="561" t="n">
        <v>2944</v>
      </c>
      <c r="I16" s="561" t="n">
        <v>2944</v>
      </c>
      <c r="J16" s="561" t="n">
        <v>2944</v>
      </c>
      <c r="K16" s="561" t="n">
        <v>2944</v>
      </c>
      <c r="L16" s="60" t="n">
        <v>2950</v>
      </c>
      <c r="M16" s="60" t="n">
        <v>2950</v>
      </c>
      <c r="N16" s="60" t="n">
        <v>2950</v>
      </c>
      <c r="O16" s="60" t="n">
        <v>2950</v>
      </c>
      <c r="P16" s="60" t="n">
        <v>2950</v>
      </c>
      <c r="Q16" s="60" t="n">
        <v>2950</v>
      </c>
      <c r="R16" s="60" t="n">
        <v>2950</v>
      </c>
      <c r="S16" s="60" t="n">
        <v>2950</v>
      </c>
      <c r="T16" s="60" t="n">
        <v>2950</v>
      </c>
      <c r="U16" s="60" t="n">
        <v>2950</v>
      </c>
      <c r="V16" s="60" t="n">
        <v>2950</v>
      </c>
      <c r="W16" s="60" t="n">
        <v>2950</v>
      </c>
      <c r="X16" s="60" t="n">
        <v>2950</v>
      </c>
      <c r="Y16" s="60" t="n">
        <v>2950</v>
      </c>
      <c r="Z16" s="561" t="n">
        <v>2950</v>
      </c>
      <c r="AA16" s="561" t="n">
        <v>2950</v>
      </c>
      <c r="AB16" s="561" t="n">
        <v>2950</v>
      </c>
      <c r="AC16" s="561" t="n">
        <v>2950</v>
      </c>
      <c r="AD16" s="561" t="n">
        <v>2950</v>
      </c>
      <c r="AE16" s="561" t="n">
        <v>2950</v>
      </c>
      <c r="AF16" s="561" t="n">
        <v>2950</v>
      </c>
      <c r="AG16" s="57">
        <f>AF16-D16</f>
        <v/>
      </c>
    </row>
    <row r="17" ht="20.15" customHeight="1" s="488">
      <c r="A17" s="561" t="n">
        <v>6</v>
      </c>
      <c r="B17" s="561" t="inlineStr">
        <is>
          <t>3F</t>
        </is>
      </c>
      <c r="C17" s="141" t="inlineStr">
        <is>
          <t>SL No 540430038646 (EB Unit)</t>
        </is>
      </c>
      <c r="D17" s="45" t="n">
        <v>70440</v>
      </c>
      <c r="E17" s="131" t="n">
        <v>70653</v>
      </c>
      <c r="F17" s="561" t="n">
        <v>70766</v>
      </c>
      <c r="G17" s="561" t="n">
        <v>71014</v>
      </c>
      <c r="H17" s="561" t="n">
        <v>71281</v>
      </c>
      <c r="I17" s="561" t="n">
        <v>71527</v>
      </c>
      <c r="J17" s="561" t="n">
        <v>71798</v>
      </c>
      <c r="K17" s="58" t="n">
        <v>72025</v>
      </c>
      <c r="L17" s="127" t="n">
        <v>72158</v>
      </c>
      <c r="M17" s="132" t="n">
        <v>72255</v>
      </c>
      <c r="N17" s="132" t="n">
        <v>72507</v>
      </c>
      <c r="O17" s="132" t="n">
        <v>72763</v>
      </c>
      <c r="P17" s="132" t="n">
        <v>73042</v>
      </c>
      <c r="Q17" s="133" t="n">
        <v>73303</v>
      </c>
      <c r="R17" s="132" t="n">
        <v>73550</v>
      </c>
      <c r="S17" s="59" t="n">
        <v>73692</v>
      </c>
      <c r="T17" s="561" t="n">
        <v>73807</v>
      </c>
      <c r="U17" s="561" t="n">
        <v>74048</v>
      </c>
      <c r="V17" s="561" t="n">
        <v>74319</v>
      </c>
      <c r="W17" s="561" t="n">
        <v>74605</v>
      </c>
      <c r="X17" s="561" t="n">
        <v>74896</v>
      </c>
      <c r="Y17" s="561" t="n">
        <v>75153</v>
      </c>
      <c r="Z17" s="561" t="n">
        <v>75268</v>
      </c>
      <c r="AA17" s="561" t="n">
        <v>75383</v>
      </c>
      <c r="AB17" s="8" t="n">
        <v>75626</v>
      </c>
      <c r="AC17" s="561" t="n">
        <v>75871</v>
      </c>
      <c r="AD17" s="561" t="n">
        <v>76113</v>
      </c>
      <c r="AE17" s="8" t="n">
        <v>76357</v>
      </c>
      <c r="AF17" s="8" t="n">
        <v>76460</v>
      </c>
      <c r="AG17" s="57">
        <f>AF17-D17</f>
        <v/>
      </c>
    </row>
    <row r="18" ht="20.15" customHeight="1" s="488">
      <c r="A18" s="561" t="n"/>
      <c r="B18" s="561" t="n"/>
      <c r="C18" s="140" t="inlineStr">
        <is>
          <t>DG</t>
        </is>
      </c>
      <c r="D18" s="565" t="n">
        <v>3848</v>
      </c>
      <c r="E18" s="561" t="n">
        <v>3848</v>
      </c>
      <c r="F18" s="561" t="n">
        <v>3848</v>
      </c>
      <c r="G18" s="561" t="n">
        <v>3848</v>
      </c>
      <c r="H18" s="561" t="n">
        <v>3848</v>
      </c>
      <c r="I18" s="561" t="n">
        <v>3848</v>
      </c>
      <c r="J18" s="561" t="n">
        <v>3848</v>
      </c>
      <c r="K18" s="561" t="n">
        <v>3848</v>
      </c>
      <c r="L18" s="8" t="n">
        <v>3854</v>
      </c>
      <c r="M18" s="8" t="n">
        <v>3854</v>
      </c>
      <c r="N18" s="8" t="n">
        <v>3854</v>
      </c>
      <c r="O18" s="8" t="n">
        <v>3854</v>
      </c>
      <c r="P18" s="8" t="n">
        <v>3854</v>
      </c>
      <c r="Q18" s="8" t="n">
        <v>3854</v>
      </c>
      <c r="R18" s="8" t="n">
        <v>3854</v>
      </c>
      <c r="S18" s="129" t="n">
        <v>3854</v>
      </c>
      <c r="T18" s="8" t="n">
        <v>3854</v>
      </c>
      <c r="U18" s="8" t="n">
        <v>3854</v>
      </c>
      <c r="V18" s="8" t="n">
        <v>3854</v>
      </c>
      <c r="W18" s="8" t="n">
        <v>3854</v>
      </c>
      <c r="X18" s="8" t="n">
        <v>3854</v>
      </c>
      <c r="Y18" s="8" t="n">
        <v>3854</v>
      </c>
      <c r="Z18" s="561" t="n">
        <v>3854</v>
      </c>
      <c r="AA18" s="561" t="n">
        <v>3854</v>
      </c>
      <c r="AB18" s="561" t="n">
        <v>3854</v>
      </c>
      <c r="AC18" s="561" t="n">
        <v>3854</v>
      </c>
      <c r="AD18" s="561" t="n">
        <v>3854</v>
      </c>
      <c r="AE18" s="561" t="n">
        <v>3854</v>
      </c>
      <c r="AF18" s="561" t="n">
        <v>3854</v>
      </c>
      <c r="AG18" s="57">
        <f>AF18-D18</f>
        <v/>
      </c>
    </row>
    <row r="19" ht="20.15" customHeight="1" s="488">
      <c r="A19" s="561" t="n">
        <v>7</v>
      </c>
      <c r="B19" s="561" t="inlineStr">
        <is>
          <t>3F</t>
        </is>
      </c>
      <c r="C19" s="141" t="inlineStr">
        <is>
          <t>SL No 540430038843 (EB Unit)</t>
        </is>
      </c>
      <c r="D19" s="45" t="n">
        <v>237024</v>
      </c>
      <c r="E19" s="561" t="n">
        <v>237024</v>
      </c>
      <c r="F19" s="561" t="n">
        <v>237949</v>
      </c>
      <c r="G19" s="561" t="n">
        <v>238433</v>
      </c>
      <c r="H19" s="561" t="n">
        <v>239860</v>
      </c>
      <c r="I19" s="561" t="n">
        <v>240581</v>
      </c>
      <c r="J19" s="561" t="n">
        <v>241338</v>
      </c>
      <c r="K19" s="561" t="n">
        <v>242062</v>
      </c>
      <c r="L19" s="561" t="n">
        <v>242640</v>
      </c>
      <c r="M19" s="561" t="n">
        <v>243103</v>
      </c>
      <c r="N19" s="5" t="n">
        <v>243859</v>
      </c>
      <c r="O19" s="561" t="n">
        <v>244557</v>
      </c>
      <c r="P19" s="561" t="n">
        <v>245291</v>
      </c>
      <c r="Q19" s="561" t="n">
        <v>246003</v>
      </c>
      <c r="R19" s="8" t="n">
        <v>246679</v>
      </c>
      <c r="S19" s="5" t="n">
        <v>247284</v>
      </c>
      <c r="T19" s="561" t="n">
        <v>247712</v>
      </c>
      <c r="U19" s="561" t="n">
        <v>248430</v>
      </c>
      <c r="V19" s="561" t="n">
        <v>249169</v>
      </c>
      <c r="W19" s="561" t="n">
        <v>249960</v>
      </c>
      <c r="X19" s="33" t="n">
        <v>250705</v>
      </c>
      <c r="Y19" s="561" t="n">
        <v>251513</v>
      </c>
      <c r="Z19" s="561" t="n">
        <v>252110</v>
      </c>
      <c r="AA19" s="8" t="n">
        <v>252645</v>
      </c>
      <c r="AB19" s="8" t="n">
        <v>253335</v>
      </c>
      <c r="AC19" s="561" t="n">
        <v>254084</v>
      </c>
      <c r="AD19" s="561" t="n">
        <v>254797</v>
      </c>
      <c r="AE19" s="8" t="n">
        <v>255530</v>
      </c>
      <c r="AF19" s="8" t="n">
        <v>255821</v>
      </c>
      <c r="AG19" s="57">
        <f>AF19-D19</f>
        <v/>
      </c>
    </row>
    <row r="20" ht="20.15" customHeight="1" s="488">
      <c r="A20" s="561" t="n"/>
      <c r="B20" s="561" t="n"/>
      <c r="C20" s="140" t="inlineStr">
        <is>
          <t>DG</t>
        </is>
      </c>
      <c r="D20" s="565" t="n">
        <v>10460</v>
      </c>
      <c r="E20" s="561" t="n">
        <v>10460</v>
      </c>
      <c r="F20" s="561" t="n">
        <v>10460</v>
      </c>
      <c r="G20" s="561" t="n">
        <v>10460</v>
      </c>
      <c r="H20" s="561" t="n">
        <v>10460</v>
      </c>
      <c r="I20" s="561" t="n">
        <v>10460</v>
      </c>
      <c r="J20" s="561" t="n">
        <v>10460</v>
      </c>
      <c r="K20" s="561" t="n">
        <v>10460</v>
      </c>
      <c r="L20" s="561" t="n">
        <v>10477</v>
      </c>
      <c r="M20" s="561" t="n">
        <v>10477</v>
      </c>
      <c r="N20" s="561" t="n">
        <v>10477</v>
      </c>
      <c r="O20" s="561" t="n">
        <v>10477</v>
      </c>
      <c r="P20" s="561" t="n">
        <v>10477</v>
      </c>
      <c r="Q20" s="561" t="n">
        <v>10477</v>
      </c>
      <c r="R20" s="561" t="n">
        <v>10477</v>
      </c>
      <c r="S20" s="561" t="n">
        <v>10477</v>
      </c>
      <c r="T20" s="561" t="n">
        <v>10477</v>
      </c>
      <c r="U20" s="561" t="n">
        <v>10477</v>
      </c>
      <c r="V20" s="561" t="n">
        <v>10477</v>
      </c>
      <c r="W20" s="561" t="n">
        <v>10477</v>
      </c>
      <c r="X20" s="561" t="n">
        <v>10477</v>
      </c>
      <c r="Y20" s="561" t="n">
        <v>10477</v>
      </c>
      <c r="Z20" s="561" t="n">
        <v>10477</v>
      </c>
      <c r="AA20" s="561" t="n">
        <v>10477</v>
      </c>
      <c r="AB20" s="561" t="n">
        <v>10477</v>
      </c>
      <c r="AC20" s="561" t="n">
        <v>10477</v>
      </c>
      <c r="AD20" s="561" t="n">
        <v>10477</v>
      </c>
      <c r="AE20" s="561" t="n">
        <v>10477</v>
      </c>
      <c r="AF20" s="561" t="n">
        <v>10477</v>
      </c>
      <c r="AG20" s="57">
        <f>AF20-D20</f>
        <v/>
      </c>
    </row>
    <row r="21" ht="20.15" customHeight="1" s="488">
      <c r="A21" s="561" t="n">
        <v>8</v>
      </c>
      <c r="B21" s="561" t="inlineStr">
        <is>
          <t>3F</t>
        </is>
      </c>
      <c r="C21" s="141" t="inlineStr">
        <is>
          <t>SL No 540430038848 (EB Unit)</t>
        </is>
      </c>
      <c r="D21" s="45" t="n">
        <v>48163</v>
      </c>
      <c r="E21" s="561" t="n">
        <v>48368</v>
      </c>
      <c r="F21" s="561" t="n">
        <v>48484</v>
      </c>
      <c r="G21" s="561" t="n">
        <v>48617</v>
      </c>
      <c r="H21" s="561" t="n">
        <v>48710</v>
      </c>
      <c r="I21" s="561" t="n">
        <v>48855</v>
      </c>
      <c r="J21" s="561" t="n">
        <v>48940</v>
      </c>
      <c r="K21" s="561" t="n">
        <v>49033</v>
      </c>
      <c r="L21" s="561" t="n">
        <v>49121</v>
      </c>
      <c r="M21" s="561" t="n">
        <v>49255</v>
      </c>
      <c r="N21" s="561" t="n">
        <v>49360</v>
      </c>
      <c r="O21" s="561" t="n">
        <v>49494</v>
      </c>
      <c r="P21" s="561" t="n">
        <v>49588</v>
      </c>
      <c r="Q21" s="561" t="n">
        <v>49677</v>
      </c>
      <c r="R21" s="561" t="n">
        <v>49748</v>
      </c>
      <c r="S21" s="561" t="n">
        <v>49820</v>
      </c>
      <c r="T21" s="561" t="n">
        <v>49908</v>
      </c>
      <c r="U21" s="561" t="n">
        <v>50013</v>
      </c>
      <c r="V21" s="561" t="n">
        <v>50119</v>
      </c>
      <c r="W21" s="561" t="n">
        <v>50267</v>
      </c>
      <c r="X21" s="561" t="n">
        <v>50414</v>
      </c>
      <c r="Y21" s="561" t="n">
        <v>50571</v>
      </c>
      <c r="Z21" s="561" t="n">
        <v>50689</v>
      </c>
      <c r="AA21" s="8" t="n">
        <v>50836</v>
      </c>
      <c r="AB21" s="8" t="n">
        <v>50972</v>
      </c>
      <c r="AC21" s="561" t="n">
        <v>51137</v>
      </c>
      <c r="AD21" s="561" t="n">
        <v>51270</v>
      </c>
      <c r="AE21" s="8" t="n">
        <v>51434</v>
      </c>
      <c r="AF21" s="8" t="n">
        <v>51469</v>
      </c>
      <c r="AG21" s="57">
        <f>AF21-D21</f>
        <v/>
      </c>
    </row>
    <row r="22" ht="20.15" customHeight="1" s="488">
      <c r="A22" s="561" t="n"/>
      <c r="B22" s="561" t="n"/>
      <c r="C22" s="140" t="inlineStr">
        <is>
          <t>DG</t>
        </is>
      </c>
      <c r="D22" s="565" t="n">
        <v>2007</v>
      </c>
      <c r="E22" s="561" t="n">
        <v>2007</v>
      </c>
      <c r="F22" s="561" t="n">
        <v>2007</v>
      </c>
      <c r="G22" s="561" t="n">
        <v>2007</v>
      </c>
      <c r="H22" s="561" t="n">
        <v>2007</v>
      </c>
      <c r="I22" s="561" t="n">
        <v>2007</v>
      </c>
      <c r="J22" s="561" t="n">
        <v>2007</v>
      </c>
      <c r="K22" s="561" t="n">
        <v>2007</v>
      </c>
      <c r="L22" s="561" t="n">
        <v>2009</v>
      </c>
      <c r="M22" s="561" t="n">
        <v>2009</v>
      </c>
      <c r="N22" s="561" t="n">
        <v>2009</v>
      </c>
      <c r="O22" s="561" t="n">
        <v>2009</v>
      </c>
      <c r="P22" s="561" t="n">
        <v>2009</v>
      </c>
      <c r="Q22" s="561" t="n">
        <v>2009</v>
      </c>
      <c r="R22" s="561" t="n">
        <v>2009</v>
      </c>
      <c r="S22" s="561" t="n">
        <v>2009</v>
      </c>
      <c r="T22" s="561" t="n">
        <v>2009</v>
      </c>
      <c r="U22" s="561" t="n">
        <v>2009</v>
      </c>
      <c r="V22" s="561" t="n">
        <v>2009</v>
      </c>
      <c r="W22" s="561" t="n">
        <v>2009</v>
      </c>
      <c r="X22" s="561" t="n">
        <v>2009</v>
      </c>
      <c r="Y22" s="561" t="n">
        <v>2009</v>
      </c>
      <c r="Z22" s="561" t="n">
        <v>2009</v>
      </c>
      <c r="AA22" s="561" t="n">
        <v>2009</v>
      </c>
      <c r="AB22" s="561" t="n">
        <v>2009</v>
      </c>
      <c r="AC22" s="561" t="n">
        <v>2009</v>
      </c>
      <c r="AD22" s="561" t="n">
        <v>2009</v>
      </c>
      <c r="AE22" s="561" t="n">
        <v>2009</v>
      </c>
      <c r="AF22" s="561" t="n">
        <v>2009</v>
      </c>
      <c r="AG22" s="57">
        <f>AF22-D22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01" t="n"/>
    </row>
    <row r="24" ht="14.5" customHeight="1" s="488">
      <c r="A24" s="561" t="n">
        <v>1</v>
      </c>
      <c r="B24" s="561" t="inlineStr">
        <is>
          <t>3F</t>
        </is>
      </c>
      <c r="C24" s="141" t="inlineStr">
        <is>
          <t>AHU1</t>
        </is>
      </c>
      <c r="D24" s="45" t="n">
        <v>22927</v>
      </c>
      <c r="E24" s="561" t="n">
        <v>22955</v>
      </c>
      <c r="F24" s="561" t="n">
        <v>22955</v>
      </c>
      <c r="G24" s="561" t="n">
        <v>22993</v>
      </c>
      <c r="H24" s="561" t="n">
        <v>23029</v>
      </c>
      <c r="I24" s="561" t="n">
        <v>23065</v>
      </c>
      <c r="J24" s="561" t="n">
        <v>23103</v>
      </c>
      <c r="K24" s="561" t="n">
        <v>23141</v>
      </c>
      <c r="L24" s="561" t="n">
        <v>23180</v>
      </c>
      <c r="M24" s="561" t="n">
        <v>23180</v>
      </c>
      <c r="N24" s="561" t="n">
        <v>23215</v>
      </c>
      <c r="O24" s="561" t="n">
        <v>23253</v>
      </c>
      <c r="P24" s="561" t="n">
        <v>23309</v>
      </c>
      <c r="Q24" s="561" t="n">
        <v>23386</v>
      </c>
      <c r="R24" s="561" t="n">
        <v>23447</v>
      </c>
      <c r="S24" s="561" t="n">
        <v>23466</v>
      </c>
      <c r="T24" s="561" t="n">
        <v>23466</v>
      </c>
      <c r="U24" s="561" t="n">
        <v>23515</v>
      </c>
      <c r="V24" s="561" t="n">
        <v>23577</v>
      </c>
      <c r="W24" s="561" t="n">
        <v>23640</v>
      </c>
      <c r="X24" s="561" t="n">
        <v>23700</v>
      </c>
      <c r="Y24" s="561" t="n">
        <v>23763</v>
      </c>
      <c r="Z24" s="561" t="n">
        <v>23784</v>
      </c>
      <c r="AA24" s="561" t="n">
        <v>23784</v>
      </c>
      <c r="AB24" s="561" t="n">
        <v>23841</v>
      </c>
      <c r="AC24" s="561" t="n">
        <v>23906</v>
      </c>
      <c r="AD24" s="561" t="n">
        <v>23964</v>
      </c>
      <c r="AE24" s="561" t="n">
        <v>24011</v>
      </c>
      <c r="AF24" s="561" t="n">
        <v>24020</v>
      </c>
      <c r="AG24" s="7">
        <f>AF24-D24</f>
        <v/>
      </c>
    </row>
    <row r="25" ht="14.5" customHeight="1" s="488">
      <c r="A25" s="561" t="n"/>
      <c r="B25" s="561" t="n"/>
      <c r="C25" s="142" t="inlineStr">
        <is>
          <t>DG</t>
        </is>
      </c>
      <c r="D25" s="565" t="n">
        <v>1819</v>
      </c>
      <c r="E25" s="561" t="n">
        <v>1819</v>
      </c>
      <c r="F25" s="561" t="n">
        <v>1819</v>
      </c>
      <c r="G25" s="561" t="n">
        <v>1819</v>
      </c>
      <c r="H25" s="561" t="n">
        <v>1819</v>
      </c>
      <c r="I25" s="561" t="n">
        <v>1819</v>
      </c>
      <c r="J25" s="561" t="n">
        <v>1819</v>
      </c>
      <c r="K25" s="561" t="n">
        <v>1819</v>
      </c>
      <c r="L25" s="561" t="n">
        <v>1821</v>
      </c>
      <c r="M25" s="561" t="n">
        <v>1821</v>
      </c>
      <c r="N25" s="561" t="n">
        <v>1821</v>
      </c>
      <c r="O25" s="561" t="n">
        <v>1821</v>
      </c>
      <c r="P25" s="561" t="n">
        <v>1821</v>
      </c>
      <c r="Q25" s="561" t="n">
        <v>1821</v>
      </c>
      <c r="R25" s="561" t="n">
        <v>1821</v>
      </c>
      <c r="S25" s="561" t="n">
        <v>1821</v>
      </c>
      <c r="T25" s="561" t="n">
        <v>1821</v>
      </c>
      <c r="U25" s="561" t="n">
        <v>1821</v>
      </c>
      <c r="V25" s="561" t="n">
        <v>1821</v>
      </c>
      <c r="W25" s="561" t="n">
        <v>1821</v>
      </c>
      <c r="X25" s="561" t="n">
        <v>1821</v>
      </c>
      <c r="Y25" s="561" t="n">
        <v>1821</v>
      </c>
      <c r="Z25" s="561" t="n">
        <v>1821</v>
      </c>
      <c r="AA25" s="561" t="n">
        <v>1821</v>
      </c>
      <c r="AB25" s="561" t="n">
        <v>1821</v>
      </c>
      <c r="AC25" s="561" t="n">
        <v>1821</v>
      </c>
      <c r="AD25" s="561" t="n">
        <v>1821</v>
      </c>
      <c r="AE25" s="561" t="n">
        <v>1821</v>
      </c>
      <c r="AF25" s="561" t="n">
        <v>1821</v>
      </c>
      <c r="AG25" s="7">
        <f>AF25-D25</f>
        <v/>
      </c>
    </row>
    <row r="26" ht="14.5" customHeight="1" s="488">
      <c r="A26" s="561" t="n">
        <v>2</v>
      </c>
      <c r="B26" s="561" t="inlineStr">
        <is>
          <t>3F</t>
        </is>
      </c>
      <c r="C26" s="141" t="inlineStr">
        <is>
          <t>AHU2</t>
        </is>
      </c>
      <c r="D26" s="45" t="n">
        <v>22592</v>
      </c>
      <c r="E26" s="561" t="n">
        <v>22652</v>
      </c>
      <c r="F26" s="561" t="n">
        <v>22652</v>
      </c>
      <c r="G26" s="561" t="n">
        <v>22724</v>
      </c>
      <c r="H26" s="561" t="n">
        <v>22769</v>
      </c>
      <c r="I26" s="561" t="n">
        <v>22813</v>
      </c>
      <c r="J26" s="561" t="n">
        <v>22869</v>
      </c>
      <c r="K26" s="561" t="n">
        <v>22913</v>
      </c>
      <c r="L26" s="561" t="n">
        <v>22939</v>
      </c>
      <c r="M26" s="561" t="n">
        <v>22939</v>
      </c>
      <c r="N26" s="561" t="n">
        <v>23037</v>
      </c>
      <c r="O26" s="561" t="n">
        <v>23090</v>
      </c>
      <c r="P26" s="561" t="n">
        <v>23161</v>
      </c>
      <c r="Q26" s="561" t="n">
        <v>23227</v>
      </c>
      <c r="R26" s="561" t="n">
        <v>23320</v>
      </c>
      <c r="S26" s="561" t="n">
        <v>23343</v>
      </c>
      <c r="T26" s="561" t="n">
        <v>23343</v>
      </c>
      <c r="U26" s="561" t="n">
        <v>23407</v>
      </c>
      <c r="V26" s="561" t="n">
        <v>23501</v>
      </c>
      <c r="W26" s="561" t="n">
        <v>23590</v>
      </c>
      <c r="X26" s="561" t="n">
        <v>23681</v>
      </c>
      <c r="Y26" s="561" t="n">
        <v>23768</v>
      </c>
      <c r="Z26" s="561" t="n">
        <v>23792</v>
      </c>
      <c r="AA26" s="8" t="n">
        <v>23792</v>
      </c>
      <c r="AB26" s="8" t="n">
        <v>23876</v>
      </c>
      <c r="AC26" s="561" t="n">
        <v>23974</v>
      </c>
      <c r="AD26" s="561" t="n">
        <v>24067</v>
      </c>
      <c r="AE26" s="8" t="n">
        <v>24146</v>
      </c>
      <c r="AF26" s="8" t="n">
        <v>24157</v>
      </c>
      <c r="AG26" s="7">
        <f>AF26-D26</f>
        <v/>
      </c>
    </row>
    <row r="27" ht="14.5" customHeight="1" s="488">
      <c r="A27" s="561" t="n"/>
      <c r="B27" s="561" t="n"/>
      <c r="C27" s="142" t="inlineStr">
        <is>
          <t>DG</t>
        </is>
      </c>
      <c r="D27" s="565" t="n">
        <v>1769</v>
      </c>
      <c r="E27" s="561" t="n">
        <v>1769</v>
      </c>
      <c r="F27" s="561" t="n">
        <v>1769</v>
      </c>
      <c r="G27" s="561" t="n">
        <v>1769</v>
      </c>
      <c r="H27" s="561" t="n">
        <v>1769</v>
      </c>
      <c r="I27" s="561" t="n">
        <v>1769</v>
      </c>
      <c r="J27" s="561" t="n">
        <v>1769</v>
      </c>
      <c r="K27" s="561" t="n">
        <v>1769</v>
      </c>
      <c r="L27" s="561" t="n">
        <v>1772</v>
      </c>
      <c r="M27" s="561" t="n">
        <v>1772</v>
      </c>
      <c r="N27" s="561" t="n">
        <v>1772</v>
      </c>
      <c r="O27" s="561" t="n">
        <v>1772</v>
      </c>
      <c r="P27" s="561" t="n">
        <v>1772</v>
      </c>
      <c r="Q27" s="561" t="n">
        <v>1772</v>
      </c>
      <c r="R27" s="561" t="n">
        <v>1772</v>
      </c>
      <c r="S27" s="561" t="n">
        <v>1772</v>
      </c>
      <c r="T27" s="561" t="n">
        <v>1772</v>
      </c>
      <c r="U27" s="561" t="n">
        <v>1772</v>
      </c>
      <c r="V27" s="561" t="n">
        <v>1772</v>
      </c>
      <c r="W27" s="561" t="n">
        <v>1772</v>
      </c>
      <c r="X27" s="561" t="n">
        <v>1772</v>
      </c>
      <c r="Y27" s="561" t="n">
        <v>1772</v>
      </c>
      <c r="Z27" s="561" t="n">
        <v>1772</v>
      </c>
      <c r="AA27" s="561" t="n">
        <v>1772</v>
      </c>
      <c r="AB27" s="561" t="n">
        <v>1772</v>
      </c>
      <c r="AC27" s="561" t="n">
        <v>1772</v>
      </c>
      <c r="AD27" s="561" t="n">
        <v>1772</v>
      </c>
      <c r="AE27" s="561" t="n">
        <v>1772</v>
      </c>
      <c r="AF27" s="561" t="n">
        <v>1772</v>
      </c>
      <c r="AG27" s="7">
        <f>AF27-D27</f>
        <v/>
      </c>
    </row>
    <row r="28" ht="14.5" customHeight="1" s="488">
      <c r="A28" s="561" t="n">
        <v>3</v>
      </c>
      <c r="B28" s="561" t="inlineStr">
        <is>
          <t>3F</t>
        </is>
      </c>
      <c r="C28" s="141" t="inlineStr">
        <is>
          <t>AHU3</t>
        </is>
      </c>
      <c r="D28" s="565" t="n">
        <v>22468</v>
      </c>
      <c r="E28" s="561" t="n">
        <v>22539</v>
      </c>
      <c r="F28" s="561" t="n">
        <v>22539</v>
      </c>
      <c r="G28" s="561" t="n">
        <v>22599</v>
      </c>
      <c r="H28" s="561" t="n">
        <v>22646</v>
      </c>
      <c r="I28" s="561" t="n">
        <v>22693</v>
      </c>
      <c r="J28" s="561" t="n">
        <v>22775</v>
      </c>
      <c r="K28" s="561" t="n">
        <v>22822</v>
      </c>
      <c r="L28" s="561" t="n">
        <v>22846</v>
      </c>
      <c r="M28" s="561" t="n">
        <v>22846</v>
      </c>
      <c r="N28" s="561" t="n">
        <v>22963</v>
      </c>
      <c r="O28" s="561" t="n">
        <v>23012</v>
      </c>
      <c r="P28" s="561" t="n">
        <v>23085</v>
      </c>
      <c r="Q28" s="561" t="n">
        <v>23140</v>
      </c>
      <c r="R28" s="561" t="n">
        <v>23229</v>
      </c>
      <c r="S28" s="561" t="n">
        <v>23253</v>
      </c>
      <c r="T28" s="561" t="n">
        <v>23253</v>
      </c>
      <c r="U28" s="561" t="n">
        <v>23317</v>
      </c>
      <c r="V28" s="561" t="n">
        <v>23439</v>
      </c>
      <c r="W28" s="561" t="n">
        <v>23570</v>
      </c>
      <c r="X28" s="561" t="n">
        <v>23709</v>
      </c>
      <c r="Y28" s="561" t="n">
        <v>23837</v>
      </c>
      <c r="Z28" s="561" t="n">
        <v>23907</v>
      </c>
      <c r="AA28" s="561" t="n">
        <v>23907</v>
      </c>
      <c r="AB28" s="561" t="n">
        <v>24033</v>
      </c>
      <c r="AC28" s="561" t="n">
        <v>24157</v>
      </c>
      <c r="AD28" s="561" t="n">
        <v>24219</v>
      </c>
      <c r="AE28" s="561" t="n">
        <v>24400</v>
      </c>
      <c r="AF28" s="561" t="n">
        <v>24421</v>
      </c>
      <c r="AG28" s="7">
        <f>AF28-D28</f>
        <v/>
      </c>
    </row>
    <row r="29" ht="14.5" customHeight="1" s="488">
      <c r="A29" s="561" t="n"/>
      <c r="B29" s="561" t="n"/>
      <c r="C29" s="142" t="inlineStr">
        <is>
          <t>DG</t>
        </is>
      </c>
      <c r="D29" s="565" t="n">
        <v>1864</v>
      </c>
      <c r="E29" s="561" t="n">
        <v>1864</v>
      </c>
      <c r="F29" s="561" t="n">
        <v>1864</v>
      </c>
      <c r="G29" s="561" t="n">
        <v>1864</v>
      </c>
      <c r="H29" s="561" t="n">
        <v>1864</v>
      </c>
      <c r="I29" s="561" t="n">
        <v>1864</v>
      </c>
      <c r="J29" s="561" t="n">
        <v>1864</v>
      </c>
      <c r="K29" s="561" t="n">
        <v>1864</v>
      </c>
      <c r="L29" s="561" t="n">
        <v>1866</v>
      </c>
      <c r="M29" s="561" t="n">
        <v>1866</v>
      </c>
      <c r="N29" s="561" t="n">
        <v>1866</v>
      </c>
      <c r="O29" s="561" t="n">
        <v>1866</v>
      </c>
      <c r="P29" s="561" t="n">
        <v>1866</v>
      </c>
      <c r="Q29" s="561" t="n">
        <v>1866</v>
      </c>
      <c r="R29" s="561" t="n">
        <v>1866</v>
      </c>
      <c r="S29" s="561" t="n">
        <v>1866</v>
      </c>
      <c r="T29" s="561" t="n">
        <v>1866</v>
      </c>
      <c r="U29" s="561" t="n">
        <v>1866</v>
      </c>
      <c r="V29" s="561" t="n">
        <v>1866</v>
      </c>
      <c r="W29" s="561" t="n">
        <v>1866</v>
      </c>
      <c r="X29" s="561" t="n">
        <v>1866</v>
      </c>
      <c r="Y29" s="561" t="n">
        <v>1866</v>
      </c>
      <c r="Z29" s="561" t="n">
        <v>1866</v>
      </c>
      <c r="AA29" s="561" t="n">
        <v>1866</v>
      </c>
      <c r="AB29" s="561" t="n">
        <v>1866</v>
      </c>
      <c r="AC29" s="561" t="n">
        <v>1866</v>
      </c>
      <c r="AD29" s="561" t="n">
        <v>1866</v>
      </c>
      <c r="AE29" s="561" t="n">
        <v>1866</v>
      </c>
      <c r="AF29" s="561" t="n">
        <v>1866</v>
      </c>
      <c r="AG29" s="7">
        <f>AF29-D29</f>
        <v/>
      </c>
    </row>
    <row r="30" ht="14.5" customHeight="1" s="488">
      <c r="A30" s="561" t="n">
        <v>4</v>
      </c>
      <c r="B30" s="561" t="inlineStr">
        <is>
          <t>3F</t>
        </is>
      </c>
      <c r="C30" s="141" t="inlineStr">
        <is>
          <t>AHU4</t>
        </is>
      </c>
      <c r="D30" s="45" t="n">
        <v>20730</v>
      </c>
      <c r="E30" s="561" t="n">
        <v>20768</v>
      </c>
      <c r="F30" s="561" t="n">
        <v>20768</v>
      </c>
      <c r="G30" s="561" t="n">
        <v>20821</v>
      </c>
      <c r="H30" s="561" t="n">
        <v>20875</v>
      </c>
      <c r="I30" s="561" t="n">
        <v>20928</v>
      </c>
      <c r="J30" s="561" t="n">
        <v>20986</v>
      </c>
      <c r="K30" s="561" t="n">
        <v>21037</v>
      </c>
      <c r="L30" s="561" t="n">
        <v>21064</v>
      </c>
      <c r="M30" s="561" t="n">
        <v>21064</v>
      </c>
      <c r="N30" s="561" t="n">
        <v>21129</v>
      </c>
      <c r="O30" s="561" t="n">
        <v>21182</v>
      </c>
      <c r="P30" s="561" t="n">
        <v>21243</v>
      </c>
      <c r="Q30" s="561" t="n">
        <v>21300</v>
      </c>
      <c r="R30" s="561" t="n">
        <v>21349</v>
      </c>
      <c r="S30" s="561" t="n">
        <v>21377</v>
      </c>
      <c r="T30" s="561" t="n">
        <v>21377</v>
      </c>
      <c r="U30" s="561" t="n">
        <v>21443</v>
      </c>
      <c r="V30" s="561" t="n">
        <v>21514</v>
      </c>
      <c r="W30" s="561" t="n">
        <v>21578</v>
      </c>
      <c r="X30" s="561" t="n">
        <v>21647</v>
      </c>
      <c r="Y30" s="561" t="n">
        <v>21708</v>
      </c>
      <c r="Z30" s="561" t="n">
        <v>21739</v>
      </c>
      <c r="AA30" s="561" t="n">
        <v>21739</v>
      </c>
      <c r="AB30" s="561" t="n">
        <v>21793</v>
      </c>
      <c r="AC30" s="561" t="n">
        <v>21846</v>
      </c>
      <c r="AD30" s="561" t="n">
        <v>21905</v>
      </c>
      <c r="AE30" s="561" t="n">
        <v>21957</v>
      </c>
      <c r="AF30" s="561" t="n">
        <v>21969</v>
      </c>
      <c r="AG30" s="7">
        <f>AF30-D30</f>
        <v/>
      </c>
    </row>
    <row r="31" ht="14.5" customHeight="1" s="488">
      <c r="A31" s="561" t="n"/>
      <c r="B31" s="561" t="n"/>
      <c r="C31" s="142" t="inlineStr">
        <is>
          <t>DG</t>
        </is>
      </c>
      <c r="D31" s="565" t="n">
        <v>1673</v>
      </c>
      <c r="E31" s="561" t="n">
        <v>1673</v>
      </c>
      <c r="F31" s="561" t="n">
        <v>1673</v>
      </c>
      <c r="G31" s="561" t="n">
        <v>1673</v>
      </c>
      <c r="H31" s="561" t="n">
        <v>1673</v>
      </c>
      <c r="I31" s="561" t="n">
        <v>1673</v>
      </c>
      <c r="J31" s="561" t="n">
        <v>1673</v>
      </c>
      <c r="K31" s="561" t="n">
        <v>1673</v>
      </c>
      <c r="L31" s="561" t="n">
        <v>1676</v>
      </c>
      <c r="M31" s="561" t="n">
        <v>1676</v>
      </c>
      <c r="N31" s="561" t="n">
        <v>1676</v>
      </c>
      <c r="O31" s="561" t="n">
        <v>1676</v>
      </c>
      <c r="P31" s="561" t="n">
        <v>1676</v>
      </c>
      <c r="Q31" s="561" t="n">
        <v>1676</v>
      </c>
      <c r="R31" s="561" t="n">
        <v>1676</v>
      </c>
      <c r="S31" s="561" t="n">
        <v>1676</v>
      </c>
      <c r="T31" s="561" t="n">
        <v>1676</v>
      </c>
      <c r="U31" s="561" t="n">
        <v>1676</v>
      </c>
      <c r="V31" s="561" t="n">
        <v>1676</v>
      </c>
      <c r="W31" s="561" t="n">
        <v>1676</v>
      </c>
      <c r="X31" s="561" t="n">
        <v>1676</v>
      </c>
      <c r="Y31" s="561" t="n">
        <v>1676</v>
      </c>
      <c r="Z31" s="561" t="n">
        <v>1676</v>
      </c>
      <c r="AA31" s="561" t="n">
        <v>1676</v>
      </c>
      <c r="AB31" s="561" t="n">
        <v>1676</v>
      </c>
      <c r="AC31" s="561" t="n">
        <v>1676</v>
      </c>
      <c r="AD31" s="561" t="n">
        <v>1676</v>
      </c>
      <c r="AE31" s="561" t="n">
        <v>1676</v>
      </c>
      <c r="AF31" s="561" t="n">
        <v>1676</v>
      </c>
      <c r="AG31" s="7">
        <f>AF31-D31</f>
        <v/>
      </c>
    </row>
    <row r="32" ht="14.5" customHeight="1" s="488">
      <c r="A32" s="561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01" t="n"/>
    </row>
    <row r="33" ht="14.5" customHeight="1" s="488">
      <c r="A33" s="561" t="n">
        <v>1</v>
      </c>
      <c r="B33" s="561" t="inlineStr">
        <is>
          <t>3F</t>
        </is>
      </c>
      <c r="C33" s="141" t="inlineStr">
        <is>
          <t>AHU1 - BTU</t>
        </is>
      </c>
      <c r="D33" s="46" t="n">
        <v>190977</v>
      </c>
      <c r="E33" s="40" t="n">
        <v>191265</v>
      </c>
      <c r="F33" s="10" t="n">
        <v>191265</v>
      </c>
      <c r="G33" s="10" t="n">
        <v>191840</v>
      </c>
      <c r="H33" s="10" t="n">
        <v>192439</v>
      </c>
      <c r="I33" s="10" t="n">
        <v>192978</v>
      </c>
      <c r="J33" s="10" t="n">
        <v>193507</v>
      </c>
      <c r="K33" s="10" t="n">
        <v>193974</v>
      </c>
      <c r="L33" s="10" t="n">
        <v>194024</v>
      </c>
      <c r="M33" s="10" t="n">
        <v>194024</v>
      </c>
      <c r="N33" s="11" t="n">
        <v>194715</v>
      </c>
      <c r="O33" s="11" t="n">
        <v>195325</v>
      </c>
      <c r="P33" s="11" t="n">
        <v>195900</v>
      </c>
      <c r="Q33" s="11" t="n">
        <v>196396</v>
      </c>
      <c r="R33" s="11" t="n">
        <v>196898</v>
      </c>
      <c r="S33" s="11" t="n">
        <v>197123</v>
      </c>
      <c r="T33" s="11" t="n">
        <v>197123</v>
      </c>
      <c r="U33" s="11" t="n">
        <v>197926</v>
      </c>
      <c r="V33" s="11" t="n">
        <v>198630</v>
      </c>
      <c r="W33" s="11" t="n">
        <v>199452</v>
      </c>
      <c r="X33" s="11" t="n">
        <v>200462</v>
      </c>
      <c r="Y33" s="11" t="n">
        <v>201194</v>
      </c>
      <c r="Z33" s="11" t="n">
        <v>201326</v>
      </c>
      <c r="AA33" s="11" t="n">
        <v>201326</v>
      </c>
      <c r="AB33" s="11" t="n">
        <v>202187</v>
      </c>
      <c r="AC33" s="11" t="n">
        <v>202963</v>
      </c>
      <c r="AD33" s="11" t="n">
        <v>203611</v>
      </c>
      <c r="AE33" s="11" t="n">
        <v>204264</v>
      </c>
      <c r="AF33" s="11" t="n">
        <v>204528</v>
      </c>
      <c r="AG33" s="7">
        <f>AF33-D33</f>
        <v/>
      </c>
    </row>
    <row r="34" ht="14.5" customHeight="1" s="488">
      <c r="A34" s="561" t="n">
        <v>2</v>
      </c>
      <c r="B34" s="561" t="inlineStr">
        <is>
          <t>3F</t>
        </is>
      </c>
      <c r="C34" s="141" t="inlineStr">
        <is>
          <t>AHU2 - BTU</t>
        </is>
      </c>
      <c r="D34" s="46" t="n">
        <v>200908</v>
      </c>
      <c r="E34" s="10" t="n">
        <v>201180</v>
      </c>
      <c r="F34" s="10" t="n">
        <v>201180</v>
      </c>
      <c r="G34" s="10" t="n">
        <v>201727</v>
      </c>
      <c r="H34" s="10" t="n">
        <v>202188</v>
      </c>
      <c r="I34" s="10" t="n">
        <v>202642</v>
      </c>
      <c r="J34" s="10" t="n">
        <v>203036</v>
      </c>
      <c r="K34" s="10" t="n">
        <v>203424</v>
      </c>
      <c r="L34" s="10" t="n">
        <v>203454</v>
      </c>
      <c r="M34" s="10" t="n">
        <v>203454</v>
      </c>
      <c r="N34" s="10" t="n">
        <v>204066</v>
      </c>
      <c r="O34" s="11" t="n">
        <v>204619</v>
      </c>
      <c r="P34" s="11" t="n">
        <v>205112</v>
      </c>
      <c r="Q34" s="11" t="n">
        <v>205562</v>
      </c>
      <c r="R34" s="11" t="n">
        <v>205915</v>
      </c>
      <c r="S34" s="11" t="n">
        <v>206101</v>
      </c>
      <c r="T34" s="11" t="n">
        <v>206101</v>
      </c>
      <c r="U34" s="11" t="n">
        <v>206773</v>
      </c>
      <c r="V34" s="11" t="n">
        <v>207395</v>
      </c>
      <c r="W34" s="11" t="n">
        <v>207997</v>
      </c>
      <c r="X34" s="11" t="n">
        <v>208676</v>
      </c>
      <c r="Y34" s="11" t="n">
        <v>209184</v>
      </c>
      <c r="Z34" s="11" t="n">
        <v>209269</v>
      </c>
      <c r="AA34" s="11" t="n">
        <v>209269</v>
      </c>
      <c r="AB34" s="11" t="n">
        <v>209917</v>
      </c>
      <c r="AC34" s="11" t="n">
        <v>210511</v>
      </c>
      <c r="AD34" s="11" t="n">
        <v>211056</v>
      </c>
      <c r="AE34" s="11" t="n">
        <v>211532</v>
      </c>
      <c r="AF34" s="11" t="n">
        <v>211729</v>
      </c>
      <c r="AG34" s="7">
        <f>AF34-D34</f>
        <v/>
      </c>
    </row>
    <row r="35" ht="14.5" customHeight="1" s="488">
      <c r="A35" s="561" t="n">
        <v>3</v>
      </c>
      <c r="B35" s="561" t="inlineStr">
        <is>
          <t>3F</t>
        </is>
      </c>
      <c r="C35" s="141" t="inlineStr">
        <is>
          <t>AHU3 - BTU</t>
        </is>
      </c>
      <c r="D35" s="46" t="n">
        <v>200887</v>
      </c>
      <c r="E35" s="10" t="n">
        <v>201182</v>
      </c>
      <c r="F35" s="10" t="n">
        <v>201182</v>
      </c>
      <c r="G35" s="10" t="n">
        <v>201638</v>
      </c>
      <c r="H35" s="10" t="n">
        <v>201951</v>
      </c>
      <c r="I35" s="10" t="n">
        <v>202311</v>
      </c>
      <c r="J35" s="10" t="n">
        <v>202626</v>
      </c>
      <c r="K35" s="10" t="n">
        <v>202871</v>
      </c>
      <c r="L35" s="10" t="n">
        <v>202903</v>
      </c>
      <c r="M35" s="10" t="n">
        <v>202903</v>
      </c>
      <c r="N35" s="10" t="n">
        <v>203369</v>
      </c>
      <c r="O35" s="11" t="n">
        <v>203762</v>
      </c>
      <c r="P35" s="11" t="n">
        <v>204232</v>
      </c>
      <c r="Q35" s="11" t="n">
        <v>204631</v>
      </c>
      <c r="R35" s="11" t="n">
        <v>204890</v>
      </c>
      <c r="S35" s="11" t="n">
        <v>204972</v>
      </c>
      <c r="T35" s="11" t="n">
        <v>204972</v>
      </c>
      <c r="U35" s="11" t="n">
        <v>205402</v>
      </c>
      <c r="V35" s="11" t="n">
        <v>205798</v>
      </c>
      <c r="W35" s="11" t="n">
        <v>206161</v>
      </c>
      <c r="X35" s="11" t="n">
        <v>206674</v>
      </c>
      <c r="Y35" s="11" t="n">
        <v>207031</v>
      </c>
      <c r="Z35" s="11" t="n">
        <v>207119</v>
      </c>
      <c r="AA35" s="11" t="n">
        <v>207119</v>
      </c>
      <c r="AB35" s="11" t="n">
        <v>207478</v>
      </c>
      <c r="AC35" s="11" t="n">
        <v>207887</v>
      </c>
      <c r="AD35" s="11" t="n">
        <v>208293</v>
      </c>
      <c r="AE35" s="11" t="n">
        <v>208693</v>
      </c>
      <c r="AF35" s="11" t="n">
        <v>208888</v>
      </c>
      <c r="AG35" s="7">
        <f>AF35-D35</f>
        <v/>
      </c>
    </row>
    <row r="36" ht="14.5" customHeight="1" s="488">
      <c r="A36" s="561" t="n">
        <v>4</v>
      </c>
      <c r="B36" s="561" t="inlineStr">
        <is>
          <t>3F</t>
        </is>
      </c>
      <c r="C36" s="141" t="inlineStr">
        <is>
          <t>AHU4 - BTU</t>
        </is>
      </c>
      <c r="D36" s="46" t="n">
        <v>219082</v>
      </c>
      <c r="E36" s="10" t="n">
        <v>219349</v>
      </c>
      <c r="F36" s="10" t="n">
        <v>219349</v>
      </c>
      <c r="G36" s="10" t="n">
        <v>219911</v>
      </c>
      <c r="H36" s="10" t="n">
        <v>220484</v>
      </c>
      <c r="I36" s="10" t="n">
        <v>221002</v>
      </c>
      <c r="J36" s="10" t="n">
        <v>221519</v>
      </c>
      <c r="K36" s="10" t="n">
        <v>221908</v>
      </c>
      <c r="L36" s="10" t="n">
        <v>221974</v>
      </c>
      <c r="M36" s="10" t="n">
        <v>221974</v>
      </c>
      <c r="N36" s="11" t="n">
        <v>222553</v>
      </c>
      <c r="O36" s="11" t="n">
        <v>223123</v>
      </c>
      <c r="P36" s="11" t="n">
        <v>223619</v>
      </c>
      <c r="Q36" s="11" t="n">
        <v>224037</v>
      </c>
      <c r="R36" s="11" t="n">
        <v>224493</v>
      </c>
      <c r="S36" s="11" t="n">
        <v>224696</v>
      </c>
      <c r="T36" s="11" t="n">
        <v>224696</v>
      </c>
      <c r="U36" s="11" t="n">
        <v>225291</v>
      </c>
      <c r="V36" s="11" t="n">
        <v>225900</v>
      </c>
      <c r="W36" s="11" t="n">
        <v>226666</v>
      </c>
      <c r="X36" s="11" t="n">
        <v>227420</v>
      </c>
      <c r="Y36" s="11" t="n">
        <v>228088</v>
      </c>
      <c r="Z36" s="11" t="n">
        <v>228213</v>
      </c>
      <c r="AA36" s="11" t="n">
        <v>228213</v>
      </c>
      <c r="AB36" s="11" t="n">
        <v>228875</v>
      </c>
      <c r="AC36" s="11" t="n">
        <v>229318</v>
      </c>
      <c r="AD36" s="11" t="n">
        <v>229849</v>
      </c>
      <c r="AE36" s="11" t="n">
        <v>230433</v>
      </c>
      <c r="AF36" s="11" t="n">
        <v>230669</v>
      </c>
      <c r="AG36" s="7">
        <f>AF36-D36</f>
        <v/>
      </c>
    </row>
    <row r="37" ht="14.5" customHeight="1" s="488">
      <c r="A37" s="134" t="n"/>
      <c r="B37" s="134" t="n"/>
      <c r="D37" s="135" t="n"/>
      <c r="E37" s="13" t="n"/>
      <c r="F37" s="134" t="n"/>
      <c r="G37" s="134" t="n"/>
      <c r="H37" s="134" t="n"/>
      <c r="I37" s="134" t="n"/>
      <c r="J37" s="134" t="n"/>
      <c r="K37" s="134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6" t="n"/>
      <c r="AD37" s="134" t="n"/>
      <c r="AE37" s="134" t="n"/>
      <c r="AF37" s="134" t="n"/>
      <c r="AG37" s="136" t="n"/>
    </row>
    <row r="38" ht="14.5" customHeight="1" s="488">
      <c r="A38" s="14" t="n"/>
      <c r="B38" s="137" t="n"/>
      <c r="C38" s="144" t="n"/>
      <c r="D38" s="138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1">
        <f>SUM(E45:AF45)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1">
        <f>SUM(E46:AF46)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1">
        <f>SUM(E47:AF47)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1">
        <f>SUM(E48:AF48)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1">
        <f>SUM(E49:AF49)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1">
        <f>SUM(E50:AF50)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1">
        <f>SUM(E51:AF51)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1">
        <f>SUM(E52:AF52)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1">
        <f>SUM(E53:AF53)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105">
        <f>SUM(E54:AF54)</f>
        <v/>
      </c>
      <c r="AH54" s="115" t="inlineStr">
        <is>
          <t>EB</t>
        </is>
      </c>
      <c r="AI54" s="116">
        <f>SUM(AG7,AG9,AG11,AG13,AG15,AG17,AG19,AG21)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105">
        <f>SUM(E55:AF55)</f>
        <v/>
      </c>
      <c r="AH55" s="115" t="inlineStr">
        <is>
          <t>AHU</t>
        </is>
      </c>
      <c r="AI55" s="116">
        <f>SUM(AG24,AG26,AG28,AG30)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105">
        <f>SUM(E56:AF56)</f>
        <v/>
      </c>
      <c r="AH56" s="115" t="inlineStr">
        <is>
          <t>BTU</t>
        </is>
      </c>
      <c r="AI56" s="116">
        <f>AG80*40%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105">
        <f>SUM(E57:AF57)</f>
        <v/>
      </c>
      <c r="AH57" s="117" t="inlineStr">
        <is>
          <t>DG</t>
        </is>
      </c>
      <c r="AI57" s="118">
        <f>SUM(AG8,AG10,AG12,AG14,AG16,AG18,AG20,AG22,AG25,AG27,AG29,AG31)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1">
        <f>SUM(E58:AF58)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1">
        <f>SUM(E59:AF59)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1">
        <f>SUM(E60:AF60)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4">
        <f>SUM(E61:AF61)</f>
        <v/>
      </c>
      <c r="AH61" s="78" t="n"/>
    </row>
    <row r="62" ht="15" customHeight="1" s="488">
      <c r="A62" s="99" t="n"/>
      <c r="B62" s="99" t="n"/>
      <c r="C62" s="145" t="inlineStr">
        <is>
          <t>Total Power- DG</t>
        </is>
      </c>
      <c r="D62" s="108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4">
        <f>SUM(E62:AF62)</f>
        <v/>
      </c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F61</f>
        <v/>
      </c>
      <c r="G63" s="102">
        <f>G61</f>
        <v/>
      </c>
      <c r="H63" s="102">
        <f>H61</f>
        <v/>
      </c>
      <c r="I63" s="102">
        <f>I61</f>
        <v/>
      </c>
      <c r="J63" s="102">
        <f>J61</f>
        <v/>
      </c>
      <c r="K63" s="102">
        <f>K61</f>
        <v/>
      </c>
      <c r="L63" s="102">
        <f>L61</f>
        <v/>
      </c>
      <c r="M63" s="102">
        <f>M61</f>
        <v/>
      </c>
      <c r="N63" s="102">
        <f>N61</f>
        <v/>
      </c>
      <c r="O63" s="102">
        <f>O61</f>
        <v/>
      </c>
      <c r="P63" s="102">
        <f>P61</f>
        <v/>
      </c>
      <c r="Q63" s="102">
        <f>Q61</f>
        <v/>
      </c>
      <c r="R63" s="102">
        <f>R61</f>
        <v/>
      </c>
      <c r="S63" s="102">
        <f>S61</f>
        <v/>
      </c>
      <c r="T63" s="102">
        <f>T61</f>
        <v/>
      </c>
      <c r="U63" s="102">
        <f>U61</f>
        <v/>
      </c>
      <c r="V63" s="102">
        <f>V61</f>
        <v/>
      </c>
      <c r="W63" s="102">
        <f>W61</f>
        <v/>
      </c>
      <c r="X63" s="102">
        <f>X61</f>
        <v/>
      </c>
      <c r="Y63" s="102">
        <f>Y61</f>
        <v/>
      </c>
      <c r="Z63" s="102">
        <f>Z61</f>
        <v/>
      </c>
      <c r="AA63" s="102">
        <f>AA61</f>
        <v/>
      </c>
      <c r="AB63" s="102">
        <f>AB61</f>
        <v/>
      </c>
      <c r="AC63" s="102">
        <f>AC61</f>
        <v/>
      </c>
      <c r="AD63" s="102">
        <f>AD61</f>
        <v/>
      </c>
      <c r="AE63" s="102">
        <f>AE61</f>
        <v/>
      </c>
      <c r="AF63" s="102">
        <f>AF61</f>
        <v/>
      </c>
      <c r="AG63" s="102">
        <f>AG61</f>
        <v/>
      </c>
    </row>
    <row r="64" ht="13" customHeight="1" s="488">
      <c r="A64" s="94" t="n"/>
      <c r="B64" s="534" t="n"/>
      <c r="C64" s="146" t="n"/>
      <c r="D64" s="109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</row>
    <row r="65" ht="14.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SUM(E66:AF66)</f>
        <v/>
      </c>
      <c r="AI66" s="78" t="n"/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SUM(E67:AF67)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SUM(E68:AF68)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SUM(E69:AF69)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SUM(E70:AF70)</f>
        <v/>
      </c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SUM(E71:AF71)</f>
        <v/>
      </c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SUM(E72:AF72)</f>
        <v/>
      </c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SUM(E73:AF73)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4">
        <f>SUM(E74:AF74)</f>
        <v/>
      </c>
      <c r="AH74" s="78" t="n"/>
      <c r="AI74" s="78" t="n"/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4">
        <f>SUM(E75:AF75)</f>
        <v/>
      </c>
      <c r="AH75" s="78" t="n"/>
      <c r="AI75" s="78" t="n"/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SUM(E76:AF76)</f>
        <v/>
      </c>
      <c r="AI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SUM(E77:AF77)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SUM(E78:AF78)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SUM(E79:AF79)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4">
        <f>SUM(AG76:AG79)</f>
        <v/>
      </c>
      <c r="AH80" s="78" t="n"/>
    </row>
  </sheetData>
  <mergeCells count="49">
    <mergeCell ref="C77:D77"/>
    <mergeCell ref="AG41:AG44"/>
    <mergeCell ref="C68:D68"/>
    <mergeCell ref="E2:AF2"/>
    <mergeCell ref="C58:D58"/>
    <mergeCell ref="B3:B6"/>
    <mergeCell ref="C45:D45"/>
    <mergeCell ref="C74:D74"/>
    <mergeCell ref="C79:D79"/>
    <mergeCell ref="C73:D73"/>
    <mergeCell ref="C47:D47"/>
    <mergeCell ref="C54:D54"/>
    <mergeCell ref="C63:D63"/>
    <mergeCell ref="C65:D65"/>
    <mergeCell ref="C55:D55"/>
    <mergeCell ref="A3:A6"/>
    <mergeCell ref="A41:A44"/>
    <mergeCell ref="C50:D50"/>
    <mergeCell ref="C75:D75"/>
    <mergeCell ref="B40:D40"/>
    <mergeCell ref="C80:D80"/>
    <mergeCell ref="C56:D56"/>
    <mergeCell ref="A23:AG23"/>
    <mergeCell ref="A32:AG32"/>
    <mergeCell ref="C59:D59"/>
    <mergeCell ref="C46:D46"/>
    <mergeCell ref="C60:D60"/>
    <mergeCell ref="C51:D51"/>
    <mergeCell ref="C76:D76"/>
    <mergeCell ref="C71:D71"/>
    <mergeCell ref="D3:D6"/>
    <mergeCell ref="AG3:AG6"/>
    <mergeCell ref="C61:D61"/>
    <mergeCell ref="C52:D52"/>
    <mergeCell ref="C70:D70"/>
    <mergeCell ref="C48:D48"/>
    <mergeCell ref="B41:B44"/>
    <mergeCell ref="C72:D72"/>
    <mergeCell ref="C67:D67"/>
    <mergeCell ref="C57:D57"/>
    <mergeCell ref="C3:C6"/>
    <mergeCell ref="C66:D66"/>
    <mergeCell ref="C41:D44"/>
    <mergeCell ref="A2:D2"/>
    <mergeCell ref="C53:D53"/>
    <mergeCell ref="B39:D39"/>
    <mergeCell ref="C78:D78"/>
    <mergeCell ref="C69:D69"/>
    <mergeCell ref="C49:D4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AL80"/>
  <sheetViews>
    <sheetView topLeftCell="Z1" zoomScaleNormal="100" workbookViewId="0">
      <selection activeCell="AI8" sqref="AI8"/>
    </sheetView>
  </sheetViews>
  <sheetFormatPr baseColWidth="8" defaultColWidth="18" defaultRowHeight="14.5"/>
  <cols>
    <col width="14" bestFit="1" customWidth="1" style="70" min="1" max="1"/>
    <col width="27" bestFit="1" customWidth="1" style="70" min="2" max="2"/>
    <col width="32" bestFit="1" customWidth="1" style="143" min="3" max="3"/>
    <col width="20" bestFit="1" customWidth="1" style="110" min="4" max="4"/>
    <col width="23" bestFit="1" customWidth="1" style="70" min="5" max="5"/>
    <col width="23" customWidth="1" style="488" min="6" max="7"/>
    <col width="23" bestFit="1" customWidth="1" style="70" min="8" max="11"/>
    <col width="23" customWidth="1" style="488" min="12" max="19"/>
    <col width="23" bestFit="1" customWidth="1" style="70" min="20" max="22"/>
    <col width="23" customWidth="1" style="488" min="23" max="26"/>
    <col width="23" bestFit="1" customWidth="1" style="70" min="27" max="28"/>
    <col width="23" customWidth="1" style="488" min="29" max="29"/>
    <col width="23" bestFit="1" customWidth="1" style="70" min="30" max="30"/>
    <col width="23" customWidth="1" style="70" min="31" max="31"/>
    <col width="23" bestFit="1" customWidth="1" style="70" min="32" max="33"/>
    <col width="23" customWidth="1" style="70" min="34" max="34"/>
    <col width="23" bestFit="1" customWidth="1" style="70" min="35" max="35"/>
    <col width="18" bestFit="1" customWidth="1" style="70" min="36" max="36"/>
    <col width="14" customWidth="1" style="70" min="37" max="37"/>
    <col width="18" customWidth="1" style="70" min="38" max="39"/>
    <col width="18" customWidth="1" style="70" min="40" max="16384"/>
  </cols>
  <sheetData>
    <row r="2" ht="16.5" customHeight="1" s="488">
      <c r="A2" s="573" t="n"/>
      <c r="B2" s="505" t="n"/>
      <c r="C2" s="505" t="n"/>
      <c r="D2" s="506" t="n"/>
      <c r="E2" s="602" t="inlineStr">
        <is>
          <t>October 2024</t>
        </is>
      </c>
      <c r="F2" s="505" t="n"/>
      <c r="G2" s="505" t="n"/>
      <c r="H2" s="505" t="n"/>
      <c r="I2" s="505" t="n"/>
      <c r="J2" s="505" t="n"/>
      <c r="K2" s="505" t="n"/>
      <c r="L2" s="505" t="n"/>
      <c r="M2" s="505" t="n"/>
      <c r="N2" s="505" t="n"/>
      <c r="O2" s="505" t="n"/>
      <c r="P2" s="505" t="n"/>
      <c r="Q2" s="505" t="n"/>
      <c r="R2" s="505" t="n"/>
      <c r="S2" s="505" t="n"/>
      <c r="T2" s="505" t="n"/>
      <c r="U2" s="505" t="n"/>
      <c r="V2" s="505" t="n"/>
      <c r="W2" s="505" t="n"/>
      <c r="X2" s="505" t="n"/>
      <c r="Y2" s="505" t="n"/>
      <c r="Z2" s="505" t="n"/>
      <c r="AA2" s="505" t="n"/>
      <c r="AB2" s="505" t="n"/>
      <c r="AC2" s="505" t="n"/>
      <c r="AD2" s="505" t="n"/>
      <c r="AE2" s="505" t="n"/>
      <c r="AF2" s="505" t="n"/>
      <c r="AG2" s="505" t="n"/>
      <c r="AH2" s="505" t="n"/>
      <c r="AI2" s="506" t="n"/>
      <c r="AJ2" s="50" t="n"/>
    </row>
    <row r="3" ht="12.75" customHeight="1" s="488">
      <c r="A3" s="508" t="inlineStr">
        <is>
          <t>Sr.No</t>
        </is>
      </c>
      <c r="B3" s="508" t="inlineStr">
        <is>
          <t>Location</t>
        </is>
      </c>
      <c r="C3" s="580" t="inlineStr">
        <is>
          <t>Meter</t>
        </is>
      </c>
      <c r="D3" s="562" t="inlineStr">
        <is>
          <t>Previous Reading</t>
        </is>
      </c>
      <c r="E3" s="51" t="n">
        <v>45658</v>
      </c>
      <c r="F3" s="51" t="n">
        <v>45659</v>
      </c>
      <c r="G3" s="51" t="n">
        <v>45660</v>
      </c>
      <c r="H3" s="51" t="n">
        <v>45661</v>
      </c>
      <c r="I3" s="51" t="n">
        <v>45662</v>
      </c>
      <c r="J3" s="51" t="n">
        <v>45663</v>
      </c>
      <c r="K3" s="51" t="n">
        <v>45664</v>
      </c>
      <c r="L3" s="51" t="n">
        <v>45665</v>
      </c>
      <c r="M3" s="51" t="n">
        <v>45666</v>
      </c>
      <c r="N3" s="51" t="n">
        <v>45667</v>
      </c>
      <c r="O3" s="51" t="n">
        <v>45668</v>
      </c>
      <c r="P3" s="51" t="n">
        <v>45669</v>
      </c>
      <c r="Q3" s="51" t="n">
        <v>45670</v>
      </c>
      <c r="R3" s="51" t="n">
        <v>45671</v>
      </c>
      <c r="S3" s="51" t="n">
        <v>45672</v>
      </c>
      <c r="T3" s="51" t="n">
        <v>45673</v>
      </c>
      <c r="U3" s="51" t="n">
        <v>45674</v>
      </c>
      <c r="V3" s="51" t="n">
        <v>45675</v>
      </c>
      <c r="W3" s="51" t="n">
        <v>45676</v>
      </c>
      <c r="X3" s="51" t="n">
        <v>45677</v>
      </c>
      <c r="Y3" s="51" t="n">
        <v>45678</v>
      </c>
      <c r="Z3" s="51" t="n">
        <v>45679</v>
      </c>
      <c r="AA3" s="51" t="n">
        <v>45680</v>
      </c>
      <c r="AB3" s="51" t="n">
        <v>45681</v>
      </c>
      <c r="AC3" s="51" t="n">
        <v>45682</v>
      </c>
      <c r="AD3" s="51" t="n">
        <v>45683</v>
      </c>
      <c r="AE3" s="51" t="n">
        <v>45684</v>
      </c>
      <c r="AF3" s="51" t="n">
        <v>45685</v>
      </c>
      <c r="AG3" s="51" t="n">
        <v>45686</v>
      </c>
      <c r="AH3" s="51" t="n">
        <v>45687</v>
      </c>
      <c r="AI3" s="51" t="n">
        <v>45688</v>
      </c>
      <c r="AJ3" s="518" t="inlineStr">
        <is>
          <t>Consumption</t>
        </is>
      </c>
    </row>
    <row r="4" ht="14.5" customHeight="1" s="488">
      <c r="A4" s="509" t="n"/>
      <c r="B4" s="509" t="n"/>
      <c r="C4" s="509" t="n"/>
      <c r="D4" s="509" t="n"/>
      <c r="E4" s="52" t="inlineStr">
        <is>
          <t>WED</t>
        </is>
      </c>
      <c r="F4" s="52" t="inlineStr">
        <is>
          <t>THU</t>
        </is>
      </c>
      <c r="G4" s="52" t="inlineStr">
        <is>
          <t>FRI</t>
        </is>
      </c>
      <c r="H4" s="52" t="inlineStr">
        <is>
          <t>SAT</t>
        </is>
      </c>
      <c r="I4" s="52" t="inlineStr">
        <is>
          <t>SUN</t>
        </is>
      </c>
      <c r="J4" s="52" t="inlineStr">
        <is>
          <t>MON</t>
        </is>
      </c>
      <c r="K4" s="52" t="inlineStr">
        <is>
          <t>TUE</t>
        </is>
      </c>
      <c r="L4" s="52" t="inlineStr">
        <is>
          <t>WED</t>
        </is>
      </c>
      <c r="M4" s="52" t="inlineStr">
        <is>
          <t>THU</t>
        </is>
      </c>
      <c r="N4" s="52" t="inlineStr">
        <is>
          <t>FRI</t>
        </is>
      </c>
      <c r="O4" s="52" t="inlineStr">
        <is>
          <t>SAT</t>
        </is>
      </c>
      <c r="P4" s="52" t="inlineStr">
        <is>
          <t>SUN</t>
        </is>
      </c>
      <c r="Q4" s="52" t="inlineStr">
        <is>
          <t>MON</t>
        </is>
      </c>
      <c r="R4" s="52" t="inlineStr">
        <is>
          <t>TUE</t>
        </is>
      </c>
      <c r="S4" s="52" t="inlineStr">
        <is>
          <t>WED</t>
        </is>
      </c>
      <c r="T4" s="52" t="inlineStr">
        <is>
          <t>THU</t>
        </is>
      </c>
      <c r="U4" s="52" t="inlineStr">
        <is>
          <t>FRI</t>
        </is>
      </c>
      <c r="V4" s="52" t="inlineStr">
        <is>
          <t>SAT</t>
        </is>
      </c>
      <c r="W4" s="52" t="inlineStr">
        <is>
          <t>SUN</t>
        </is>
      </c>
      <c r="X4" s="52" t="inlineStr">
        <is>
          <t>MON</t>
        </is>
      </c>
      <c r="Y4" s="52" t="inlineStr">
        <is>
          <t>TUE</t>
        </is>
      </c>
      <c r="Z4" s="52" t="inlineStr">
        <is>
          <t>WED</t>
        </is>
      </c>
      <c r="AA4" s="52" t="inlineStr">
        <is>
          <t>THU</t>
        </is>
      </c>
      <c r="AB4" s="52" t="inlineStr">
        <is>
          <t>FRI</t>
        </is>
      </c>
      <c r="AC4" s="52" t="inlineStr">
        <is>
          <t>SAT</t>
        </is>
      </c>
      <c r="AD4" s="52" t="inlineStr">
        <is>
          <t>SUN</t>
        </is>
      </c>
      <c r="AE4" s="52" t="inlineStr">
        <is>
          <t>MON</t>
        </is>
      </c>
      <c r="AF4" s="52" t="inlineStr">
        <is>
          <t>TUE</t>
        </is>
      </c>
      <c r="AG4" s="52" t="inlineStr">
        <is>
          <t>WED</t>
        </is>
      </c>
      <c r="AH4" s="52" t="inlineStr">
        <is>
          <t>THU</t>
        </is>
      </c>
      <c r="AI4" s="52" t="inlineStr">
        <is>
          <t>FRI</t>
        </is>
      </c>
      <c r="AJ4" s="509" t="n"/>
    </row>
    <row r="5" ht="14.5" customHeight="1" s="488">
      <c r="A5" s="509" t="n"/>
      <c r="B5" s="509" t="n"/>
      <c r="C5" s="509" t="n"/>
      <c r="D5" s="509" t="n"/>
      <c r="E5" s="52" t="inlineStr">
        <is>
          <t>Time</t>
        </is>
      </c>
      <c r="F5" s="52" t="inlineStr">
        <is>
          <t>Time</t>
        </is>
      </c>
      <c r="G5" s="52" t="inlineStr">
        <is>
          <t>Time</t>
        </is>
      </c>
      <c r="H5" s="52" t="inlineStr">
        <is>
          <t>Time</t>
        </is>
      </c>
      <c r="I5" s="52" t="inlineStr">
        <is>
          <t>Time</t>
        </is>
      </c>
      <c r="J5" s="52" t="inlineStr">
        <is>
          <t>Time</t>
        </is>
      </c>
      <c r="K5" s="52" t="inlineStr">
        <is>
          <t>Time</t>
        </is>
      </c>
      <c r="L5" s="52" t="inlineStr">
        <is>
          <t>Time</t>
        </is>
      </c>
      <c r="M5" s="52" t="inlineStr">
        <is>
          <t>Time</t>
        </is>
      </c>
      <c r="N5" s="52" t="inlineStr">
        <is>
          <t>Time</t>
        </is>
      </c>
      <c r="O5" s="52" t="inlineStr">
        <is>
          <t>Time</t>
        </is>
      </c>
      <c r="P5" s="52" t="inlineStr">
        <is>
          <t>Time</t>
        </is>
      </c>
      <c r="Q5" s="52" t="inlineStr">
        <is>
          <t>Time</t>
        </is>
      </c>
      <c r="R5" s="52" t="inlineStr">
        <is>
          <t>Time</t>
        </is>
      </c>
      <c r="S5" s="52" t="inlineStr">
        <is>
          <t>Time</t>
        </is>
      </c>
      <c r="T5" s="52" t="inlineStr">
        <is>
          <t>Time</t>
        </is>
      </c>
      <c r="U5" s="52" t="inlineStr">
        <is>
          <t>Time</t>
        </is>
      </c>
      <c r="V5" s="52" t="inlineStr">
        <is>
          <t>Time</t>
        </is>
      </c>
      <c r="W5" s="52" t="inlineStr">
        <is>
          <t>Time</t>
        </is>
      </c>
      <c r="X5" s="52" t="inlineStr">
        <is>
          <t>Time</t>
        </is>
      </c>
      <c r="Y5" s="52" t="inlineStr">
        <is>
          <t>Time</t>
        </is>
      </c>
      <c r="Z5" s="52" t="inlineStr">
        <is>
          <t>Time</t>
        </is>
      </c>
      <c r="AA5" s="52" t="inlineStr">
        <is>
          <t>Time</t>
        </is>
      </c>
      <c r="AB5" s="52" t="inlineStr">
        <is>
          <t>Time</t>
        </is>
      </c>
      <c r="AC5" s="52" t="inlineStr">
        <is>
          <t>Time</t>
        </is>
      </c>
      <c r="AD5" s="52" t="inlineStr">
        <is>
          <t>Time</t>
        </is>
      </c>
      <c r="AE5" s="52" t="inlineStr">
        <is>
          <t>Time</t>
        </is>
      </c>
      <c r="AF5" s="52" t="inlineStr">
        <is>
          <t>Time</t>
        </is>
      </c>
      <c r="AG5" s="52" t="inlineStr">
        <is>
          <t>Time</t>
        </is>
      </c>
      <c r="AH5" s="52" t="inlineStr">
        <is>
          <t>Time</t>
        </is>
      </c>
      <c r="AI5" s="52" t="inlineStr">
        <is>
          <t>Time</t>
        </is>
      </c>
      <c r="AJ5" s="509" t="n"/>
    </row>
    <row r="6" ht="14.5" customHeight="1" s="488">
      <c r="A6" s="510" t="n"/>
      <c r="B6" s="510" t="n"/>
      <c r="C6" s="510" t="n"/>
      <c r="D6" s="510" t="n"/>
      <c r="E6" s="53" t="n">
        <v>0.3333333333333333</v>
      </c>
      <c r="F6" s="53" t="n">
        <v>0.3333333333333333</v>
      </c>
      <c r="G6" s="53" t="n">
        <v>0.3333333333333333</v>
      </c>
      <c r="H6" s="53" t="n">
        <v>0.3333333333333333</v>
      </c>
      <c r="I6" s="53" t="n">
        <v>0.3333333333333333</v>
      </c>
      <c r="J6" s="53" t="n">
        <v>0.3333333333333333</v>
      </c>
      <c r="K6" s="53" t="n">
        <v>0.3333333333333333</v>
      </c>
      <c r="L6" s="53" t="n">
        <v>0.3333333333333333</v>
      </c>
      <c r="M6" s="53" t="n">
        <v>0.3333333333333333</v>
      </c>
      <c r="N6" s="53" t="n">
        <v>0.3333333333333333</v>
      </c>
      <c r="O6" s="53" t="n">
        <v>0.3333333333333333</v>
      </c>
      <c r="P6" s="53" t="n">
        <v>0.3333333333333333</v>
      </c>
      <c r="Q6" s="53" t="n">
        <v>0.3333333333333333</v>
      </c>
      <c r="R6" s="53" t="n">
        <v>0.3333333333333333</v>
      </c>
      <c r="S6" s="53" t="n">
        <v>0.3333333333333333</v>
      </c>
      <c r="T6" s="53" t="n">
        <v>0.3333333333333333</v>
      </c>
      <c r="U6" s="53" t="n">
        <v>0.3333333333333333</v>
      </c>
      <c r="V6" s="53" t="n">
        <v>0.3333333333333333</v>
      </c>
      <c r="W6" s="53" t="n">
        <v>0.3333333333333333</v>
      </c>
      <c r="X6" s="53" t="n">
        <v>0.3333333333333333</v>
      </c>
      <c r="Y6" s="53" t="n">
        <v>0.3333333333333333</v>
      </c>
      <c r="Z6" s="53" t="n">
        <v>0.3333333333333333</v>
      </c>
      <c r="AA6" s="53" t="n">
        <v>0.3333333333333333</v>
      </c>
      <c r="AB6" s="53" t="n">
        <v>0.3333333333333333</v>
      </c>
      <c r="AC6" s="53" t="n">
        <v>0.3333333333333333</v>
      </c>
      <c r="AD6" s="53" t="n">
        <v>0.3333333333333333</v>
      </c>
      <c r="AE6" s="53" t="n">
        <v>0.3333333333333333</v>
      </c>
      <c r="AF6" s="53" t="n">
        <v>0.3333333333333333</v>
      </c>
      <c r="AG6" s="53" t="n">
        <v>0.3333333333333333</v>
      </c>
      <c r="AH6" s="53" t="n">
        <v>0.3333333333333333</v>
      </c>
      <c r="AI6" s="53" t="n">
        <v>0.3333333333333333</v>
      </c>
      <c r="AJ6" s="510" t="n"/>
    </row>
    <row r="7" ht="20.15" customHeight="1" s="488">
      <c r="A7" s="48" t="n">
        <v>1</v>
      </c>
      <c r="B7" s="48" t="inlineStr">
        <is>
          <t>3F</t>
        </is>
      </c>
      <c r="C7" s="139" t="inlineStr">
        <is>
          <t>SL No 540430038840 (EB Unit)</t>
        </is>
      </c>
      <c r="D7" s="55" t="n">
        <v>76944</v>
      </c>
      <c r="E7" s="561" t="n">
        <v>77277</v>
      </c>
      <c r="F7" s="561" t="n">
        <v>77495</v>
      </c>
      <c r="G7" s="8" t="n">
        <v>77717</v>
      </c>
      <c r="H7" s="5" t="n">
        <v>77950</v>
      </c>
      <c r="I7" s="561" t="n">
        <v>78153</v>
      </c>
      <c r="J7" s="561" t="n">
        <v>78415</v>
      </c>
      <c r="K7" s="561" t="n">
        <v>78684</v>
      </c>
      <c r="L7" s="58" t="n">
        <v>78951</v>
      </c>
      <c r="M7" s="48" t="n">
        <v>79208</v>
      </c>
      <c r="N7" s="59" t="n">
        <v>79459</v>
      </c>
      <c r="O7" s="561" t="n">
        <v>79678</v>
      </c>
      <c r="P7" s="58" t="n">
        <v>79898</v>
      </c>
      <c r="Q7" s="48" t="n">
        <v>80134</v>
      </c>
      <c r="R7" s="59" t="n">
        <v>80382</v>
      </c>
      <c r="S7" s="561" t="n">
        <v>80665</v>
      </c>
      <c r="T7" s="561" t="n">
        <v>80928</v>
      </c>
      <c r="U7" s="561" t="n">
        <v>81192</v>
      </c>
      <c r="V7" s="125" t="n">
        <v>81413</v>
      </c>
      <c r="W7" s="561" t="n">
        <v>81640</v>
      </c>
      <c r="X7" s="561" t="n">
        <v>81911</v>
      </c>
      <c r="Y7" s="561" t="n">
        <v>82182</v>
      </c>
      <c r="Z7" s="561" t="n">
        <v>82432</v>
      </c>
      <c r="AA7" s="561" t="n">
        <v>82692</v>
      </c>
      <c r="AB7" s="561" t="n">
        <v>82938</v>
      </c>
      <c r="AC7" s="561" t="n">
        <v>83170</v>
      </c>
      <c r="AD7" s="561" t="n">
        <v>83390</v>
      </c>
      <c r="AE7" s="561" t="n">
        <v>83637</v>
      </c>
      <c r="AF7" s="561" t="n">
        <v>83900</v>
      </c>
      <c r="AG7" s="48" t="n">
        <v>84177</v>
      </c>
      <c r="AH7" s="48" t="n">
        <v>84536</v>
      </c>
      <c r="AI7" s="48" t="n">
        <v>84669</v>
      </c>
      <c r="AJ7" s="57">
        <f>AI7-D7</f>
        <v/>
      </c>
      <c r="AK7" s="78" t="n"/>
    </row>
    <row r="8" ht="20.15" customHeight="1" s="488">
      <c r="A8" s="8" t="n"/>
      <c r="B8" s="8" t="n"/>
      <c r="C8" s="140" t="inlineStr">
        <is>
          <t>DG</t>
        </is>
      </c>
      <c r="D8" s="45" t="n">
        <v>3801</v>
      </c>
      <c r="E8" s="8" t="n">
        <v>3801</v>
      </c>
      <c r="F8" s="8" t="n">
        <v>3801</v>
      </c>
      <c r="G8" s="8" t="n">
        <v>3801</v>
      </c>
      <c r="H8" s="8" t="n">
        <v>3801</v>
      </c>
      <c r="I8" s="8" t="n">
        <v>3801</v>
      </c>
      <c r="J8" s="8" t="n">
        <v>3801</v>
      </c>
      <c r="K8" s="8" t="n">
        <v>3801</v>
      </c>
      <c r="L8" s="8" t="n">
        <v>3801</v>
      </c>
      <c r="M8" s="8" t="n">
        <v>3801</v>
      </c>
      <c r="N8" s="8" t="n">
        <v>3801</v>
      </c>
      <c r="O8" s="8" t="n">
        <v>3801</v>
      </c>
      <c r="P8" s="8" t="n">
        <v>3801</v>
      </c>
      <c r="Q8" s="8" t="n">
        <v>3839</v>
      </c>
      <c r="R8" s="8" t="n">
        <v>3839</v>
      </c>
      <c r="S8" s="8" t="n">
        <v>3839</v>
      </c>
      <c r="T8" s="8" t="n">
        <v>3839</v>
      </c>
      <c r="U8" s="8" t="n">
        <v>3839</v>
      </c>
      <c r="V8" s="8" t="n">
        <v>3839</v>
      </c>
      <c r="W8" s="561" t="n">
        <v>3842</v>
      </c>
      <c r="X8" s="561" t="n">
        <v>3853</v>
      </c>
      <c r="Y8" s="8" t="n">
        <v>3853</v>
      </c>
      <c r="Z8" s="8" t="n">
        <v>3872</v>
      </c>
      <c r="AA8" s="8" t="n">
        <v>3872</v>
      </c>
      <c r="AB8" s="8" t="n">
        <v>3872</v>
      </c>
      <c r="AC8" s="8" t="n">
        <v>3872</v>
      </c>
      <c r="AD8" s="8" t="n">
        <v>3872</v>
      </c>
      <c r="AE8" s="8" t="n">
        <v>3872</v>
      </c>
      <c r="AF8" s="8" t="n">
        <v>3872</v>
      </c>
      <c r="AG8" s="8" t="n">
        <v>3872</v>
      </c>
      <c r="AH8" s="8" t="n">
        <v>3872</v>
      </c>
      <c r="AI8" s="8" t="n">
        <v>3872</v>
      </c>
      <c r="AJ8" s="57">
        <f>AI8-D8</f>
        <v/>
      </c>
      <c r="AK8" s="78" t="n"/>
    </row>
    <row r="9" ht="20.15" customHeight="1" s="488">
      <c r="A9" s="561" t="n">
        <v>2</v>
      </c>
      <c r="B9" s="561" t="inlineStr">
        <is>
          <t>3F</t>
        </is>
      </c>
      <c r="C9" s="141" t="inlineStr">
        <is>
          <t>SL No 540430038845 (EB Unit)</t>
        </is>
      </c>
      <c r="D9" s="565" t="n">
        <v>1956</v>
      </c>
      <c r="E9" s="561" t="n">
        <v>1956</v>
      </c>
      <c r="F9" s="561" t="n">
        <v>1956</v>
      </c>
      <c r="G9" s="561" t="n">
        <v>1956</v>
      </c>
      <c r="H9" s="561" t="n">
        <v>1956</v>
      </c>
      <c r="I9" s="561" t="n">
        <v>1956</v>
      </c>
      <c r="J9" s="561" t="n">
        <v>1956</v>
      </c>
      <c r="K9" s="561" t="n">
        <v>1956</v>
      </c>
      <c r="L9" s="561" t="n">
        <v>1956</v>
      </c>
      <c r="M9" s="561" t="n">
        <v>1956</v>
      </c>
      <c r="N9" s="561" t="n">
        <v>1956</v>
      </c>
      <c r="O9" s="561" t="n">
        <v>1956</v>
      </c>
      <c r="P9" s="561" t="n">
        <v>1956</v>
      </c>
      <c r="Q9" s="561" t="n">
        <v>1956</v>
      </c>
      <c r="R9" s="561" t="n">
        <v>1956</v>
      </c>
      <c r="S9" s="561" t="n">
        <v>1956</v>
      </c>
      <c r="T9" s="561" t="n">
        <v>1956</v>
      </c>
      <c r="U9" s="561" t="n">
        <v>1956</v>
      </c>
      <c r="V9" s="561" t="n">
        <v>1956</v>
      </c>
      <c r="W9" s="561" t="n">
        <v>1956</v>
      </c>
      <c r="X9" s="561" t="n">
        <v>1956</v>
      </c>
      <c r="Y9" s="561" t="n">
        <v>1956</v>
      </c>
      <c r="Z9" s="561" t="n">
        <v>1956</v>
      </c>
      <c r="AA9" s="561" t="n">
        <v>1956</v>
      </c>
      <c r="AB9" s="561" t="n">
        <v>1956</v>
      </c>
      <c r="AC9" s="561" t="n">
        <v>1956</v>
      </c>
      <c r="AD9" s="561" t="n">
        <v>1956</v>
      </c>
      <c r="AE9" s="561" t="n">
        <v>1956</v>
      </c>
      <c r="AF9" s="561" t="n">
        <v>1956</v>
      </c>
      <c r="AG9" s="561" t="n">
        <v>1956</v>
      </c>
      <c r="AH9" s="561" t="n">
        <v>1956</v>
      </c>
      <c r="AI9" s="561" t="n">
        <v>1956</v>
      </c>
      <c r="AJ9" s="57">
        <f>AI9-D9</f>
        <v/>
      </c>
    </row>
    <row r="10" ht="20.15" customHeight="1" s="488">
      <c r="A10" s="561" t="n"/>
      <c r="B10" s="561" t="n"/>
      <c r="C10" s="140" t="inlineStr">
        <is>
          <t>DG</t>
        </is>
      </c>
      <c r="D10" s="565" t="n">
        <v>28.6</v>
      </c>
      <c r="E10" s="561" t="n">
        <v>28.6</v>
      </c>
      <c r="F10" s="561" t="n">
        <v>28.6</v>
      </c>
      <c r="G10" s="561" t="n">
        <v>28.6</v>
      </c>
      <c r="H10" s="561" t="n">
        <v>28.6</v>
      </c>
      <c r="I10" s="561" t="n">
        <v>28.6</v>
      </c>
      <c r="J10" s="561" t="n">
        <v>28.6</v>
      </c>
      <c r="K10" s="561" t="n">
        <v>28.6</v>
      </c>
      <c r="L10" s="561" t="n">
        <v>28.6</v>
      </c>
      <c r="M10" s="561" t="n">
        <v>28.6</v>
      </c>
      <c r="N10" s="561" t="n">
        <v>28.6</v>
      </c>
      <c r="O10" s="561" t="n">
        <v>28.6</v>
      </c>
      <c r="P10" s="561" t="n">
        <v>28.6</v>
      </c>
      <c r="Q10" s="561" t="n">
        <v>28.6</v>
      </c>
      <c r="R10" s="561" t="n">
        <v>28.6</v>
      </c>
      <c r="S10" s="561" t="n">
        <v>28.6</v>
      </c>
      <c r="T10" s="561" t="n">
        <v>28.6</v>
      </c>
      <c r="U10" s="561" t="n">
        <v>28.6</v>
      </c>
      <c r="V10" s="561" t="n">
        <v>28.6</v>
      </c>
      <c r="W10" s="561" t="n">
        <v>28.6</v>
      </c>
      <c r="X10" s="561" t="n">
        <v>28.6</v>
      </c>
      <c r="Y10" s="561" t="n">
        <v>28.6</v>
      </c>
      <c r="Z10" s="561" t="n">
        <v>28.6</v>
      </c>
      <c r="AA10" s="561" t="n">
        <v>28.6</v>
      </c>
      <c r="AB10" s="561" t="n">
        <v>28.6</v>
      </c>
      <c r="AC10" s="561" t="n">
        <v>28.6</v>
      </c>
      <c r="AD10" s="561" t="n">
        <v>28.6</v>
      </c>
      <c r="AE10" s="561" t="n">
        <v>28.6</v>
      </c>
      <c r="AF10" s="561" t="n">
        <v>28.6</v>
      </c>
      <c r="AG10" s="561" t="n">
        <v>28.6</v>
      </c>
      <c r="AH10" s="561" t="n">
        <v>28.6</v>
      </c>
      <c r="AI10" s="561" t="n">
        <v>28.6</v>
      </c>
      <c r="AJ10" s="57">
        <f>AI10-D10</f>
        <v/>
      </c>
    </row>
    <row r="11" ht="20.15" customHeight="1" s="488">
      <c r="A11" s="561" t="n">
        <v>3</v>
      </c>
      <c r="B11" s="561" t="inlineStr">
        <is>
          <t>3F</t>
        </is>
      </c>
      <c r="C11" s="141" t="inlineStr">
        <is>
          <t>SL No 540430038844 (EB Unit)</t>
        </is>
      </c>
      <c r="D11" s="45" t="n">
        <v>113760</v>
      </c>
      <c r="E11" s="561" t="n">
        <v>114205</v>
      </c>
      <c r="F11" s="561" t="n">
        <v>114499</v>
      </c>
      <c r="G11" s="561" t="n">
        <v>114807</v>
      </c>
      <c r="H11" s="561" t="n">
        <v>115107</v>
      </c>
      <c r="I11" s="561" t="n">
        <v>115375</v>
      </c>
      <c r="J11" s="561" t="n">
        <v>115754</v>
      </c>
      <c r="K11" s="561" t="n">
        <v>116208</v>
      </c>
      <c r="L11" s="561" t="n">
        <v>116591</v>
      </c>
      <c r="M11" s="561" t="n">
        <v>116962</v>
      </c>
      <c r="N11" s="561" t="n">
        <v>117320</v>
      </c>
      <c r="O11" s="561" t="n">
        <v>117614</v>
      </c>
      <c r="P11" s="561" t="n">
        <v>117905</v>
      </c>
      <c r="Q11" s="561" t="n">
        <v>118250</v>
      </c>
      <c r="R11" s="561" t="n">
        <v>118609</v>
      </c>
      <c r="S11" s="561" t="n">
        <v>119016</v>
      </c>
      <c r="T11" s="561" t="n">
        <v>119557</v>
      </c>
      <c r="U11" s="561" t="n">
        <v>119938</v>
      </c>
      <c r="V11" s="561" t="n">
        <v>120235</v>
      </c>
      <c r="W11" s="561" t="n">
        <v>120534</v>
      </c>
      <c r="X11" s="561" t="n">
        <v>120905</v>
      </c>
      <c r="Y11" s="561" t="n">
        <v>121297</v>
      </c>
      <c r="Z11" s="561" t="n">
        <v>121661</v>
      </c>
      <c r="AA11" s="8" t="n">
        <v>122041</v>
      </c>
      <c r="AB11" s="8" t="n">
        <v>122388</v>
      </c>
      <c r="AC11" s="561" t="n">
        <v>122699</v>
      </c>
      <c r="AD11" s="561" t="n">
        <v>122981</v>
      </c>
      <c r="AE11" s="8" t="n">
        <v>123348</v>
      </c>
      <c r="AF11" s="8" t="n">
        <v>123721</v>
      </c>
      <c r="AG11" s="8" t="n">
        <v>124131</v>
      </c>
      <c r="AH11" s="8" t="n">
        <v>124527</v>
      </c>
      <c r="AI11" s="8" t="n">
        <v>124715</v>
      </c>
      <c r="AJ11" s="57">
        <f>AI11-D11</f>
        <v/>
      </c>
    </row>
    <row r="12" ht="20.15" customHeight="1" s="488">
      <c r="A12" s="561" t="n"/>
      <c r="B12" s="561" t="n"/>
      <c r="C12" s="140" t="inlineStr">
        <is>
          <t>DG</t>
        </is>
      </c>
      <c r="D12" s="565" t="n">
        <v>5702</v>
      </c>
      <c r="E12" s="561" t="n">
        <v>5702</v>
      </c>
      <c r="F12" s="561" t="n">
        <v>5702</v>
      </c>
      <c r="G12" s="561" t="n">
        <v>5702</v>
      </c>
      <c r="H12" s="561" t="n">
        <v>5702</v>
      </c>
      <c r="I12" s="561" t="n">
        <v>5702</v>
      </c>
      <c r="J12" s="561" t="n">
        <v>5702</v>
      </c>
      <c r="K12" s="561" t="n">
        <v>5702</v>
      </c>
      <c r="L12" s="561" t="n">
        <v>5702</v>
      </c>
      <c r="M12" s="561" t="n">
        <v>5702</v>
      </c>
      <c r="N12" s="561" t="n">
        <v>5702</v>
      </c>
      <c r="O12" s="561" t="n">
        <v>5702</v>
      </c>
      <c r="P12" s="561" t="n">
        <v>5702</v>
      </c>
      <c r="Q12" s="561" t="n">
        <v>5751</v>
      </c>
      <c r="R12" s="561" t="n">
        <v>5751</v>
      </c>
      <c r="S12" s="561" t="n">
        <v>5751</v>
      </c>
      <c r="T12" s="561" t="n">
        <v>5751</v>
      </c>
      <c r="U12" s="561" t="n">
        <v>5751</v>
      </c>
      <c r="V12" s="561" t="n">
        <v>5751</v>
      </c>
      <c r="W12" s="561" t="n">
        <v>5755</v>
      </c>
      <c r="X12" s="561" t="n">
        <v>5772</v>
      </c>
      <c r="Y12" s="561" t="n">
        <v>5772</v>
      </c>
      <c r="Z12" s="561" t="n">
        <v>5799</v>
      </c>
      <c r="AA12" s="561" t="n">
        <v>5799</v>
      </c>
      <c r="AB12" s="561" t="n">
        <v>5799</v>
      </c>
      <c r="AC12" s="561" t="n">
        <v>5799</v>
      </c>
      <c r="AD12" s="561" t="n">
        <v>5799</v>
      </c>
      <c r="AE12" s="561" t="n">
        <v>5799</v>
      </c>
      <c r="AF12" s="561" t="n">
        <v>5799</v>
      </c>
      <c r="AG12" s="561" t="n">
        <v>5799</v>
      </c>
      <c r="AH12" s="561" t="n">
        <v>5799</v>
      </c>
      <c r="AI12" s="561" t="n">
        <v>5799</v>
      </c>
      <c r="AJ12" s="57">
        <f>AI12-D12</f>
        <v/>
      </c>
    </row>
    <row r="13" ht="20.15" customHeight="1" s="488">
      <c r="A13" s="561" t="n">
        <v>4</v>
      </c>
      <c r="B13" s="561" t="inlineStr">
        <is>
          <t>3F</t>
        </is>
      </c>
      <c r="C13" s="141" t="inlineStr">
        <is>
          <t>SL No 540430038821 (EB Unit)</t>
        </is>
      </c>
      <c r="D13" s="565" t="n">
        <v>0</v>
      </c>
      <c r="E13" s="561" t="n">
        <v>0</v>
      </c>
      <c r="F13" s="561" t="n">
        <v>0</v>
      </c>
      <c r="G13" s="561" t="n">
        <v>0</v>
      </c>
      <c r="H13" s="561" t="n">
        <v>0</v>
      </c>
      <c r="I13" s="561" t="n">
        <v>0</v>
      </c>
      <c r="J13" s="561" t="n">
        <v>0</v>
      </c>
      <c r="K13" s="561" t="n">
        <v>0</v>
      </c>
      <c r="L13" s="561" t="n">
        <v>0</v>
      </c>
      <c r="M13" s="561" t="n">
        <v>0</v>
      </c>
      <c r="N13" s="561" t="n">
        <v>0</v>
      </c>
      <c r="O13" s="561" t="n">
        <v>0</v>
      </c>
      <c r="P13" s="561" t="n">
        <v>0</v>
      </c>
      <c r="Q13" s="561" t="n">
        <v>0</v>
      </c>
      <c r="R13" s="561" t="n">
        <v>0</v>
      </c>
      <c r="S13" s="561" t="n">
        <v>0</v>
      </c>
      <c r="T13" s="561" t="n">
        <v>0</v>
      </c>
      <c r="U13" s="561" t="n">
        <v>0</v>
      </c>
      <c r="V13" s="561" t="n">
        <v>0</v>
      </c>
      <c r="W13" s="561" t="n">
        <v>0</v>
      </c>
      <c r="X13" s="561" t="n">
        <v>0</v>
      </c>
      <c r="Y13" s="561" t="n">
        <v>0</v>
      </c>
      <c r="Z13" s="561" t="n">
        <v>0</v>
      </c>
      <c r="AA13" s="561" t="n">
        <v>0</v>
      </c>
      <c r="AB13" s="561" t="n">
        <v>0</v>
      </c>
      <c r="AC13" s="561" t="n">
        <v>0</v>
      </c>
      <c r="AD13" s="561" t="n">
        <v>0</v>
      </c>
      <c r="AE13" s="561" t="n">
        <v>0</v>
      </c>
      <c r="AF13" s="561" t="n">
        <v>0</v>
      </c>
      <c r="AG13" s="561" t="n">
        <v>0</v>
      </c>
      <c r="AH13" s="561" t="n">
        <v>0</v>
      </c>
      <c r="AI13" s="561" t="n">
        <v>0</v>
      </c>
      <c r="AJ13" s="57">
        <f>AI13-D13</f>
        <v/>
      </c>
    </row>
    <row r="14" ht="20.15" customHeight="1" s="488">
      <c r="A14" s="561" t="n"/>
      <c r="B14" s="561" t="n"/>
      <c r="C14" s="140" t="inlineStr">
        <is>
          <t>DG</t>
        </is>
      </c>
      <c r="D14" s="565" t="n">
        <v>0</v>
      </c>
      <c r="E14" s="561" t="n">
        <v>0</v>
      </c>
      <c r="F14" s="561" t="n">
        <v>0</v>
      </c>
      <c r="G14" s="561" t="n">
        <v>0</v>
      </c>
      <c r="H14" s="561" t="n">
        <v>0</v>
      </c>
      <c r="I14" s="561" t="n">
        <v>0</v>
      </c>
      <c r="J14" s="561" t="n">
        <v>0</v>
      </c>
      <c r="K14" s="561" t="n">
        <v>0</v>
      </c>
      <c r="L14" s="561" t="n">
        <v>0</v>
      </c>
      <c r="M14" s="561" t="n">
        <v>0</v>
      </c>
      <c r="N14" s="561" t="n">
        <v>0</v>
      </c>
      <c r="O14" s="561" t="n">
        <v>0</v>
      </c>
      <c r="P14" s="561" t="n">
        <v>0</v>
      </c>
      <c r="Q14" s="561" t="n">
        <v>0</v>
      </c>
      <c r="R14" s="561" t="n">
        <v>0</v>
      </c>
      <c r="S14" s="561" t="n">
        <v>0</v>
      </c>
      <c r="T14" s="561" t="n">
        <v>0</v>
      </c>
      <c r="U14" s="561" t="n">
        <v>0</v>
      </c>
      <c r="V14" s="561" t="n">
        <v>0</v>
      </c>
      <c r="W14" s="561" t="n">
        <v>0</v>
      </c>
      <c r="X14" s="561" t="n">
        <v>0</v>
      </c>
      <c r="Y14" s="561" t="n">
        <v>0</v>
      </c>
      <c r="Z14" s="561" t="n">
        <v>0</v>
      </c>
      <c r="AA14" s="561" t="n">
        <v>0</v>
      </c>
      <c r="AB14" s="561" t="n">
        <v>0</v>
      </c>
      <c r="AC14" s="561" t="n">
        <v>0</v>
      </c>
      <c r="AD14" s="561" t="n">
        <v>0</v>
      </c>
      <c r="AE14" s="561" t="n">
        <v>0</v>
      </c>
      <c r="AF14" s="561" t="n">
        <v>0</v>
      </c>
      <c r="AG14" s="561" t="n">
        <v>0</v>
      </c>
      <c r="AH14" s="561" t="n">
        <v>0</v>
      </c>
      <c r="AI14" s="561" t="n">
        <v>0</v>
      </c>
      <c r="AJ14" s="57">
        <f>AI14-D14</f>
        <v/>
      </c>
    </row>
    <row r="15" ht="20.15" customHeight="1" s="488">
      <c r="A15" s="561" t="n">
        <v>5</v>
      </c>
      <c r="B15" s="561" t="inlineStr">
        <is>
          <t>3F</t>
        </is>
      </c>
      <c r="C15" s="141" t="inlineStr">
        <is>
          <t>SL No 540430038849 (EB Unit)</t>
        </is>
      </c>
      <c r="D15" s="45" t="n">
        <v>50207</v>
      </c>
      <c r="E15" s="561" t="n">
        <v>50396</v>
      </c>
      <c r="F15" s="561" t="n">
        <v>50555</v>
      </c>
      <c r="G15" s="561" t="n">
        <v>50714</v>
      </c>
      <c r="H15" s="561" t="n">
        <v>50843</v>
      </c>
      <c r="I15" s="561" t="n">
        <v>50956</v>
      </c>
      <c r="J15" s="561" t="n">
        <v>51189</v>
      </c>
      <c r="K15" s="561" t="n">
        <v>51412</v>
      </c>
      <c r="L15" s="561" t="n">
        <v>51646</v>
      </c>
      <c r="M15" s="561" t="n">
        <v>51876</v>
      </c>
      <c r="N15" s="561" t="n">
        <v>52136</v>
      </c>
      <c r="O15" s="561" t="n">
        <v>52284</v>
      </c>
      <c r="P15" s="561" t="n">
        <v>52415</v>
      </c>
      <c r="Q15" s="561" t="n">
        <v>52635</v>
      </c>
      <c r="R15" s="561" t="n">
        <v>52868</v>
      </c>
      <c r="S15" s="561" t="n">
        <v>53117</v>
      </c>
      <c r="T15" s="561" t="n">
        <v>53360</v>
      </c>
      <c r="U15" s="33" t="n">
        <v>53604</v>
      </c>
      <c r="V15" s="561" t="n">
        <v>53749</v>
      </c>
      <c r="W15" s="561" t="n">
        <v>53892</v>
      </c>
      <c r="X15" s="561" t="n">
        <v>54134</v>
      </c>
      <c r="Y15" s="561" t="n">
        <v>54391</v>
      </c>
      <c r="Z15" s="561" t="n">
        <v>54637</v>
      </c>
      <c r="AA15" s="8" t="n">
        <v>54880</v>
      </c>
      <c r="AB15" s="8" t="n">
        <v>55101</v>
      </c>
      <c r="AC15" s="561" t="n">
        <v>55229</v>
      </c>
      <c r="AD15" s="561" t="n">
        <v>55385</v>
      </c>
      <c r="AE15" s="8" t="n">
        <v>55624</v>
      </c>
      <c r="AF15" s="8" t="n">
        <v>55859</v>
      </c>
      <c r="AG15" s="8" t="n">
        <v>56105</v>
      </c>
      <c r="AH15" s="8" t="n">
        <v>56363</v>
      </c>
      <c r="AI15" s="8" t="n">
        <v>56491</v>
      </c>
      <c r="AJ15" s="57">
        <f>AI15-D15</f>
        <v/>
      </c>
    </row>
    <row r="16" ht="20.15" customHeight="1" s="488">
      <c r="A16" s="561" t="n"/>
      <c r="B16" s="561" t="n"/>
      <c r="C16" s="140" t="inlineStr">
        <is>
          <t>DG</t>
        </is>
      </c>
      <c r="D16" s="565" t="n">
        <v>2892</v>
      </c>
      <c r="E16" s="60" t="n">
        <v>2892</v>
      </c>
      <c r="F16" s="60" t="n">
        <v>2892</v>
      </c>
      <c r="G16" s="60" t="n">
        <v>2892</v>
      </c>
      <c r="H16" s="60" t="n">
        <v>2892</v>
      </c>
      <c r="I16" s="60" t="n">
        <v>2892</v>
      </c>
      <c r="J16" s="60" t="n">
        <v>2892</v>
      </c>
      <c r="K16" s="60" t="n">
        <v>2892</v>
      </c>
      <c r="L16" s="60" t="n">
        <v>2892</v>
      </c>
      <c r="M16" s="60" t="n">
        <v>2892</v>
      </c>
      <c r="N16" s="60" t="n">
        <v>2892</v>
      </c>
      <c r="O16" s="60" t="n">
        <v>2892</v>
      </c>
      <c r="P16" s="60" t="n">
        <v>2892</v>
      </c>
      <c r="Q16" s="60" t="n">
        <v>2914</v>
      </c>
      <c r="R16" s="60" t="n">
        <v>2914</v>
      </c>
      <c r="S16" s="60" t="n">
        <v>2914</v>
      </c>
      <c r="T16" s="60" t="n">
        <v>2914</v>
      </c>
      <c r="U16" s="60" t="n">
        <v>2914</v>
      </c>
      <c r="V16" s="60" t="n">
        <v>2914</v>
      </c>
      <c r="W16" s="561" t="n">
        <v>2917</v>
      </c>
      <c r="X16" s="561" t="n">
        <v>2927</v>
      </c>
      <c r="Y16" s="561" t="n">
        <v>2927</v>
      </c>
      <c r="Z16" s="561" t="n">
        <v>2944</v>
      </c>
      <c r="AA16" s="561" t="n">
        <v>2944</v>
      </c>
      <c r="AB16" s="561" t="n">
        <v>2944</v>
      </c>
      <c r="AC16" s="561" t="n">
        <v>2944</v>
      </c>
      <c r="AD16" s="561" t="n">
        <v>2944</v>
      </c>
      <c r="AE16" s="561" t="n">
        <v>2944</v>
      </c>
      <c r="AF16" s="561" t="n">
        <v>2944</v>
      </c>
      <c r="AG16" s="561" t="n">
        <v>2944</v>
      </c>
      <c r="AH16" s="561" t="n">
        <v>2944</v>
      </c>
      <c r="AI16" s="561" t="n">
        <v>2944</v>
      </c>
      <c r="AJ16" s="57">
        <f>AI16-D16</f>
        <v/>
      </c>
    </row>
    <row r="17" ht="20.15" customHeight="1" s="488">
      <c r="A17" s="561" t="n">
        <v>6</v>
      </c>
      <c r="B17" s="561" t="inlineStr">
        <is>
          <t>3F</t>
        </is>
      </c>
      <c r="C17" s="141" t="inlineStr">
        <is>
          <t>SL No 540430038646 (EB Unit)</t>
        </is>
      </c>
      <c r="D17" s="130" t="n">
        <v>64448</v>
      </c>
      <c r="E17" s="131" t="n">
        <v>64614</v>
      </c>
      <c r="F17" s="561" t="n">
        <v>64745</v>
      </c>
      <c r="G17" s="561" t="n">
        <v>64881</v>
      </c>
      <c r="H17" s="561" t="n">
        <v>64987</v>
      </c>
      <c r="I17" s="561" t="n">
        <v>65080</v>
      </c>
      <c r="J17" s="561" t="n">
        <v>65301</v>
      </c>
      <c r="K17" s="58" t="n">
        <v>65547</v>
      </c>
      <c r="L17" s="127" t="n">
        <v>65793</v>
      </c>
      <c r="M17" s="132" t="n">
        <v>65999</v>
      </c>
      <c r="N17" s="132" t="n">
        <v>66206</v>
      </c>
      <c r="O17" s="132" t="n">
        <v>66310</v>
      </c>
      <c r="P17" s="132" t="n">
        <v>66405</v>
      </c>
      <c r="Q17" s="133" t="n">
        <v>66619</v>
      </c>
      <c r="R17" s="132" t="n">
        <v>66829</v>
      </c>
      <c r="S17" s="59" t="n">
        <v>67072</v>
      </c>
      <c r="T17" s="561" t="n">
        <v>67301</v>
      </c>
      <c r="U17" s="561" t="n">
        <v>67538</v>
      </c>
      <c r="V17" s="561" t="n">
        <v>67632</v>
      </c>
      <c r="W17" s="561" t="n">
        <v>67751</v>
      </c>
      <c r="X17" s="561" t="n">
        <v>68016</v>
      </c>
      <c r="Y17" s="561" t="n">
        <v>68288</v>
      </c>
      <c r="Z17" s="561" t="n">
        <v>68542</v>
      </c>
      <c r="AA17" s="561" t="n">
        <v>68818</v>
      </c>
      <c r="AB17" s="8" t="n">
        <v>69067</v>
      </c>
      <c r="AC17" s="561" t="n">
        <v>69211</v>
      </c>
      <c r="AD17" s="561" t="n">
        <v>69300</v>
      </c>
      <c r="AE17" s="8" t="n">
        <v>69566</v>
      </c>
      <c r="AF17" s="8" t="n">
        <v>69788</v>
      </c>
      <c r="AG17" s="561" t="n">
        <v>70046</v>
      </c>
      <c r="AH17" s="8" t="n">
        <v>70296</v>
      </c>
      <c r="AI17" s="8" t="n">
        <v>70440</v>
      </c>
      <c r="AJ17" s="57">
        <f>AI17-D17</f>
        <v/>
      </c>
    </row>
    <row r="18" ht="20.15" customHeight="1" s="488">
      <c r="A18" s="561" t="n"/>
      <c r="B18" s="561" t="n"/>
      <c r="C18" s="140" t="inlineStr">
        <is>
          <t>DG</t>
        </is>
      </c>
      <c r="D18" s="565" t="n">
        <v>3800</v>
      </c>
      <c r="E18" s="8" t="n">
        <v>3800</v>
      </c>
      <c r="F18" s="8" t="n">
        <v>3800</v>
      </c>
      <c r="G18" s="8" t="n">
        <v>3800</v>
      </c>
      <c r="H18" s="8" t="n">
        <v>3800</v>
      </c>
      <c r="I18" s="8" t="n">
        <v>3800</v>
      </c>
      <c r="J18" s="8" t="n">
        <v>3800</v>
      </c>
      <c r="K18" s="8" t="n">
        <v>3800</v>
      </c>
      <c r="L18" s="8" t="n">
        <v>3800</v>
      </c>
      <c r="M18" s="8" t="n">
        <v>3800</v>
      </c>
      <c r="N18" s="8" t="n">
        <v>3800</v>
      </c>
      <c r="O18" s="8" t="n">
        <v>3800</v>
      </c>
      <c r="P18" s="8" t="n">
        <v>3800</v>
      </c>
      <c r="Q18" s="128" t="n">
        <v>3821</v>
      </c>
      <c r="R18" s="48" t="n">
        <v>3821</v>
      </c>
      <c r="S18" s="129" t="n">
        <v>3821</v>
      </c>
      <c r="T18" s="8" t="n">
        <v>3821</v>
      </c>
      <c r="U18" s="8" t="n">
        <v>3821</v>
      </c>
      <c r="V18" s="8" t="n">
        <v>3821</v>
      </c>
      <c r="W18" s="561" t="n">
        <v>3823</v>
      </c>
      <c r="X18" s="561" t="n">
        <v>3835</v>
      </c>
      <c r="Y18" s="561" t="n">
        <v>3835</v>
      </c>
      <c r="Z18" s="561" t="n">
        <v>3848</v>
      </c>
      <c r="AA18" s="561" t="n">
        <v>3848</v>
      </c>
      <c r="AB18" s="561" t="n">
        <v>3848</v>
      </c>
      <c r="AC18" s="561" t="n">
        <v>3848</v>
      </c>
      <c r="AD18" s="561" t="n">
        <v>3848</v>
      </c>
      <c r="AE18" s="561" t="n">
        <v>3848</v>
      </c>
      <c r="AF18" s="561" t="n">
        <v>3848</v>
      </c>
      <c r="AG18" s="561" t="n">
        <v>3848</v>
      </c>
      <c r="AH18" s="561" t="n">
        <v>3848</v>
      </c>
      <c r="AI18" s="561" t="n">
        <v>3848</v>
      </c>
      <c r="AJ18" s="57">
        <f>AI18-D18</f>
        <v/>
      </c>
    </row>
    <row r="19" ht="20.15" customHeight="1" s="488">
      <c r="A19" s="561" t="n">
        <v>7</v>
      </c>
      <c r="B19" s="561" t="inlineStr">
        <is>
          <t>3F</t>
        </is>
      </c>
      <c r="C19" s="141" t="inlineStr">
        <is>
          <t>SL No 540430038843 (EB Unit)</t>
        </is>
      </c>
      <c r="D19" s="45" t="n">
        <v>217622</v>
      </c>
      <c r="E19" s="561" t="n">
        <v>218306</v>
      </c>
      <c r="F19" s="561" t="n">
        <v>218837</v>
      </c>
      <c r="G19" s="561" t="n">
        <v>219434</v>
      </c>
      <c r="H19" s="561" t="n">
        <v>219880</v>
      </c>
      <c r="I19" s="561" t="n">
        <v>220289</v>
      </c>
      <c r="J19" s="561" t="n">
        <v>221010</v>
      </c>
      <c r="K19" s="561" t="n">
        <v>221753</v>
      </c>
      <c r="L19" s="561" t="n">
        <v>222497</v>
      </c>
      <c r="M19" s="561" t="n">
        <v>223201</v>
      </c>
      <c r="N19" s="5" t="n">
        <v>223908</v>
      </c>
      <c r="O19" s="561" t="n">
        <v>224521</v>
      </c>
      <c r="P19" s="561" t="n">
        <v>224967</v>
      </c>
      <c r="Q19" s="561" t="n">
        <v>225615</v>
      </c>
      <c r="R19" s="8" t="n">
        <v>226304</v>
      </c>
      <c r="S19" s="5" t="n">
        <v>227060</v>
      </c>
      <c r="T19" s="561" t="n">
        <v>227779</v>
      </c>
      <c r="U19" s="561" t="n">
        <v>228501</v>
      </c>
      <c r="V19" s="561" t="n">
        <v>229044</v>
      </c>
      <c r="W19" s="561" t="n">
        <v>229473</v>
      </c>
      <c r="X19" s="33" t="n">
        <v>230165</v>
      </c>
      <c r="Y19" s="561" t="n">
        <v>230880</v>
      </c>
      <c r="Z19" s="561" t="n">
        <v>231544</v>
      </c>
      <c r="AA19" s="8" t="n">
        <v>232214</v>
      </c>
      <c r="AB19" s="8" t="n">
        <v>232885</v>
      </c>
      <c r="AC19" s="561" t="n">
        <v>233482</v>
      </c>
      <c r="AD19" s="561" t="n">
        <v>233863</v>
      </c>
      <c r="AE19" s="8" t="n">
        <v>234519</v>
      </c>
      <c r="AF19" s="8" t="n">
        <v>235231</v>
      </c>
      <c r="AG19" s="8" t="n">
        <v>235956</v>
      </c>
      <c r="AH19" s="8" t="n">
        <v>236711</v>
      </c>
      <c r="AI19" s="8" t="n">
        <v>237024</v>
      </c>
      <c r="AJ19" s="57">
        <f>AI19-D19</f>
        <v/>
      </c>
    </row>
    <row r="20" ht="20.15" customHeight="1" s="488">
      <c r="A20" s="561" t="n"/>
      <c r="B20" s="561" t="n"/>
      <c r="C20" s="140" t="inlineStr">
        <is>
          <t>DG</t>
        </is>
      </c>
      <c r="D20" s="565" t="n">
        <v>10322</v>
      </c>
      <c r="E20" s="561" t="n">
        <v>10322</v>
      </c>
      <c r="F20" s="561" t="n">
        <v>10322</v>
      </c>
      <c r="G20" s="561" t="n">
        <v>10322</v>
      </c>
      <c r="H20" s="561" t="n">
        <v>10322</v>
      </c>
      <c r="I20" s="561" t="n">
        <v>10322</v>
      </c>
      <c r="J20" s="561" t="n">
        <v>10322</v>
      </c>
      <c r="K20" s="561" t="n">
        <v>10322</v>
      </c>
      <c r="L20" s="561" t="n">
        <v>10322</v>
      </c>
      <c r="M20" s="561" t="n">
        <v>10322</v>
      </c>
      <c r="N20" s="561" t="n">
        <v>10322</v>
      </c>
      <c r="O20" s="561" t="n">
        <v>10322</v>
      </c>
      <c r="P20" s="561" t="n">
        <v>10322</v>
      </c>
      <c r="Q20" s="561" t="n">
        <v>10389</v>
      </c>
      <c r="R20" s="561" t="n">
        <v>10389</v>
      </c>
      <c r="S20" s="561" t="n">
        <v>10389</v>
      </c>
      <c r="T20" s="561" t="n">
        <v>10389</v>
      </c>
      <c r="U20" s="561" t="n">
        <v>10389</v>
      </c>
      <c r="V20" s="561" t="n">
        <v>10389</v>
      </c>
      <c r="W20" s="561" t="n">
        <v>10395</v>
      </c>
      <c r="X20" s="561" t="n">
        <v>10420</v>
      </c>
      <c r="Y20" s="561" t="n">
        <v>10420</v>
      </c>
      <c r="Z20" s="561" t="n">
        <v>10460</v>
      </c>
      <c r="AA20" s="561" t="n">
        <v>10460</v>
      </c>
      <c r="AB20" s="561" t="n">
        <v>10460</v>
      </c>
      <c r="AC20" s="561" t="n">
        <v>10460</v>
      </c>
      <c r="AD20" s="561" t="n">
        <v>10460</v>
      </c>
      <c r="AE20" s="561" t="n">
        <v>10460</v>
      </c>
      <c r="AF20" s="561" t="n">
        <v>10460</v>
      </c>
      <c r="AG20" s="561" t="n">
        <v>10460</v>
      </c>
      <c r="AH20" s="561" t="n">
        <v>10460</v>
      </c>
      <c r="AI20" s="561" t="n">
        <v>10460</v>
      </c>
      <c r="AJ20" s="57">
        <f>AI20-D20</f>
        <v/>
      </c>
    </row>
    <row r="21" ht="20.15" customHeight="1" s="488">
      <c r="A21" s="561" t="n">
        <v>8</v>
      </c>
      <c r="B21" s="561" t="inlineStr">
        <is>
          <t>3F</t>
        </is>
      </c>
      <c r="C21" s="141" t="inlineStr">
        <is>
          <t>SL No 540430038848 (EB Unit)</t>
        </is>
      </c>
      <c r="D21" s="45" t="n">
        <v>45289</v>
      </c>
      <c r="E21" s="561" t="n">
        <v>45401</v>
      </c>
      <c r="F21" s="561" t="n">
        <v>45482</v>
      </c>
      <c r="G21" s="561" t="n">
        <v>45568</v>
      </c>
      <c r="H21" s="561" t="n">
        <v>45656</v>
      </c>
      <c r="I21" s="561" t="n">
        <v>45725</v>
      </c>
      <c r="J21" s="561" t="n">
        <v>45810</v>
      </c>
      <c r="K21" s="561" t="n">
        <v>45884</v>
      </c>
      <c r="L21" s="561" t="n">
        <v>45963</v>
      </c>
      <c r="M21" s="561" t="n">
        <v>46033</v>
      </c>
      <c r="N21" s="561" t="n">
        <v>46115</v>
      </c>
      <c r="O21" s="561" t="n">
        <v>46186</v>
      </c>
      <c r="P21" s="561" t="n">
        <v>46266</v>
      </c>
      <c r="Q21" s="561" t="n">
        <v>46332</v>
      </c>
      <c r="R21" s="561" t="n">
        <v>46419</v>
      </c>
      <c r="S21" s="561" t="n">
        <v>46502</v>
      </c>
      <c r="T21" s="561" t="n">
        <v>46595</v>
      </c>
      <c r="U21" s="561" t="n">
        <v>46704</v>
      </c>
      <c r="V21" s="561" t="n">
        <v>46797</v>
      </c>
      <c r="W21" s="561" t="n">
        <v>46899</v>
      </c>
      <c r="X21" s="561" t="n">
        <v>47038</v>
      </c>
      <c r="Y21" s="561" t="n">
        <v>47165</v>
      </c>
      <c r="Z21" s="561" t="n">
        <v>47281</v>
      </c>
      <c r="AA21" s="8" t="n">
        <v>47404</v>
      </c>
      <c r="AB21" s="8" t="n">
        <v>47548</v>
      </c>
      <c r="AC21" s="561" t="n">
        <v>47645</v>
      </c>
      <c r="AD21" s="561" t="n">
        <v>47743</v>
      </c>
      <c r="AE21" s="8" t="n">
        <v>47834</v>
      </c>
      <c r="AF21" s="8" t="n">
        <v>47940</v>
      </c>
      <c r="AG21" s="8" t="n">
        <v>48034</v>
      </c>
      <c r="AH21" s="8" t="n">
        <v>48133</v>
      </c>
      <c r="AI21" s="8" t="n">
        <v>48163</v>
      </c>
      <c r="AJ21" s="57">
        <f>AI21-D21</f>
        <v/>
      </c>
    </row>
    <row r="22" ht="20.15" customHeight="1" s="488">
      <c r="A22" s="561" t="n"/>
      <c r="B22" s="561" t="n"/>
      <c r="C22" s="140" t="inlineStr">
        <is>
          <t>DG</t>
        </is>
      </c>
      <c r="D22" s="565" t="n">
        <v>1985</v>
      </c>
      <c r="E22" s="561" t="n">
        <v>1985</v>
      </c>
      <c r="F22" s="561" t="n">
        <v>1985</v>
      </c>
      <c r="G22" s="561" t="n">
        <v>1985</v>
      </c>
      <c r="H22" s="561" t="n">
        <v>1985</v>
      </c>
      <c r="I22" s="561" t="n">
        <v>1985</v>
      </c>
      <c r="J22" s="561" t="n">
        <v>1985</v>
      </c>
      <c r="K22" s="561" t="n">
        <v>1985</v>
      </c>
      <c r="L22" s="561" t="n">
        <v>1985</v>
      </c>
      <c r="M22" s="561" t="n">
        <v>1985</v>
      </c>
      <c r="N22" s="561" t="n">
        <v>1985</v>
      </c>
      <c r="O22" s="561" t="n">
        <v>1985</v>
      </c>
      <c r="P22" s="561" t="n">
        <v>1985</v>
      </c>
      <c r="Q22" s="561" t="n">
        <v>1992</v>
      </c>
      <c r="R22" s="561" t="n">
        <v>1992</v>
      </c>
      <c r="S22" s="561" t="n">
        <v>1992</v>
      </c>
      <c r="T22" s="561" t="n">
        <v>1992</v>
      </c>
      <c r="U22" s="561" t="n">
        <v>1992</v>
      </c>
      <c r="V22" s="561" t="n">
        <v>1992</v>
      </c>
      <c r="W22" s="561" t="n">
        <v>1993</v>
      </c>
      <c r="X22" s="561" t="n">
        <v>1998</v>
      </c>
      <c r="Y22" s="561" t="n">
        <v>1998</v>
      </c>
      <c r="Z22" s="561" t="n">
        <v>2007</v>
      </c>
      <c r="AA22" s="561" t="n">
        <v>2007</v>
      </c>
      <c r="AB22" s="561" t="n">
        <v>2007</v>
      </c>
      <c r="AC22" s="561" t="n">
        <v>2007</v>
      </c>
      <c r="AD22" s="561" t="n">
        <v>2007</v>
      </c>
      <c r="AE22" s="561" t="n">
        <v>2007</v>
      </c>
      <c r="AF22" s="561" t="n">
        <v>2007</v>
      </c>
      <c r="AG22" s="561" t="n">
        <v>2007</v>
      </c>
      <c r="AH22" s="561" t="n">
        <v>2007</v>
      </c>
      <c r="AI22" s="561" t="n">
        <v>2007</v>
      </c>
      <c r="AJ22" s="57">
        <f>AI22-D22</f>
        <v/>
      </c>
    </row>
    <row r="23" ht="14.5" customHeight="1" s="488">
      <c r="A23" s="500" t="n"/>
      <c r="B23" s="520" t="n"/>
      <c r="C23" s="520" t="n"/>
      <c r="D23" s="520" t="n"/>
      <c r="E23" s="520" t="n"/>
      <c r="F23" s="520" t="n"/>
      <c r="G23" s="520" t="n"/>
      <c r="H23" s="520" t="n"/>
      <c r="I23" s="520" t="n"/>
      <c r="J23" s="520" t="n"/>
      <c r="K23" s="520" t="n"/>
      <c r="L23" s="520" t="n"/>
      <c r="M23" s="520" t="n"/>
      <c r="N23" s="520" t="n"/>
      <c r="O23" s="520" t="n"/>
      <c r="P23" s="520" t="n"/>
      <c r="Q23" s="520" t="n"/>
      <c r="R23" s="520" t="n"/>
      <c r="S23" s="520" t="n"/>
      <c r="T23" s="520" t="n"/>
      <c r="U23" s="520" t="n"/>
      <c r="V23" s="520" t="n"/>
      <c r="W23" s="520" t="n"/>
      <c r="X23" s="520" t="n"/>
      <c r="Y23" s="520" t="n"/>
      <c r="Z23" s="520" t="n"/>
      <c r="AA23" s="520" t="n"/>
      <c r="AB23" s="520" t="n"/>
      <c r="AC23" s="520" t="n"/>
      <c r="AD23" s="520" t="n"/>
      <c r="AE23" s="520" t="n"/>
      <c r="AF23" s="520" t="n"/>
      <c r="AG23" s="520" t="n"/>
      <c r="AH23" s="520" t="n"/>
      <c r="AI23" s="520" t="n"/>
      <c r="AJ23" s="501" t="n"/>
    </row>
    <row r="24" ht="14.5" customHeight="1" s="488">
      <c r="A24" s="561" t="n">
        <v>1</v>
      </c>
      <c r="B24" s="561" t="inlineStr">
        <is>
          <t>3F</t>
        </is>
      </c>
      <c r="C24" s="141" t="inlineStr">
        <is>
          <t>AHU1</t>
        </is>
      </c>
      <c r="D24" s="45" t="n">
        <v>21831</v>
      </c>
      <c r="E24" s="561" t="n">
        <v>21831</v>
      </c>
      <c r="F24" s="561" t="n">
        <v>21887</v>
      </c>
      <c r="G24" s="561" t="n">
        <v>21926</v>
      </c>
      <c r="H24" s="561" t="n">
        <v>21932</v>
      </c>
      <c r="I24" s="561" t="n">
        <v>21932</v>
      </c>
      <c r="J24" s="561" t="n">
        <v>21980</v>
      </c>
      <c r="K24" s="561" t="n">
        <v>22015</v>
      </c>
      <c r="L24" s="561" t="n">
        <v>22049</v>
      </c>
      <c r="M24" s="561" t="n">
        <v>22085</v>
      </c>
      <c r="N24" s="561" t="n">
        <v>22124</v>
      </c>
      <c r="O24" s="561" t="n">
        <v>22156</v>
      </c>
      <c r="P24" s="561" t="n">
        <v>22156</v>
      </c>
      <c r="Q24" s="561" t="n">
        <v>22196</v>
      </c>
      <c r="R24" s="561" t="n">
        <v>22249</v>
      </c>
      <c r="S24" s="561" t="n">
        <v>22302</v>
      </c>
      <c r="T24" s="561" t="n">
        <v>22351</v>
      </c>
      <c r="U24" s="561" t="n">
        <v>22399</v>
      </c>
      <c r="V24" s="561" t="n">
        <v>22417</v>
      </c>
      <c r="W24" s="561" t="n">
        <v>22417</v>
      </c>
      <c r="X24" s="561" t="n">
        <v>22488</v>
      </c>
      <c r="Y24" s="561" t="n">
        <v>22545</v>
      </c>
      <c r="Z24" s="561" t="n">
        <v>22600</v>
      </c>
      <c r="AA24" s="561" t="n">
        <v>22662</v>
      </c>
      <c r="AB24" s="561" t="n">
        <v>22707</v>
      </c>
      <c r="AC24" s="561" t="n">
        <v>22728</v>
      </c>
      <c r="AD24" s="561" t="n">
        <v>22728</v>
      </c>
      <c r="AE24" s="561" t="n">
        <v>22769</v>
      </c>
      <c r="AF24" s="561" t="n">
        <v>22806</v>
      </c>
      <c r="AG24" s="561" t="n">
        <v>22842</v>
      </c>
      <c r="AH24" s="8" t="n">
        <v>22892</v>
      </c>
      <c r="AI24" s="8" t="n">
        <v>22927</v>
      </c>
      <c r="AJ24" s="7">
        <f>AI24-D24</f>
        <v/>
      </c>
    </row>
    <row r="25" ht="14.5" customHeight="1" s="488">
      <c r="A25" s="561" t="n"/>
      <c r="B25" s="561" t="n"/>
      <c r="C25" s="142" t="inlineStr">
        <is>
          <t>DG</t>
        </is>
      </c>
      <c r="D25" s="565" t="n">
        <v>1811</v>
      </c>
      <c r="E25" s="561" t="n">
        <v>1811</v>
      </c>
      <c r="F25" s="561" t="n">
        <v>1811</v>
      </c>
      <c r="G25" s="561" t="n">
        <v>1811</v>
      </c>
      <c r="H25" s="561" t="n">
        <v>1811</v>
      </c>
      <c r="I25" s="561" t="n">
        <v>1811</v>
      </c>
      <c r="J25" s="561" t="n">
        <v>1811</v>
      </c>
      <c r="K25" s="561" t="n">
        <v>1811</v>
      </c>
      <c r="L25" s="561" t="n">
        <v>1811</v>
      </c>
      <c r="M25" s="561" t="n">
        <v>1811</v>
      </c>
      <c r="N25" s="561" t="n">
        <v>1811</v>
      </c>
      <c r="O25" s="561" t="n">
        <v>1811</v>
      </c>
      <c r="P25" s="561" t="n">
        <v>1811</v>
      </c>
      <c r="Q25" s="561" t="n">
        <v>1811</v>
      </c>
      <c r="R25" s="561" t="n">
        <v>1811</v>
      </c>
      <c r="S25" s="561" t="n">
        <v>1811</v>
      </c>
      <c r="T25" s="561" t="n">
        <v>1811</v>
      </c>
      <c r="U25" s="561" t="n">
        <v>1811</v>
      </c>
      <c r="V25" s="561" t="n">
        <v>1811</v>
      </c>
      <c r="W25" s="561" t="n">
        <v>1811</v>
      </c>
      <c r="X25" s="561" t="n">
        <v>1815</v>
      </c>
      <c r="Y25" s="561" t="n">
        <v>1815</v>
      </c>
      <c r="Z25" s="561" t="n">
        <v>1819</v>
      </c>
      <c r="AA25" s="561" t="n">
        <v>1819</v>
      </c>
      <c r="AB25" s="561" t="n">
        <v>1819</v>
      </c>
      <c r="AC25" s="561" t="n">
        <v>1819</v>
      </c>
      <c r="AD25" s="561" t="n">
        <v>1819</v>
      </c>
      <c r="AE25" s="561" t="n">
        <v>1819</v>
      </c>
      <c r="AF25" s="561" t="n">
        <v>1819</v>
      </c>
      <c r="AG25" s="561" t="n">
        <v>1819</v>
      </c>
      <c r="AH25" s="561" t="n">
        <v>1819</v>
      </c>
      <c r="AI25" s="561" t="n">
        <v>1819</v>
      </c>
      <c r="AJ25" s="7">
        <f>AI25-D25</f>
        <v/>
      </c>
    </row>
    <row r="26" ht="14.5" customHeight="1" s="488">
      <c r="A26" s="561" t="n">
        <v>2</v>
      </c>
      <c r="B26" s="561" t="inlineStr">
        <is>
          <t>3F</t>
        </is>
      </c>
      <c r="C26" s="141" t="inlineStr">
        <is>
          <t>AHU2</t>
        </is>
      </c>
      <c r="D26" s="45" t="n">
        <v>21457</v>
      </c>
      <c r="E26" s="561" t="n">
        <v>21457</v>
      </c>
      <c r="F26" s="561" t="n">
        <v>21507</v>
      </c>
      <c r="G26" s="561" t="n">
        <v>21554</v>
      </c>
      <c r="H26" s="561" t="n">
        <v>21559</v>
      </c>
      <c r="I26" s="561" t="n">
        <v>21559</v>
      </c>
      <c r="J26" s="561" t="n">
        <v>21602</v>
      </c>
      <c r="K26" s="561" t="n">
        <v>21630</v>
      </c>
      <c r="L26" s="561" t="n">
        <v>21660</v>
      </c>
      <c r="M26" s="561" t="n">
        <v>21699</v>
      </c>
      <c r="N26" s="561" t="n">
        <v>21731</v>
      </c>
      <c r="O26" s="561" t="n">
        <v>21754</v>
      </c>
      <c r="P26" s="561" t="n">
        <v>21754</v>
      </c>
      <c r="Q26" s="561" t="n">
        <v>21784</v>
      </c>
      <c r="R26" s="561" t="n">
        <v>21818</v>
      </c>
      <c r="S26" s="561" t="n">
        <v>21881</v>
      </c>
      <c r="T26" s="561" t="n">
        <v>21926</v>
      </c>
      <c r="U26" s="561" t="n">
        <v>21974</v>
      </c>
      <c r="V26" s="561" t="n">
        <v>21989</v>
      </c>
      <c r="W26" s="561" t="n">
        <v>21989</v>
      </c>
      <c r="X26" s="561" t="n">
        <v>22057</v>
      </c>
      <c r="Y26" s="561" t="n">
        <v>22099</v>
      </c>
      <c r="Z26" s="561" t="n">
        <v>22132</v>
      </c>
      <c r="AA26" s="8" t="n">
        <v>22195</v>
      </c>
      <c r="AB26" s="8" t="n">
        <v>22243</v>
      </c>
      <c r="AC26" s="561" t="n">
        <v>22268</v>
      </c>
      <c r="AD26" s="561" t="n">
        <v>22268</v>
      </c>
      <c r="AE26" s="8" t="n">
        <v>22318</v>
      </c>
      <c r="AF26" s="8" t="n">
        <v>22365</v>
      </c>
      <c r="AG26" s="8" t="n">
        <v>22445</v>
      </c>
      <c r="AH26" s="8" t="n">
        <v>22547</v>
      </c>
      <c r="AI26" s="8" t="n">
        <v>22592</v>
      </c>
      <c r="AJ26" s="7">
        <f>AI26-D26</f>
        <v/>
      </c>
    </row>
    <row r="27" ht="14.5" customHeight="1" s="488">
      <c r="A27" s="561" t="n"/>
      <c r="B27" s="561" t="n"/>
      <c r="C27" s="142" t="inlineStr">
        <is>
          <t>DG</t>
        </is>
      </c>
      <c r="D27" s="565" t="n">
        <v>1765</v>
      </c>
      <c r="E27" s="561" t="n">
        <v>1765</v>
      </c>
      <c r="F27" s="561" t="n">
        <v>1765</v>
      </c>
      <c r="G27" s="561" t="n">
        <v>1765</v>
      </c>
      <c r="H27" s="561" t="n">
        <v>1765</v>
      </c>
      <c r="I27" s="561" t="n">
        <v>1765</v>
      </c>
      <c r="J27" s="561" t="n">
        <v>1765</v>
      </c>
      <c r="K27" s="561" t="n">
        <v>1765</v>
      </c>
      <c r="L27" s="561" t="n">
        <v>1765</v>
      </c>
      <c r="M27" s="561" t="n">
        <v>1765</v>
      </c>
      <c r="N27" s="561" t="n">
        <v>1765</v>
      </c>
      <c r="O27" s="561" t="n">
        <v>1765</v>
      </c>
      <c r="P27" s="561" t="n">
        <v>1765</v>
      </c>
      <c r="Q27" s="561" t="n">
        <v>1765</v>
      </c>
      <c r="R27" s="561" t="n">
        <v>1765</v>
      </c>
      <c r="S27" s="561" t="n">
        <v>1765</v>
      </c>
      <c r="T27" s="561" t="n">
        <v>1765</v>
      </c>
      <c r="U27" s="561" t="n">
        <v>1765</v>
      </c>
      <c r="V27" s="561" t="n">
        <v>1765</v>
      </c>
      <c r="W27" s="561" t="n">
        <v>1765</v>
      </c>
      <c r="X27" s="561" t="n">
        <v>1767</v>
      </c>
      <c r="Y27" s="561" t="n">
        <v>1767</v>
      </c>
      <c r="Z27" s="561" t="n">
        <v>1767</v>
      </c>
      <c r="AA27" s="561" t="n">
        <v>1767</v>
      </c>
      <c r="AB27" s="561" t="n">
        <v>1767</v>
      </c>
      <c r="AC27" s="561" t="n">
        <v>1767</v>
      </c>
      <c r="AD27" s="561" t="n">
        <v>1767</v>
      </c>
      <c r="AE27" s="561" t="n">
        <v>1767</v>
      </c>
      <c r="AF27" s="561" t="n">
        <v>1767</v>
      </c>
      <c r="AG27" s="561" t="n">
        <v>1767</v>
      </c>
      <c r="AH27" s="561" t="n">
        <v>1767</v>
      </c>
      <c r="AI27" s="561" t="n">
        <v>1767</v>
      </c>
      <c r="AJ27" s="7">
        <f>AI27-D27</f>
        <v/>
      </c>
    </row>
    <row r="28" ht="14.5" customHeight="1" s="488">
      <c r="A28" s="561" t="n">
        <v>3</v>
      </c>
      <c r="B28" s="561" t="inlineStr">
        <is>
          <t>3F</t>
        </is>
      </c>
      <c r="C28" s="141" t="inlineStr">
        <is>
          <t>AHU3</t>
        </is>
      </c>
      <c r="D28" s="565" t="n">
        <v>21190</v>
      </c>
      <c r="E28" s="561" t="n">
        <v>21190</v>
      </c>
      <c r="F28" s="561" t="n">
        <v>21222</v>
      </c>
      <c r="G28" s="561" t="n">
        <v>21233</v>
      </c>
      <c r="H28" s="561" t="n">
        <v>21243</v>
      </c>
      <c r="I28" s="561" t="n">
        <v>21243</v>
      </c>
      <c r="J28" s="561" t="n">
        <v>21306</v>
      </c>
      <c r="K28" s="561" t="n">
        <v>21352</v>
      </c>
      <c r="L28" s="561" t="n">
        <v>21397</v>
      </c>
      <c r="M28" s="561" t="n">
        <v>21442</v>
      </c>
      <c r="N28" s="561" t="n">
        <v>21491</v>
      </c>
      <c r="O28" s="561" t="n">
        <v>21530</v>
      </c>
      <c r="P28" s="561" t="n">
        <v>21530</v>
      </c>
      <c r="Q28" s="561" t="n">
        <v>21578</v>
      </c>
      <c r="R28" s="561" t="n">
        <v>21647</v>
      </c>
      <c r="S28" s="561" t="n">
        <v>21740</v>
      </c>
      <c r="T28" s="561" t="n">
        <v>21802</v>
      </c>
      <c r="U28" s="561" t="n">
        <v>21886</v>
      </c>
      <c r="V28" s="561" t="n">
        <v>21889</v>
      </c>
      <c r="W28" s="561" t="n">
        <v>21889</v>
      </c>
      <c r="X28" s="561" t="n">
        <v>21950</v>
      </c>
      <c r="Y28" s="561" t="n">
        <v>21951</v>
      </c>
      <c r="Z28" s="561" t="n">
        <v>22034</v>
      </c>
      <c r="AA28" s="561" t="n">
        <v>22078</v>
      </c>
      <c r="AB28" s="561" t="n">
        <v>22119</v>
      </c>
      <c r="AC28" s="561" t="n">
        <v>22143</v>
      </c>
      <c r="AD28" s="561" t="n">
        <v>22143</v>
      </c>
      <c r="AE28" s="561" t="n">
        <v>22187</v>
      </c>
      <c r="AF28" s="561" t="n">
        <v>22229</v>
      </c>
      <c r="AG28" s="561" t="n">
        <v>22301</v>
      </c>
      <c r="AH28" s="561" t="n">
        <v>22416</v>
      </c>
      <c r="AI28" s="561" t="n">
        <v>22468</v>
      </c>
      <c r="AJ28" s="7">
        <f>AI28-D28</f>
        <v/>
      </c>
    </row>
    <row r="29" ht="14.5" customHeight="1" s="488">
      <c r="A29" s="561" t="n"/>
      <c r="B29" s="561" t="n"/>
      <c r="C29" s="142" t="inlineStr">
        <is>
          <t>DG</t>
        </is>
      </c>
      <c r="D29" s="561" t="n">
        <v>1859</v>
      </c>
      <c r="E29" s="561" t="n">
        <v>1859</v>
      </c>
      <c r="F29" s="561" t="n">
        <v>1859</v>
      </c>
      <c r="G29" s="561" t="n">
        <v>1859</v>
      </c>
      <c r="H29" s="561" t="n">
        <v>1859</v>
      </c>
      <c r="I29" s="561" t="n">
        <v>1859</v>
      </c>
      <c r="J29" s="561" t="n">
        <v>1859</v>
      </c>
      <c r="K29" s="561" t="n">
        <v>1859</v>
      </c>
      <c r="L29" s="561" t="n">
        <v>1859</v>
      </c>
      <c r="M29" s="561" t="n">
        <v>1859</v>
      </c>
      <c r="N29" s="561" t="n">
        <v>1859</v>
      </c>
      <c r="O29" s="561" t="n">
        <v>1859</v>
      </c>
      <c r="P29" s="561" t="n">
        <v>1859</v>
      </c>
      <c r="Q29" s="561" t="n">
        <v>1859</v>
      </c>
      <c r="R29" s="561" t="n">
        <v>1859</v>
      </c>
      <c r="S29" s="561" t="n">
        <v>1859</v>
      </c>
      <c r="T29" s="561" t="n">
        <v>1859</v>
      </c>
      <c r="U29" s="561" t="n">
        <v>1859</v>
      </c>
      <c r="V29" s="561" t="n">
        <v>1859</v>
      </c>
      <c r="W29" s="561" t="n">
        <v>1859</v>
      </c>
      <c r="X29" s="561" t="n">
        <v>1861</v>
      </c>
      <c r="Y29" s="561" t="n">
        <v>1861</v>
      </c>
      <c r="Z29" s="561" t="n">
        <v>1864</v>
      </c>
      <c r="AA29" s="561" t="n">
        <v>1864</v>
      </c>
      <c r="AB29" s="561" t="n">
        <v>1864</v>
      </c>
      <c r="AC29" s="561" t="n">
        <v>1864</v>
      </c>
      <c r="AD29" s="561" t="n">
        <v>1864</v>
      </c>
      <c r="AE29" s="561" t="n">
        <v>1864</v>
      </c>
      <c r="AF29" s="561" t="n">
        <v>1864</v>
      </c>
      <c r="AG29" s="561" t="n">
        <v>1864</v>
      </c>
      <c r="AH29" s="561" t="n">
        <v>1864</v>
      </c>
      <c r="AI29" s="561" t="n">
        <v>1864</v>
      </c>
      <c r="AJ29" s="7">
        <f>AI29-D29</f>
        <v/>
      </c>
    </row>
    <row r="30" ht="14.5" customHeight="1" s="488">
      <c r="A30" s="561" t="n">
        <v>4</v>
      </c>
      <c r="B30" s="561" t="inlineStr">
        <is>
          <t>3F</t>
        </is>
      </c>
      <c r="C30" s="141" t="inlineStr">
        <is>
          <t>AHU4</t>
        </is>
      </c>
      <c r="D30" s="45" t="n">
        <v>19720</v>
      </c>
      <c r="E30" s="561" t="n">
        <v>19720</v>
      </c>
      <c r="F30" s="561" t="n">
        <v>19722</v>
      </c>
      <c r="G30" s="561" t="n">
        <v>19722</v>
      </c>
      <c r="H30" s="561" t="n">
        <v>19727</v>
      </c>
      <c r="I30" s="561" t="n">
        <v>19727</v>
      </c>
      <c r="J30" s="561" t="n">
        <v>19775</v>
      </c>
      <c r="K30" s="561" t="n">
        <v>19817</v>
      </c>
      <c r="L30" s="561" t="n">
        <v>19858</v>
      </c>
      <c r="M30" s="561" t="n">
        <v>19899</v>
      </c>
      <c r="N30" s="561" t="n">
        <v>19945</v>
      </c>
      <c r="O30" s="561" t="n">
        <v>19960</v>
      </c>
      <c r="P30" s="561" t="n">
        <v>19960</v>
      </c>
      <c r="Q30" s="561" t="n">
        <v>20004</v>
      </c>
      <c r="R30" s="561" t="n">
        <v>20072</v>
      </c>
      <c r="S30" s="561" t="n">
        <v>20142</v>
      </c>
      <c r="T30" s="561" t="n">
        <v>20198</v>
      </c>
      <c r="U30" s="561" t="n">
        <v>20251</v>
      </c>
      <c r="V30" s="561" t="n">
        <v>20263</v>
      </c>
      <c r="W30" s="561" t="n">
        <v>20263</v>
      </c>
      <c r="X30" s="561" t="n">
        <v>20325</v>
      </c>
      <c r="Y30" s="561" t="n">
        <v>20365</v>
      </c>
      <c r="Z30" s="561" t="n">
        <v>20410</v>
      </c>
      <c r="AA30" s="561" t="n">
        <v>20454</v>
      </c>
      <c r="AB30" s="561" t="n">
        <v>20496</v>
      </c>
      <c r="AC30" s="561" t="n">
        <v>20500</v>
      </c>
      <c r="AD30" s="561" t="n">
        <v>20500</v>
      </c>
      <c r="AE30" s="561" t="n">
        <v>20534</v>
      </c>
      <c r="AF30" s="561" t="n">
        <v>20567</v>
      </c>
      <c r="AG30" s="561" t="n">
        <v>20626</v>
      </c>
      <c r="AH30" s="8" t="n">
        <v>20680</v>
      </c>
      <c r="AI30" s="8" t="n">
        <v>20730</v>
      </c>
      <c r="AJ30" s="7">
        <f>AI30-D30</f>
        <v/>
      </c>
    </row>
    <row r="31" ht="14.5" customHeight="1" s="488">
      <c r="A31" s="561" t="n"/>
      <c r="B31" s="561" t="n"/>
      <c r="C31" s="142" t="inlineStr">
        <is>
          <t>DG</t>
        </is>
      </c>
      <c r="D31" s="561" t="n">
        <v>1668</v>
      </c>
      <c r="E31" s="561" t="n">
        <v>1668</v>
      </c>
      <c r="F31" s="561" t="n">
        <v>1668</v>
      </c>
      <c r="G31" s="561" t="n">
        <v>1668</v>
      </c>
      <c r="H31" s="561" t="n">
        <v>1668</v>
      </c>
      <c r="I31" s="561" t="n">
        <v>1668</v>
      </c>
      <c r="J31" s="561" t="n">
        <v>1668</v>
      </c>
      <c r="K31" s="561" t="n">
        <v>1668</v>
      </c>
      <c r="L31" s="561" t="n">
        <v>1668</v>
      </c>
      <c r="M31" s="561" t="n">
        <v>1668</v>
      </c>
      <c r="N31" s="561" t="n">
        <v>1668</v>
      </c>
      <c r="O31" s="561" t="n">
        <v>1668</v>
      </c>
      <c r="P31" s="561" t="n">
        <v>1668</v>
      </c>
      <c r="Q31" s="561" t="n">
        <v>1668</v>
      </c>
      <c r="R31" s="561" t="n">
        <v>1668</v>
      </c>
      <c r="S31" s="561" t="n">
        <v>1668</v>
      </c>
      <c r="T31" s="561" t="n">
        <v>1668</v>
      </c>
      <c r="U31" s="561" t="n">
        <v>1668</v>
      </c>
      <c r="V31" s="561" t="n">
        <v>1668</v>
      </c>
      <c r="W31" s="561" t="n">
        <v>1668</v>
      </c>
      <c r="X31" s="561" t="n">
        <v>1671</v>
      </c>
      <c r="Y31" s="561" t="n">
        <v>1671</v>
      </c>
      <c r="Z31" s="561" t="n">
        <v>1673</v>
      </c>
      <c r="AA31" s="561" t="n">
        <v>1673</v>
      </c>
      <c r="AB31" s="561" t="n">
        <v>1673</v>
      </c>
      <c r="AC31" s="561" t="n">
        <v>1673</v>
      </c>
      <c r="AD31" s="561" t="n">
        <v>1673</v>
      </c>
      <c r="AE31" s="561" t="n">
        <v>1673</v>
      </c>
      <c r="AF31" s="561" t="n">
        <v>1673</v>
      </c>
      <c r="AG31" s="561" t="n">
        <v>1673</v>
      </c>
      <c r="AH31" s="561" t="n">
        <v>1673</v>
      </c>
      <c r="AI31" s="561" t="n">
        <v>1673</v>
      </c>
      <c r="AJ31" s="7">
        <f>AI31-D31</f>
        <v/>
      </c>
    </row>
    <row r="32" ht="14.5" customHeight="1" s="488">
      <c r="A32" s="561" t="n"/>
      <c r="B32" s="520" t="n"/>
      <c r="C32" s="520" t="n"/>
      <c r="D32" s="520" t="n"/>
      <c r="E32" s="520" t="n"/>
      <c r="F32" s="520" t="n"/>
      <c r="G32" s="520" t="n"/>
      <c r="H32" s="520" t="n"/>
      <c r="I32" s="520" t="n"/>
      <c r="J32" s="520" t="n"/>
      <c r="K32" s="520" t="n"/>
      <c r="L32" s="520" t="n"/>
      <c r="M32" s="520" t="n"/>
      <c r="N32" s="520" t="n"/>
      <c r="O32" s="520" t="n"/>
      <c r="P32" s="520" t="n"/>
      <c r="Q32" s="520" t="n"/>
      <c r="R32" s="520" t="n"/>
      <c r="S32" s="520" t="n"/>
      <c r="T32" s="520" t="n"/>
      <c r="U32" s="520" t="n"/>
      <c r="V32" s="520" t="n"/>
      <c r="W32" s="520" t="n"/>
      <c r="X32" s="520" t="n"/>
      <c r="Y32" s="520" t="n"/>
      <c r="Z32" s="520" t="n"/>
      <c r="AA32" s="520" t="n"/>
      <c r="AB32" s="520" t="n"/>
      <c r="AC32" s="520" t="n"/>
      <c r="AD32" s="520" t="n"/>
      <c r="AE32" s="520" t="n"/>
      <c r="AF32" s="520" t="n"/>
      <c r="AG32" s="520" t="n"/>
      <c r="AH32" s="520" t="n"/>
      <c r="AI32" s="520" t="n"/>
      <c r="AJ32" s="501" t="n"/>
    </row>
    <row r="33" ht="14.5" customHeight="1" s="488">
      <c r="A33" s="561" t="n">
        <v>1</v>
      </c>
      <c r="B33" s="561" t="inlineStr">
        <is>
          <t>3F</t>
        </is>
      </c>
      <c r="C33" s="141" t="inlineStr">
        <is>
          <t>AHU1 - BTU</t>
        </is>
      </c>
      <c r="D33" s="46" t="n">
        <v>180287</v>
      </c>
      <c r="E33" s="40" t="n">
        <v>180287</v>
      </c>
      <c r="F33" s="10" t="n">
        <v>180602</v>
      </c>
      <c r="G33" s="10" t="n">
        <v>180739</v>
      </c>
      <c r="H33" s="10" t="n">
        <v>180806</v>
      </c>
      <c r="I33" s="10" t="n">
        <v>180806</v>
      </c>
      <c r="J33" s="10" t="n">
        <v>181385</v>
      </c>
      <c r="K33" s="10" t="n">
        <v>181840</v>
      </c>
      <c r="L33" s="10" t="n">
        <v>182294</v>
      </c>
      <c r="M33" s="10" t="n">
        <v>182720</v>
      </c>
      <c r="N33" s="11" t="n">
        <v>183099</v>
      </c>
      <c r="O33" s="11" t="n">
        <v>183223</v>
      </c>
      <c r="P33" s="11" t="n">
        <v>183223</v>
      </c>
      <c r="Q33" s="11" t="n">
        <v>183613</v>
      </c>
      <c r="R33" s="11" t="n">
        <v>184044</v>
      </c>
      <c r="S33" s="11" t="n">
        <v>184481</v>
      </c>
      <c r="T33" s="11" t="n">
        <v>184780</v>
      </c>
      <c r="U33" s="11" t="n">
        <v>185168</v>
      </c>
      <c r="V33" s="11" t="n">
        <v>185300</v>
      </c>
      <c r="W33" s="11" t="n">
        <v>185300</v>
      </c>
      <c r="X33" s="11" t="n">
        <v>185975</v>
      </c>
      <c r="Y33" s="11" t="n">
        <v>186606</v>
      </c>
      <c r="Z33" s="11" t="n">
        <v>187122</v>
      </c>
      <c r="AA33" s="11" t="n">
        <v>187723</v>
      </c>
      <c r="AB33" s="11" t="n">
        <v>188169</v>
      </c>
      <c r="AC33" s="11" t="n">
        <v>188342</v>
      </c>
      <c r="AD33" s="11" t="n">
        <v>188342</v>
      </c>
      <c r="AE33" s="11" t="n">
        <v>188941</v>
      </c>
      <c r="AF33" s="11" t="n">
        <v>189477</v>
      </c>
      <c r="AG33" s="11" t="n">
        <v>190008</v>
      </c>
      <c r="AH33" s="40" t="n">
        <v>190510</v>
      </c>
      <c r="AI33" s="40" t="n">
        <v>190977</v>
      </c>
      <c r="AJ33" s="7">
        <f>AI33-D33</f>
        <v/>
      </c>
    </row>
    <row r="34" ht="14.5" customHeight="1" s="488">
      <c r="A34" s="561" t="n">
        <v>2</v>
      </c>
      <c r="B34" s="561" t="inlineStr">
        <is>
          <t>3F</t>
        </is>
      </c>
      <c r="C34" s="141" t="inlineStr">
        <is>
          <t>AHU2 - BTU</t>
        </is>
      </c>
      <c r="D34" s="46" t="n">
        <v>192836</v>
      </c>
      <c r="E34" s="10" t="n">
        <v>192836</v>
      </c>
      <c r="F34" s="10" t="n">
        <v>192959</v>
      </c>
      <c r="G34" s="10" t="n">
        <v>193151</v>
      </c>
      <c r="H34" s="10" t="n">
        <v>193177</v>
      </c>
      <c r="I34" s="10" t="n">
        <v>193177</v>
      </c>
      <c r="J34" s="10" t="n">
        <v>193510</v>
      </c>
      <c r="K34" s="10" t="n">
        <v>193787</v>
      </c>
      <c r="L34" s="10" t="n">
        <v>194107</v>
      </c>
      <c r="M34" s="10" t="n">
        <v>194529</v>
      </c>
      <c r="N34" s="10" t="n">
        <v>194760</v>
      </c>
      <c r="O34" s="11" t="n">
        <v>194877</v>
      </c>
      <c r="P34" s="11" t="n">
        <v>194877</v>
      </c>
      <c r="Q34" s="11" t="n">
        <v>195116</v>
      </c>
      <c r="R34" s="11" t="n">
        <v>195338</v>
      </c>
      <c r="S34" s="11" t="n">
        <v>195619</v>
      </c>
      <c r="T34" s="11" t="n">
        <v>195891</v>
      </c>
      <c r="U34" s="11" t="n">
        <v>196174</v>
      </c>
      <c r="V34" s="11" t="n">
        <v>196321</v>
      </c>
      <c r="W34" s="11" t="n">
        <v>196321</v>
      </c>
      <c r="X34" s="11" t="n">
        <v>196795</v>
      </c>
      <c r="Y34" s="11" t="n">
        <v>197253</v>
      </c>
      <c r="Z34" s="11" t="n">
        <v>197689</v>
      </c>
      <c r="AA34" s="11" t="n">
        <v>198155</v>
      </c>
      <c r="AB34" s="11" t="n">
        <v>198556</v>
      </c>
      <c r="AC34" s="11" t="n">
        <v>198704</v>
      </c>
      <c r="AD34" s="11" t="n">
        <v>198704</v>
      </c>
      <c r="AE34" s="11" t="n">
        <v>199202</v>
      </c>
      <c r="AF34" s="11" t="n">
        <v>199722</v>
      </c>
      <c r="AG34" s="11" t="n">
        <v>200149</v>
      </c>
      <c r="AH34" s="40" t="n">
        <v>200595</v>
      </c>
      <c r="AI34" s="40" t="n">
        <v>200908</v>
      </c>
      <c r="AJ34" s="7">
        <f>AI34-D34</f>
        <v/>
      </c>
    </row>
    <row r="35" ht="14.5" customHeight="1" s="488">
      <c r="A35" s="561" t="n">
        <v>3</v>
      </c>
      <c r="B35" s="561" t="inlineStr">
        <is>
          <t>3F</t>
        </is>
      </c>
      <c r="C35" s="141" t="inlineStr">
        <is>
          <t>AHU3 - BTU</t>
        </is>
      </c>
      <c r="D35" s="46" t="n">
        <v>194316</v>
      </c>
      <c r="E35" s="10" t="n">
        <v>194316</v>
      </c>
      <c r="F35" s="10" t="n">
        <v>194345</v>
      </c>
      <c r="G35" s="10" t="n">
        <v>194364</v>
      </c>
      <c r="H35" s="10" t="n">
        <v>194385</v>
      </c>
      <c r="I35" s="10" t="n">
        <v>194385</v>
      </c>
      <c r="J35" s="10" t="n">
        <v>194540</v>
      </c>
      <c r="K35" s="10" t="n">
        <v>194818</v>
      </c>
      <c r="L35" s="10" t="n">
        <v>195282</v>
      </c>
      <c r="M35" s="10" t="n">
        <v>195767</v>
      </c>
      <c r="N35" s="10" t="n">
        <v>196021</v>
      </c>
      <c r="O35" s="11" t="n">
        <v>196145</v>
      </c>
      <c r="P35" s="11" t="n">
        <v>196145</v>
      </c>
      <c r="Q35" s="11" t="n">
        <v>196448</v>
      </c>
      <c r="R35" s="11" t="n">
        <v>196567</v>
      </c>
      <c r="S35" s="11" t="n">
        <v>196746</v>
      </c>
      <c r="T35" s="11" t="n">
        <v>196947</v>
      </c>
      <c r="U35" s="11" t="n">
        <v>197284</v>
      </c>
      <c r="V35" s="11" t="n">
        <v>197484</v>
      </c>
      <c r="W35" s="11" t="n">
        <v>197484</v>
      </c>
      <c r="X35" s="11" t="n">
        <v>197852</v>
      </c>
      <c r="Y35" s="11" t="n">
        <v>198113</v>
      </c>
      <c r="Z35" s="11" t="n">
        <v>198544</v>
      </c>
      <c r="AA35" s="11" t="n">
        <v>199084</v>
      </c>
      <c r="AB35" s="11" t="n">
        <v>199311</v>
      </c>
      <c r="AC35" s="11" t="n">
        <v>199405</v>
      </c>
      <c r="AD35" s="11" t="n">
        <v>199705</v>
      </c>
      <c r="AE35" s="11" t="n">
        <v>199679</v>
      </c>
      <c r="AF35" s="11" t="n">
        <v>199959</v>
      </c>
      <c r="AG35" s="11" t="n">
        <v>200249</v>
      </c>
      <c r="AH35" s="40" t="n">
        <v>200612</v>
      </c>
      <c r="AI35" s="40" t="n">
        <v>200887</v>
      </c>
      <c r="AJ35" s="7">
        <f>AI35-D35</f>
        <v/>
      </c>
    </row>
    <row r="36" ht="14.5" customHeight="1" s="488">
      <c r="A36" s="561" t="n">
        <v>4</v>
      </c>
      <c r="B36" s="561" t="inlineStr">
        <is>
          <t>3F</t>
        </is>
      </c>
      <c r="C36" s="141" t="inlineStr">
        <is>
          <t>AHU4 - BTU</t>
        </is>
      </c>
      <c r="D36" s="46" t="n">
        <v>211795</v>
      </c>
      <c r="E36" s="10" t="n">
        <v>211806</v>
      </c>
      <c r="F36" s="10" t="n">
        <v>211812</v>
      </c>
      <c r="G36" s="10" t="n">
        <v>211815</v>
      </c>
      <c r="H36" s="10" t="n">
        <v>211820</v>
      </c>
      <c r="I36" s="10" t="n">
        <v>211820</v>
      </c>
      <c r="J36" s="10" t="n">
        <v>212056</v>
      </c>
      <c r="K36" s="10" t="n">
        <v>212229</v>
      </c>
      <c r="L36" s="10" t="n">
        <v>212560</v>
      </c>
      <c r="M36" s="10" t="n">
        <v>212999</v>
      </c>
      <c r="N36" s="11" t="n">
        <v>213101</v>
      </c>
      <c r="O36" s="11" t="n">
        <v>213107</v>
      </c>
      <c r="P36" s="11" t="n">
        <v>213107</v>
      </c>
      <c r="Q36" s="11" t="n">
        <v>213261</v>
      </c>
      <c r="R36" s="11" t="n">
        <v>213434</v>
      </c>
      <c r="S36" s="11" t="n">
        <v>213615</v>
      </c>
      <c r="T36" s="11" t="n">
        <v>213825</v>
      </c>
      <c r="U36" s="11" t="n">
        <v>214148</v>
      </c>
      <c r="V36" s="11" t="n">
        <v>214227</v>
      </c>
      <c r="W36" s="11" t="n">
        <v>214227</v>
      </c>
      <c r="X36" s="11" t="n">
        <v>214826</v>
      </c>
      <c r="Y36" s="11" t="n">
        <v>215348</v>
      </c>
      <c r="Z36" s="11" t="n">
        <v>215793</v>
      </c>
      <c r="AA36" s="11" t="n">
        <v>216288</v>
      </c>
      <c r="AB36" s="11" t="n">
        <v>216693</v>
      </c>
      <c r="AC36" s="11" t="n">
        <v>216778</v>
      </c>
      <c r="AD36" s="11" t="n">
        <v>216778</v>
      </c>
      <c r="AE36" s="11" t="n">
        <v>217299</v>
      </c>
      <c r="AF36" s="11" t="n">
        <v>217763</v>
      </c>
      <c r="AG36" s="11" t="n">
        <v>218251</v>
      </c>
      <c r="AH36" s="40" t="n">
        <v>218678</v>
      </c>
      <c r="AI36" s="40" t="n">
        <v>219082</v>
      </c>
      <c r="AJ36" s="7">
        <f>AI36-D36</f>
        <v/>
      </c>
    </row>
    <row r="37" ht="14.5" customHeight="1" s="488">
      <c r="A37" s="134" t="n"/>
      <c r="B37" s="134" t="n"/>
      <c r="D37" s="135" t="n"/>
      <c r="E37" s="13" t="n"/>
      <c r="F37" s="134" t="n"/>
      <c r="G37" s="134" t="n"/>
      <c r="H37" s="134" t="n"/>
      <c r="I37" s="134" t="n"/>
      <c r="J37" s="134" t="n"/>
      <c r="K37" s="134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6" t="n"/>
      <c r="AD37" s="134" t="n"/>
      <c r="AE37" s="134" t="n"/>
      <c r="AF37" s="134" t="n"/>
      <c r="AG37" s="134" t="n"/>
      <c r="AH37" s="134" t="n"/>
      <c r="AI37" s="134" t="n"/>
      <c r="AJ37" s="136" t="n"/>
    </row>
    <row r="38" ht="14.5" customHeight="1" s="488">
      <c r="A38" s="14" t="n"/>
      <c r="B38" s="137" t="n"/>
      <c r="C38" s="144" t="n"/>
      <c r="D38" s="138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</row>
    <row r="39" ht="14.5" customHeight="1" s="488">
      <c r="A39" s="93" t="n"/>
      <c r="B39" s="539" t="inlineStr">
        <is>
          <t xml:space="preserve"> Daily Energy Report</t>
        </is>
      </c>
      <c r="C39" s="520" t="n"/>
      <c r="D39" s="501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</row>
    <row r="40" ht="14.5" customHeight="1" s="488">
      <c r="A40" s="94" t="n"/>
      <c r="B40" s="534" t="inlineStr">
        <is>
          <t>Electricity Consumption</t>
        </is>
      </c>
      <c r="C40" s="520" t="n"/>
      <c r="D40" s="501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  <c r="AJ40" s="94" t="n"/>
    </row>
    <row r="41" ht="13" customHeight="1" s="488">
      <c r="A41" s="533" t="inlineStr">
        <is>
          <t>Sr.No</t>
        </is>
      </c>
      <c r="B41" s="533" t="inlineStr">
        <is>
          <t>Location</t>
        </is>
      </c>
      <c r="C41" s="533" t="inlineStr">
        <is>
          <t>Meter</t>
        </is>
      </c>
      <c r="D41" s="522" t="n"/>
      <c r="E41" s="95">
        <f>E3</f>
        <v/>
      </c>
      <c r="F41" s="95">
        <f>F3</f>
        <v/>
      </c>
      <c r="G41" s="95">
        <f>G3</f>
        <v/>
      </c>
      <c r="H41" s="95">
        <f>H3</f>
        <v/>
      </c>
      <c r="I41" s="95">
        <f>I3</f>
        <v/>
      </c>
      <c r="J41" s="95">
        <f>J3</f>
        <v/>
      </c>
      <c r="K41" s="95">
        <f>K3</f>
        <v/>
      </c>
      <c r="L41" s="95">
        <f>L3</f>
        <v/>
      </c>
      <c r="M41" s="95">
        <f>M3</f>
        <v/>
      </c>
      <c r="N41" s="95">
        <f>N3</f>
        <v/>
      </c>
      <c r="O41" s="95">
        <f>O3</f>
        <v/>
      </c>
      <c r="P41" s="95">
        <f>P3</f>
        <v/>
      </c>
      <c r="Q41" s="95">
        <f>Q3</f>
        <v/>
      </c>
      <c r="R41" s="95">
        <f>R3</f>
        <v/>
      </c>
      <c r="S41" s="95">
        <f>S3</f>
        <v/>
      </c>
      <c r="T41" s="95">
        <f>T3</f>
        <v/>
      </c>
      <c r="U41" s="95">
        <f>U3</f>
        <v/>
      </c>
      <c r="V41" s="95">
        <f>V3</f>
        <v/>
      </c>
      <c r="W41" s="95">
        <f>W3</f>
        <v/>
      </c>
      <c r="X41" s="95">
        <f>X3</f>
        <v/>
      </c>
      <c r="Y41" s="95">
        <f>Y3</f>
        <v/>
      </c>
      <c r="Z41" s="95">
        <f>Z3</f>
        <v/>
      </c>
      <c r="AA41" s="95">
        <f>AA3</f>
        <v/>
      </c>
      <c r="AB41" s="95">
        <f>AB3</f>
        <v/>
      </c>
      <c r="AC41" s="95">
        <f>AC3</f>
        <v/>
      </c>
      <c r="AD41" s="95">
        <f>AD3</f>
        <v/>
      </c>
      <c r="AE41" s="95">
        <f>AE3</f>
        <v/>
      </c>
      <c r="AF41" s="95">
        <f>AF3</f>
        <v/>
      </c>
      <c r="AG41" s="95">
        <f>AG3</f>
        <v/>
      </c>
      <c r="AH41" s="95">
        <f>AH3</f>
        <v/>
      </c>
      <c r="AI41" s="95">
        <f>AI3</f>
        <v/>
      </c>
      <c r="AJ41" s="533" t="inlineStr">
        <is>
          <t>Consumption</t>
        </is>
      </c>
    </row>
    <row r="42" ht="13" customHeight="1" s="488">
      <c r="A42" s="516" t="n"/>
      <c r="B42" s="516" t="n"/>
      <c r="C42" s="523" t="n"/>
      <c r="D42" s="524" t="n"/>
      <c r="E42" s="96">
        <f>E4</f>
        <v/>
      </c>
      <c r="F42" s="96">
        <f>F4</f>
        <v/>
      </c>
      <c r="G42" s="96">
        <f>G4</f>
        <v/>
      </c>
      <c r="H42" s="96">
        <f>H4</f>
        <v/>
      </c>
      <c r="I42" s="96">
        <f>I4</f>
        <v/>
      </c>
      <c r="J42" s="96">
        <f>J4</f>
        <v/>
      </c>
      <c r="K42" s="96">
        <f>K4</f>
        <v/>
      </c>
      <c r="L42" s="96">
        <f>L4</f>
        <v/>
      </c>
      <c r="M42" s="96">
        <f>M4</f>
        <v/>
      </c>
      <c r="N42" s="96">
        <f>N4</f>
        <v/>
      </c>
      <c r="O42" s="96">
        <f>O4</f>
        <v/>
      </c>
      <c r="P42" s="96">
        <f>P4</f>
        <v/>
      </c>
      <c r="Q42" s="96">
        <f>Q4</f>
        <v/>
      </c>
      <c r="R42" s="96">
        <f>R4</f>
        <v/>
      </c>
      <c r="S42" s="96">
        <f>S4</f>
        <v/>
      </c>
      <c r="T42" s="96">
        <f>T4</f>
        <v/>
      </c>
      <c r="U42" s="96">
        <f>U4</f>
        <v/>
      </c>
      <c r="V42" s="96">
        <f>V4</f>
        <v/>
      </c>
      <c r="W42" s="96">
        <f>W4</f>
        <v/>
      </c>
      <c r="X42" s="96">
        <f>X4</f>
        <v/>
      </c>
      <c r="Y42" s="96">
        <f>Y4</f>
        <v/>
      </c>
      <c r="Z42" s="96">
        <f>Z4</f>
        <v/>
      </c>
      <c r="AA42" s="96">
        <f>AA4</f>
        <v/>
      </c>
      <c r="AB42" s="96">
        <f>AB4</f>
        <v/>
      </c>
      <c r="AC42" s="96">
        <f>AC4</f>
        <v/>
      </c>
      <c r="AD42" s="96">
        <f>AD4</f>
        <v/>
      </c>
      <c r="AE42" s="96">
        <f>AE4</f>
        <v/>
      </c>
      <c r="AF42" s="96">
        <f>AF4</f>
        <v/>
      </c>
      <c r="AG42" s="96">
        <f>AG4</f>
        <v/>
      </c>
      <c r="AH42" s="96">
        <f>AH4</f>
        <v/>
      </c>
      <c r="AI42" s="96">
        <f>AI4</f>
        <v/>
      </c>
      <c r="AJ42" s="516" t="n"/>
    </row>
    <row r="43" ht="13" customHeight="1" s="488">
      <c r="A43" s="516" t="n"/>
      <c r="B43" s="516" t="n"/>
      <c r="C43" s="523" t="n"/>
      <c r="D43" s="524" t="n"/>
      <c r="E43" s="97" t="inlineStr">
        <is>
          <t>Time</t>
        </is>
      </c>
      <c r="F43" s="97" t="inlineStr">
        <is>
          <t>Time</t>
        </is>
      </c>
      <c r="G43" s="97" t="inlineStr">
        <is>
          <t>Time</t>
        </is>
      </c>
      <c r="H43" s="97" t="inlineStr">
        <is>
          <t>Time</t>
        </is>
      </c>
      <c r="I43" s="97" t="inlineStr">
        <is>
          <t>Time</t>
        </is>
      </c>
      <c r="J43" s="97" t="inlineStr">
        <is>
          <t>Time</t>
        </is>
      </c>
      <c r="K43" s="97" t="inlineStr">
        <is>
          <t>Time</t>
        </is>
      </c>
      <c r="L43" s="97" t="inlineStr">
        <is>
          <t>Time</t>
        </is>
      </c>
      <c r="M43" s="97" t="inlineStr">
        <is>
          <t>Time</t>
        </is>
      </c>
      <c r="N43" s="97" t="inlineStr">
        <is>
          <t>Time</t>
        </is>
      </c>
      <c r="O43" s="97" t="inlineStr">
        <is>
          <t>Time</t>
        </is>
      </c>
      <c r="P43" s="97" t="inlineStr">
        <is>
          <t>Time</t>
        </is>
      </c>
      <c r="Q43" s="97" t="inlineStr">
        <is>
          <t>Time</t>
        </is>
      </c>
      <c r="R43" s="97" t="inlineStr">
        <is>
          <t>Time</t>
        </is>
      </c>
      <c r="S43" s="97" t="inlineStr">
        <is>
          <t>Time</t>
        </is>
      </c>
      <c r="T43" s="97" t="inlineStr">
        <is>
          <t>Time</t>
        </is>
      </c>
      <c r="U43" s="97" t="inlineStr">
        <is>
          <t>Time</t>
        </is>
      </c>
      <c r="V43" s="97" t="inlineStr">
        <is>
          <t>Time</t>
        </is>
      </c>
      <c r="W43" s="97" t="inlineStr">
        <is>
          <t>Time</t>
        </is>
      </c>
      <c r="X43" s="97" t="inlineStr">
        <is>
          <t>Time</t>
        </is>
      </c>
      <c r="Y43" s="97" t="inlineStr">
        <is>
          <t>Time</t>
        </is>
      </c>
      <c r="Z43" s="97" t="inlineStr">
        <is>
          <t>Time</t>
        </is>
      </c>
      <c r="AA43" s="97" t="inlineStr">
        <is>
          <t>Time</t>
        </is>
      </c>
      <c r="AB43" s="97" t="inlineStr">
        <is>
          <t>Time</t>
        </is>
      </c>
      <c r="AC43" s="97" t="inlineStr">
        <is>
          <t>Time</t>
        </is>
      </c>
      <c r="AD43" s="97" t="inlineStr">
        <is>
          <t>Time</t>
        </is>
      </c>
      <c r="AE43" s="97" t="inlineStr">
        <is>
          <t>Time</t>
        </is>
      </c>
      <c r="AF43" s="97" t="inlineStr">
        <is>
          <t>Time</t>
        </is>
      </c>
      <c r="AG43" s="97" t="inlineStr">
        <is>
          <t>Time</t>
        </is>
      </c>
      <c r="AH43" s="95">
        <f>AH5</f>
        <v/>
      </c>
      <c r="AI43" s="97" t="inlineStr">
        <is>
          <t>Time</t>
        </is>
      </c>
      <c r="AJ43" s="516" t="n"/>
    </row>
    <row r="44" ht="13" customHeight="1" s="488">
      <c r="A44" s="517" t="n"/>
      <c r="B44" s="517" t="n"/>
      <c r="C44" s="525" t="n"/>
      <c r="D44" s="526" t="n"/>
      <c r="E44" s="98" t="n">
        <v>0.3333333333333333</v>
      </c>
      <c r="F44" s="98" t="n">
        <v>0.3333333333333333</v>
      </c>
      <c r="G44" s="98" t="n">
        <v>0.3333333333333333</v>
      </c>
      <c r="H44" s="98" t="n">
        <v>0.3333333333333333</v>
      </c>
      <c r="I44" s="98" t="n">
        <v>0.3333333333333333</v>
      </c>
      <c r="J44" s="98" t="n">
        <v>0.3333333333333333</v>
      </c>
      <c r="K44" s="98" t="n">
        <v>0.3333333333333333</v>
      </c>
      <c r="L44" s="98" t="n">
        <v>0.3333333333333333</v>
      </c>
      <c r="M44" s="98" t="n">
        <v>0.3333333333333333</v>
      </c>
      <c r="N44" s="98" t="n">
        <v>0.3333333333333333</v>
      </c>
      <c r="O44" s="98" t="n">
        <v>0.3333333333333333</v>
      </c>
      <c r="P44" s="98" t="n">
        <v>0.3333333333333333</v>
      </c>
      <c r="Q44" s="98" t="n">
        <v>0.3333333333333333</v>
      </c>
      <c r="R44" s="98" t="n">
        <v>0.3333333333333333</v>
      </c>
      <c r="S44" s="98" t="n">
        <v>0.3333333333333333</v>
      </c>
      <c r="T44" s="98" t="n">
        <v>0.3333333333333333</v>
      </c>
      <c r="U44" s="98" t="n">
        <v>0.3333333333333333</v>
      </c>
      <c r="V44" s="98" t="n">
        <v>0.3333333333333333</v>
      </c>
      <c r="W44" s="98" t="n">
        <v>0.3333333333333333</v>
      </c>
      <c r="X44" s="98" t="n">
        <v>0.3333333333333333</v>
      </c>
      <c r="Y44" s="98" t="n">
        <v>0.3333333333333333</v>
      </c>
      <c r="Z44" s="98" t="n">
        <v>0.3333333333333333</v>
      </c>
      <c r="AA44" s="98" t="n">
        <v>0.3333333333333333</v>
      </c>
      <c r="AB44" s="98" t="n">
        <v>0.3333333333333333</v>
      </c>
      <c r="AC44" s="98" t="n">
        <v>0.3333333333333333</v>
      </c>
      <c r="AD44" s="98" t="n">
        <v>0.3333333333333333</v>
      </c>
      <c r="AE44" s="98" t="n">
        <v>0.3333333333333333</v>
      </c>
      <c r="AF44" s="98" t="n">
        <v>0.3333333333333333</v>
      </c>
      <c r="AG44" s="98" t="n">
        <v>0.3333333333333333</v>
      </c>
      <c r="AH44" s="98" t="n">
        <v>0.3333333333333333</v>
      </c>
      <c r="AI44" s="98" t="n">
        <v>0.3333333333333333</v>
      </c>
      <c r="AJ44" s="517" t="n"/>
    </row>
    <row r="45" ht="15" customHeight="1" s="488">
      <c r="A45" s="500" t="n">
        <v>1</v>
      </c>
      <c r="B45" s="500" t="inlineStr">
        <is>
          <t>3F</t>
        </is>
      </c>
      <c r="C45" s="500" t="inlineStr">
        <is>
          <t>SL No 540430038840 (EB Unit)</t>
        </is>
      </c>
      <c r="D45" s="501" t="n"/>
      <c r="E45" s="20">
        <f>E7-D7</f>
        <v/>
      </c>
      <c r="F45" s="20">
        <f>F7-E7</f>
        <v/>
      </c>
      <c r="G45" s="20">
        <f>G7-F7</f>
        <v/>
      </c>
      <c r="H45" s="20">
        <f>H7-G7</f>
        <v/>
      </c>
      <c r="I45" s="20">
        <f>I7-H7</f>
        <v/>
      </c>
      <c r="J45" s="20">
        <f>J7-I7</f>
        <v/>
      </c>
      <c r="K45" s="20">
        <f>K7-J7</f>
        <v/>
      </c>
      <c r="L45" s="20">
        <f>L7-K7</f>
        <v/>
      </c>
      <c r="M45" s="20">
        <f>M7-L7</f>
        <v/>
      </c>
      <c r="N45" s="20">
        <f>N7-M7</f>
        <v/>
      </c>
      <c r="O45" s="20">
        <f>O7-N7</f>
        <v/>
      </c>
      <c r="P45" s="20">
        <f>P7-O7</f>
        <v/>
      </c>
      <c r="Q45" s="20">
        <f>Q7-P7</f>
        <v/>
      </c>
      <c r="R45" s="20">
        <f>R7-Q7</f>
        <v/>
      </c>
      <c r="S45" s="20">
        <f>S7-R7</f>
        <v/>
      </c>
      <c r="T45" s="20">
        <f>T7-S7</f>
        <v/>
      </c>
      <c r="U45" s="20">
        <f>U7-T7</f>
        <v/>
      </c>
      <c r="V45" s="20">
        <f>V7-U7</f>
        <v/>
      </c>
      <c r="W45" s="20">
        <f>W7-V7</f>
        <v/>
      </c>
      <c r="X45" s="20">
        <f>X7-W7</f>
        <v/>
      </c>
      <c r="Y45" s="20">
        <f>Y7-X7</f>
        <v/>
      </c>
      <c r="Z45" s="20">
        <f>Z7-Y7</f>
        <v/>
      </c>
      <c r="AA45" s="20">
        <f>AA7-Z7</f>
        <v/>
      </c>
      <c r="AB45" s="20">
        <f>AB7-AA7</f>
        <v/>
      </c>
      <c r="AC45" s="20">
        <f>AC7-AB7</f>
        <v/>
      </c>
      <c r="AD45" s="20">
        <f>AD7-AC7</f>
        <v/>
      </c>
      <c r="AE45" s="20">
        <f>AE7-AD7</f>
        <v/>
      </c>
      <c r="AF45" s="20">
        <f>AF7-AE7</f>
        <v/>
      </c>
      <c r="AG45" s="20">
        <f>AG7-AF7</f>
        <v/>
      </c>
      <c r="AH45" s="20">
        <f>AH7-AG7</f>
        <v/>
      </c>
      <c r="AI45" s="20">
        <f>AI7-AH7</f>
        <v/>
      </c>
      <c r="AJ45" s="21">
        <f>SUM(E45:AI45)</f>
        <v/>
      </c>
    </row>
    <row r="46" ht="15" customHeight="1" s="488">
      <c r="A46" s="500" t="n"/>
      <c r="B46" s="500" t="n"/>
      <c r="C46" s="529" t="inlineStr">
        <is>
          <t>DG</t>
        </is>
      </c>
      <c r="D46" s="501" t="n"/>
      <c r="E46" s="20">
        <f>E8-D8</f>
        <v/>
      </c>
      <c r="F46" s="20">
        <f>F8-E8</f>
        <v/>
      </c>
      <c r="G46" s="20">
        <f>G8-F8</f>
        <v/>
      </c>
      <c r="H46" s="20">
        <f>H8-G8</f>
        <v/>
      </c>
      <c r="I46" s="20">
        <f>I8-H8</f>
        <v/>
      </c>
      <c r="J46" s="20">
        <f>J8-I8</f>
        <v/>
      </c>
      <c r="K46" s="20">
        <f>K8-J8</f>
        <v/>
      </c>
      <c r="L46" s="20">
        <f>L8-K8</f>
        <v/>
      </c>
      <c r="M46" s="20">
        <f>M8-L8</f>
        <v/>
      </c>
      <c r="N46" s="20">
        <f>N8-M8</f>
        <v/>
      </c>
      <c r="O46" s="20">
        <f>O8-N8</f>
        <v/>
      </c>
      <c r="P46" s="20">
        <f>P8-O8</f>
        <v/>
      </c>
      <c r="Q46" s="20">
        <f>Q8-P8</f>
        <v/>
      </c>
      <c r="R46" s="20">
        <f>R8-Q8</f>
        <v/>
      </c>
      <c r="S46" s="20">
        <f>S8-R8</f>
        <v/>
      </c>
      <c r="T46" s="20">
        <f>T8-S8</f>
        <v/>
      </c>
      <c r="U46" s="20">
        <f>U8-T8</f>
        <v/>
      </c>
      <c r="V46" s="20">
        <f>V8-U8</f>
        <v/>
      </c>
      <c r="W46" s="20">
        <f>W8-V8</f>
        <v/>
      </c>
      <c r="X46" s="20">
        <f>X8-W8</f>
        <v/>
      </c>
      <c r="Y46" s="20">
        <f>Y8-X8</f>
        <v/>
      </c>
      <c r="Z46" s="20">
        <f>Z8-Y8</f>
        <v/>
      </c>
      <c r="AA46" s="20">
        <f>AA8-Z8</f>
        <v/>
      </c>
      <c r="AB46" s="20">
        <f>AB8-AA8</f>
        <v/>
      </c>
      <c r="AC46" s="20">
        <f>AC8-AB8</f>
        <v/>
      </c>
      <c r="AD46" s="20">
        <f>AD8-AC8</f>
        <v/>
      </c>
      <c r="AE46" s="20">
        <f>AE8-AD8</f>
        <v/>
      </c>
      <c r="AF46" s="20">
        <f>AF8-AE8</f>
        <v/>
      </c>
      <c r="AG46" s="20">
        <f>AG8-AF8</f>
        <v/>
      </c>
      <c r="AH46" s="20">
        <f>AH8-AG8</f>
        <v/>
      </c>
      <c r="AI46" s="20">
        <f>AI8-AH8</f>
        <v/>
      </c>
      <c r="AJ46" s="21">
        <f>SUM(E46:AI46)</f>
        <v/>
      </c>
    </row>
    <row r="47" ht="15" customHeight="1" s="488">
      <c r="A47" s="500" t="n">
        <v>2</v>
      </c>
      <c r="B47" s="500" t="inlineStr">
        <is>
          <t>3F</t>
        </is>
      </c>
      <c r="C47" s="500" t="inlineStr">
        <is>
          <t>SL No 540430038845 (EB Unit)</t>
        </is>
      </c>
      <c r="D47" s="501" t="n"/>
      <c r="E47" s="20">
        <f>E9-D9</f>
        <v/>
      </c>
      <c r="F47" s="20">
        <f>F9-E9</f>
        <v/>
      </c>
      <c r="G47" s="20">
        <f>G9-F9</f>
        <v/>
      </c>
      <c r="H47" s="20">
        <f>H9-G9</f>
        <v/>
      </c>
      <c r="I47" s="20">
        <f>I9-H9</f>
        <v/>
      </c>
      <c r="J47" s="20">
        <f>J9-I9</f>
        <v/>
      </c>
      <c r="K47" s="20">
        <f>K9-J9</f>
        <v/>
      </c>
      <c r="L47" s="20">
        <f>L9-K9</f>
        <v/>
      </c>
      <c r="M47" s="20">
        <f>M9-L9</f>
        <v/>
      </c>
      <c r="N47" s="20">
        <f>N9-M9</f>
        <v/>
      </c>
      <c r="O47" s="20">
        <f>O9-N9</f>
        <v/>
      </c>
      <c r="P47" s="20">
        <f>P9-O9</f>
        <v/>
      </c>
      <c r="Q47" s="20">
        <f>Q9-P9</f>
        <v/>
      </c>
      <c r="R47" s="20">
        <f>R9-Q9</f>
        <v/>
      </c>
      <c r="S47" s="20">
        <f>S9-R9</f>
        <v/>
      </c>
      <c r="T47" s="20">
        <f>T9-S9</f>
        <v/>
      </c>
      <c r="U47" s="20">
        <f>U9-T9</f>
        <v/>
      </c>
      <c r="V47" s="20">
        <f>V9-U9</f>
        <v/>
      </c>
      <c r="W47" s="20">
        <f>W9-V9</f>
        <v/>
      </c>
      <c r="X47" s="20">
        <f>X9-W9</f>
        <v/>
      </c>
      <c r="Y47" s="20">
        <f>Y9-X9</f>
        <v/>
      </c>
      <c r="Z47" s="20">
        <f>Z9-Y9</f>
        <v/>
      </c>
      <c r="AA47" s="20">
        <f>AA9-Z9</f>
        <v/>
      </c>
      <c r="AB47" s="20">
        <f>AB9-AA9</f>
        <v/>
      </c>
      <c r="AC47" s="20">
        <f>AC9-AB9</f>
        <v/>
      </c>
      <c r="AD47" s="20">
        <f>AD9-AC9</f>
        <v/>
      </c>
      <c r="AE47" s="20">
        <f>AE9-AD9</f>
        <v/>
      </c>
      <c r="AF47" s="20">
        <f>AF9-AE9</f>
        <v/>
      </c>
      <c r="AG47" s="20">
        <f>AG9-AF9</f>
        <v/>
      </c>
      <c r="AH47" s="20">
        <f>AH9-AG9</f>
        <v/>
      </c>
      <c r="AI47" s="20">
        <f>AI9-AH9</f>
        <v/>
      </c>
      <c r="AJ47" s="21">
        <f>SUM(E47:AI47)</f>
        <v/>
      </c>
    </row>
    <row r="48" ht="15" customHeight="1" s="488">
      <c r="A48" s="500" t="n"/>
      <c r="B48" s="500" t="n"/>
      <c r="C48" s="529" t="inlineStr">
        <is>
          <t>DG</t>
        </is>
      </c>
      <c r="D48" s="501" t="n"/>
      <c r="E48" s="20">
        <f>E10-D10</f>
        <v/>
      </c>
      <c r="F48" s="20">
        <f>F10-E10</f>
        <v/>
      </c>
      <c r="G48" s="20">
        <f>G10-F10</f>
        <v/>
      </c>
      <c r="H48" s="20">
        <f>H10-G10</f>
        <v/>
      </c>
      <c r="I48" s="20">
        <f>I10-H10</f>
        <v/>
      </c>
      <c r="J48" s="20">
        <f>J10-I10</f>
        <v/>
      </c>
      <c r="K48" s="20">
        <f>K10-J10</f>
        <v/>
      </c>
      <c r="L48" s="20">
        <f>L10-K10</f>
        <v/>
      </c>
      <c r="M48" s="20">
        <f>M10-L10</f>
        <v/>
      </c>
      <c r="N48" s="20">
        <f>N10-M10</f>
        <v/>
      </c>
      <c r="O48" s="20">
        <f>O10-N10</f>
        <v/>
      </c>
      <c r="P48" s="20">
        <f>P10-O10</f>
        <v/>
      </c>
      <c r="Q48" s="20">
        <f>Q10-P10</f>
        <v/>
      </c>
      <c r="R48" s="20">
        <f>R10-Q10</f>
        <v/>
      </c>
      <c r="S48" s="20">
        <f>S10-R10</f>
        <v/>
      </c>
      <c r="T48" s="20">
        <f>T10-S10</f>
        <v/>
      </c>
      <c r="U48" s="20">
        <f>U10-T10</f>
        <v/>
      </c>
      <c r="V48" s="20">
        <f>V10-U10</f>
        <v/>
      </c>
      <c r="W48" s="20">
        <f>W10-V10</f>
        <v/>
      </c>
      <c r="X48" s="20">
        <f>X10-W10</f>
        <v/>
      </c>
      <c r="Y48" s="20">
        <f>Y10-X10</f>
        <v/>
      </c>
      <c r="Z48" s="20">
        <f>Z10-Y10</f>
        <v/>
      </c>
      <c r="AA48" s="20">
        <f>AA10-Z10</f>
        <v/>
      </c>
      <c r="AB48" s="20">
        <f>AB10-AA10</f>
        <v/>
      </c>
      <c r="AC48" s="20">
        <f>AC10-AB10</f>
        <v/>
      </c>
      <c r="AD48" s="20">
        <f>AD10-AC10</f>
        <v/>
      </c>
      <c r="AE48" s="20">
        <f>AE10-AD10</f>
        <v/>
      </c>
      <c r="AF48" s="20">
        <f>AF10-AE10</f>
        <v/>
      </c>
      <c r="AG48" s="20">
        <f>AG10-AF10</f>
        <v/>
      </c>
      <c r="AH48" s="20">
        <f>AH10-AG10</f>
        <v/>
      </c>
      <c r="AI48" s="20">
        <f>AI10-AH10</f>
        <v/>
      </c>
      <c r="AJ48" s="21">
        <f>SUM(E48:AI48)</f>
        <v/>
      </c>
    </row>
    <row r="49" ht="15" customHeight="1" s="488">
      <c r="A49" s="500" t="n">
        <v>3</v>
      </c>
      <c r="B49" s="500" t="inlineStr">
        <is>
          <t>3F</t>
        </is>
      </c>
      <c r="C49" s="500" t="inlineStr">
        <is>
          <t>SL No 540430038844 (EB Unit)</t>
        </is>
      </c>
      <c r="D49" s="501" t="n"/>
      <c r="E49" s="20">
        <f>E11-D11</f>
        <v/>
      </c>
      <c r="F49" s="20">
        <f>F11-E11</f>
        <v/>
      </c>
      <c r="G49" s="20">
        <f>G11-F11</f>
        <v/>
      </c>
      <c r="H49" s="20">
        <f>H11-G11</f>
        <v/>
      </c>
      <c r="I49" s="20">
        <f>I11-H11</f>
        <v/>
      </c>
      <c r="J49" s="20">
        <f>J11-I11</f>
        <v/>
      </c>
      <c r="K49" s="20">
        <f>K11-J11</f>
        <v/>
      </c>
      <c r="L49" s="20">
        <f>L11-K11</f>
        <v/>
      </c>
      <c r="M49" s="20">
        <f>M11-L11</f>
        <v/>
      </c>
      <c r="N49" s="20">
        <f>N11-M11</f>
        <v/>
      </c>
      <c r="O49" s="20">
        <f>O11-N11</f>
        <v/>
      </c>
      <c r="P49" s="20">
        <f>P11-O11</f>
        <v/>
      </c>
      <c r="Q49" s="20">
        <f>Q11-P11</f>
        <v/>
      </c>
      <c r="R49" s="20">
        <f>R11-Q11</f>
        <v/>
      </c>
      <c r="S49" s="20">
        <f>S11-R11</f>
        <v/>
      </c>
      <c r="T49" s="20">
        <f>T11-S11</f>
        <v/>
      </c>
      <c r="U49" s="20">
        <f>U11-T11</f>
        <v/>
      </c>
      <c r="V49" s="20">
        <f>V11-U11</f>
        <v/>
      </c>
      <c r="W49" s="20">
        <f>W11-V11</f>
        <v/>
      </c>
      <c r="X49" s="20">
        <f>X11-W11</f>
        <v/>
      </c>
      <c r="Y49" s="20">
        <f>Y11-X11</f>
        <v/>
      </c>
      <c r="Z49" s="20">
        <f>Z11-Y11</f>
        <v/>
      </c>
      <c r="AA49" s="20">
        <f>AA11-Z11</f>
        <v/>
      </c>
      <c r="AB49" s="20">
        <f>AB11-AA11</f>
        <v/>
      </c>
      <c r="AC49" s="20">
        <f>AC11-AB11</f>
        <v/>
      </c>
      <c r="AD49" s="20">
        <f>AD11-AC11</f>
        <v/>
      </c>
      <c r="AE49" s="20">
        <f>AE11-AD11</f>
        <v/>
      </c>
      <c r="AF49" s="20">
        <f>AF11-AE11</f>
        <v/>
      </c>
      <c r="AG49" s="20">
        <f>AG11-AF11</f>
        <v/>
      </c>
      <c r="AH49" s="20">
        <f>AH11-AG11</f>
        <v/>
      </c>
      <c r="AI49" s="20">
        <f>AI11-AH11</f>
        <v/>
      </c>
      <c r="AJ49" s="21">
        <f>SUM(E49:AI49)</f>
        <v/>
      </c>
    </row>
    <row r="50" ht="15" customHeight="1" s="488">
      <c r="A50" s="500" t="n"/>
      <c r="B50" s="500" t="n"/>
      <c r="C50" s="529" t="inlineStr">
        <is>
          <t>DG</t>
        </is>
      </c>
      <c r="D50" s="501" t="n"/>
      <c r="E50" s="20">
        <f>E12-D12</f>
        <v/>
      </c>
      <c r="F50" s="20">
        <f>F12-E12</f>
        <v/>
      </c>
      <c r="G50" s="20">
        <f>G12-F12</f>
        <v/>
      </c>
      <c r="H50" s="20">
        <f>H12-G12</f>
        <v/>
      </c>
      <c r="I50" s="20">
        <f>I12-H12</f>
        <v/>
      </c>
      <c r="J50" s="20">
        <f>J12-I12</f>
        <v/>
      </c>
      <c r="K50" s="20">
        <f>K12-J12</f>
        <v/>
      </c>
      <c r="L50" s="20">
        <f>L12-K12</f>
        <v/>
      </c>
      <c r="M50" s="20">
        <f>M12-L12</f>
        <v/>
      </c>
      <c r="N50" s="20">
        <f>N12-M12</f>
        <v/>
      </c>
      <c r="O50" s="20">
        <f>O12-N12</f>
        <v/>
      </c>
      <c r="P50" s="20">
        <f>P12-O12</f>
        <v/>
      </c>
      <c r="Q50" s="20">
        <f>Q12-P12</f>
        <v/>
      </c>
      <c r="R50" s="20">
        <f>R12-Q12</f>
        <v/>
      </c>
      <c r="S50" s="20">
        <f>S12-R12</f>
        <v/>
      </c>
      <c r="T50" s="20">
        <f>T12-S12</f>
        <v/>
      </c>
      <c r="U50" s="20">
        <f>U12-T12</f>
        <v/>
      </c>
      <c r="V50" s="20">
        <f>V12-U12</f>
        <v/>
      </c>
      <c r="W50" s="20">
        <f>W12-V12</f>
        <v/>
      </c>
      <c r="X50" s="20">
        <f>X12-W12</f>
        <v/>
      </c>
      <c r="Y50" s="20">
        <f>Y12-X12</f>
        <v/>
      </c>
      <c r="Z50" s="20">
        <f>Z12-Y12</f>
        <v/>
      </c>
      <c r="AA50" s="20">
        <f>AA12-Z12</f>
        <v/>
      </c>
      <c r="AB50" s="20">
        <f>AB12-AA12</f>
        <v/>
      </c>
      <c r="AC50" s="20">
        <f>AC12-AB12</f>
        <v/>
      </c>
      <c r="AD50" s="20">
        <f>AD12-AC12</f>
        <v/>
      </c>
      <c r="AE50" s="20">
        <f>AE12-AD12</f>
        <v/>
      </c>
      <c r="AF50" s="20">
        <f>AF12-AE12</f>
        <v/>
      </c>
      <c r="AG50" s="20">
        <f>AG12-AF12</f>
        <v/>
      </c>
      <c r="AH50" s="20">
        <f>AH12-AG12</f>
        <v/>
      </c>
      <c r="AI50" s="20">
        <f>AI12-AH12</f>
        <v/>
      </c>
      <c r="AJ50" s="21">
        <f>SUM(E50:AI50)</f>
        <v/>
      </c>
    </row>
    <row r="51" ht="15" customHeight="1" s="488">
      <c r="A51" s="500" t="n">
        <v>4</v>
      </c>
      <c r="B51" s="500" t="inlineStr">
        <is>
          <t>3F</t>
        </is>
      </c>
      <c r="C51" s="500" t="inlineStr">
        <is>
          <t>SL No 540430038821 (EB Unit)</t>
        </is>
      </c>
      <c r="D51" s="501" t="n"/>
      <c r="E51" s="20">
        <f>E13-D13</f>
        <v/>
      </c>
      <c r="F51" s="20">
        <f>F13-E13</f>
        <v/>
      </c>
      <c r="G51" s="20">
        <f>G13-F13</f>
        <v/>
      </c>
      <c r="H51" s="20">
        <f>H13-G13</f>
        <v/>
      </c>
      <c r="I51" s="20">
        <f>I13-H13</f>
        <v/>
      </c>
      <c r="J51" s="20">
        <f>J13-I13</f>
        <v/>
      </c>
      <c r="K51" s="20">
        <f>K13-J13</f>
        <v/>
      </c>
      <c r="L51" s="20">
        <f>L13-K13</f>
        <v/>
      </c>
      <c r="M51" s="20">
        <f>M13-L13</f>
        <v/>
      </c>
      <c r="N51" s="20">
        <f>N13-M13</f>
        <v/>
      </c>
      <c r="O51" s="20">
        <f>O13-N13</f>
        <v/>
      </c>
      <c r="P51" s="20">
        <f>P13-O13</f>
        <v/>
      </c>
      <c r="Q51" s="20">
        <f>Q13-P13</f>
        <v/>
      </c>
      <c r="R51" s="20">
        <f>R13-Q13</f>
        <v/>
      </c>
      <c r="S51" s="20">
        <f>S13-R13</f>
        <v/>
      </c>
      <c r="T51" s="20">
        <f>T13-S13</f>
        <v/>
      </c>
      <c r="U51" s="20">
        <f>U13-T13</f>
        <v/>
      </c>
      <c r="V51" s="20">
        <f>V13-U13</f>
        <v/>
      </c>
      <c r="W51" s="20">
        <f>W13-V13</f>
        <v/>
      </c>
      <c r="X51" s="20">
        <f>X13-W13</f>
        <v/>
      </c>
      <c r="Y51" s="20">
        <f>Y13-X13</f>
        <v/>
      </c>
      <c r="Z51" s="20">
        <f>Z13-Y13</f>
        <v/>
      </c>
      <c r="AA51" s="20">
        <f>AA13-Z13</f>
        <v/>
      </c>
      <c r="AB51" s="20">
        <f>AB13-AA13</f>
        <v/>
      </c>
      <c r="AC51" s="20">
        <f>AC13-AB13</f>
        <v/>
      </c>
      <c r="AD51" s="20">
        <f>AD13-AC13</f>
        <v/>
      </c>
      <c r="AE51" s="20">
        <f>AE13-AD13</f>
        <v/>
      </c>
      <c r="AF51" s="20">
        <f>AF13-AE13</f>
        <v/>
      </c>
      <c r="AG51" s="20">
        <f>AG13-AF13</f>
        <v/>
      </c>
      <c r="AH51" s="20">
        <f>AH13-AG13</f>
        <v/>
      </c>
      <c r="AI51" s="20">
        <f>AI13-AH13</f>
        <v/>
      </c>
      <c r="AJ51" s="21">
        <f>SUM(E51:AI51)</f>
        <v/>
      </c>
    </row>
    <row r="52" ht="15" customHeight="1" s="488">
      <c r="A52" s="500" t="n"/>
      <c r="B52" s="500" t="n"/>
      <c r="C52" s="529" t="inlineStr">
        <is>
          <t>DG</t>
        </is>
      </c>
      <c r="D52" s="501" t="n"/>
      <c r="E52" s="20">
        <f>E14-D14</f>
        <v/>
      </c>
      <c r="F52" s="20">
        <f>F14-E14</f>
        <v/>
      </c>
      <c r="G52" s="20">
        <f>G14-F14</f>
        <v/>
      </c>
      <c r="H52" s="20">
        <f>H14-G14</f>
        <v/>
      </c>
      <c r="I52" s="20">
        <f>I14-H14</f>
        <v/>
      </c>
      <c r="J52" s="20">
        <f>J14-I14</f>
        <v/>
      </c>
      <c r="K52" s="20">
        <f>K14-J14</f>
        <v/>
      </c>
      <c r="L52" s="20">
        <f>L14-K14</f>
        <v/>
      </c>
      <c r="M52" s="20">
        <f>M14-L14</f>
        <v/>
      </c>
      <c r="N52" s="20">
        <f>N14-M14</f>
        <v/>
      </c>
      <c r="O52" s="20">
        <f>O14-N14</f>
        <v/>
      </c>
      <c r="P52" s="20">
        <f>P14-O14</f>
        <v/>
      </c>
      <c r="Q52" s="20">
        <f>Q14-P14</f>
        <v/>
      </c>
      <c r="R52" s="20">
        <f>R14-Q14</f>
        <v/>
      </c>
      <c r="S52" s="20">
        <f>S14-R14</f>
        <v/>
      </c>
      <c r="T52" s="20">
        <f>T14-S14</f>
        <v/>
      </c>
      <c r="U52" s="20">
        <f>U14-T14</f>
        <v/>
      </c>
      <c r="V52" s="20">
        <f>V14-U14</f>
        <v/>
      </c>
      <c r="W52" s="20">
        <f>W14-V14</f>
        <v/>
      </c>
      <c r="X52" s="20">
        <f>X14-W14</f>
        <v/>
      </c>
      <c r="Y52" s="20">
        <f>Y14-X14</f>
        <v/>
      </c>
      <c r="Z52" s="20">
        <f>Z14-Y14</f>
        <v/>
      </c>
      <c r="AA52" s="20">
        <f>AA14-Z14</f>
        <v/>
      </c>
      <c r="AB52" s="20">
        <f>AB14-AA14</f>
        <v/>
      </c>
      <c r="AC52" s="20">
        <f>AC14-AB14</f>
        <v/>
      </c>
      <c r="AD52" s="20">
        <f>AD14-AC14</f>
        <v/>
      </c>
      <c r="AE52" s="20">
        <f>AE14-AD14</f>
        <v/>
      </c>
      <c r="AF52" s="20">
        <f>AF14-AE14</f>
        <v/>
      </c>
      <c r="AG52" s="20">
        <f>AG14-AF14</f>
        <v/>
      </c>
      <c r="AH52" s="20">
        <f>AH14-AG14</f>
        <v/>
      </c>
      <c r="AI52" s="20">
        <f>AI14-AH14</f>
        <v/>
      </c>
      <c r="AJ52" s="21">
        <f>SUM(E52:AI52)</f>
        <v/>
      </c>
    </row>
    <row r="53" ht="15" customHeight="1" s="488">
      <c r="A53" s="500" t="n">
        <v>5</v>
      </c>
      <c r="B53" s="500" t="inlineStr">
        <is>
          <t>3F</t>
        </is>
      </c>
      <c r="C53" s="500" t="inlineStr">
        <is>
          <t>SL No 540430038849 (EB Unit)</t>
        </is>
      </c>
      <c r="D53" s="501" t="n"/>
      <c r="E53" s="20">
        <f>E15-D15</f>
        <v/>
      </c>
      <c r="F53" s="20">
        <f>F15-E15</f>
        <v/>
      </c>
      <c r="G53" s="20">
        <f>G15-F15</f>
        <v/>
      </c>
      <c r="H53" s="20">
        <f>H15-G15</f>
        <v/>
      </c>
      <c r="I53" s="20">
        <f>I15-H15</f>
        <v/>
      </c>
      <c r="J53" s="20">
        <f>J15-I15</f>
        <v/>
      </c>
      <c r="K53" s="20">
        <f>K15-J15</f>
        <v/>
      </c>
      <c r="L53" s="20">
        <f>L15-K15</f>
        <v/>
      </c>
      <c r="M53" s="20">
        <f>M15-L15</f>
        <v/>
      </c>
      <c r="N53" s="20">
        <f>N15-M15</f>
        <v/>
      </c>
      <c r="O53" s="20">
        <f>O15-N15</f>
        <v/>
      </c>
      <c r="P53" s="20">
        <f>P15-O15</f>
        <v/>
      </c>
      <c r="Q53" s="20">
        <f>Q15-P15</f>
        <v/>
      </c>
      <c r="R53" s="20">
        <f>R15-Q15</f>
        <v/>
      </c>
      <c r="S53" s="20">
        <f>S15-R15</f>
        <v/>
      </c>
      <c r="T53" s="20">
        <f>T15-S15</f>
        <v/>
      </c>
      <c r="U53" s="20">
        <f>U15-T15</f>
        <v/>
      </c>
      <c r="V53" s="20">
        <f>V15-U15</f>
        <v/>
      </c>
      <c r="W53" s="20">
        <f>W15-V15</f>
        <v/>
      </c>
      <c r="X53" s="20">
        <f>X15-W15</f>
        <v/>
      </c>
      <c r="Y53" s="20">
        <f>Y15-X15</f>
        <v/>
      </c>
      <c r="Z53" s="20">
        <f>Z15-Y15</f>
        <v/>
      </c>
      <c r="AA53" s="20">
        <f>AA15-Z15</f>
        <v/>
      </c>
      <c r="AB53" s="20">
        <f>AB15-AA15</f>
        <v/>
      </c>
      <c r="AC53" s="20">
        <f>AC15-AB15</f>
        <v/>
      </c>
      <c r="AD53" s="20">
        <f>AD15-AC15</f>
        <v/>
      </c>
      <c r="AE53" s="20">
        <f>AE15-AD15</f>
        <v/>
      </c>
      <c r="AF53" s="20">
        <f>AF15-AE15</f>
        <v/>
      </c>
      <c r="AG53" s="20">
        <f>AG15-AF15</f>
        <v/>
      </c>
      <c r="AH53" s="20">
        <f>AH15-AG15</f>
        <v/>
      </c>
      <c r="AI53" s="20">
        <f>AI15-AH15</f>
        <v/>
      </c>
      <c r="AJ53" s="21">
        <f>SUM(E53:AI53)</f>
        <v/>
      </c>
    </row>
    <row r="54" ht="15" customHeight="1" s="488">
      <c r="A54" s="500" t="n"/>
      <c r="B54" s="500" t="n"/>
      <c r="C54" s="529" t="inlineStr">
        <is>
          <t>DG</t>
        </is>
      </c>
      <c r="D54" s="501" t="n"/>
      <c r="E54" s="20">
        <f>E16-D16</f>
        <v/>
      </c>
      <c r="F54" s="20">
        <f>F16-E16</f>
        <v/>
      </c>
      <c r="G54" s="20">
        <f>G16-F16</f>
        <v/>
      </c>
      <c r="H54" s="20">
        <f>H16-G16</f>
        <v/>
      </c>
      <c r="I54" s="20">
        <f>I16-H16</f>
        <v/>
      </c>
      <c r="J54" s="20">
        <f>J16-I16</f>
        <v/>
      </c>
      <c r="K54" s="20">
        <f>K16-J16</f>
        <v/>
      </c>
      <c r="L54" s="20">
        <f>L16-K16</f>
        <v/>
      </c>
      <c r="M54" s="20">
        <f>M16-L16</f>
        <v/>
      </c>
      <c r="N54" s="20">
        <f>N16-M16</f>
        <v/>
      </c>
      <c r="O54" s="20">
        <f>O16-N16</f>
        <v/>
      </c>
      <c r="P54" s="20">
        <f>P16-O16</f>
        <v/>
      </c>
      <c r="Q54" s="20">
        <f>Q16-P16</f>
        <v/>
      </c>
      <c r="R54" s="20">
        <f>R16-Q16</f>
        <v/>
      </c>
      <c r="S54" s="20">
        <f>S16-R16</f>
        <v/>
      </c>
      <c r="T54" s="20">
        <f>T16-S16</f>
        <v/>
      </c>
      <c r="U54" s="20">
        <f>U16-T16</f>
        <v/>
      </c>
      <c r="V54" s="20">
        <f>V16-U16</f>
        <v/>
      </c>
      <c r="W54" s="20">
        <f>W16-V16</f>
        <v/>
      </c>
      <c r="X54" s="20">
        <f>X16-W16</f>
        <v/>
      </c>
      <c r="Y54" s="20">
        <f>Y16-X16</f>
        <v/>
      </c>
      <c r="Z54" s="20">
        <f>Z16-Y16</f>
        <v/>
      </c>
      <c r="AA54" s="20">
        <f>AA16-Z16</f>
        <v/>
      </c>
      <c r="AB54" s="20">
        <f>AB16-AA16</f>
        <v/>
      </c>
      <c r="AC54" s="20">
        <f>AC16-AB16</f>
        <v/>
      </c>
      <c r="AD54" s="20">
        <f>AD16-AC16</f>
        <v/>
      </c>
      <c r="AE54" s="20">
        <f>AE16-AD16</f>
        <v/>
      </c>
      <c r="AF54" s="20">
        <f>AF16-AE16</f>
        <v/>
      </c>
      <c r="AG54" s="20">
        <f>AG16-AF16</f>
        <v/>
      </c>
      <c r="AH54" s="20">
        <f>AH16-AG16</f>
        <v/>
      </c>
      <c r="AI54" s="20">
        <f>AI16-AH16</f>
        <v/>
      </c>
      <c r="AJ54" s="105">
        <f>SUM(E54:AI54)</f>
        <v/>
      </c>
      <c r="AK54" s="115" t="inlineStr">
        <is>
          <t>EB</t>
        </is>
      </c>
      <c r="AL54" s="116">
        <f>SUM(AJ7,AJ9,AJ11,AJ13,AJ15,AJ17,AJ19,AJ21)</f>
        <v/>
      </c>
    </row>
    <row r="55" ht="15" customHeight="1" s="488">
      <c r="A55" s="500" t="n">
        <v>6</v>
      </c>
      <c r="B55" s="500" t="inlineStr">
        <is>
          <t>3F</t>
        </is>
      </c>
      <c r="C55" s="500" t="inlineStr">
        <is>
          <t>SL No 540430038696 (EB Unit)</t>
        </is>
      </c>
      <c r="D55" s="501" t="n"/>
      <c r="E55" s="20">
        <f>E17-D17</f>
        <v/>
      </c>
      <c r="F55" s="20">
        <f>F17-E17</f>
        <v/>
      </c>
      <c r="G55" s="20">
        <f>G17-F17</f>
        <v/>
      </c>
      <c r="H55" s="20">
        <f>H17-G17</f>
        <v/>
      </c>
      <c r="I55" s="20">
        <f>I17-H17</f>
        <v/>
      </c>
      <c r="J55" s="20">
        <f>J17-I17</f>
        <v/>
      </c>
      <c r="K55" s="20">
        <f>K17-J17</f>
        <v/>
      </c>
      <c r="L55" s="20">
        <f>L17-K17</f>
        <v/>
      </c>
      <c r="M55" s="20">
        <f>M17-L17</f>
        <v/>
      </c>
      <c r="N55" s="20">
        <f>N17-M17</f>
        <v/>
      </c>
      <c r="O55" s="20">
        <f>O17-N17</f>
        <v/>
      </c>
      <c r="P55" s="20">
        <f>P17-O17</f>
        <v/>
      </c>
      <c r="Q55" s="20">
        <f>Q17-P17</f>
        <v/>
      </c>
      <c r="R55" s="20">
        <f>R17-Q17</f>
        <v/>
      </c>
      <c r="S55" s="20">
        <f>S17-R17</f>
        <v/>
      </c>
      <c r="T55" s="20">
        <f>T17-S17</f>
        <v/>
      </c>
      <c r="U55" s="20">
        <f>U17-T17</f>
        <v/>
      </c>
      <c r="V55" s="20">
        <f>V17-U17</f>
        <v/>
      </c>
      <c r="W55" s="20">
        <f>W17-V17</f>
        <v/>
      </c>
      <c r="X55" s="20">
        <f>X17-W17</f>
        <v/>
      </c>
      <c r="Y55" s="20">
        <f>Y17-X17</f>
        <v/>
      </c>
      <c r="Z55" s="20">
        <f>Z17-Y17</f>
        <v/>
      </c>
      <c r="AA55" s="20">
        <f>AA17-Z17</f>
        <v/>
      </c>
      <c r="AB55" s="20">
        <f>AB17-AA17</f>
        <v/>
      </c>
      <c r="AC55" s="20">
        <f>AC17-AB17</f>
        <v/>
      </c>
      <c r="AD55" s="20">
        <f>AD17-AC17</f>
        <v/>
      </c>
      <c r="AE55" s="20">
        <f>AE17-AD17</f>
        <v/>
      </c>
      <c r="AF55" s="20">
        <f>AF17-AE17</f>
        <v/>
      </c>
      <c r="AG55" s="20">
        <f>AG17-AF17</f>
        <v/>
      </c>
      <c r="AH55" s="20">
        <f>AH17-AG17</f>
        <v/>
      </c>
      <c r="AI55" s="20">
        <f>AI17-AH17</f>
        <v/>
      </c>
      <c r="AJ55" s="105">
        <f>SUM(E55:AI55)</f>
        <v/>
      </c>
      <c r="AK55" s="115" t="inlineStr">
        <is>
          <t>AHU</t>
        </is>
      </c>
      <c r="AL55" s="116">
        <f>SUM(AJ24,AJ26,AJ28,AJ30)</f>
        <v/>
      </c>
    </row>
    <row r="56" ht="15" customHeight="1" s="488">
      <c r="A56" s="500" t="n"/>
      <c r="B56" s="500" t="n"/>
      <c r="C56" s="529" t="inlineStr">
        <is>
          <t>DG</t>
        </is>
      </c>
      <c r="D56" s="501" t="n"/>
      <c r="E56" s="20">
        <f>E18-D18</f>
        <v/>
      </c>
      <c r="F56" s="20">
        <f>F18-E18</f>
        <v/>
      </c>
      <c r="G56" s="20">
        <f>G18-F18</f>
        <v/>
      </c>
      <c r="H56" s="20">
        <f>H18-G18</f>
        <v/>
      </c>
      <c r="I56" s="20">
        <f>I18-H18</f>
        <v/>
      </c>
      <c r="J56" s="20">
        <f>J18-I18</f>
        <v/>
      </c>
      <c r="K56" s="20">
        <f>K18-J18</f>
        <v/>
      </c>
      <c r="L56" s="20">
        <f>L18-K18</f>
        <v/>
      </c>
      <c r="M56" s="20">
        <f>M18-L18</f>
        <v/>
      </c>
      <c r="N56" s="20">
        <f>N18-M18</f>
        <v/>
      </c>
      <c r="O56" s="20">
        <f>O18-N18</f>
        <v/>
      </c>
      <c r="P56" s="20">
        <f>P18-O18</f>
        <v/>
      </c>
      <c r="Q56" s="20">
        <f>Q18-P18</f>
        <v/>
      </c>
      <c r="R56" s="20">
        <f>R18-Q18</f>
        <v/>
      </c>
      <c r="S56" s="20">
        <f>S18-R18</f>
        <v/>
      </c>
      <c r="T56" s="20">
        <f>T18-S18</f>
        <v/>
      </c>
      <c r="U56" s="20">
        <f>U18-T18</f>
        <v/>
      </c>
      <c r="V56" s="20">
        <f>V18-U18</f>
        <v/>
      </c>
      <c r="W56" s="20">
        <f>W18-V18</f>
        <v/>
      </c>
      <c r="X56" s="20">
        <f>X18-W18</f>
        <v/>
      </c>
      <c r="Y56" s="20">
        <f>Y18-X18</f>
        <v/>
      </c>
      <c r="Z56" s="20">
        <f>Z18-Y18</f>
        <v/>
      </c>
      <c r="AA56" s="20">
        <f>AA18-Z18</f>
        <v/>
      </c>
      <c r="AB56" s="20">
        <f>AB18-AA18</f>
        <v/>
      </c>
      <c r="AC56" s="20">
        <f>AC18-AB18</f>
        <v/>
      </c>
      <c r="AD56" s="20">
        <f>AD18-AC18</f>
        <v/>
      </c>
      <c r="AE56" s="20">
        <f>AE18-AD18</f>
        <v/>
      </c>
      <c r="AF56" s="20">
        <f>AF18-AE18</f>
        <v/>
      </c>
      <c r="AG56" s="20">
        <f>AG18-AF18</f>
        <v/>
      </c>
      <c r="AH56" s="20">
        <f>AH18-AG18</f>
        <v/>
      </c>
      <c r="AI56" s="20">
        <f>AI18-AH18</f>
        <v/>
      </c>
      <c r="AJ56" s="105">
        <f>SUM(E56:AI56)</f>
        <v/>
      </c>
      <c r="AK56" s="115" t="inlineStr">
        <is>
          <t>BTU</t>
        </is>
      </c>
      <c r="AL56" s="116">
        <f>AJ80*40%</f>
        <v/>
      </c>
    </row>
    <row r="57" ht="15" customHeight="1" s="488">
      <c r="A57" s="500" t="n">
        <v>7</v>
      </c>
      <c r="B57" s="500" t="inlineStr">
        <is>
          <t>3F</t>
        </is>
      </c>
      <c r="C57" s="500" t="inlineStr">
        <is>
          <t>SL No 540430038843 (EB Unit)</t>
        </is>
      </c>
      <c r="D57" s="501" t="n"/>
      <c r="E57" s="20">
        <f>E19-D19</f>
        <v/>
      </c>
      <c r="F57" s="20">
        <f>F19-E19</f>
        <v/>
      </c>
      <c r="G57" s="20">
        <f>G19-F19</f>
        <v/>
      </c>
      <c r="H57" s="20">
        <f>H19-G19</f>
        <v/>
      </c>
      <c r="I57" s="20">
        <f>I19-H19</f>
        <v/>
      </c>
      <c r="J57" s="20">
        <f>J19-I19</f>
        <v/>
      </c>
      <c r="K57" s="20">
        <f>K19-J19</f>
        <v/>
      </c>
      <c r="L57" s="20">
        <f>L19-K19</f>
        <v/>
      </c>
      <c r="M57" s="20">
        <f>M19-L19</f>
        <v/>
      </c>
      <c r="N57" s="20">
        <f>N19-M19</f>
        <v/>
      </c>
      <c r="O57" s="20">
        <f>O19-N19</f>
        <v/>
      </c>
      <c r="P57" s="20">
        <f>P19-O19</f>
        <v/>
      </c>
      <c r="Q57" s="20">
        <f>Q19-P19</f>
        <v/>
      </c>
      <c r="R57" s="20">
        <f>R19-Q19</f>
        <v/>
      </c>
      <c r="S57" s="20">
        <f>S19-R19</f>
        <v/>
      </c>
      <c r="T57" s="20">
        <f>T19-S19</f>
        <v/>
      </c>
      <c r="U57" s="20">
        <f>U19-T19</f>
        <v/>
      </c>
      <c r="V57" s="20">
        <f>V19-U19</f>
        <v/>
      </c>
      <c r="W57" s="20">
        <f>W19-V19</f>
        <v/>
      </c>
      <c r="X57" s="20">
        <f>X19-W19</f>
        <v/>
      </c>
      <c r="Y57" s="20">
        <f>Y19-X19</f>
        <v/>
      </c>
      <c r="Z57" s="20">
        <f>Z19-Y19</f>
        <v/>
      </c>
      <c r="AA57" s="20">
        <f>AA19-Z19</f>
        <v/>
      </c>
      <c r="AB57" s="20">
        <f>AB19-AA19</f>
        <v/>
      </c>
      <c r="AC57" s="20">
        <f>AC19-AB19</f>
        <v/>
      </c>
      <c r="AD57" s="20">
        <f>AD19-AC19</f>
        <v/>
      </c>
      <c r="AE57" s="20">
        <f>AE19-AD19</f>
        <v/>
      </c>
      <c r="AF57" s="20">
        <f>AF19-AE19</f>
        <v/>
      </c>
      <c r="AG57" s="20">
        <f>AG19-AF19</f>
        <v/>
      </c>
      <c r="AH57" s="20">
        <f>AH19-AG19</f>
        <v/>
      </c>
      <c r="AI57" s="20">
        <f>AI19-AH19</f>
        <v/>
      </c>
      <c r="AJ57" s="105">
        <f>SUM(E57:AI57)</f>
        <v/>
      </c>
      <c r="AK57" s="117" t="inlineStr">
        <is>
          <t>DG</t>
        </is>
      </c>
      <c r="AL57" s="118">
        <f>SUM(AJ8,AJ10,AJ12,AJ14,AJ16,AJ18,AJ20,AJ22,AJ25,AJ27,AJ29,AJ31)</f>
        <v/>
      </c>
    </row>
    <row r="58" ht="15" customHeight="1" s="488">
      <c r="A58" s="500" t="n"/>
      <c r="B58" s="500" t="n"/>
      <c r="C58" s="529" t="inlineStr">
        <is>
          <t>DG</t>
        </is>
      </c>
      <c r="D58" s="501" t="n"/>
      <c r="E58" s="20">
        <f>E20-D20</f>
        <v/>
      </c>
      <c r="F58" s="20">
        <f>F20-E20</f>
        <v/>
      </c>
      <c r="G58" s="20">
        <f>G20-F20</f>
        <v/>
      </c>
      <c r="H58" s="20">
        <f>H20-G20</f>
        <v/>
      </c>
      <c r="I58" s="20">
        <f>I20-H20</f>
        <v/>
      </c>
      <c r="J58" s="20">
        <f>J20-I20</f>
        <v/>
      </c>
      <c r="K58" s="20">
        <f>K20-J20</f>
        <v/>
      </c>
      <c r="L58" s="20">
        <f>L20-K20</f>
        <v/>
      </c>
      <c r="M58" s="20">
        <f>M20-L20</f>
        <v/>
      </c>
      <c r="N58" s="20">
        <f>N20-M20</f>
        <v/>
      </c>
      <c r="O58" s="20">
        <f>O20-N20</f>
        <v/>
      </c>
      <c r="P58" s="20">
        <f>P20-O20</f>
        <v/>
      </c>
      <c r="Q58" s="20">
        <f>Q20-P20</f>
        <v/>
      </c>
      <c r="R58" s="20">
        <f>R20-Q20</f>
        <v/>
      </c>
      <c r="S58" s="20">
        <f>S20-R20</f>
        <v/>
      </c>
      <c r="T58" s="20">
        <f>T20-S20</f>
        <v/>
      </c>
      <c r="U58" s="20">
        <f>U20-T20</f>
        <v/>
      </c>
      <c r="V58" s="20">
        <f>V20-U20</f>
        <v/>
      </c>
      <c r="W58" s="20">
        <f>W20-V20</f>
        <v/>
      </c>
      <c r="X58" s="20">
        <f>X20-W20</f>
        <v/>
      </c>
      <c r="Y58" s="20">
        <f>Y20-X20</f>
        <v/>
      </c>
      <c r="Z58" s="20">
        <f>Z20-Y20</f>
        <v/>
      </c>
      <c r="AA58" s="20">
        <f>AA20-Z20</f>
        <v/>
      </c>
      <c r="AB58" s="20">
        <f>AB20-AA20</f>
        <v/>
      </c>
      <c r="AC58" s="20">
        <f>AC20-AB20</f>
        <v/>
      </c>
      <c r="AD58" s="20">
        <f>AD20-AC20</f>
        <v/>
      </c>
      <c r="AE58" s="20">
        <f>AE20-AD20</f>
        <v/>
      </c>
      <c r="AF58" s="20">
        <f>AF20-AE20</f>
        <v/>
      </c>
      <c r="AG58" s="20">
        <f>AG20-AF20</f>
        <v/>
      </c>
      <c r="AH58" s="20">
        <f>AH20-AG20</f>
        <v/>
      </c>
      <c r="AI58" s="20">
        <f>AI20-AH20</f>
        <v/>
      </c>
      <c r="AJ58" s="21">
        <f>SUM(E58:AI58)</f>
        <v/>
      </c>
    </row>
    <row r="59" ht="15" customHeight="1" s="488">
      <c r="A59" s="500" t="n">
        <v>8</v>
      </c>
      <c r="B59" s="500" t="inlineStr">
        <is>
          <t>3F</t>
        </is>
      </c>
      <c r="C59" s="500" t="inlineStr">
        <is>
          <t>SL No 540430038848 (EB Unit)</t>
        </is>
      </c>
      <c r="D59" s="501" t="n"/>
      <c r="E59" s="20">
        <f>E21-D21</f>
        <v/>
      </c>
      <c r="F59" s="20">
        <f>F21-E21</f>
        <v/>
      </c>
      <c r="G59" s="20">
        <f>G21-F21</f>
        <v/>
      </c>
      <c r="H59" s="20">
        <f>H21-G21</f>
        <v/>
      </c>
      <c r="I59" s="20">
        <f>I21-H21</f>
        <v/>
      </c>
      <c r="J59" s="20">
        <f>J21-I21</f>
        <v/>
      </c>
      <c r="K59" s="20">
        <f>K21-J21</f>
        <v/>
      </c>
      <c r="L59" s="20">
        <f>L21-K21</f>
        <v/>
      </c>
      <c r="M59" s="20">
        <f>M21-L21</f>
        <v/>
      </c>
      <c r="N59" s="20">
        <f>N21-M21</f>
        <v/>
      </c>
      <c r="O59" s="20">
        <f>O21-N21</f>
        <v/>
      </c>
      <c r="P59" s="20">
        <f>P21-O21</f>
        <v/>
      </c>
      <c r="Q59" s="20">
        <f>Q21-P21</f>
        <v/>
      </c>
      <c r="R59" s="20">
        <f>R21-Q21</f>
        <v/>
      </c>
      <c r="S59" s="20">
        <f>S21-R21</f>
        <v/>
      </c>
      <c r="T59" s="20">
        <f>T21-S21</f>
        <v/>
      </c>
      <c r="U59" s="20">
        <f>U21-T21</f>
        <v/>
      </c>
      <c r="V59" s="20">
        <f>V21-U21</f>
        <v/>
      </c>
      <c r="W59" s="20">
        <f>W21-V21</f>
        <v/>
      </c>
      <c r="X59" s="20">
        <f>X21-W21</f>
        <v/>
      </c>
      <c r="Y59" s="20">
        <f>Y21-X21</f>
        <v/>
      </c>
      <c r="Z59" s="20">
        <f>Z21-Y21</f>
        <v/>
      </c>
      <c r="AA59" s="20">
        <f>AA21-Z21</f>
        <v/>
      </c>
      <c r="AB59" s="20">
        <f>AB21-AA21</f>
        <v/>
      </c>
      <c r="AC59" s="20">
        <f>AC21-AB21</f>
        <v/>
      </c>
      <c r="AD59" s="20">
        <f>AD21-AC21</f>
        <v/>
      </c>
      <c r="AE59" s="20">
        <f>AE21-AD21</f>
        <v/>
      </c>
      <c r="AF59" s="20">
        <f>AF21-AE21</f>
        <v/>
      </c>
      <c r="AG59" s="20">
        <f>AG21-AF21</f>
        <v/>
      </c>
      <c r="AH59" s="20">
        <f>AH21-AG21</f>
        <v/>
      </c>
      <c r="AI59" s="20">
        <f>AI21-AH21</f>
        <v/>
      </c>
      <c r="AJ59" s="21">
        <f>SUM(E59:AI59)</f>
        <v/>
      </c>
    </row>
    <row r="60" ht="15" customHeight="1" s="488">
      <c r="A60" s="500" t="n"/>
      <c r="B60" s="500" t="n"/>
      <c r="C60" s="529" t="inlineStr">
        <is>
          <t>DG</t>
        </is>
      </c>
      <c r="D60" s="501" t="n"/>
      <c r="E60" s="20">
        <f>E22-D22</f>
        <v/>
      </c>
      <c r="F60" s="20">
        <f>F22-E22</f>
        <v/>
      </c>
      <c r="G60" s="20">
        <f>G22-F22</f>
        <v/>
      </c>
      <c r="H60" s="20">
        <f>H22-G22</f>
        <v/>
      </c>
      <c r="I60" s="20">
        <f>I22-H22</f>
        <v/>
      </c>
      <c r="J60" s="20">
        <f>J22-I22</f>
        <v/>
      </c>
      <c r="K60" s="20">
        <f>K22-J22</f>
        <v/>
      </c>
      <c r="L60" s="20">
        <f>L22-K22</f>
        <v/>
      </c>
      <c r="M60" s="20">
        <f>M22-L22</f>
        <v/>
      </c>
      <c r="N60" s="20">
        <f>N22-M22</f>
        <v/>
      </c>
      <c r="O60" s="20">
        <f>O22-N22</f>
        <v/>
      </c>
      <c r="P60" s="20">
        <f>P22-O22</f>
        <v/>
      </c>
      <c r="Q60" s="20">
        <f>Q22-P22</f>
        <v/>
      </c>
      <c r="R60" s="20">
        <f>R22-Q22</f>
        <v/>
      </c>
      <c r="S60" s="20">
        <f>S22-R22</f>
        <v/>
      </c>
      <c r="T60" s="20">
        <f>T22-S22</f>
        <v/>
      </c>
      <c r="U60" s="20">
        <f>U22-T22</f>
        <v/>
      </c>
      <c r="V60" s="20">
        <f>V22-U22</f>
        <v/>
      </c>
      <c r="W60" s="20">
        <f>W22-V22</f>
        <v/>
      </c>
      <c r="X60" s="20">
        <f>X22-W22</f>
        <v/>
      </c>
      <c r="Y60" s="20">
        <f>Y22-X22</f>
        <v/>
      </c>
      <c r="Z60" s="20">
        <f>Z22-Y22</f>
        <v/>
      </c>
      <c r="AA60" s="20">
        <f>AA22-Z22</f>
        <v/>
      </c>
      <c r="AB60" s="20">
        <f>AB22-AA22</f>
        <v/>
      </c>
      <c r="AC60" s="20">
        <f>AC22-AB22</f>
        <v/>
      </c>
      <c r="AD60" s="20">
        <f>AD22-AC22</f>
        <v/>
      </c>
      <c r="AE60" s="20">
        <f>AE22-AD22</f>
        <v/>
      </c>
      <c r="AF60" s="20">
        <f>AF22-AE22</f>
        <v/>
      </c>
      <c r="AG60" s="20">
        <f>AG22-AF22</f>
        <v/>
      </c>
      <c r="AH60" s="20">
        <f>AH22-AG22</f>
        <v/>
      </c>
      <c r="AI60" s="20">
        <f>AI22-AH22</f>
        <v/>
      </c>
      <c r="AJ60" s="21">
        <f>SUM(E60:AI60)</f>
        <v/>
      </c>
    </row>
    <row r="61" ht="15" customHeight="1" s="488">
      <c r="A61" s="99" t="n"/>
      <c r="B61" s="99" t="n"/>
      <c r="C61" s="511" t="inlineStr">
        <is>
          <t>Total Power - EB Unit</t>
        </is>
      </c>
      <c r="D61" s="501" t="n"/>
      <c r="E61" s="23">
        <f>SUM(E59,E57,E55,E53,E51,E49,E47,E45)</f>
        <v/>
      </c>
      <c r="F61" s="23">
        <f>SUM(F59,F57,F55,F53,F51,F49,F47,F45)</f>
        <v/>
      </c>
      <c r="G61" s="23">
        <f>SUM(G59,G57,G55,G53,G51,G49,G47,G45)</f>
        <v/>
      </c>
      <c r="H61" s="23">
        <f>SUM(H59,H57,H55,H53,H51,H49,H47,H45)</f>
        <v/>
      </c>
      <c r="I61" s="23">
        <f>SUM(I59,I57,I55,I53,I51,I49,I47,I45)</f>
        <v/>
      </c>
      <c r="J61" s="23">
        <f>SUM(J59,J57,J55,J53,J51,J49,J47,J45)</f>
        <v/>
      </c>
      <c r="K61" s="23">
        <f>SUM(K59,K57,K55,K53,K51,K49,K47,K45)</f>
        <v/>
      </c>
      <c r="L61" s="23">
        <f>SUM(L59,L57,L55,L53,L51,L49,L47,L45)</f>
        <v/>
      </c>
      <c r="M61" s="23">
        <f>SUM(M59,M57,M55,M53,M51,M49,M47,M45)</f>
        <v/>
      </c>
      <c r="N61" s="23">
        <f>SUM(N59,N57,N55,N53,N51,N49,N47,N45)</f>
        <v/>
      </c>
      <c r="O61" s="23">
        <f>SUM(O59,O57,O55,O53,O51,O49,O47,O45)</f>
        <v/>
      </c>
      <c r="P61" s="23">
        <f>SUM(P59,P57,P55,P53,P51,P49,P47,P45)</f>
        <v/>
      </c>
      <c r="Q61" s="23">
        <f>SUM(Q59,Q57,Q55,Q53,Q51,Q49,Q47,Q45)</f>
        <v/>
      </c>
      <c r="R61" s="23">
        <f>SUM(R59,R57,R55,R53,R51,R49,R47,R45)</f>
        <v/>
      </c>
      <c r="S61" s="23">
        <f>SUM(S59,S57,S55,S53,S51,S49,S47,S45)</f>
        <v/>
      </c>
      <c r="T61" s="23">
        <f>SUM(T59,T57,T55,T53,T51,T49,T47,T45)</f>
        <v/>
      </c>
      <c r="U61" s="23">
        <f>SUM(U59,U57,U55,U53,U51,U49,U47,U45)</f>
        <v/>
      </c>
      <c r="V61" s="23">
        <f>SUM(V59,V57,V55,V53,V51,V49,V47,V45)</f>
        <v/>
      </c>
      <c r="W61" s="23">
        <f>SUM(W59,W57,W55,W53,W51,W49,W47,W45)</f>
        <v/>
      </c>
      <c r="X61" s="23">
        <f>SUM(X59,X57,X55,X53,X51,X49,X47,X45)</f>
        <v/>
      </c>
      <c r="Y61" s="23">
        <f>SUM(Y59,Y57,Y55,Y53,Y51,Y49,Y47,Y45)</f>
        <v/>
      </c>
      <c r="Z61" s="23">
        <f>SUM(Z59,Z57,Z55,Z53,Z51,Z49,Z47,Z45)</f>
        <v/>
      </c>
      <c r="AA61" s="23">
        <f>SUM(AA59,AA57,AA55,AA53,AA51,AA49,AA47,AA45)</f>
        <v/>
      </c>
      <c r="AB61" s="23">
        <f>SUM(AB59,AB57,AB55,AB53,AB51,AB49,AB47,AB45)</f>
        <v/>
      </c>
      <c r="AC61" s="23">
        <f>SUM(AC59,AC57,AC55,AC53,AC51,AC49,AC47,AC45)</f>
        <v/>
      </c>
      <c r="AD61" s="23">
        <f>SUM(AD59,AD57,AD55,AD53,AD51,AD49,AD47,AD45)</f>
        <v/>
      </c>
      <c r="AE61" s="23">
        <f>SUM(AE59,AE57,AE55,AE53,AE51,AE49,AE47,AE45)</f>
        <v/>
      </c>
      <c r="AF61" s="23">
        <f>SUM(AF59,AF57,AF55,AF53,AF51,AF49,AF47,AF45)</f>
        <v/>
      </c>
      <c r="AG61" s="23">
        <f>SUM(AG59,AG57,AG55,AG53,AG51,AG49,AG47,AG45)</f>
        <v/>
      </c>
      <c r="AH61" s="23">
        <f>SUM(AH59,AH57,AH55,AH53,AH51,AH49,AH47,AH45)</f>
        <v/>
      </c>
      <c r="AI61" s="23">
        <f>SUM(AI59,AI57,AI55,AI53,AI51,AI49,AI47,AI45)</f>
        <v/>
      </c>
      <c r="AJ61" s="24">
        <f>SUM(E61:AI61)</f>
        <v/>
      </c>
      <c r="AK61" s="78" t="n"/>
    </row>
    <row r="62" ht="15" customHeight="1" s="488">
      <c r="A62" s="99" t="n"/>
      <c r="B62" s="99" t="n"/>
      <c r="C62" s="145" t="inlineStr">
        <is>
          <t>Total Power- DG</t>
        </is>
      </c>
      <c r="D62" s="108" t="n"/>
      <c r="E62" s="23">
        <f>SUM(E46,E48,E50,E52,E54,E56,E58,E60)</f>
        <v/>
      </c>
      <c r="F62" s="23">
        <f>SUM(F46,F48,F50,F52,F54,F56,F58,F60)</f>
        <v/>
      </c>
      <c r="G62" s="23">
        <f>SUM(G46,G48,G50,G52,G54,G56,G58,G60)</f>
        <v/>
      </c>
      <c r="H62" s="23">
        <f>SUM(H46,H48,H50,H52,H54,H56,H58,H60)</f>
        <v/>
      </c>
      <c r="I62" s="23">
        <f>SUM(I46,I48,I50,I52,I54,I56,I58,I60)</f>
        <v/>
      </c>
      <c r="J62" s="23">
        <f>SUM(J46,J48,J50,J52,J54,J56,J58,J60)</f>
        <v/>
      </c>
      <c r="K62" s="23">
        <f>SUM(K46,K48,K50,K52,K54,K56,K58,K60)</f>
        <v/>
      </c>
      <c r="L62" s="23">
        <f>SUM(L46,L48,L50,L52,L54,L56,L58,L60)</f>
        <v/>
      </c>
      <c r="M62" s="23">
        <f>SUM(M46,M48,M50,M52,M54,M56,M58,M60)</f>
        <v/>
      </c>
      <c r="N62" s="23">
        <f>SUM(N46,N48,N50,N52,N54,N56,N58,N60)</f>
        <v/>
      </c>
      <c r="O62" s="23">
        <f>SUM(O46,O48,O50,O52,O54,O56,O58,O60)</f>
        <v/>
      </c>
      <c r="P62" s="23">
        <f>SUM(P46,P48,P50,P52,P54,P56,P58,P60)</f>
        <v/>
      </c>
      <c r="Q62" s="23">
        <f>SUM(Q46,Q48,Q50,Q52,Q54,Q56,Q58,Q60)</f>
        <v/>
      </c>
      <c r="R62" s="23">
        <f>SUM(R46,R48,R50,R52,R54,R56,R58,R60)</f>
        <v/>
      </c>
      <c r="S62" s="23">
        <f>SUM(S46,S48,S50,S52,S54,S56,S58,S60)</f>
        <v/>
      </c>
      <c r="T62" s="23">
        <f>SUM(T46,T48,T50,T52,T54,T56,T58,T60)</f>
        <v/>
      </c>
      <c r="U62" s="23">
        <f>SUM(U46,U48,U50,U52,U54,U56,U58,U60)</f>
        <v/>
      </c>
      <c r="V62" s="23">
        <f>SUM(V46,V48,V50,V52,V54,V56,V58,V60)</f>
        <v/>
      </c>
      <c r="W62" s="23">
        <f>SUM(W46,W48,W50,W52,W54,W56,W58,W60)</f>
        <v/>
      </c>
      <c r="X62" s="23">
        <f>SUM(X46,X48,X50,X52,X54,X56,X58,X60)</f>
        <v/>
      </c>
      <c r="Y62" s="23">
        <f>SUM(Y46,Y48,Y50,Y52,Y54,Y56,Y58,Y60)</f>
        <v/>
      </c>
      <c r="Z62" s="23">
        <f>SUM(Z46,Z48,Z50,Z52,Z54,Z56,Z58,Z60)</f>
        <v/>
      </c>
      <c r="AA62" s="23">
        <f>SUM(AA46,AA48,AA50,AA52,AA54,AA56,AA58,AA60)</f>
        <v/>
      </c>
      <c r="AB62" s="23">
        <f>SUM(AB46,AB48,AB50,AB52,AB54,AB56,AB58,AB60)</f>
        <v/>
      </c>
      <c r="AC62" s="23">
        <f>SUM(AC46,AC48,AC50,AC52,AC54,AC56,AC58,AC60)</f>
        <v/>
      </c>
      <c r="AD62" s="23">
        <f>SUM(AD46,AD48,AD50,AD52,AD54,AD56,AD58,AD60)</f>
        <v/>
      </c>
      <c r="AE62" s="23">
        <f>SUM(AE46,AE48,AE50,AE52,AE54,AE56,AE58,AE60)</f>
        <v/>
      </c>
      <c r="AF62" s="23">
        <f>SUM(AF46,AF48,AF50,AF52,AF54,AF56,AF58,AF60)</f>
        <v/>
      </c>
      <c r="AG62" s="23">
        <f>SUM(AG46,AG48,AG50,AG52,AG54,AG56,AG58,AG60)</f>
        <v/>
      </c>
      <c r="AH62" s="23">
        <f>SUM(AH46,AH48,AH50,AH52,AH54,AH56,AH58,AH60)</f>
        <v/>
      </c>
      <c r="AI62" s="23">
        <f>SUM(AI46,AI48,AI50,AI52,AI54,AI56,AI58,AI60)</f>
        <v/>
      </c>
      <c r="AJ62" s="24">
        <f>SUM(E62:AI62)</f>
        <v/>
      </c>
    </row>
    <row r="63" ht="14.5" customHeight="1" s="488">
      <c r="A63" s="539" t="n"/>
      <c r="B63" s="539" t="n"/>
      <c r="C63" s="532" t="inlineStr">
        <is>
          <t>Total Power Cumulative</t>
        </is>
      </c>
      <c r="D63" s="501" t="n"/>
      <c r="E63" s="102">
        <f>E61</f>
        <v/>
      </c>
      <c r="F63" s="102">
        <f>F61</f>
        <v/>
      </c>
      <c r="G63" s="102">
        <f>G61</f>
        <v/>
      </c>
      <c r="H63" s="102">
        <f>H61</f>
        <v/>
      </c>
      <c r="I63" s="102">
        <f>I61</f>
        <v/>
      </c>
      <c r="J63" s="102">
        <f>J61</f>
        <v/>
      </c>
      <c r="K63" s="102">
        <f>K61</f>
        <v/>
      </c>
      <c r="L63" s="102">
        <f>L61</f>
        <v/>
      </c>
      <c r="M63" s="102">
        <f>M61</f>
        <v/>
      </c>
      <c r="N63" s="102">
        <f>N61</f>
        <v/>
      </c>
      <c r="O63" s="102">
        <f>O61</f>
        <v/>
      </c>
      <c r="P63" s="102">
        <f>P61</f>
        <v/>
      </c>
      <c r="Q63" s="102">
        <f>Q61</f>
        <v/>
      </c>
      <c r="R63" s="102">
        <f>R61</f>
        <v/>
      </c>
      <c r="S63" s="102">
        <f>S61</f>
        <v/>
      </c>
      <c r="T63" s="102">
        <f>T61</f>
        <v/>
      </c>
      <c r="U63" s="102">
        <f>U61</f>
        <v/>
      </c>
      <c r="V63" s="102">
        <f>V61</f>
        <v/>
      </c>
      <c r="W63" s="102">
        <f>W61</f>
        <v/>
      </c>
      <c r="X63" s="102">
        <f>X61</f>
        <v/>
      </c>
      <c r="Y63" s="102">
        <f>Y61</f>
        <v/>
      </c>
      <c r="Z63" s="102">
        <f>Z61</f>
        <v/>
      </c>
      <c r="AA63" s="102">
        <f>AA61</f>
        <v/>
      </c>
      <c r="AB63" s="102">
        <f>AB61</f>
        <v/>
      </c>
      <c r="AC63" s="102">
        <f>AC61</f>
        <v/>
      </c>
      <c r="AD63" s="102">
        <f>AD61</f>
        <v/>
      </c>
      <c r="AE63" s="102">
        <f>AE61</f>
        <v/>
      </c>
      <c r="AF63" s="102">
        <f>AF61</f>
        <v/>
      </c>
      <c r="AG63" s="102">
        <f>AG61</f>
        <v/>
      </c>
      <c r="AH63" s="102">
        <f>AH61</f>
        <v/>
      </c>
      <c r="AI63" s="102">
        <f>AI61</f>
        <v/>
      </c>
      <c r="AJ63" s="102">
        <f>AJ61</f>
        <v/>
      </c>
    </row>
    <row r="64" ht="13" customHeight="1" s="488">
      <c r="A64" s="94" t="n"/>
      <c r="B64" s="534" t="n"/>
      <c r="C64" s="146" t="n"/>
      <c r="D64" s="109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  <c r="AJ64" s="94" t="n"/>
    </row>
    <row r="65" ht="14.5" customHeight="1" s="488">
      <c r="A65" s="28" t="inlineStr">
        <is>
          <t>S No</t>
        </is>
      </c>
      <c r="B65" s="28" t="inlineStr">
        <is>
          <t>Location</t>
        </is>
      </c>
      <c r="C65" s="513" t="inlineStr">
        <is>
          <t>Meter</t>
        </is>
      </c>
      <c r="D65" s="501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103" t="n"/>
    </row>
    <row r="66" ht="14.5" customHeight="1" s="488">
      <c r="A66" s="500" t="n">
        <v>1</v>
      </c>
      <c r="B66" s="500" t="inlineStr">
        <is>
          <t>3F</t>
        </is>
      </c>
      <c r="C66" s="503" t="inlineStr">
        <is>
          <t>AHU1</t>
        </is>
      </c>
      <c r="D66" s="501" t="n"/>
      <c r="E66" s="30">
        <f>E24-D24</f>
        <v/>
      </c>
      <c r="F66" s="30">
        <f>F24-E24</f>
        <v/>
      </c>
      <c r="G66" s="30">
        <f>G24-F24</f>
        <v/>
      </c>
      <c r="H66" s="30">
        <f>H24-G24</f>
        <v/>
      </c>
      <c r="I66" s="30">
        <f>I24-H24</f>
        <v/>
      </c>
      <c r="J66" s="30">
        <f>J24-I24</f>
        <v/>
      </c>
      <c r="K66" s="30">
        <f>K24-J24</f>
        <v/>
      </c>
      <c r="L66" s="30">
        <f>L24-K24</f>
        <v/>
      </c>
      <c r="M66" s="30">
        <f>M24-L24</f>
        <v/>
      </c>
      <c r="N66" s="30">
        <f>N24-M24</f>
        <v/>
      </c>
      <c r="O66" s="30">
        <f>O24-N24</f>
        <v/>
      </c>
      <c r="P66" s="30">
        <f>P24-O24</f>
        <v/>
      </c>
      <c r="Q66" s="30">
        <f>Q24-P24</f>
        <v/>
      </c>
      <c r="R66" s="30">
        <f>R24-Q24</f>
        <v/>
      </c>
      <c r="S66" s="30">
        <f>S24-R24</f>
        <v/>
      </c>
      <c r="T66" s="30">
        <f>T24-S24</f>
        <v/>
      </c>
      <c r="U66" s="30">
        <f>U24-T24</f>
        <v/>
      </c>
      <c r="V66" s="30">
        <f>V24-U24</f>
        <v/>
      </c>
      <c r="W66" s="30">
        <f>W24-V24</f>
        <v/>
      </c>
      <c r="X66" s="30">
        <f>X24-W24</f>
        <v/>
      </c>
      <c r="Y66" s="30">
        <f>Y24-X24</f>
        <v/>
      </c>
      <c r="Z66" s="30">
        <f>Z24-Y24</f>
        <v/>
      </c>
      <c r="AA66" s="30">
        <f>AA24-Z24</f>
        <v/>
      </c>
      <c r="AB66" s="30">
        <f>AB24-AA24</f>
        <v/>
      </c>
      <c r="AC66" s="30">
        <f>AC24-AB24</f>
        <v/>
      </c>
      <c r="AD66" s="30">
        <f>AD24-AC24</f>
        <v/>
      </c>
      <c r="AE66" s="30">
        <f>AE24-AD24</f>
        <v/>
      </c>
      <c r="AF66" s="30">
        <f>AF24-AE24</f>
        <v/>
      </c>
      <c r="AG66" s="30">
        <f>AG24-AF24</f>
        <v/>
      </c>
      <c r="AH66" s="30">
        <f>AH24-AG24</f>
        <v/>
      </c>
      <c r="AI66" s="30">
        <f>AI24-AH24</f>
        <v/>
      </c>
      <c r="AJ66" s="30">
        <f>SUM(E66:AI66)</f>
        <v/>
      </c>
      <c r="AL66" s="78" t="n"/>
    </row>
    <row r="67" ht="14.5" customHeight="1" s="488">
      <c r="A67" s="500" t="n"/>
      <c r="B67" s="500" t="n"/>
      <c r="C67" s="531" t="inlineStr">
        <is>
          <t>DG</t>
        </is>
      </c>
      <c r="D67" s="501" t="n"/>
      <c r="E67" s="30">
        <f>E25-D25</f>
        <v/>
      </c>
      <c r="F67" s="30">
        <f>F25-E25</f>
        <v/>
      </c>
      <c r="G67" s="30">
        <f>G25-F25</f>
        <v/>
      </c>
      <c r="H67" s="30">
        <f>H25-G25</f>
        <v/>
      </c>
      <c r="I67" s="30">
        <f>I25-H25</f>
        <v/>
      </c>
      <c r="J67" s="30">
        <f>J25-I25</f>
        <v/>
      </c>
      <c r="K67" s="30">
        <f>K25-J25</f>
        <v/>
      </c>
      <c r="L67" s="30">
        <f>L25-K25</f>
        <v/>
      </c>
      <c r="M67" s="30">
        <f>M25-L25</f>
        <v/>
      </c>
      <c r="N67" s="30">
        <f>N25-M25</f>
        <v/>
      </c>
      <c r="O67" s="30">
        <f>O25-N25</f>
        <v/>
      </c>
      <c r="P67" s="30">
        <f>P25-O25</f>
        <v/>
      </c>
      <c r="Q67" s="30">
        <f>Q25-P25</f>
        <v/>
      </c>
      <c r="R67" s="30">
        <f>R25-Q25</f>
        <v/>
      </c>
      <c r="S67" s="30">
        <f>S25-R25</f>
        <v/>
      </c>
      <c r="T67" s="30">
        <f>T25-S25</f>
        <v/>
      </c>
      <c r="U67" s="30">
        <f>U25-T25</f>
        <v/>
      </c>
      <c r="V67" s="30">
        <f>V25-U25</f>
        <v/>
      </c>
      <c r="W67" s="30">
        <f>W25-V25</f>
        <v/>
      </c>
      <c r="X67" s="30">
        <f>X25-W25</f>
        <v/>
      </c>
      <c r="Y67" s="30">
        <f>Y25-X25</f>
        <v/>
      </c>
      <c r="Z67" s="30">
        <f>Z25-Y25</f>
        <v/>
      </c>
      <c r="AA67" s="30">
        <f>AA25-Z25</f>
        <v/>
      </c>
      <c r="AB67" s="30">
        <f>AB25-AA25</f>
        <v/>
      </c>
      <c r="AC67" s="30">
        <f>AC25-AB25</f>
        <v/>
      </c>
      <c r="AD67" s="30">
        <f>AD25-AC25</f>
        <v/>
      </c>
      <c r="AE67" s="30">
        <f>AE25-AD25</f>
        <v/>
      </c>
      <c r="AF67" s="30">
        <f>AF25-AE25</f>
        <v/>
      </c>
      <c r="AG67" s="30">
        <f>AG25-AF25</f>
        <v/>
      </c>
      <c r="AH67" s="30">
        <f>AH25-AG25</f>
        <v/>
      </c>
      <c r="AI67" s="30">
        <f>AI25-AH25</f>
        <v/>
      </c>
      <c r="AJ67" s="30">
        <f>SUM(E67:AI67)</f>
        <v/>
      </c>
    </row>
    <row r="68" ht="14.5" customHeight="1" s="488">
      <c r="A68" s="500" t="n">
        <v>2</v>
      </c>
      <c r="B68" s="500" t="inlineStr">
        <is>
          <t>3F</t>
        </is>
      </c>
      <c r="C68" s="503" t="inlineStr">
        <is>
          <t>AHU2</t>
        </is>
      </c>
      <c r="D68" s="501" t="n"/>
      <c r="E68" s="30">
        <f>E26-D26</f>
        <v/>
      </c>
      <c r="F68" s="30">
        <f>F26-E26</f>
        <v/>
      </c>
      <c r="G68" s="30">
        <f>G26-F26</f>
        <v/>
      </c>
      <c r="H68" s="30">
        <f>H26-G26</f>
        <v/>
      </c>
      <c r="I68" s="30">
        <f>I26-H26</f>
        <v/>
      </c>
      <c r="J68" s="30">
        <f>J26-I26</f>
        <v/>
      </c>
      <c r="K68" s="30">
        <f>K26-J26</f>
        <v/>
      </c>
      <c r="L68" s="30">
        <f>L26-K26</f>
        <v/>
      </c>
      <c r="M68" s="30">
        <f>M26-L26</f>
        <v/>
      </c>
      <c r="N68" s="30">
        <f>N26-M26</f>
        <v/>
      </c>
      <c r="O68" s="30">
        <f>O26-N26</f>
        <v/>
      </c>
      <c r="P68" s="30">
        <f>P26-O26</f>
        <v/>
      </c>
      <c r="Q68" s="30">
        <f>Q26-P26</f>
        <v/>
      </c>
      <c r="R68" s="30">
        <f>R26-Q26</f>
        <v/>
      </c>
      <c r="S68" s="30">
        <f>S26-R26</f>
        <v/>
      </c>
      <c r="T68" s="30">
        <f>T26-S26</f>
        <v/>
      </c>
      <c r="U68" s="30">
        <f>U26-T26</f>
        <v/>
      </c>
      <c r="V68" s="30">
        <f>V26-U26</f>
        <v/>
      </c>
      <c r="W68" s="30">
        <f>W26-V26</f>
        <v/>
      </c>
      <c r="X68" s="30">
        <f>X26-W26</f>
        <v/>
      </c>
      <c r="Y68" s="30">
        <f>Y26-X26</f>
        <v/>
      </c>
      <c r="Z68" s="30">
        <f>Z26-Y26</f>
        <v/>
      </c>
      <c r="AA68" s="30">
        <f>AA26-Z26</f>
        <v/>
      </c>
      <c r="AB68" s="30">
        <f>AB26-AA26</f>
        <v/>
      </c>
      <c r="AC68" s="30">
        <f>AC26-AB26</f>
        <v/>
      </c>
      <c r="AD68" s="30">
        <f>AD26-AC26</f>
        <v/>
      </c>
      <c r="AE68" s="30">
        <f>AE26-AD26</f>
        <v/>
      </c>
      <c r="AF68" s="30">
        <f>AF26-AE26</f>
        <v/>
      </c>
      <c r="AG68" s="30">
        <f>AG26-AF26</f>
        <v/>
      </c>
      <c r="AH68" s="30">
        <f>AH26-AG26</f>
        <v/>
      </c>
      <c r="AI68" s="30">
        <f>AI26-AH26</f>
        <v/>
      </c>
      <c r="AJ68" s="30">
        <f>SUM(E68:AI68)</f>
        <v/>
      </c>
    </row>
    <row r="69" ht="14.5" customHeight="1" s="488">
      <c r="A69" s="500" t="n"/>
      <c r="B69" s="500" t="n"/>
      <c r="C69" s="531" t="inlineStr">
        <is>
          <t>DG</t>
        </is>
      </c>
      <c r="D69" s="501" t="n"/>
      <c r="E69" s="30">
        <f>E27-D27</f>
        <v/>
      </c>
      <c r="F69" s="30">
        <f>F27-E27</f>
        <v/>
      </c>
      <c r="G69" s="30">
        <f>G27-F27</f>
        <v/>
      </c>
      <c r="H69" s="30">
        <f>H27-G27</f>
        <v/>
      </c>
      <c r="I69" s="30">
        <f>I27-H27</f>
        <v/>
      </c>
      <c r="J69" s="30">
        <f>J27-I27</f>
        <v/>
      </c>
      <c r="K69" s="30">
        <f>K27-J27</f>
        <v/>
      </c>
      <c r="L69" s="30">
        <f>L27-K27</f>
        <v/>
      </c>
      <c r="M69" s="30">
        <f>M27-L27</f>
        <v/>
      </c>
      <c r="N69" s="30">
        <f>N27-M27</f>
        <v/>
      </c>
      <c r="O69" s="30">
        <f>O27-N27</f>
        <v/>
      </c>
      <c r="P69" s="30">
        <f>P27-O27</f>
        <v/>
      </c>
      <c r="Q69" s="30">
        <f>Q27-P27</f>
        <v/>
      </c>
      <c r="R69" s="30">
        <f>R27-Q27</f>
        <v/>
      </c>
      <c r="S69" s="30">
        <f>S27-R27</f>
        <v/>
      </c>
      <c r="T69" s="30">
        <f>T27-S27</f>
        <v/>
      </c>
      <c r="U69" s="30">
        <f>U27-T27</f>
        <v/>
      </c>
      <c r="V69" s="30">
        <f>V27-U27</f>
        <v/>
      </c>
      <c r="W69" s="30">
        <f>W27-V27</f>
        <v/>
      </c>
      <c r="X69" s="30">
        <f>X27-W27</f>
        <v/>
      </c>
      <c r="Y69" s="30">
        <f>Y27-X27</f>
        <v/>
      </c>
      <c r="Z69" s="30">
        <f>Z27-Y27</f>
        <v/>
      </c>
      <c r="AA69" s="30">
        <f>AA27-Z27</f>
        <v/>
      </c>
      <c r="AB69" s="30">
        <f>AB27-AA27</f>
        <v/>
      </c>
      <c r="AC69" s="30">
        <f>AC27-AB27</f>
        <v/>
      </c>
      <c r="AD69" s="30">
        <f>AD27-AC27</f>
        <v/>
      </c>
      <c r="AE69" s="30">
        <f>AE27-AD27</f>
        <v/>
      </c>
      <c r="AF69" s="30">
        <f>AF27-AE27</f>
        <v/>
      </c>
      <c r="AG69" s="30">
        <f>AG27-AF27</f>
        <v/>
      </c>
      <c r="AH69" s="30">
        <f>AH27-AG27</f>
        <v/>
      </c>
      <c r="AI69" s="30">
        <f>AI27-AH27</f>
        <v/>
      </c>
      <c r="AJ69" s="30">
        <f>SUM(E69:AI69)</f>
        <v/>
      </c>
    </row>
    <row r="70" ht="14.5" customHeight="1" s="488">
      <c r="A70" s="500" t="n">
        <v>3</v>
      </c>
      <c r="B70" s="500" t="inlineStr">
        <is>
          <t>3F</t>
        </is>
      </c>
      <c r="C70" s="503" t="inlineStr">
        <is>
          <t>AHU3</t>
        </is>
      </c>
      <c r="D70" s="501" t="n"/>
      <c r="E70" s="30">
        <f>E28-D28</f>
        <v/>
      </c>
      <c r="F70" s="30">
        <f>F28-E28</f>
        <v/>
      </c>
      <c r="G70" s="30">
        <f>G28-F28</f>
        <v/>
      </c>
      <c r="H70" s="30">
        <f>H28-G28</f>
        <v/>
      </c>
      <c r="I70" s="30">
        <f>I28-H28</f>
        <v/>
      </c>
      <c r="J70" s="30">
        <f>J28-I28</f>
        <v/>
      </c>
      <c r="K70" s="30">
        <f>K28-J28</f>
        <v/>
      </c>
      <c r="L70" s="30">
        <f>L28-K28</f>
        <v/>
      </c>
      <c r="M70" s="30">
        <f>M28-L28</f>
        <v/>
      </c>
      <c r="N70" s="30">
        <f>N28-M28</f>
        <v/>
      </c>
      <c r="O70" s="30">
        <f>O28-N28</f>
        <v/>
      </c>
      <c r="P70" s="30">
        <f>P28-O28</f>
        <v/>
      </c>
      <c r="Q70" s="30">
        <f>Q28-P28</f>
        <v/>
      </c>
      <c r="R70" s="30">
        <f>R28-Q28</f>
        <v/>
      </c>
      <c r="S70" s="30">
        <f>S28-R28</f>
        <v/>
      </c>
      <c r="T70" s="30">
        <f>T28-S28</f>
        <v/>
      </c>
      <c r="U70" s="30">
        <f>U28-T28</f>
        <v/>
      </c>
      <c r="V70" s="30">
        <f>V28-U28</f>
        <v/>
      </c>
      <c r="W70" s="30">
        <f>W28-V28</f>
        <v/>
      </c>
      <c r="X70" s="30">
        <f>X28-W28</f>
        <v/>
      </c>
      <c r="Y70" s="30">
        <f>Y28-X28</f>
        <v/>
      </c>
      <c r="Z70" s="30">
        <f>Z28-Y28</f>
        <v/>
      </c>
      <c r="AA70" s="30">
        <f>AA28-Z28</f>
        <v/>
      </c>
      <c r="AB70" s="30">
        <f>AB28-AA28</f>
        <v/>
      </c>
      <c r="AC70" s="30">
        <f>AC28-AB28</f>
        <v/>
      </c>
      <c r="AD70" s="30">
        <f>AD28-AC28</f>
        <v/>
      </c>
      <c r="AE70" s="30">
        <f>AE28-AD28</f>
        <v/>
      </c>
      <c r="AF70" s="30">
        <f>AF28-AE28</f>
        <v/>
      </c>
      <c r="AG70" s="30">
        <f>AG28-AF28</f>
        <v/>
      </c>
      <c r="AH70" s="30">
        <f>AH28-AG28</f>
        <v/>
      </c>
      <c r="AI70" s="30">
        <f>AI28-AH28</f>
        <v/>
      </c>
      <c r="AJ70" s="30">
        <f>SUM(E70:AI70)</f>
        <v/>
      </c>
    </row>
    <row r="71" ht="14.5" customHeight="1" s="488">
      <c r="A71" s="500" t="n"/>
      <c r="B71" s="500" t="n"/>
      <c r="C71" s="531" t="inlineStr">
        <is>
          <t>DG</t>
        </is>
      </c>
      <c r="D71" s="501" t="n"/>
      <c r="E71" s="30">
        <f>E29-D29</f>
        <v/>
      </c>
      <c r="F71" s="30">
        <f>F29-E29</f>
        <v/>
      </c>
      <c r="G71" s="30">
        <f>G29-F29</f>
        <v/>
      </c>
      <c r="H71" s="30">
        <f>H29-G29</f>
        <v/>
      </c>
      <c r="I71" s="30">
        <f>I29-H29</f>
        <v/>
      </c>
      <c r="J71" s="30">
        <f>J29-I29</f>
        <v/>
      </c>
      <c r="K71" s="30">
        <f>K29-J29</f>
        <v/>
      </c>
      <c r="L71" s="30">
        <f>L29-K29</f>
        <v/>
      </c>
      <c r="M71" s="30">
        <f>M29-L29</f>
        <v/>
      </c>
      <c r="N71" s="30">
        <f>N29-M29</f>
        <v/>
      </c>
      <c r="O71" s="30">
        <f>O29-N29</f>
        <v/>
      </c>
      <c r="P71" s="30">
        <f>P29-O29</f>
        <v/>
      </c>
      <c r="Q71" s="30">
        <f>Q29-P29</f>
        <v/>
      </c>
      <c r="R71" s="30">
        <f>R29-Q29</f>
        <v/>
      </c>
      <c r="S71" s="30">
        <f>S29-R29</f>
        <v/>
      </c>
      <c r="T71" s="30">
        <f>T29-S29</f>
        <v/>
      </c>
      <c r="U71" s="30">
        <f>U29-T29</f>
        <v/>
      </c>
      <c r="V71" s="30">
        <f>V29-U29</f>
        <v/>
      </c>
      <c r="W71" s="30">
        <f>W29-V29</f>
        <v/>
      </c>
      <c r="X71" s="30">
        <f>X29-W29</f>
        <v/>
      </c>
      <c r="Y71" s="30">
        <f>Y29-X29</f>
        <v/>
      </c>
      <c r="Z71" s="30">
        <f>Z29-Y29</f>
        <v/>
      </c>
      <c r="AA71" s="30">
        <f>AA29-Z29</f>
        <v/>
      </c>
      <c r="AB71" s="30">
        <f>AB29-AA29</f>
        <v/>
      </c>
      <c r="AC71" s="30">
        <f>AC29-AB29</f>
        <v/>
      </c>
      <c r="AD71" s="30">
        <f>AD29-AC29</f>
        <v/>
      </c>
      <c r="AE71" s="30">
        <f>AE29-AD29</f>
        <v/>
      </c>
      <c r="AF71" s="30">
        <f>AF29-AE29</f>
        <v/>
      </c>
      <c r="AG71" s="30">
        <f>AG29-AF29</f>
        <v/>
      </c>
      <c r="AH71" s="30">
        <f>AH29-AG29</f>
        <v/>
      </c>
      <c r="AI71" s="30">
        <f>AI29-AH29</f>
        <v/>
      </c>
      <c r="AJ71" s="30">
        <f>SUM(E71:AI71)</f>
        <v/>
      </c>
    </row>
    <row r="72" ht="14.5" customHeight="1" s="488">
      <c r="A72" s="500" t="n">
        <v>4</v>
      </c>
      <c r="B72" s="500" t="inlineStr">
        <is>
          <t>3F</t>
        </is>
      </c>
      <c r="C72" s="503" t="inlineStr">
        <is>
          <t>AHU4</t>
        </is>
      </c>
      <c r="D72" s="501" t="n"/>
      <c r="E72" s="30">
        <f>E30-D30</f>
        <v/>
      </c>
      <c r="F72" s="30">
        <f>F30-E30</f>
        <v/>
      </c>
      <c r="G72" s="30">
        <f>G30-F30</f>
        <v/>
      </c>
      <c r="H72" s="30">
        <f>H30-G30</f>
        <v/>
      </c>
      <c r="I72" s="30">
        <f>I30-H30</f>
        <v/>
      </c>
      <c r="J72" s="30">
        <f>J30-I30</f>
        <v/>
      </c>
      <c r="K72" s="30">
        <f>K30-J30</f>
        <v/>
      </c>
      <c r="L72" s="30">
        <f>L30-K30</f>
        <v/>
      </c>
      <c r="M72" s="30">
        <f>M30-L30</f>
        <v/>
      </c>
      <c r="N72" s="30">
        <f>N30-M30</f>
        <v/>
      </c>
      <c r="O72" s="30">
        <f>O30-N30</f>
        <v/>
      </c>
      <c r="P72" s="30">
        <f>P30-O30</f>
        <v/>
      </c>
      <c r="Q72" s="30">
        <f>Q30-P30</f>
        <v/>
      </c>
      <c r="R72" s="30">
        <f>R30-Q30</f>
        <v/>
      </c>
      <c r="S72" s="30">
        <f>S30-R30</f>
        <v/>
      </c>
      <c r="T72" s="30">
        <f>T30-S30</f>
        <v/>
      </c>
      <c r="U72" s="30">
        <f>U30-T30</f>
        <v/>
      </c>
      <c r="V72" s="30">
        <f>V30-U30</f>
        <v/>
      </c>
      <c r="W72" s="30">
        <f>W30-V30</f>
        <v/>
      </c>
      <c r="X72" s="30">
        <f>X30-W30</f>
        <v/>
      </c>
      <c r="Y72" s="30">
        <f>Y30-X30</f>
        <v/>
      </c>
      <c r="Z72" s="30">
        <f>Z30-Y30</f>
        <v/>
      </c>
      <c r="AA72" s="30">
        <f>AA30-Z30</f>
        <v/>
      </c>
      <c r="AB72" s="30">
        <f>AB30-AA30</f>
        <v/>
      </c>
      <c r="AC72" s="30">
        <f>AC30-AB30</f>
        <v/>
      </c>
      <c r="AD72" s="30">
        <f>AD30-AC30</f>
        <v/>
      </c>
      <c r="AE72" s="30">
        <f>AE30-AD30</f>
        <v/>
      </c>
      <c r="AF72" s="30">
        <f>AF30-AE30</f>
        <v/>
      </c>
      <c r="AG72" s="30">
        <f>AG30-AF30</f>
        <v/>
      </c>
      <c r="AH72" s="30">
        <f>AH30-AG30</f>
        <v/>
      </c>
      <c r="AI72" s="30">
        <f>AI30-AH30</f>
        <v/>
      </c>
      <c r="AJ72" s="30">
        <f>SUM(E72:AI72)</f>
        <v/>
      </c>
    </row>
    <row r="73" ht="14.5" customHeight="1" s="488">
      <c r="A73" s="500" t="n"/>
      <c r="B73" s="500" t="n"/>
      <c r="C73" s="531" t="inlineStr">
        <is>
          <t>DG</t>
        </is>
      </c>
      <c r="D73" s="501" t="n"/>
      <c r="E73" s="30">
        <f>E31-D31</f>
        <v/>
      </c>
      <c r="F73" s="30">
        <f>F31-E31</f>
        <v/>
      </c>
      <c r="G73" s="30">
        <f>G31-F31</f>
        <v/>
      </c>
      <c r="H73" s="30">
        <f>H31-G31</f>
        <v/>
      </c>
      <c r="I73" s="30">
        <f>I31-H31</f>
        <v/>
      </c>
      <c r="J73" s="30">
        <f>J31-I31</f>
        <v/>
      </c>
      <c r="K73" s="30">
        <f>K31-J31</f>
        <v/>
      </c>
      <c r="L73" s="30">
        <f>L31-K31</f>
        <v/>
      </c>
      <c r="M73" s="30">
        <f>M31-L31</f>
        <v/>
      </c>
      <c r="N73" s="30">
        <f>N31-M31</f>
        <v/>
      </c>
      <c r="O73" s="30">
        <f>O31-N31</f>
        <v/>
      </c>
      <c r="P73" s="30">
        <f>P31-O31</f>
        <v/>
      </c>
      <c r="Q73" s="30">
        <f>Q31-P31</f>
        <v/>
      </c>
      <c r="R73" s="30">
        <f>R31-Q31</f>
        <v/>
      </c>
      <c r="S73" s="30">
        <f>S31-R31</f>
        <v/>
      </c>
      <c r="T73" s="30">
        <f>T31-S31</f>
        <v/>
      </c>
      <c r="U73" s="30">
        <f>U31-T31</f>
        <v/>
      </c>
      <c r="V73" s="30">
        <f>V31-U31</f>
        <v/>
      </c>
      <c r="W73" s="30">
        <f>W31-V31</f>
        <v/>
      </c>
      <c r="X73" s="30">
        <f>X31-W31</f>
        <v/>
      </c>
      <c r="Y73" s="30">
        <f>Y31-X31</f>
        <v/>
      </c>
      <c r="Z73" s="30">
        <f>Z31-Y31</f>
        <v/>
      </c>
      <c r="AA73" s="30">
        <f>AA31-Z31</f>
        <v/>
      </c>
      <c r="AB73" s="30">
        <f>AB31-AA31</f>
        <v/>
      </c>
      <c r="AC73" s="30">
        <f>AC31-AB31</f>
        <v/>
      </c>
      <c r="AD73" s="30">
        <f>AD31-AC31</f>
        <v/>
      </c>
      <c r="AE73" s="30">
        <f>AE31-AD31</f>
        <v/>
      </c>
      <c r="AF73" s="30">
        <f>AF31-AE31</f>
        <v/>
      </c>
      <c r="AG73" s="30">
        <f>AG31-AF31</f>
        <v/>
      </c>
      <c r="AH73" s="30">
        <f>AH31-AG31</f>
        <v/>
      </c>
      <c r="AI73" s="30">
        <f>AI31-AH31</f>
        <v/>
      </c>
      <c r="AJ73" s="30">
        <f>SUM(E73:AI73)</f>
        <v/>
      </c>
    </row>
    <row r="74" ht="25.5" customHeight="1" s="488">
      <c r="A74" s="99" t="n"/>
      <c r="B74" s="99" t="n"/>
      <c r="C74" s="511" t="inlineStr">
        <is>
          <t>Total AHU Power Consumption</t>
        </is>
      </c>
      <c r="D74" s="501" t="n"/>
      <c r="E74" s="23">
        <f>SUM(E66,E68,E70,E72)</f>
        <v/>
      </c>
      <c r="F74" s="23">
        <f>SUM(F66,F68,F70,F72)</f>
        <v/>
      </c>
      <c r="G74" s="23">
        <f>SUM(G66,G68,G70,G72)</f>
        <v/>
      </c>
      <c r="H74" s="23">
        <f>SUM(H66,H68,H70,H72)</f>
        <v/>
      </c>
      <c r="I74" s="23">
        <f>SUM(I66,I68,I70,I72)</f>
        <v/>
      </c>
      <c r="J74" s="23">
        <f>SUM(J66,J68,J70,J72)</f>
        <v/>
      </c>
      <c r="K74" s="23">
        <f>SUM(K66,K68,K70,K72)</f>
        <v/>
      </c>
      <c r="L74" s="23">
        <f>SUM(L66,L68,L70,L72)</f>
        <v/>
      </c>
      <c r="M74" s="23">
        <f>SUM(M66,M68,M70,M72)</f>
        <v/>
      </c>
      <c r="N74" s="23">
        <f>SUM(N66,N68,N70,N72)</f>
        <v/>
      </c>
      <c r="O74" s="23">
        <f>SUM(O66,O68,O70,O72)</f>
        <v/>
      </c>
      <c r="P74" s="23">
        <f>SUM(P66,P68,P70,P72)</f>
        <v/>
      </c>
      <c r="Q74" s="23">
        <f>SUM(Q66,Q68,Q70,Q72)</f>
        <v/>
      </c>
      <c r="R74" s="23">
        <f>SUM(R66,R68,R70,R72)</f>
        <v/>
      </c>
      <c r="S74" s="23">
        <f>SUM(S66,S68,S70,S72)</f>
        <v/>
      </c>
      <c r="T74" s="23">
        <f>SUM(T66,T68,T70,T72)</f>
        <v/>
      </c>
      <c r="U74" s="23">
        <f>SUM(U66,U68,U70,U72)</f>
        <v/>
      </c>
      <c r="V74" s="23">
        <f>SUM(V66,V68,V70,V72)</f>
        <v/>
      </c>
      <c r="W74" s="23">
        <f>SUM(W66,W68,W70,W72)</f>
        <v/>
      </c>
      <c r="X74" s="23">
        <f>SUM(X66,X68,X70,X72)</f>
        <v/>
      </c>
      <c r="Y74" s="23">
        <f>SUM(Y66,Y68,Y70,Y72)</f>
        <v/>
      </c>
      <c r="Z74" s="23">
        <f>SUM(Z66,Z68,Z70,Z72)</f>
        <v/>
      </c>
      <c r="AA74" s="23">
        <f>SUM(AA66,AA68,AA70,AA72)</f>
        <v/>
      </c>
      <c r="AB74" s="23">
        <f>SUM(AB66,AB68,AB70,AB72)</f>
        <v/>
      </c>
      <c r="AC74" s="23">
        <f>SUM(AC66,AC68,AC70,AC72)</f>
        <v/>
      </c>
      <c r="AD74" s="23">
        <f>SUM(AD66,AD68,AD70,AD72)</f>
        <v/>
      </c>
      <c r="AE74" s="23">
        <f>SUM(AE66,AE68,AE70,AE72)</f>
        <v/>
      </c>
      <c r="AF74" s="23">
        <f>SUM(AF66,AF68,AF70,AF72)</f>
        <v/>
      </c>
      <c r="AG74" s="23">
        <f>SUM(AG66,AG68,AG70,AG72)</f>
        <v/>
      </c>
      <c r="AH74" s="23">
        <f>SUM(AH66,AH68,AH70,AH72)</f>
        <v/>
      </c>
      <c r="AI74" s="23">
        <f>SUM(AI66,AI68,AI70,AI72)</f>
        <v/>
      </c>
      <c r="AJ74" s="24">
        <f>SUM(E74:AI74)</f>
        <v/>
      </c>
      <c r="AK74" s="78" t="n"/>
      <c r="AL74" s="78" t="n"/>
    </row>
    <row r="75" ht="25.5" customHeight="1" s="488">
      <c r="A75" s="99" t="n"/>
      <c r="B75" s="99" t="n"/>
      <c r="C75" s="502" t="inlineStr">
        <is>
          <t>Total AHU DG consumption</t>
        </is>
      </c>
      <c r="D75" s="501" t="n"/>
      <c r="E75" s="23">
        <f>SUM(E67,E69,E71,E73)</f>
        <v/>
      </c>
      <c r="F75" s="23">
        <f>SUM(F67,F69,F71,F73)</f>
        <v/>
      </c>
      <c r="G75" s="23">
        <f>SUM(G67,G69,G71,G73)</f>
        <v/>
      </c>
      <c r="H75" s="23">
        <f>SUM(H67,H69,H71,H73)</f>
        <v/>
      </c>
      <c r="I75" s="23">
        <f>SUM(I67,I69,I71,I73)</f>
        <v/>
      </c>
      <c r="J75" s="23">
        <f>SUM(J67,J69,J71,J73)</f>
        <v/>
      </c>
      <c r="K75" s="23">
        <f>SUM(K67,K69,K71,K73)</f>
        <v/>
      </c>
      <c r="L75" s="23">
        <f>SUM(L67,L69,L71,L73)</f>
        <v/>
      </c>
      <c r="M75" s="23">
        <f>SUM(M67,M69,M71,M73)</f>
        <v/>
      </c>
      <c r="N75" s="23">
        <f>SUM(N67,N69,N71,N73)</f>
        <v/>
      </c>
      <c r="O75" s="23">
        <f>SUM(O67,O69,O71,O73)</f>
        <v/>
      </c>
      <c r="P75" s="23">
        <f>SUM(P67,P69,P71,P73)</f>
        <v/>
      </c>
      <c r="Q75" s="23">
        <f>SUM(Q67,Q69,Q71,Q73)</f>
        <v/>
      </c>
      <c r="R75" s="23">
        <f>SUM(R67,R69,R71,R73)</f>
        <v/>
      </c>
      <c r="S75" s="23">
        <f>SUM(S67,S69,S71,S73)</f>
        <v/>
      </c>
      <c r="T75" s="23">
        <f>SUM(T67,T69,T71,T73)</f>
        <v/>
      </c>
      <c r="U75" s="23">
        <f>SUM(U67,U69,U71,U73)</f>
        <v/>
      </c>
      <c r="V75" s="23">
        <f>SUM(V67,V69,V71,V73)</f>
        <v/>
      </c>
      <c r="W75" s="23">
        <f>SUM(W67,W69,W71,W73)</f>
        <v/>
      </c>
      <c r="X75" s="23">
        <f>SUM(X67,X69,X71,X73)</f>
        <v/>
      </c>
      <c r="Y75" s="23">
        <f>SUM(Y67,Y69,Y71,Y73)</f>
        <v/>
      </c>
      <c r="Z75" s="23">
        <f>SUM(Z67,Z69,Z71,Z73)</f>
        <v/>
      </c>
      <c r="AA75" s="23">
        <f>SUM(AA67,AA69,AA71,AA73)</f>
        <v/>
      </c>
      <c r="AB75" s="23">
        <f>SUM(AB67,AB69,AB71,AB73)</f>
        <v/>
      </c>
      <c r="AC75" s="23">
        <f>SUM(AC67,AC69,AC71,AC73)</f>
        <v/>
      </c>
      <c r="AD75" s="23">
        <f>SUM(AD67,AD69,AD71,AD73)</f>
        <v/>
      </c>
      <c r="AE75" s="23">
        <f>SUM(AE67,AE69,AE71,AE73)</f>
        <v/>
      </c>
      <c r="AF75" s="23">
        <f>SUM(AF67,AF69,AF71,AF73)</f>
        <v/>
      </c>
      <c r="AG75" s="23">
        <f>SUM(AG67,AG69,AG71,AG73)</f>
        <v/>
      </c>
      <c r="AH75" s="23">
        <f>SUM(AH67,AH69,AH71,AH73)</f>
        <v/>
      </c>
      <c r="AI75" s="23">
        <f>SUM(AI67,AI69,AI71,AI73)</f>
        <v/>
      </c>
      <c r="AJ75" s="24">
        <f>SUM(E75:AI75)</f>
        <v/>
      </c>
      <c r="AK75" s="78" t="n"/>
      <c r="AL75" s="78" t="n"/>
    </row>
    <row r="76" ht="14.5" customHeight="1" s="488">
      <c r="A76" s="500" t="n">
        <v>1</v>
      </c>
      <c r="B76" s="500" t="inlineStr">
        <is>
          <t>3F</t>
        </is>
      </c>
      <c r="C76" s="500" t="inlineStr">
        <is>
          <t>AHU1 - BTU</t>
        </is>
      </c>
      <c r="D76" s="501" t="n"/>
      <c r="E76" s="30">
        <f>E33-D33</f>
        <v/>
      </c>
      <c r="F76" s="30">
        <f>F33-E33</f>
        <v/>
      </c>
      <c r="G76" s="30">
        <f>G33-F33</f>
        <v/>
      </c>
      <c r="H76" s="30">
        <f>H33-G33</f>
        <v/>
      </c>
      <c r="I76" s="30">
        <f>I33-H33</f>
        <v/>
      </c>
      <c r="J76" s="30">
        <f>J33-I33</f>
        <v/>
      </c>
      <c r="K76" s="30">
        <f>K33-J33</f>
        <v/>
      </c>
      <c r="L76" s="30">
        <f>L33-K33</f>
        <v/>
      </c>
      <c r="M76" s="30">
        <f>M33-L33</f>
        <v/>
      </c>
      <c r="N76" s="30">
        <f>N33-M33</f>
        <v/>
      </c>
      <c r="O76" s="30">
        <f>O33-N33</f>
        <v/>
      </c>
      <c r="P76" s="30">
        <f>P33-O33</f>
        <v/>
      </c>
      <c r="Q76" s="30">
        <f>Q33-P33</f>
        <v/>
      </c>
      <c r="R76" s="30">
        <f>R33-Q33</f>
        <v/>
      </c>
      <c r="S76" s="30">
        <f>S33-R33</f>
        <v/>
      </c>
      <c r="T76" s="30">
        <f>T33-S33</f>
        <v/>
      </c>
      <c r="U76" s="30">
        <f>U33-T33</f>
        <v/>
      </c>
      <c r="V76" s="30">
        <f>V33-U33</f>
        <v/>
      </c>
      <c r="W76" s="30">
        <f>W33-V33</f>
        <v/>
      </c>
      <c r="X76" s="30">
        <f>X33-W33</f>
        <v/>
      </c>
      <c r="Y76" s="30">
        <f>Y33-X33</f>
        <v/>
      </c>
      <c r="Z76" s="30">
        <f>Z33-Y33</f>
        <v/>
      </c>
      <c r="AA76" s="30">
        <f>AA33-Z33</f>
        <v/>
      </c>
      <c r="AB76" s="30">
        <f>AB33-AA33</f>
        <v/>
      </c>
      <c r="AC76" s="30">
        <f>AC33-AB33</f>
        <v/>
      </c>
      <c r="AD76" s="30">
        <f>AD33-AC33</f>
        <v/>
      </c>
      <c r="AE76" s="30">
        <f>AE33-AD33</f>
        <v/>
      </c>
      <c r="AF76" s="30">
        <f>AF33-AE33</f>
        <v/>
      </c>
      <c r="AG76" s="30">
        <f>AG33-AF33</f>
        <v/>
      </c>
      <c r="AH76" s="30">
        <f>AH33-AG33</f>
        <v/>
      </c>
      <c r="AI76" s="30">
        <f>AI33-AH33</f>
        <v/>
      </c>
      <c r="AJ76" s="30">
        <f>SUM(E76:AI76)</f>
        <v/>
      </c>
      <c r="AL76" s="78" t="n"/>
    </row>
    <row r="77" ht="14.5" customHeight="1" s="488">
      <c r="A77" s="500" t="n">
        <v>2</v>
      </c>
      <c r="B77" s="500" t="inlineStr">
        <is>
          <t>3F</t>
        </is>
      </c>
      <c r="C77" s="500" t="inlineStr">
        <is>
          <t>AHU2 - BTU</t>
        </is>
      </c>
      <c r="D77" s="501" t="n"/>
      <c r="E77" s="30">
        <f>E34-D34</f>
        <v/>
      </c>
      <c r="F77" s="30">
        <f>F34-E34</f>
        <v/>
      </c>
      <c r="G77" s="30">
        <f>G34-F34</f>
        <v/>
      </c>
      <c r="H77" s="30">
        <f>H34-G34</f>
        <v/>
      </c>
      <c r="I77" s="30">
        <f>I34-H34</f>
        <v/>
      </c>
      <c r="J77" s="30">
        <f>J34-I34</f>
        <v/>
      </c>
      <c r="K77" s="30">
        <f>K34-J34</f>
        <v/>
      </c>
      <c r="L77" s="30">
        <f>L34-K34</f>
        <v/>
      </c>
      <c r="M77" s="30">
        <f>M34-L34</f>
        <v/>
      </c>
      <c r="N77" s="30">
        <f>N34-M34</f>
        <v/>
      </c>
      <c r="O77" s="30">
        <f>O34-N34</f>
        <v/>
      </c>
      <c r="P77" s="30">
        <f>P34-O34</f>
        <v/>
      </c>
      <c r="Q77" s="30">
        <f>Q34-P34</f>
        <v/>
      </c>
      <c r="R77" s="30">
        <f>R34-Q34</f>
        <v/>
      </c>
      <c r="S77" s="30">
        <f>S34-R34</f>
        <v/>
      </c>
      <c r="T77" s="30">
        <f>T34-S34</f>
        <v/>
      </c>
      <c r="U77" s="30">
        <f>U34-T34</f>
        <v/>
      </c>
      <c r="V77" s="30">
        <f>V34-U34</f>
        <v/>
      </c>
      <c r="W77" s="30">
        <f>W34-V34</f>
        <v/>
      </c>
      <c r="X77" s="30">
        <f>X34-W34</f>
        <v/>
      </c>
      <c r="Y77" s="30">
        <f>Y34-X34</f>
        <v/>
      </c>
      <c r="Z77" s="30">
        <f>Z34-Y34</f>
        <v/>
      </c>
      <c r="AA77" s="30">
        <f>AA34-Z34</f>
        <v/>
      </c>
      <c r="AB77" s="30">
        <f>AB34-AA34</f>
        <v/>
      </c>
      <c r="AC77" s="30">
        <f>AC34-AB34</f>
        <v/>
      </c>
      <c r="AD77" s="30">
        <f>AD34-AC34</f>
        <v/>
      </c>
      <c r="AE77" s="30">
        <f>AE34-AD34</f>
        <v/>
      </c>
      <c r="AF77" s="30">
        <f>AF34-AE34</f>
        <v/>
      </c>
      <c r="AG77" s="30">
        <f>AG34-AF34</f>
        <v/>
      </c>
      <c r="AH77" s="30">
        <f>AH34-AG34</f>
        <v/>
      </c>
      <c r="AI77" s="30">
        <f>AI34-AH34</f>
        <v/>
      </c>
      <c r="AJ77" s="30">
        <f>SUM(E77:AI77)</f>
        <v/>
      </c>
    </row>
    <row r="78" ht="14.5" customHeight="1" s="488">
      <c r="A78" s="500" t="n">
        <v>3</v>
      </c>
      <c r="B78" s="500" t="inlineStr">
        <is>
          <t>3F</t>
        </is>
      </c>
      <c r="C78" s="500" t="inlineStr">
        <is>
          <t>AHU3 - BTU</t>
        </is>
      </c>
      <c r="D78" s="501" t="n"/>
      <c r="E78" s="30">
        <f>E35-D35</f>
        <v/>
      </c>
      <c r="F78" s="30">
        <f>F35-E35</f>
        <v/>
      </c>
      <c r="G78" s="30">
        <f>G35-F35</f>
        <v/>
      </c>
      <c r="H78" s="30">
        <f>H35-G35</f>
        <v/>
      </c>
      <c r="I78" s="30">
        <f>I35-H35</f>
        <v/>
      </c>
      <c r="J78" s="30">
        <f>J35-I35</f>
        <v/>
      </c>
      <c r="K78" s="30">
        <f>K35-J35</f>
        <v/>
      </c>
      <c r="L78" s="30">
        <f>L35-K35</f>
        <v/>
      </c>
      <c r="M78" s="30">
        <f>M35-L35</f>
        <v/>
      </c>
      <c r="N78" s="30">
        <f>N35-M35</f>
        <v/>
      </c>
      <c r="O78" s="30">
        <f>O35-N35</f>
        <v/>
      </c>
      <c r="P78" s="30">
        <f>P35-O35</f>
        <v/>
      </c>
      <c r="Q78" s="30">
        <f>Q35-P35</f>
        <v/>
      </c>
      <c r="R78" s="30">
        <f>R35-Q35</f>
        <v/>
      </c>
      <c r="S78" s="30">
        <f>S35-R35</f>
        <v/>
      </c>
      <c r="T78" s="30">
        <f>T35-S35</f>
        <v/>
      </c>
      <c r="U78" s="30">
        <f>U35-T35</f>
        <v/>
      </c>
      <c r="V78" s="30">
        <f>V35-U35</f>
        <v/>
      </c>
      <c r="W78" s="30">
        <f>W35-V35</f>
        <v/>
      </c>
      <c r="X78" s="30">
        <f>X35-W35</f>
        <v/>
      </c>
      <c r="Y78" s="30">
        <f>Y35-X35</f>
        <v/>
      </c>
      <c r="Z78" s="30">
        <f>Z35-Y35</f>
        <v/>
      </c>
      <c r="AA78" s="30">
        <f>AA35-Z35</f>
        <v/>
      </c>
      <c r="AB78" s="30">
        <f>AB35-AA35</f>
        <v/>
      </c>
      <c r="AC78" s="30">
        <f>AC35-AB35</f>
        <v/>
      </c>
      <c r="AD78" s="30">
        <f>AD35-AC35</f>
        <v/>
      </c>
      <c r="AE78" s="30">
        <f>AE35-AD35</f>
        <v/>
      </c>
      <c r="AF78" s="30">
        <f>AF35-AE35</f>
        <v/>
      </c>
      <c r="AG78" s="30">
        <f>AG35-AF35</f>
        <v/>
      </c>
      <c r="AH78" s="30">
        <f>AH35-AG35</f>
        <v/>
      </c>
      <c r="AI78" s="30">
        <f>AI35-AH35</f>
        <v/>
      </c>
      <c r="AJ78" s="30">
        <f>SUM(E78:AI78)</f>
        <v/>
      </c>
    </row>
    <row r="79" ht="14.5" customHeight="1" s="488">
      <c r="A79" s="500" t="n">
        <v>4</v>
      </c>
      <c r="B79" s="500" t="inlineStr">
        <is>
          <t>3F</t>
        </is>
      </c>
      <c r="C79" s="500" t="inlineStr">
        <is>
          <t>AHU4 - BTU</t>
        </is>
      </c>
      <c r="D79" s="501" t="n"/>
      <c r="E79" s="30">
        <f>E36-D36</f>
        <v/>
      </c>
      <c r="F79" s="30">
        <f>F36-E36</f>
        <v/>
      </c>
      <c r="G79" s="30">
        <f>G36-F36</f>
        <v/>
      </c>
      <c r="H79" s="30">
        <f>H36-G36</f>
        <v/>
      </c>
      <c r="I79" s="30">
        <f>I36-H36</f>
        <v/>
      </c>
      <c r="J79" s="30">
        <f>J36-I36</f>
        <v/>
      </c>
      <c r="K79" s="30">
        <f>K36-J36</f>
        <v/>
      </c>
      <c r="L79" s="30">
        <f>L36-K36</f>
        <v/>
      </c>
      <c r="M79" s="30">
        <f>M36-L36</f>
        <v/>
      </c>
      <c r="N79" s="30">
        <f>N36-M36</f>
        <v/>
      </c>
      <c r="O79" s="30">
        <f>O36-N36</f>
        <v/>
      </c>
      <c r="P79" s="30">
        <f>P36-O36</f>
        <v/>
      </c>
      <c r="Q79" s="30">
        <f>Q36-P36</f>
        <v/>
      </c>
      <c r="R79" s="30">
        <f>R36-Q36</f>
        <v/>
      </c>
      <c r="S79" s="30">
        <f>S36-R36</f>
        <v/>
      </c>
      <c r="T79" s="30">
        <f>T36-S36</f>
        <v/>
      </c>
      <c r="U79" s="30">
        <f>U36-T36</f>
        <v/>
      </c>
      <c r="V79" s="30">
        <f>V36-U36</f>
        <v/>
      </c>
      <c r="W79" s="30">
        <f>W36-V36</f>
        <v/>
      </c>
      <c r="X79" s="30">
        <f>X36-W36</f>
        <v/>
      </c>
      <c r="Y79" s="30">
        <f>Y36-X36</f>
        <v/>
      </c>
      <c r="Z79" s="30">
        <f>Z36-Y36</f>
        <v/>
      </c>
      <c r="AA79" s="30">
        <f>AA36-Z36</f>
        <v/>
      </c>
      <c r="AB79" s="30">
        <f>AB36-AA36</f>
        <v/>
      </c>
      <c r="AC79" s="30">
        <f>AC36-AB36</f>
        <v/>
      </c>
      <c r="AD79" s="30">
        <f>AD36-AC36</f>
        <v/>
      </c>
      <c r="AE79" s="30">
        <f>AE36-AD36</f>
        <v/>
      </c>
      <c r="AF79" s="30">
        <f>AF36-AE36</f>
        <v/>
      </c>
      <c r="AG79" s="30">
        <f>AG36-AF36</f>
        <v/>
      </c>
      <c r="AH79" s="30">
        <f>AH36-AG36</f>
        <v/>
      </c>
      <c r="AI79" s="30">
        <f>AI36-AH36</f>
        <v/>
      </c>
      <c r="AJ79" s="30">
        <f>SUM(E79:AI79)</f>
        <v/>
      </c>
    </row>
    <row r="80" ht="15" customHeight="1" s="488">
      <c r="A80" s="99" t="n"/>
      <c r="B80" s="99" t="n"/>
      <c r="C80" s="511" t="inlineStr">
        <is>
          <t>Total BTU Consumption</t>
        </is>
      </c>
      <c r="D80" s="501" t="n"/>
      <c r="E80" s="23">
        <f>SUM(E76:E79)</f>
        <v/>
      </c>
      <c r="F80" s="23">
        <f>SUM(F76:F79)</f>
        <v/>
      </c>
      <c r="G80" s="23">
        <f>SUM(G76:G79)</f>
        <v/>
      </c>
      <c r="H80" s="23">
        <f>SUM(H76:H79)</f>
        <v/>
      </c>
      <c r="I80" s="23">
        <f>SUM(I76:I79)</f>
        <v/>
      </c>
      <c r="J80" s="23">
        <f>SUM(J76:J79)</f>
        <v/>
      </c>
      <c r="K80" s="23">
        <f>SUM(K76:K79)</f>
        <v/>
      </c>
      <c r="L80" s="23">
        <f>SUM(L76:L79)</f>
        <v/>
      </c>
      <c r="M80" s="23">
        <f>SUM(M76:M79)</f>
        <v/>
      </c>
      <c r="N80" s="23">
        <f>SUM(N76:N79)</f>
        <v/>
      </c>
      <c r="O80" s="23">
        <f>SUM(O76:O79)</f>
        <v/>
      </c>
      <c r="P80" s="23">
        <f>SUM(P76:P79)</f>
        <v/>
      </c>
      <c r="Q80" s="23">
        <f>SUM(Q76:Q79)</f>
        <v/>
      </c>
      <c r="R80" s="23">
        <f>SUM(R76:R79)</f>
        <v/>
      </c>
      <c r="S80" s="23">
        <f>SUM(S76:S79)</f>
        <v/>
      </c>
      <c r="T80" s="23">
        <f>SUM(T76:T79)</f>
        <v/>
      </c>
      <c r="U80" s="23">
        <f>SUM(U76:U79)</f>
        <v/>
      </c>
      <c r="V80" s="23">
        <f>SUM(V76:V79)</f>
        <v/>
      </c>
      <c r="W80" s="23">
        <f>SUM(W76:W79)</f>
        <v/>
      </c>
      <c r="X80" s="23">
        <f>SUM(X76:X79)</f>
        <v/>
      </c>
      <c r="Y80" s="23">
        <f>SUM(Y76:Y79)</f>
        <v/>
      </c>
      <c r="Z80" s="23">
        <f>SUM(Z76:Z79)</f>
        <v/>
      </c>
      <c r="AA80" s="23">
        <f>SUM(AA76:AA79)</f>
        <v/>
      </c>
      <c r="AB80" s="23">
        <f>SUM(AB76:AB79)</f>
        <v/>
      </c>
      <c r="AC80" s="23">
        <f>SUM(AC76:AC79)</f>
        <v/>
      </c>
      <c r="AD80" s="23">
        <f>SUM(AD76:AD79)</f>
        <v/>
      </c>
      <c r="AE80" s="23">
        <f>SUM(AE76:AE79)</f>
        <v/>
      </c>
      <c r="AF80" s="23">
        <f>SUM(AF76:AF79)</f>
        <v/>
      </c>
      <c r="AG80" s="23">
        <f>SUM(AG76:AG79)</f>
        <v/>
      </c>
      <c r="AH80" s="23">
        <f>SUM(AH76:AH79)</f>
        <v/>
      </c>
      <c r="AI80" s="23">
        <f>SUM(AI76:AI79)</f>
        <v/>
      </c>
      <c r="AJ80" s="24">
        <f>SUM(AJ76:AJ79)</f>
        <v/>
      </c>
      <c r="AK80" s="78" t="n"/>
    </row>
  </sheetData>
  <mergeCells count="49">
    <mergeCell ref="C77:D77"/>
    <mergeCell ref="C68:D68"/>
    <mergeCell ref="E2:AI2"/>
    <mergeCell ref="C58:D58"/>
    <mergeCell ref="B3:B6"/>
    <mergeCell ref="C45:D45"/>
    <mergeCell ref="C74:D74"/>
    <mergeCell ref="C79:D79"/>
    <mergeCell ref="C73:D73"/>
    <mergeCell ref="C47:D47"/>
    <mergeCell ref="C54:D54"/>
    <mergeCell ref="C63:D63"/>
    <mergeCell ref="C65:D65"/>
    <mergeCell ref="C55:D55"/>
    <mergeCell ref="A41:A44"/>
    <mergeCell ref="A3:A6"/>
    <mergeCell ref="C50:D50"/>
    <mergeCell ref="AJ3:AJ6"/>
    <mergeCell ref="C75:D75"/>
    <mergeCell ref="B40:D40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D3:D6"/>
    <mergeCell ref="C61:D61"/>
    <mergeCell ref="C52:D52"/>
    <mergeCell ref="C70:D70"/>
    <mergeCell ref="C48:D48"/>
    <mergeCell ref="B41:B44"/>
    <mergeCell ref="C72:D72"/>
    <mergeCell ref="C67:D67"/>
    <mergeCell ref="C57:D57"/>
    <mergeCell ref="C3:C6"/>
    <mergeCell ref="C66:D66"/>
    <mergeCell ref="C41:D44"/>
    <mergeCell ref="A2:D2"/>
    <mergeCell ref="C53:D53"/>
    <mergeCell ref="B39:D39"/>
    <mergeCell ref="C78:D78"/>
    <mergeCell ref="C69:D69"/>
    <mergeCell ref="C49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2022-07-01T08:17:08Z</dcterms:created>
  <dcterms:modified xmlns:dcterms="http://purl.org/dc/terms/" xmlns:xsi="http://www.w3.org/2001/XMLSchema-instance" xsi:type="dcterms:W3CDTF">2026-08-18T06:50:05Z</dcterms:modified>
  <cp:lastModifiedBy>Mohanty, Satyabrata @ Gurgaon</cp:lastModifiedBy>
  <cp:lastPrinted>2026-04-18T04:50:15Z</cp:lastPrinted>
</cp:coreProperties>
</file>