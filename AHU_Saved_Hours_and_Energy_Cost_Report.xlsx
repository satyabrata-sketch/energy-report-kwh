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bre-my.sharepoint.com/personal/satyabrata_mohanty1_cbre_com/Documents/Desktop/LIPU-Report/Energy Report-KWH/"/>
    </mc:Choice>
  </mc:AlternateContent>
  <xr:revisionPtr revIDLastSave="13" documentId="11_F1E7A0A06A8AF2DAA6EC630937E02017DECA35D4" xr6:coauthVersionLast="47" xr6:coauthVersionMax="47" xr10:uidLastSave="{C551C533-B2B6-4DD7-946E-397AA95FA414}"/>
  <bookViews>
    <workbookView xWindow="-110" yWindow="-110" windowWidth="19420" windowHeight="11500" firstSheet="1" activeTab="1" xr2:uid="{00000000-000D-0000-FFFF-FFFF00000000}"/>
  </bookViews>
  <sheets>
    <sheet name="INDEX &amp; CONTROL PANEL" sheetId="1" r:id="rId1"/>
    <sheet name="Executive Dashboard" sheetId="2" r:id="rId2"/>
    <sheet name="May 2026" sheetId="3" r:id="rId3"/>
    <sheet name="June 2026" sheetId="4" r:id="rId4"/>
    <sheet name="July 2026" sheetId="5" r:id="rId5"/>
    <sheet name="August 2026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8" i="6" l="1"/>
  <c r="AB38" i="6"/>
  <c r="R38" i="6"/>
  <c r="H38" i="6"/>
  <c r="AV37" i="6"/>
  <c r="AU37" i="6"/>
  <c r="AT37" i="6"/>
  <c r="AS37" i="6"/>
  <c r="AM37" i="6"/>
  <c r="AK37" i="6"/>
  <c r="AP37" i="6" s="1"/>
  <c r="AJ37" i="6"/>
  <c r="AN37" i="6" s="1"/>
  <c r="AI37" i="6"/>
  <c r="AC37" i="6"/>
  <c r="AA37" i="6"/>
  <c r="AF37" i="6" s="1"/>
  <c r="Z37" i="6"/>
  <c r="AD37" i="6" s="1"/>
  <c r="Y37" i="6"/>
  <c r="S37" i="6"/>
  <c r="Q37" i="6"/>
  <c r="P37" i="6"/>
  <c r="T37" i="6" s="1"/>
  <c r="O37" i="6"/>
  <c r="L37" i="6"/>
  <c r="K37" i="6"/>
  <c r="I37" i="6"/>
  <c r="G37" i="6"/>
  <c r="F37" i="6"/>
  <c r="J37" i="6" s="1"/>
  <c r="E37" i="6"/>
  <c r="AT36" i="6"/>
  <c r="AU36" i="6" s="1"/>
  <c r="AS36" i="6"/>
  <c r="AR36" i="6"/>
  <c r="AN36" i="6"/>
  <c r="AM36" i="6"/>
  <c r="AK36" i="6"/>
  <c r="AJ36" i="6"/>
  <c r="AI36" i="6"/>
  <c r="AC36" i="6"/>
  <c r="AE36" i="6" s="1"/>
  <c r="AA36" i="6"/>
  <c r="Z36" i="6"/>
  <c r="AD36" i="6" s="1"/>
  <c r="Y36" i="6"/>
  <c r="S36" i="6"/>
  <c r="Q36" i="6"/>
  <c r="P36" i="6"/>
  <c r="T36" i="6" s="1"/>
  <c r="O36" i="6"/>
  <c r="I36" i="6"/>
  <c r="G36" i="6"/>
  <c r="F36" i="6"/>
  <c r="J36" i="6" s="1"/>
  <c r="E36" i="6"/>
  <c r="AQ36" i="6" s="1"/>
  <c r="AT35" i="6"/>
  <c r="AU35" i="6" s="1"/>
  <c r="AN35" i="6"/>
  <c r="AM35" i="6"/>
  <c r="AO35" i="6" s="1"/>
  <c r="AK35" i="6"/>
  <c r="AP35" i="6" s="1"/>
  <c r="AJ35" i="6"/>
  <c r="AI35" i="6"/>
  <c r="AC35" i="6"/>
  <c r="AE35" i="6" s="1"/>
  <c r="AA35" i="6"/>
  <c r="Z35" i="6"/>
  <c r="AD35" i="6" s="1"/>
  <c r="AF35" i="6" s="1"/>
  <c r="Y35" i="6"/>
  <c r="T35" i="6"/>
  <c r="U35" i="6" s="1"/>
  <c r="S35" i="6"/>
  <c r="Q35" i="6"/>
  <c r="P35" i="6"/>
  <c r="O35" i="6"/>
  <c r="I35" i="6"/>
  <c r="G35" i="6"/>
  <c r="AS35" i="6" s="1"/>
  <c r="F35" i="6"/>
  <c r="E35" i="6"/>
  <c r="AQ35" i="6" s="1"/>
  <c r="AU34" i="6"/>
  <c r="AT34" i="6"/>
  <c r="AN34" i="6"/>
  <c r="AM34" i="6"/>
  <c r="AK34" i="6"/>
  <c r="AP34" i="6" s="1"/>
  <c r="AJ34" i="6"/>
  <c r="AI34" i="6"/>
  <c r="AF34" i="6"/>
  <c r="AD34" i="6"/>
  <c r="AC34" i="6"/>
  <c r="AA34" i="6"/>
  <c r="AE34" i="6" s="1"/>
  <c r="Z34" i="6"/>
  <c r="Y34" i="6"/>
  <c r="T34" i="6"/>
  <c r="S34" i="6"/>
  <c r="Q34" i="6"/>
  <c r="V34" i="6" s="1"/>
  <c r="P34" i="6"/>
  <c r="O34" i="6"/>
  <c r="I34" i="6"/>
  <c r="G34" i="6"/>
  <c r="F34" i="6"/>
  <c r="AR34" i="6" s="1"/>
  <c r="E34" i="6"/>
  <c r="AU33" i="6"/>
  <c r="AT33" i="6"/>
  <c r="AP33" i="6"/>
  <c r="AN33" i="6"/>
  <c r="AM33" i="6"/>
  <c r="AO33" i="6" s="1"/>
  <c r="AK33" i="6"/>
  <c r="AJ33" i="6"/>
  <c r="AI33" i="6"/>
  <c r="AC33" i="6"/>
  <c r="AA33" i="6"/>
  <c r="Z33" i="6"/>
  <c r="AD33" i="6" s="1"/>
  <c r="Y33" i="6"/>
  <c r="AQ33" i="6" s="1"/>
  <c r="T33" i="6"/>
  <c r="V33" i="6" s="1"/>
  <c r="S33" i="6"/>
  <c r="Q33" i="6"/>
  <c r="P33" i="6"/>
  <c r="O33" i="6"/>
  <c r="I33" i="6"/>
  <c r="G33" i="6"/>
  <c r="F33" i="6"/>
  <c r="J33" i="6" s="1"/>
  <c r="L33" i="6" s="1"/>
  <c r="E33" i="6"/>
  <c r="AV32" i="6"/>
  <c r="AT32" i="6"/>
  <c r="AU32" i="6" s="1"/>
  <c r="AR32" i="6"/>
  <c r="AM32" i="6"/>
  <c r="AK32" i="6"/>
  <c r="AJ32" i="6"/>
  <c r="AN32" i="6" s="1"/>
  <c r="AP32" i="6" s="1"/>
  <c r="AI32" i="6"/>
  <c r="AE32" i="6"/>
  <c r="AC32" i="6"/>
  <c r="AA32" i="6"/>
  <c r="AF32" i="6" s="1"/>
  <c r="Z32" i="6"/>
  <c r="AD32" i="6" s="1"/>
  <c r="Y32" i="6"/>
  <c r="V32" i="6"/>
  <c r="T32" i="6"/>
  <c r="S32" i="6"/>
  <c r="U32" i="6" s="1"/>
  <c r="Q32" i="6"/>
  <c r="P32" i="6"/>
  <c r="O32" i="6"/>
  <c r="I32" i="6"/>
  <c r="G32" i="6"/>
  <c r="F32" i="6"/>
  <c r="J32" i="6" s="1"/>
  <c r="E32" i="6"/>
  <c r="AT31" i="6"/>
  <c r="AU31" i="6" s="1"/>
  <c r="AM31" i="6"/>
  <c r="AK31" i="6"/>
  <c r="AP31" i="6" s="1"/>
  <c r="AJ31" i="6"/>
  <c r="AN31" i="6" s="1"/>
  <c r="AI31" i="6"/>
  <c r="AC31" i="6"/>
  <c r="AA31" i="6"/>
  <c r="Z31" i="6"/>
  <c r="AD31" i="6" s="1"/>
  <c r="Y31" i="6"/>
  <c r="S31" i="6"/>
  <c r="Q31" i="6"/>
  <c r="P31" i="6"/>
  <c r="T31" i="6" s="1"/>
  <c r="O31" i="6"/>
  <c r="I31" i="6"/>
  <c r="AV31" i="6" s="1"/>
  <c r="G31" i="6"/>
  <c r="F31" i="6"/>
  <c r="E31" i="6"/>
  <c r="AQ31" i="6" s="1"/>
  <c r="AT30" i="6"/>
  <c r="AU30" i="6" s="1"/>
  <c r="AQ30" i="6"/>
  <c r="AM30" i="6"/>
  <c r="AO30" i="6" s="1"/>
  <c r="AK30" i="6"/>
  <c r="AJ30" i="6"/>
  <c r="AN30" i="6" s="1"/>
  <c r="AP30" i="6" s="1"/>
  <c r="AI30" i="6"/>
  <c r="AF30" i="6"/>
  <c r="AE30" i="6"/>
  <c r="AD30" i="6"/>
  <c r="AC30" i="6"/>
  <c r="AA30" i="6"/>
  <c r="Z30" i="6"/>
  <c r="AR30" i="6" s="1"/>
  <c r="Y30" i="6"/>
  <c r="S30" i="6"/>
  <c r="Q30" i="6"/>
  <c r="V30" i="6" s="1"/>
  <c r="P30" i="6"/>
  <c r="T30" i="6" s="1"/>
  <c r="O30" i="6"/>
  <c r="K30" i="6"/>
  <c r="J30" i="6"/>
  <c r="L30" i="6" s="1"/>
  <c r="I30" i="6"/>
  <c r="G30" i="6"/>
  <c r="F30" i="6"/>
  <c r="E30" i="6"/>
  <c r="AV29" i="6"/>
  <c r="AU29" i="6"/>
  <c r="AT29" i="6"/>
  <c r="AM29" i="6"/>
  <c r="AO29" i="6" s="1"/>
  <c r="AK29" i="6"/>
  <c r="AP29" i="6" s="1"/>
  <c r="AJ29" i="6"/>
  <c r="AN29" i="6" s="1"/>
  <c r="AI29" i="6"/>
  <c r="AC29" i="6"/>
  <c r="AA29" i="6"/>
  <c r="Z29" i="6"/>
  <c r="AD29" i="6" s="1"/>
  <c r="AE29" i="6" s="1"/>
  <c r="Y29" i="6"/>
  <c r="S29" i="6"/>
  <c r="Q29" i="6"/>
  <c r="P29" i="6"/>
  <c r="O29" i="6"/>
  <c r="I29" i="6"/>
  <c r="G29" i="6"/>
  <c r="F29" i="6"/>
  <c r="J29" i="6" s="1"/>
  <c r="K29" i="6" s="1"/>
  <c r="E29" i="6"/>
  <c r="AQ29" i="6" s="1"/>
  <c r="AX28" i="6"/>
  <c r="AU28" i="6"/>
  <c r="AT28" i="6"/>
  <c r="AP28" i="6"/>
  <c r="AM28" i="6"/>
  <c r="AO28" i="6" s="1"/>
  <c r="AK28" i="6"/>
  <c r="AJ28" i="6"/>
  <c r="AN28" i="6" s="1"/>
  <c r="AI28" i="6"/>
  <c r="AD28" i="6"/>
  <c r="AC28" i="6"/>
  <c r="AA28" i="6"/>
  <c r="AF28" i="6" s="1"/>
  <c r="Z28" i="6"/>
  <c r="Y28" i="6"/>
  <c r="AQ28" i="6" s="1"/>
  <c r="S28" i="6"/>
  <c r="Q28" i="6"/>
  <c r="V28" i="6" s="1"/>
  <c r="P28" i="6"/>
  <c r="T28" i="6" s="1"/>
  <c r="O28" i="6"/>
  <c r="J28" i="6"/>
  <c r="I28" i="6"/>
  <c r="K28" i="6" s="1"/>
  <c r="G28" i="6"/>
  <c r="L28" i="6" s="1"/>
  <c r="F28" i="6"/>
  <c r="AR28" i="6" s="1"/>
  <c r="E28" i="6"/>
  <c r="AU27" i="6"/>
  <c r="AT27" i="6"/>
  <c r="AS27" i="6"/>
  <c r="AQ27" i="6"/>
  <c r="AM27" i="6"/>
  <c r="AK27" i="6"/>
  <c r="AJ27" i="6"/>
  <c r="AN27" i="6" s="1"/>
  <c r="AI27" i="6"/>
  <c r="AD27" i="6"/>
  <c r="AC27" i="6"/>
  <c r="AA27" i="6"/>
  <c r="Z27" i="6"/>
  <c r="Y27" i="6"/>
  <c r="V27" i="6"/>
  <c r="T27" i="6"/>
  <c r="U27" i="6" s="1"/>
  <c r="S27" i="6"/>
  <c r="Q27" i="6"/>
  <c r="P27" i="6"/>
  <c r="O27" i="6"/>
  <c r="J27" i="6"/>
  <c r="I27" i="6"/>
  <c r="G27" i="6"/>
  <c r="L27" i="6" s="1"/>
  <c r="F27" i="6"/>
  <c r="AR27" i="6" s="1"/>
  <c r="E27" i="6"/>
  <c r="AU26" i="6"/>
  <c r="AT26" i="6"/>
  <c r="AN26" i="6"/>
  <c r="AM26" i="6"/>
  <c r="AK26" i="6"/>
  <c r="AJ26" i="6"/>
  <c r="AI26" i="6"/>
  <c r="AD26" i="6"/>
  <c r="AF26" i="6" s="1"/>
  <c r="AC26" i="6"/>
  <c r="AE26" i="6" s="1"/>
  <c r="AA26" i="6"/>
  <c r="Z26" i="6"/>
  <c r="Y26" i="6"/>
  <c r="S26" i="6"/>
  <c r="Q26" i="6"/>
  <c r="P26" i="6"/>
  <c r="T26" i="6" s="1"/>
  <c r="O26" i="6"/>
  <c r="L26" i="6"/>
  <c r="J26" i="6"/>
  <c r="I26" i="6"/>
  <c r="G26" i="6"/>
  <c r="F26" i="6"/>
  <c r="E26" i="6"/>
  <c r="AQ26" i="6" s="1"/>
  <c r="AT25" i="6"/>
  <c r="AU25" i="6" s="1"/>
  <c r="AR25" i="6"/>
  <c r="AO25" i="6"/>
  <c r="AM25" i="6"/>
  <c r="AK25" i="6"/>
  <c r="AJ25" i="6"/>
  <c r="AN25" i="6" s="1"/>
  <c r="AI25" i="6"/>
  <c r="AC25" i="6"/>
  <c r="AA25" i="6"/>
  <c r="Z25" i="6"/>
  <c r="AD25" i="6" s="1"/>
  <c r="AF25" i="6" s="1"/>
  <c r="Y25" i="6"/>
  <c r="S25" i="6"/>
  <c r="Q25" i="6"/>
  <c r="P25" i="6"/>
  <c r="T25" i="6" s="1"/>
  <c r="O25" i="6"/>
  <c r="L25" i="6"/>
  <c r="J25" i="6"/>
  <c r="I25" i="6"/>
  <c r="G25" i="6"/>
  <c r="F25" i="6"/>
  <c r="E25" i="6"/>
  <c r="AT24" i="6"/>
  <c r="AU24" i="6" s="1"/>
  <c r="AR24" i="6"/>
  <c r="AN24" i="6"/>
  <c r="AP24" i="6" s="1"/>
  <c r="AM24" i="6"/>
  <c r="AK24" i="6"/>
  <c r="AJ24" i="6"/>
  <c r="AI24" i="6"/>
  <c r="AC24" i="6"/>
  <c r="AA24" i="6"/>
  <c r="Z24" i="6"/>
  <c r="AD24" i="6" s="1"/>
  <c r="Y24" i="6"/>
  <c r="S24" i="6"/>
  <c r="U24" i="6" s="1"/>
  <c r="Q24" i="6"/>
  <c r="P24" i="6"/>
  <c r="T24" i="6" s="1"/>
  <c r="V24" i="6" s="1"/>
  <c r="O24" i="6"/>
  <c r="I24" i="6"/>
  <c r="G24" i="6"/>
  <c r="F24" i="6"/>
  <c r="J24" i="6" s="1"/>
  <c r="E24" i="6"/>
  <c r="AQ24" i="6" s="1"/>
  <c r="AX23" i="6"/>
  <c r="AT23" i="6"/>
  <c r="AU23" i="6" s="1"/>
  <c r="AP23" i="6"/>
  <c r="AN23" i="6"/>
  <c r="AO23" i="6" s="1"/>
  <c r="AM23" i="6"/>
  <c r="AK23" i="6"/>
  <c r="AJ23" i="6"/>
  <c r="AI23" i="6"/>
  <c r="AC23" i="6"/>
  <c r="AA23" i="6"/>
  <c r="Z23" i="6"/>
  <c r="AD23" i="6" s="1"/>
  <c r="AF23" i="6" s="1"/>
  <c r="Y23" i="6"/>
  <c r="V23" i="6"/>
  <c r="U23" i="6"/>
  <c r="T23" i="6"/>
  <c r="S23" i="6"/>
  <c r="Q23" i="6"/>
  <c r="P23" i="6"/>
  <c r="O23" i="6"/>
  <c r="K23" i="6"/>
  <c r="I23" i="6"/>
  <c r="G23" i="6"/>
  <c r="L23" i="6" s="1"/>
  <c r="F23" i="6"/>
  <c r="J23" i="6" s="1"/>
  <c r="E23" i="6"/>
  <c r="AQ23" i="6" s="1"/>
  <c r="AT22" i="6"/>
  <c r="AU22" i="6" s="1"/>
  <c r="AN22" i="6"/>
  <c r="AO22" i="6" s="1"/>
  <c r="AM22" i="6"/>
  <c r="AK22" i="6"/>
  <c r="AP22" i="6" s="1"/>
  <c r="AJ22" i="6"/>
  <c r="AI22" i="6"/>
  <c r="AC22" i="6"/>
  <c r="AV22" i="6" s="1"/>
  <c r="AA22" i="6"/>
  <c r="AF22" i="6" s="1"/>
  <c r="Z22" i="6"/>
  <c r="AD22" i="6" s="1"/>
  <c r="Y22" i="6"/>
  <c r="S22" i="6"/>
  <c r="Q22" i="6"/>
  <c r="V22" i="6" s="1"/>
  <c r="P22" i="6"/>
  <c r="T22" i="6" s="1"/>
  <c r="U22" i="6" s="1"/>
  <c r="O22" i="6"/>
  <c r="I22" i="6"/>
  <c r="G22" i="6"/>
  <c r="F22" i="6"/>
  <c r="E22" i="6"/>
  <c r="AQ22" i="6" s="1"/>
  <c r="AT21" i="6"/>
  <c r="AU21" i="6" s="1"/>
  <c r="AN21" i="6"/>
  <c r="AM21" i="6"/>
  <c r="AK21" i="6"/>
  <c r="AP21" i="6" s="1"/>
  <c r="AJ21" i="6"/>
  <c r="AI21" i="6"/>
  <c r="AQ21" i="6" s="1"/>
  <c r="AF21" i="6"/>
  <c r="AC21" i="6"/>
  <c r="AA21" i="6"/>
  <c r="Z21" i="6"/>
  <c r="AD21" i="6" s="1"/>
  <c r="Y21" i="6"/>
  <c r="T21" i="6"/>
  <c r="S21" i="6"/>
  <c r="U21" i="6" s="1"/>
  <c r="Q21" i="6"/>
  <c r="V21" i="6" s="1"/>
  <c r="P21" i="6"/>
  <c r="O21" i="6"/>
  <c r="I21" i="6"/>
  <c r="G21" i="6"/>
  <c r="F21" i="6"/>
  <c r="E21" i="6"/>
  <c r="AU20" i="6"/>
  <c r="AT20" i="6"/>
  <c r="AR20" i="6"/>
  <c r="AN20" i="6"/>
  <c r="AM20" i="6"/>
  <c r="AO20" i="6" s="1"/>
  <c r="AK20" i="6"/>
  <c r="AJ20" i="6"/>
  <c r="AI20" i="6"/>
  <c r="AC20" i="6"/>
  <c r="AA20" i="6"/>
  <c r="Z20" i="6"/>
  <c r="AD20" i="6" s="1"/>
  <c r="Y20" i="6"/>
  <c r="T20" i="6"/>
  <c r="S20" i="6"/>
  <c r="Q20" i="6"/>
  <c r="V20" i="6" s="1"/>
  <c r="P20" i="6"/>
  <c r="O20" i="6"/>
  <c r="L20" i="6"/>
  <c r="J20" i="6"/>
  <c r="K20" i="6" s="1"/>
  <c r="I20" i="6"/>
  <c r="G20" i="6"/>
  <c r="F20" i="6"/>
  <c r="E20" i="6"/>
  <c r="AV19" i="6"/>
  <c r="AU19" i="6"/>
  <c r="AT19" i="6"/>
  <c r="AN19" i="6"/>
  <c r="AP19" i="6" s="1"/>
  <c r="AM19" i="6"/>
  <c r="AK19" i="6"/>
  <c r="AJ19" i="6"/>
  <c r="AI19" i="6"/>
  <c r="AD19" i="6"/>
  <c r="AC19" i="6"/>
  <c r="AA19" i="6"/>
  <c r="Z19" i="6"/>
  <c r="Y19" i="6"/>
  <c r="AQ19" i="6" s="1"/>
  <c r="V19" i="6"/>
  <c r="T19" i="6"/>
  <c r="S19" i="6"/>
  <c r="U19" i="6" s="1"/>
  <c r="Q19" i="6"/>
  <c r="P19" i="6"/>
  <c r="O19" i="6"/>
  <c r="K19" i="6"/>
  <c r="I19" i="6"/>
  <c r="G19" i="6"/>
  <c r="F19" i="6"/>
  <c r="J19" i="6" s="1"/>
  <c r="E19" i="6"/>
  <c r="AT18" i="6"/>
  <c r="AU18" i="6" s="1"/>
  <c r="AN18" i="6"/>
  <c r="AM18" i="6"/>
  <c r="AK18" i="6"/>
  <c r="AP18" i="6" s="1"/>
  <c r="AJ18" i="6"/>
  <c r="AI18" i="6"/>
  <c r="AE18" i="6"/>
  <c r="AC18" i="6"/>
  <c r="AA18" i="6"/>
  <c r="AF18" i="6" s="1"/>
  <c r="Z18" i="6"/>
  <c r="AD18" i="6" s="1"/>
  <c r="Y18" i="6"/>
  <c r="S18" i="6"/>
  <c r="Q18" i="6"/>
  <c r="P18" i="6"/>
  <c r="T18" i="6" s="1"/>
  <c r="O18" i="6"/>
  <c r="I18" i="6"/>
  <c r="G18" i="6"/>
  <c r="F18" i="6"/>
  <c r="E18" i="6"/>
  <c r="AQ18" i="6" s="1"/>
  <c r="AT17" i="6"/>
  <c r="AU17" i="6" s="1"/>
  <c r="AR17" i="6"/>
  <c r="AQ17" i="6"/>
  <c r="AN17" i="6"/>
  <c r="AM17" i="6"/>
  <c r="AK17" i="6"/>
  <c r="AP17" i="6" s="1"/>
  <c r="AJ17" i="6"/>
  <c r="AI17" i="6"/>
  <c r="AF17" i="6"/>
  <c r="AD17" i="6"/>
  <c r="AE17" i="6" s="1"/>
  <c r="AC17" i="6"/>
  <c r="AA17" i="6"/>
  <c r="Z17" i="6"/>
  <c r="Y17" i="6"/>
  <c r="T17" i="6"/>
  <c r="S17" i="6"/>
  <c r="Q17" i="6"/>
  <c r="P17" i="6"/>
  <c r="O17" i="6"/>
  <c r="K17" i="6"/>
  <c r="J17" i="6"/>
  <c r="L17" i="6" s="1"/>
  <c r="I17" i="6"/>
  <c r="AV17" i="6" s="1"/>
  <c r="G17" i="6"/>
  <c r="F17" i="6"/>
  <c r="E17" i="6"/>
  <c r="AU16" i="6"/>
  <c r="AT16" i="6"/>
  <c r="AM16" i="6"/>
  <c r="AO16" i="6" s="1"/>
  <c r="AK16" i="6"/>
  <c r="AP16" i="6" s="1"/>
  <c r="AJ16" i="6"/>
  <c r="AN16" i="6" s="1"/>
  <c r="AI16" i="6"/>
  <c r="AC16" i="6"/>
  <c r="AA16" i="6"/>
  <c r="Z16" i="6"/>
  <c r="AD16" i="6" s="1"/>
  <c r="AF16" i="6" s="1"/>
  <c r="Y16" i="6"/>
  <c r="AQ16" i="6" s="1"/>
  <c r="S16" i="6"/>
  <c r="Q16" i="6"/>
  <c r="V16" i="6" s="1"/>
  <c r="P16" i="6"/>
  <c r="T16" i="6" s="1"/>
  <c r="O16" i="6"/>
  <c r="I16" i="6"/>
  <c r="G16" i="6"/>
  <c r="F16" i="6"/>
  <c r="E16" i="6"/>
  <c r="AV15" i="6"/>
  <c r="AU15" i="6"/>
  <c r="AT15" i="6"/>
  <c r="AR15" i="6"/>
  <c r="AP15" i="6"/>
  <c r="AM15" i="6"/>
  <c r="AK15" i="6"/>
  <c r="AO15" i="6" s="1"/>
  <c r="AJ15" i="6"/>
  <c r="AN15" i="6" s="1"/>
  <c r="AI15" i="6"/>
  <c r="AD15" i="6"/>
  <c r="AE15" i="6" s="1"/>
  <c r="AC15" i="6"/>
  <c r="AA15" i="6"/>
  <c r="AF15" i="6" s="1"/>
  <c r="Z15" i="6"/>
  <c r="Y15" i="6"/>
  <c r="V15" i="6"/>
  <c r="S15" i="6"/>
  <c r="U15" i="6" s="1"/>
  <c r="Q15" i="6"/>
  <c r="P15" i="6"/>
  <c r="T15" i="6" s="1"/>
  <c r="O15" i="6"/>
  <c r="J15" i="6"/>
  <c r="K15" i="6" s="1"/>
  <c r="I15" i="6"/>
  <c r="G15" i="6"/>
  <c r="L15" i="6" s="1"/>
  <c r="F15" i="6"/>
  <c r="E15" i="6"/>
  <c r="AQ15" i="6" s="1"/>
  <c r="AV14" i="6"/>
  <c r="AT14" i="6"/>
  <c r="AU14" i="6" s="1"/>
  <c r="AM14" i="6"/>
  <c r="AK14" i="6"/>
  <c r="AP14" i="6" s="1"/>
  <c r="AJ14" i="6"/>
  <c r="AN14" i="6" s="1"/>
  <c r="AI14" i="6"/>
  <c r="AE14" i="6"/>
  <c r="AD14" i="6"/>
  <c r="AC14" i="6"/>
  <c r="AA14" i="6"/>
  <c r="AF14" i="6" s="1"/>
  <c r="Z14" i="6"/>
  <c r="Y14" i="6"/>
  <c r="V14" i="6"/>
  <c r="S14" i="6"/>
  <c r="Q14" i="6"/>
  <c r="P14" i="6"/>
  <c r="T14" i="6" s="1"/>
  <c r="O14" i="6"/>
  <c r="J14" i="6"/>
  <c r="I14" i="6"/>
  <c r="G14" i="6"/>
  <c r="F14" i="6"/>
  <c r="AR14" i="6" s="1"/>
  <c r="E14" i="6"/>
  <c r="AT13" i="6"/>
  <c r="AU13" i="6" s="1"/>
  <c r="AN13" i="6"/>
  <c r="AM13" i="6"/>
  <c r="AK13" i="6"/>
  <c r="AJ13" i="6"/>
  <c r="AI13" i="6"/>
  <c r="AD13" i="6"/>
  <c r="AC13" i="6"/>
  <c r="AE13" i="6" s="1"/>
  <c r="AA13" i="6"/>
  <c r="Z13" i="6"/>
  <c r="Y13" i="6"/>
  <c r="S13" i="6"/>
  <c r="Q13" i="6"/>
  <c r="V13" i="6" s="1"/>
  <c r="P13" i="6"/>
  <c r="T13" i="6" s="1"/>
  <c r="O13" i="6"/>
  <c r="J13" i="6"/>
  <c r="I13" i="6"/>
  <c r="G13" i="6"/>
  <c r="F13" i="6"/>
  <c r="E13" i="6"/>
  <c r="AQ13" i="6" s="1"/>
  <c r="AT12" i="6"/>
  <c r="AU12" i="6" s="1"/>
  <c r="AP12" i="6"/>
  <c r="AM12" i="6"/>
  <c r="AK12" i="6"/>
  <c r="AJ12" i="6"/>
  <c r="AN12" i="6" s="1"/>
  <c r="AO12" i="6" s="1"/>
  <c r="AI12" i="6"/>
  <c r="AF12" i="6"/>
  <c r="AD12" i="6"/>
  <c r="AC12" i="6"/>
  <c r="AA12" i="6"/>
  <c r="Z12" i="6"/>
  <c r="Y12" i="6"/>
  <c r="U12" i="6"/>
  <c r="T12" i="6"/>
  <c r="V12" i="6" s="1"/>
  <c r="S12" i="6"/>
  <c r="Q12" i="6"/>
  <c r="P12" i="6"/>
  <c r="O12" i="6"/>
  <c r="J12" i="6"/>
  <c r="L12" i="6" s="1"/>
  <c r="I12" i="6"/>
  <c r="G12" i="6"/>
  <c r="F12" i="6"/>
  <c r="E12" i="6"/>
  <c r="AU11" i="6"/>
  <c r="AT11" i="6"/>
  <c r="AR11" i="6"/>
  <c r="AP11" i="6"/>
  <c r="AO11" i="6"/>
  <c r="AM11" i="6"/>
  <c r="AK11" i="6"/>
  <c r="AJ11" i="6"/>
  <c r="AN11" i="6" s="1"/>
  <c r="AI11" i="6"/>
  <c r="AD11" i="6"/>
  <c r="AC11" i="6"/>
  <c r="AA11" i="6"/>
  <c r="Z11" i="6"/>
  <c r="Y11" i="6"/>
  <c r="U11" i="6"/>
  <c r="S11" i="6"/>
  <c r="Q11" i="6"/>
  <c r="V11" i="6" s="1"/>
  <c r="P11" i="6"/>
  <c r="T11" i="6" s="1"/>
  <c r="O11" i="6"/>
  <c r="I11" i="6"/>
  <c r="G11" i="6"/>
  <c r="F11" i="6"/>
  <c r="J11" i="6" s="1"/>
  <c r="E11" i="6"/>
  <c r="AQ11" i="6" s="1"/>
  <c r="AT10" i="6"/>
  <c r="AU10" i="6" s="1"/>
  <c r="AM10" i="6"/>
  <c r="AK10" i="6"/>
  <c r="AJ10" i="6"/>
  <c r="AN10" i="6" s="1"/>
  <c r="AI10" i="6"/>
  <c r="AD10" i="6"/>
  <c r="AC10" i="6"/>
  <c r="AA10" i="6"/>
  <c r="Z10" i="6"/>
  <c r="Y10" i="6"/>
  <c r="V10" i="6"/>
  <c r="T10" i="6"/>
  <c r="U10" i="6" s="1"/>
  <c r="S10" i="6"/>
  <c r="Q10" i="6"/>
  <c r="P10" i="6"/>
  <c r="O10" i="6"/>
  <c r="J10" i="6"/>
  <c r="I10" i="6"/>
  <c r="G10" i="6"/>
  <c r="F10" i="6"/>
  <c r="AR10" i="6" s="1"/>
  <c r="E10" i="6"/>
  <c r="AQ10" i="6" s="1"/>
  <c r="AT9" i="6"/>
  <c r="AU9" i="6" s="1"/>
  <c r="AM9" i="6"/>
  <c r="AK9" i="6"/>
  <c r="AJ9" i="6"/>
  <c r="AN9" i="6" s="1"/>
  <c r="AP9" i="6" s="1"/>
  <c r="AI9" i="6"/>
  <c r="AC9" i="6"/>
  <c r="AA9" i="6"/>
  <c r="Z9" i="6"/>
  <c r="Y9" i="6"/>
  <c r="S9" i="6"/>
  <c r="U9" i="6" s="1"/>
  <c r="Q9" i="6"/>
  <c r="P9" i="6"/>
  <c r="T9" i="6" s="1"/>
  <c r="V9" i="6" s="1"/>
  <c r="O9" i="6"/>
  <c r="I9" i="6"/>
  <c r="G9" i="6"/>
  <c r="F9" i="6"/>
  <c r="J9" i="6" s="1"/>
  <c r="E9" i="6"/>
  <c r="AT8" i="6"/>
  <c r="AU8" i="6" s="1"/>
  <c r="AQ8" i="6"/>
  <c r="AO8" i="6"/>
  <c r="AN8" i="6"/>
  <c r="AM8" i="6"/>
  <c r="AK8" i="6"/>
  <c r="AJ8" i="6"/>
  <c r="AI8" i="6"/>
  <c r="AF8" i="6"/>
  <c r="AC8" i="6"/>
  <c r="AA8" i="6"/>
  <c r="AE8" i="6" s="1"/>
  <c r="Z8" i="6"/>
  <c r="AD8" i="6" s="1"/>
  <c r="Y8" i="6"/>
  <c r="T8" i="6"/>
  <c r="S8" i="6"/>
  <c r="Q8" i="6"/>
  <c r="P8" i="6"/>
  <c r="O8" i="6"/>
  <c r="L8" i="6"/>
  <c r="K8" i="6"/>
  <c r="I8" i="6"/>
  <c r="AV8" i="6" s="1"/>
  <c r="G8" i="6"/>
  <c r="F8" i="6"/>
  <c r="J8" i="6" s="1"/>
  <c r="E8" i="6"/>
  <c r="AT7" i="6"/>
  <c r="AM7" i="6"/>
  <c r="AK7" i="6"/>
  <c r="AJ7" i="6"/>
  <c r="AI7" i="6"/>
  <c r="AC7" i="6"/>
  <c r="AA7" i="6"/>
  <c r="Z7" i="6"/>
  <c r="Y7" i="6"/>
  <c r="S7" i="6"/>
  <c r="Q7" i="6"/>
  <c r="P7" i="6"/>
  <c r="P38" i="6" s="1"/>
  <c r="O7" i="6"/>
  <c r="I7" i="6"/>
  <c r="G7" i="6"/>
  <c r="F7" i="6"/>
  <c r="E7" i="6"/>
  <c r="AL38" i="5"/>
  <c r="AB38" i="5"/>
  <c r="R38" i="5"/>
  <c r="H38" i="5"/>
  <c r="AU37" i="5"/>
  <c r="AT37" i="5"/>
  <c r="AN37" i="5"/>
  <c r="AM37" i="5"/>
  <c r="AK37" i="5"/>
  <c r="AJ37" i="5"/>
  <c r="AI37" i="5"/>
  <c r="AC37" i="5"/>
  <c r="AA37" i="5"/>
  <c r="Z37" i="5"/>
  <c r="Y37" i="5"/>
  <c r="S37" i="5"/>
  <c r="Q37" i="5"/>
  <c r="P37" i="5"/>
  <c r="T37" i="5" s="1"/>
  <c r="O37" i="5"/>
  <c r="J37" i="5"/>
  <c r="L37" i="5" s="1"/>
  <c r="I37" i="5"/>
  <c r="G37" i="5"/>
  <c r="F37" i="5"/>
  <c r="E37" i="5"/>
  <c r="AQ37" i="5" s="1"/>
  <c r="AU36" i="5"/>
  <c r="AT36" i="5"/>
  <c r="AR36" i="5"/>
  <c r="AQ36" i="5"/>
  <c r="AM36" i="5"/>
  <c r="AK36" i="5"/>
  <c r="AJ36" i="5"/>
  <c r="AI36" i="5"/>
  <c r="AC36" i="5"/>
  <c r="AE36" i="5" s="1"/>
  <c r="AA36" i="5"/>
  <c r="Z36" i="5"/>
  <c r="AD36" i="5" s="1"/>
  <c r="AF36" i="5" s="1"/>
  <c r="Y36" i="5"/>
  <c r="S36" i="5"/>
  <c r="T36" i="5" s="1"/>
  <c r="Q36" i="5"/>
  <c r="P36" i="5"/>
  <c r="O36" i="5"/>
  <c r="I36" i="5"/>
  <c r="G36" i="5"/>
  <c r="F36" i="5"/>
  <c r="J36" i="5" s="1"/>
  <c r="E36" i="5"/>
  <c r="AV35" i="5"/>
  <c r="AU35" i="5"/>
  <c r="AT35" i="5"/>
  <c r="AM35" i="5"/>
  <c r="AK35" i="5"/>
  <c r="AP35" i="5" s="1"/>
  <c r="AJ35" i="5"/>
  <c r="AN35" i="5" s="1"/>
  <c r="AI35" i="5"/>
  <c r="AD35" i="5"/>
  <c r="AE35" i="5" s="1"/>
  <c r="AC35" i="5"/>
  <c r="AA35" i="5"/>
  <c r="Z35" i="5"/>
  <c r="Y35" i="5"/>
  <c r="AQ35" i="5" s="1"/>
  <c r="V35" i="5"/>
  <c r="U35" i="5"/>
  <c r="S35" i="5"/>
  <c r="Q35" i="5"/>
  <c r="P35" i="5"/>
  <c r="T35" i="5" s="1"/>
  <c r="O35" i="5"/>
  <c r="I35" i="5"/>
  <c r="G35" i="5"/>
  <c r="F35" i="5"/>
  <c r="E35" i="5"/>
  <c r="AU34" i="5"/>
  <c r="AT34" i="5"/>
  <c r="AM34" i="5"/>
  <c r="AK34" i="5"/>
  <c r="AJ34" i="5"/>
  <c r="AI34" i="5"/>
  <c r="AC34" i="5"/>
  <c r="AA34" i="5"/>
  <c r="Z34" i="5"/>
  <c r="Y34" i="5"/>
  <c r="S34" i="5"/>
  <c r="Q34" i="5"/>
  <c r="V34" i="5" s="1"/>
  <c r="P34" i="5"/>
  <c r="T34" i="5" s="1"/>
  <c r="O34" i="5"/>
  <c r="J34" i="5"/>
  <c r="K34" i="5" s="1"/>
  <c r="I34" i="5"/>
  <c r="G34" i="5"/>
  <c r="F34" i="5"/>
  <c r="AR34" i="5" s="1"/>
  <c r="E34" i="5"/>
  <c r="AQ34" i="5" s="1"/>
  <c r="AV33" i="5"/>
  <c r="AT33" i="5"/>
  <c r="AU33" i="5" s="1"/>
  <c r="AM33" i="5"/>
  <c r="AK33" i="5"/>
  <c r="AJ33" i="5"/>
  <c r="AN33" i="5" s="1"/>
  <c r="AI33" i="5"/>
  <c r="AF33" i="5"/>
  <c r="AD33" i="5"/>
  <c r="AC33" i="5"/>
  <c r="AE33" i="5" s="1"/>
  <c r="AA33" i="5"/>
  <c r="Z33" i="5"/>
  <c r="Y33" i="5"/>
  <c r="S33" i="5"/>
  <c r="Q33" i="5"/>
  <c r="P33" i="5"/>
  <c r="T33" i="5" s="1"/>
  <c r="O33" i="5"/>
  <c r="L33" i="5"/>
  <c r="J33" i="5"/>
  <c r="I33" i="5"/>
  <c r="K33" i="5" s="1"/>
  <c r="G33" i="5"/>
  <c r="F33" i="5"/>
  <c r="E33" i="5"/>
  <c r="AQ33" i="5" s="1"/>
  <c r="AT32" i="5"/>
  <c r="AU32" i="5" s="1"/>
  <c r="AQ32" i="5"/>
  <c r="AP32" i="5"/>
  <c r="AM32" i="5"/>
  <c r="AK32" i="5"/>
  <c r="AJ32" i="5"/>
  <c r="AN32" i="5" s="1"/>
  <c r="AI32" i="5"/>
  <c r="AD32" i="5"/>
  <c r="AF32" i="5" s="1"/>
  <c r="AC32" i="5"/>
  <c r="AE32" i="5" s="1"/>
  <c r="AA32" i="5"/>
  <c r="Z32" i="5"/>
  <c r="Y32" i="5"/>
  <c r="S32" i="5"/>
  <c r="Q32" i="5"/>
  <c r="P32" i="5"/>
  <c r="T32" i="5" s="1"/>
  <c r="O32" i="5"/>
  <c r="J32" i="5"/>
  <c r="L32" i="5" s="1"/>
  <c r="I32" i="5"/>
  <c r="G32" i="5"/>
  <c r="AS32" i="5" s="1"/>
  <c r="F32" i="5"/>
  <c r="E32" i="5"/>
  <c r="AT31" i="5"/>
  <c r="AU31" i="5" s="1"/>
  <c r="AM31" i="5"/>
  <c r="AK31" i="5"/>
  <c r="AJ31" i="5"/>
  <c r="AI31" i="5"/>
  <c r="AD31" i="5"/>
  <c r="AF31" i="5" s="1"/>
  <c r="AC31" i="5"/>
  <c r="AA31" i="5"/>
  <c r="Z31" i="5"/>
  <c r="Y31" i="5"/>
  <c r="S31" i="5"/>
  <c r="Q31" i="5"/>
  <c r="P31" i="5"/>
  <c r="T31" i="5" s="1"/>
  <c r="O31" i="5"/>
  <c r="I31" i="5"/>
  <c r="G31" i="5"/>
  <c r="AS31" i="5" s="1"/>
  <c r="F31" i="5"/>
  <c r="E31" i="5"/>
  <c r="AT30" i="5"/>
  <c r="AU30" i="5" s="1"/>
  <c r="AS30" i="5"/>
  <c r="AM30" i="5"/>
  <c r="AK30" i="5"/>
  <c r="AJ30" i="5"/>
  <c r="AN30" i="5" s="1"/>
  <c r="AI30" i="5"/>
  <c r="AC30" i="5"/>
  <c r="AE30" i="5" s="1"/>
  <c r="AA30" i="5"/>
  <c r="Z30" i="5"/>
  <c r="AD30" i="5" s="1"/>
  <c r="Y30" i="5"/>
  <c r="T30" i="5"/>
  <c r="S30" i="5"/>
  <c r="Q30" i="5"/>
  <c r="P30" i="5"/>
  <c r="AR30" i="5" s="1"/>
  <c r="O30" i="5"/>
  <c r="I30" i="5"/>
  <c r="AV30" i="5" s="1"/>
  <c r="G30" i="5"/>
  <c r="F30" i="5"/>
  <c r="J30" i="5" s="1"/>
  <c r="K30" i="5" s="1"/>
  <c r="E30" i="5"/>
  <c r="AV29" i="5"/>
  <c r="AT29" i="5"/>
  <c r="AU29" i="5" s="1"/>
  <c r="AM29" i="5"/>
  <c r="AK29" i="5"/>
  <c r="AJ29" i="5"/>
  <c r="AN29" i="5" s="1"/>
  <c r="AI29" i="5"/>
  <c r="AC29" i="5"/>
  <c r="AA29" i="5"/>
  <c r="Z29" i="5"/>
  <c r="Y29" i="5"/>
  <c r="T29" i="5"/>
  <c r="V29" i="5" s="1"/>
  <c r="S29" i="5"/>
  <c r="Q29" i="5"/>
  <c r="P29" i="5"/>
  <c r="O29" i="5"/>
  <c r="I29" i="5"/>
  <c r="J29" i="5" s="1"/>
  <c r="G29" i="5"/>
  <c r="F29" i="5"/>
  <c r="AR29" i="5" s="1"/>
  <c r="E29" i="5"/>
  <c r="AT28" i="5"/>
  <c r="AU28" i="5" s="1"/>
  <c r="AN28" i="5"/>
  <c r="AM28" i="5"/>
  <c r="AK28" i="5"/>
  <c r="AJ28" i="5"/>
  <c r="AI28" i="5"/>
  <c r="AC28" i="5"/>
  <c r="AA28" i="5"/>
  <c r="Z28" i="5"/>
  <c r="Y28" i="5"/>
  <c r="S28" i="5"/>
  <c r="Q28" i="5"/>
  <c r="P28" i="5"/>
  <c r="T28" i="5" s="1"/>
  <c r="O28" i="5"/>
  <c r="I28" i="5"/>
  <c r="G28" i="5"/>
  <c r="F28" i="5"/>
  <c r="E28" i="5"/>
  <c r="AQ28" i="5" s="1"/>
  <c r="AT27" i="5"/>
  <c r="AU27" i="5" s="1"/>
  <c r="AS27" i="5"/>
  <c r="AR27" i="5"/>
  <c r="AN27" i="5"/>
  <c r="AM27" i="5"/>
  <c r="AK27" i="5"/>
  <c r="AP27" i="5" s="1"/>
  <c r="AJ27" i="5"/>
  <c r="AI27" i="5"/>
  <c r="AF27" i="5"/>
  <c r="AC27" i="5"/>
  <c r="AA27" i="5"/>
  <c r="Z27" i="5"/>
  <c r="AD27" i="5" s="1"/>
  <c r="Y27" i="5"/>
  <c r="T27" i="5"/>
  <c r="U27" i="5" s="1"/>
  <c r="S27" i="5"/>
  <c r="Q27" i="5"/>
  <c r="P27" i="5"/>
  <c r="O27" i="5"/>
  <c r="AQ27" i="5" s="1"/>
  <c r="J27" i="5"/>
  <c r="L27" i="5" s="1"/>
  <c r="I27" i="5"/>
  <c r="G27" i="5"/>
  <c r="F27" i="5"/>
  <c r="E27" i="5"/>
  <c r="AV26" i="5"/>
  <c r="AU26" i="5"/>
  <c r="AT26" i="5"/>
  <c r="AM26" i="5"/>
  <c r="AK26" i="5"/>
  <c r="AJ26" i="5"/>
  <c r="AI26" i="5"/>
  <c r="AC26" i="5"/>
  <c r="AA26" i="5"/>
  <c r="Z26" i="5"/>
  <c r="AD26" i="5" s="1"/>
  <c r="Y26" i="5"/>
  <c r="T26" i="5"/>
  <c r="V26" i="5" s="1"/>
  <c r="S26" i="5"/>
  <c r="U26" i="5" s="1"/>
  <c r="Q26" i="5"/>
  <c r="P26" i="5"/>
  <c r="O26" i="5"/>
  <c r="I26" i="5"/>
  <c r="G26" i="5"/>
  <c r="F26" i="5"/>
  <c r="E26" i="5"/>
  <c r="AQ26" i="5" s="1"/>
  <c r="AU25" i="5"/>
  <c r="AT25" i="5"/>
  <c r="AP25" i="5"/>
  <c r="AN25" i="5"/>
  <c r="AM25" i="5"/>
  <c r="AK25" i="5"/>
  <c r="AJ25" i="5"/>
  <c r="AI25" i="5"/>
  <c r="AQ25" i="5" s="1"/>
  <c r="AF25" i="5"/>
  <c r="AE25" i="5"/>
  <c r="AD25" i="5"/>
  <c r="AC25" i="5"/>
  <c r="AA25" i="5"/>
  <c r="Z25" i="5"/>
  <c r="Y25" i="5"/>
  <c r="T25" i="5"/>
  <c r="V25" i="5" s="1"/>
  <c r="S25" i="5"/>
  <c r="Q25" i="5"/>
  <c r="P25" i="5"/>
  <c r="AR25" i="5" s="1"/>
  <c r="O25" i="5"/>
  <c r="L25" i="5"/>
  <c r="K25" i="5"/>
  <c r="J25" i="5"/>
  <c r="I25" i="5"/>
  <c r="G25" i="5"/>
  <c r="AS25" i="5" s="1"/>
  <c r="F25" i="5"/>
  <c r="E25" i="5"/>
  <c r="AT24" i="5"/>
  <c r="AU24" i="5" s="1"/>
  <c r="AN24" i="5"/>
  <c r="AM24" i="5"/>
  <c r="AK24" i="5"/>
  <c r="AP24" i="5" s="1"/>
  <c r="AJ24" i="5"/>
  <c r="AI24" i="5"/>
  <c r="AC24" i="5"/>
  <c r="AA24" i="5"/>
  <c r="AF24" i="5" s="1"/>
  <c r="Z24" i="5"/>
  <c r="AD24" i="5" s="1"/>
  <c r="Y24" i="5"/>
  <c r="S24" i="5"/>
  <c r="AV24" i="5" s="1"/>
  <c r="Q24" i="5"/>
  <c r="P24" i="5"/>
  <c r="O24" i="5"/>
  <c r="I24" i="5"/>
  <c r="G24" i="5"/>
  <c r="F24" i="5"/>
  <c r="E24" i="5"/>
  <c r="AQ24" i="5" s="1"/>
  <c r="AT23" i="5"/>
  <c r="AU23" i="5" s="1"/>
  <c r="AR23" i="5"/>
  <c r="AQ23" i="5"/>
  <c r="AO23" i="5"/>
  <c r="AM23" i="5"/>
  <c r="AK23" i="5"/>
  <c r="AJ23" i="5"/>
  <c r="AN23" i="5" s="1"/>
  <c r="AI23" i="5"/>
  <c r="AE23" i="5"/>
  <c r="AD23" i="5"/>
  <c r="AF23" i="5" s="1"/>
  <c r="AC23" i="5"/>
  <c r="AA23" i="5"/>
  <c r="Z23" i="5"/>
  <c r="Y23" i="5"/>
  <c r="T23" i="5"/>
  <c r="U23" i="5" s="1"/>
  <c r="S23" i="5"/>
  <c r="Q23" i="5"/>
  <c r="P23" i="5"/>
  <c r="O23" i="5"/>
  <c r="I23" i="5"/>
  <c r="AV23" i="5" s="1"/>
  <c r="G23" i="5"/>
  <c r="AS23" i="5" s="1"/>
  <c r="F23" i="5"/>
  <c r="E23" i="5"/>
  <c r="AV22" i="5"/>
  <c r="AU22" i="5"/>
  <c r="AT22" i="5"/>
  <c r="AM22" i="5"/>
  <c r="AK22" i="5"/>
  <c r="AJ22" i="5"/>
  <c r="AI22" i="5"/>
  <c r="AD22" i="5"/>
  <c r="AF22" i="5" s="1"/>
  <c r="AC22" i="5"/>
  <c r="AE22" i="5" s="1"/>
  <c r="AA22" i="5"/>
  <c r="Z22" i="5"/>
  <c r="Y22" i="5"/>
  <c r="U22" i="5"/>
  <c r="S22" i="5"/>
  <c r="T22" i="5" s="1"/>
  <c r="Q22" i="5"/>
  <c r="V22" i="5" s="1"/>
  <c r="P22" i="5"/>
  <c r="O22" i="5"/>
  <c r="AQ22" i="5" s="1"/>
  <c r="K22" i="5"/>
  <c r="J22" i="5"/>
  <c r="L22" i="5" s="1"/>
  <c r="I22" i="5"/>
  <c r="G22" i="5"/>
  <c r="F22" i="5"/>
  <c r="AR22" i="5" s="1"/>
  <c r="E22" i="5"/>
  <c r="AU21" i="5"/>
  <c r="AT21" i="5"/>
  <c r="AM21" i="5"/>
  <c r="AK21" i="5"/>
  <c r="AJ21" i="5"/>
  <c r="AI21" i="5"/>
  <c r="AC21" i="5"/>
  <c r="AA21" i="5"/>
  <c r="Z21" i="5"/>
  <c r="AD21" i="5" s="1"/>
  <c r="Y21" i="5"/>
  <c r="S21" i="5"/>
  <c r="Q21" i="5"/>
  <c r="P21" i="5"/>
  <c r="O21" i="5"/>
  <c r="I21" i="5"/>
  <c r="G21" i="5"/>
  <c r="F21" i="5"/>
  <c r="E21" i="5"/>
  <c r="AQ21" i="5" s="1"/>
  <c r="AT20" i="5"/>
  <c r="AU20" i="5" s="1"/>
  <c r="AP20" i="5"/>
  <c r="AM20" i="5"/>
  <c r="AK20" i="5"/>
  <c r="AJ20" i="5"/>
  <c r="AN20" i="5" s="1"/>
  <c r="AI20" i="5"/>
  <c r="AD20" i="5"/>
  <c r="AC20" i="5"/>
  <c r="AE20" i="5" s="1"/>
  <c r="AA20" i="5"/>
  <c r="Z20" i="5"/>
  <c r="Y20" i="5"/>
  <c r="S20" i="5"/>
  <c r="Q20" i="5"/>
  <c r="P20" i="5"/>
  <c r="O20" i="5"/>
  <c r="I20" i="5"/>
  <c r="G20" i="5"/>
  <c r="F20" i="5"/>
  <c r="AR20" i="5" s="1"/>
  <c r="E20" i="5"/>
  <c r="AU19" i="5"/>
  <c r="AT19" i="5"/>
  <c r="AM19" i="5"/>
  <c r="AK19" i="5"/>
  <c r="AJ19" i="5"/>
  <c r="AN19" i="5" s="1"/>
  <c r="AI19" i="5"/>
  <c r="AC19" i="5"/>
  <c r="AA19" i="5"/>
  <c r="Z19" i="5"/>
  <c r="Y19" i="5"/>
  <c r="S19" i="5"/>
  <c r="Q19" i="5"/>
  <c r="P19" i="5"/>
  <c r="T19" i="5" s="1"/>
  <c r="O19" i="5"/>
  <c r="K19" i="5"/>
  <c r="J19" i="5"/>
  <c r="I19" i="5"/>
  <c r="G19" i="5"/>
  <c r="F19" i="5"/>
  <c r="E19" i="5"/>
  <c r="AQ19" i="5" s="1"/>
  <c r="AU18" i="5"/>
  <c r="AT18" i="5"/>
  <c r="AN18" i="5"/>
  <c r="AM18" i="5"/>
  <c r="AK18" i="5"/>
  <c r="AJ18" i="5"/>
  <c r="AI18" i="5"/>
  <c r="AC18" i="5"/>
  <c r="AE18" i="5" s="1"/>
  <c r="AA18" i="5"/>
  <c r="Z18" i="5"/>
  <c r="AD18" i="5" s="1"/>
  <c r="AF18" i="5" s="1"/>
  <c r="Y18" i="5"/>
  <c r="V18" i="5"/>
  <c r="S18" i="5"/>
  <c r="Q18" i="5"/>
  <c r="P18" i="5"/>
  <c r="T18" i="5" s="1"/>
  <c r="O18" i="5"/>
  <c r="I18" i="5"/>
  <c r="G18" i="5"/>
  <c r="F18" i="5"/>
  <c r="E18" i="5"/>
  <c r="AQ18" i="5" s="1"/>
  <c r="AU17" i="5"/>
  <c r="AT17" i="5"/>
  <c r="AM17" i="5"/>
  <c r="AK17" i="5"/>
  <c r="AP17" i="5" s="1"/>
  <c r="AJ17" i="5"/>
  <c r="AN17" i="5" s="1"/>
  <c r="AI17" i="5"/>
  <c r="AC17" i="5"/>
  <c r="AA17" i="5"/>
  <c r="Z17" i="5"/>
  <c r="AD17" i="5" s="1"/>
  <c r="AF17" i="5" s="1"/>
  <c r="Y17" i="5"/>
  <c r="V17" i="5"/>
  <c r="U17" i="5"/>
  <c r="S17" i="5"/>
  <c r="Q17" i="5"/>
  <c r="P17" i="5"/>
  <c r="T17" i="5" s="1"/>
  <c r="O17" i="5"/>
  <c r="I17" i="5"/>
  <c r="G17" i="5"/>
  <c r="F17" i="5"/>
  <c r="E17" i="5"/>
  <c r="AQ17" i="5" s="1"/>
  <c r="AU16" i="5"/>
  <c r="AT16" i="5"/>
  <c r="AM16" i="5"/>
  <c r="AK16" i="5"/>
  <c r="AJ16" i="5"/>
  <c r="AN16" i="5" s="1"/>
  <c r="AP16" i="5" s="1"/>
  <c r="AI16" i="5"/>
  <c r="AD16" i="5"/>
  <c r="AE16" i="5" s="1"/>
  <c r="AC16" i="5"/>
  <c r="AA16" i="5"/>
  <c r="Z16" i="5"/>
  <c r="Y16" i="5"/>
  <c r="T16" i="5"/>
  <c r="V16" i="5" s="1"/>
  <c r="S16" i="5"/>
  <c r="Q16" i="5"/>
  <c r="P16" i="5"/>
  <c r="O16" i="5"/>
  <c r="I16" i="5"/>
  <c r="G16" i="5"/>
  <c r="F16" i="5"/>
  <c r="E16" i="5"/>
  <c r="AV15" i="5"/>
  <c r="AT15" i="5"/>
  <c r="AU15" i="5" s="1"/>
  <c r="AS15" i="5"/>
  <c r="AQ15" i="5"/>
  <c r="AP15" i="5"/>
  <c r="AM15" i="5"/>
  <c r="AO15" i="5" s="1"/>
  <c r="AK15" i="5"/>
  <c r="AJ15" i="5"/>
  <c r="AN15" i="5" s="1"/>
  <c r="AI15" i="5"/>
  <c r="AC15" i="5"/>
  <c r="AD15" i="5" s="1"/>
  <c r="AA15" i="5"/>
  <c r="AF15" i="5" s="1"/>
  <c r="Z15" i="5"/>
  <c r="Y15" i="5"/>
  <c r="V15" i="5"/>
  <c r="U15" i="5"/>
  <c r="T15" i="5"/>
  <c r="S15" i="5"/>
  <c r="Q15" i="5"/>
  <c r="P15" i="5"/>
  <c r="O15" i="5"/>
  <c r="I15" i="5"/>
  <c r="G15" i="5"/>
  <c r="F15" i="5"/>
  <c r="J15" i="5" s="1"/>
  <c r="E15" i="5"/>
  <c r="AU14" i="5"/>
  <c r="AT14" i="5"/>
  <c r="AS14" i="5"/>
  <c r="AM14" i="5"/>
  <c r="AK14" i="5"/>
  <c r="AJ14" i="5"/>
  <c r="AN14" i="5" s="1"/>
  <c r="AI14" i="5"/>
  <c r="AC14" i="5"/>
  <c r="AA14" i="5"/>
  <c r="Z14" i="5"/>
  <c r="Y14" i="5"/>
  <c r="T14" i="5"/>
  <c r="S14" i="5"/>
  <c r="Q14" i="5"/>
  <c r="P14" i="5"/>
  <c r="O14" i="5"/>
  <c r="I14" i="5"/>
  <c r="G14" i="5"/>
  <c r="F14" i="5"/>
  <c r="E14" i="5"/>
  <c r="AQ14" i="5" s="1"/>
  <c r="AT13" i="5"/>
  <c r="AU13" i="5" s="1"/>
  <c r="AM13" i="5"/>
  <c r="AK13" i="5"/>
  <c r="AJ13" i="5"/>
  <c r="AI13" i="5"/>
  <c r="AC13" i="5"/>
  <c r="AA13" i="5"/>
  <c r="Z13" i="5"/>
  <c r="AD13" i="5" s="1"/>
  <c r="Y13" i="5"/>
  <c r="S13" i="5"/>
  <c r="U13" i="5" s="1"/>
  <c r="Q13" i="5"/>
  <c r="V13" i="5" s="1"/>
  <c r="P13" i="5"/>
  <c r="T13" i="5" s="1"/>
  <c r="O13" i="5"/>
  <c r="I13" i="5"/>
  <c r="G13" i="5"/>
  <c r="F13" i="5"/>
  <c r="E13" i="5"/>
  <c r="AQ13" i="5" s="1"/>
  <c r="AT12" i="5"/>
  <c r="AU12" i="5" s="1"/>
  <c r="AN12" i="5"/>
  <c r="AM12" i="5"/>
  <c r="AK12" i="5"/>
  <c r="AJ12" i="5"/>
  <c r="AI12" i="5"/>
  <c r="AF12" i="5"/>
  <c r="AE12" i="5"/>
  <c r="AD12" i="5"/>
  <c r="AC12" i="5"/>
  <c r="AA12" i="5"/>
  <c r="Z12" i="5"/>
  <c r="Y12" i="5"/>
  <c r="T12" i="5"/>
  <c r="S12" i="5"/>
  <c r="AV12" i="5" s="1"/>
  <c r="Q12" i="5"/>
  <c r="P12" i="5"/>
  <c r="O12" i="5"/>
  <c r="L12" i="5"/>
  <c r="K12" i="5"/>
  <c r="J12" i="5"/>
  <c r="I12" i="5"/>
  <c r="G12" i="5"/>
  <c r="F12" i="5"/>
  <c r="E12" i="5"/>
  <c r="AT11" i="5"/>
  <c r="AU11" i="5" s="1"/>
  <c r="AM11" i="5"/>
  <c r="AK11" i="5"/>
  <c r="AJ11" i="5"/>
  <c r="AN11" i="5" s="1"/>
  <c r="AP11" i="5" s="1"/>
  <c r="AI11" i="5"/>
  <c r="AC11" i="5"/>
  <c r="AA11" i="5"/>
  <c r="Z11" i="5"/>
  <c r="AD11" i="5" s="1"/>
  <c r="AE11" i="5" s="1"/>
  <c r="Y11" i="5"/>
  <c r="V11" i="5"/>
  <c r="S11" i="5"/>
  <c r="Q11" i="5"/>
  <c r="P11" i="5"/>
  <c r="T11" i="5" s="1"/>
  <c r="U11" i="5" s="1"/>
  <c r="O11" i="5"/>
  <c r="I11" i="5"/>
  <c r="G11" i="5"/>
  <c r="F11" i="5"/>
  <c r="E11" i="5"/>
  <c r="AQ11" i="5" s="1"/>
  <c r="AT10" i="5"/>
  <c r="AU10" i="5" s="1"/>
  <c r="AM10" i="5"/>
  <c r="AK10" i="5"/>
  <c r="AP10" i="5" s="1"/>
  <c r="AJ10" i="5"/>
  <c r="AN10" i="5" s="1"/>
  <c r="AI10" i="5"/>
  <c r="AC10" i="5"/>
  <c r="AA10" i="5"/>
  <c r="Z10" i="5"/>
  <c r="AD10" i="5" s="1"/>
  <c r="Y10" i="5"/>
  <c r="S10" i="5"/>
  <c r="Q10" i="5"/>
  <c r="V10" i="5" s="1"/>
  <c r="P10" i="5"/>
  <c r="T10" i="5" s="1"/>
  <c r="O10" i="5"/>
  <c r="I10" i="5"/>
  <c r="G10" i="5"/>
  <c r="F10" i="5"/>
  <c r="E10" i="5"/>
  <c r="AQ10" i="5" s="1"/>
  <c r="AU9" i="5"/>
  <c r="AT9" i="5"/>
  <c r="AO9" i="5"/>
  <c r="AM9" i="5"/>
  <c r="AN9" i="5" s="1"/>
  <c r="AK9" i="5"/>
  <c r="AJ9" i="5"/>
  <c r="AI9" i="5"/>
  <c r="AD9" i="5"/>
  <c r="AF9" i="5" s="1"/>
  <c r="AC9" i="5"/>
  <c r="AA9" i="5"/>
  <c r="Z9" i="5"/>
  <c r="Y9" i="5"/>
  <c r="S9" i="5"/>
  <c r="Q9" i="5"/>
  <c r="P9" i="5"/>
  <c r="O9" i="5"/>
  <c r="K9" i="5"/>
  <c r="J9" i="5"/>
  <c r="L9" i="5" s="1"/>
  <c r="I9" i="5"/>
  <c r="G9" i="5"/>
  <c r="F9" i="5"/>
  <c r="E9" i="5"/>
  <c r="AU8" i="5"/>
  <c r="AT8" i="5"/>
  <c r="AR8" i="5"/>
  <c r="AP8" i="5"/>
  <c r="AO8" i="5"/>
  <c r="AN8" i="5"/>
  <c r="AM8" i="5"/>
  <c r="AK8" i="5"/>
  <c r="AJ8" i="5"/>
  <c r="AI8" i="5"/>
  <c r="AC8" i="5"/>
  <c r="AD8" i="5" s="1"/>
  <c r="AA8" i="5"/>
  <c r="Z8" i="5"/>
  <c r="Y8" i="5"/>
  <c r="Y38" i="5" s="1"/>
  <c r="T8" i="5"/>
  <c r="U8" i="5" s="1"/>
  <c r="S8" i="5"/>
  <c r="Q8" i="5"/>
  <c r="P8" i="5"/>
  <c r="O8" i="5"/>
  <c r="J8" i="5"/>
  <c r="I8" i="5"/>
  <c r="G8" i="5"/>
  <c r="F8" i="5"/>
  <c r="E8" i="5"/>
  <c r="AT7" i="5"/>
  <c r="AN7" i="5"/>
  <c r="AM7" i="5"/>
  <c r="AK7" i="5"/>
  <c r="AJ7" i="5"/>
  <c r="AI7" i="5"/>
  <c r="AI38" i="5" s="1"/>
  <c r="AC7" i="5"/>
  <c r="AA7" i="5"/>
  <c r="Z7" i="5"/>
  <c r="Y7" i="5"/>
  <c r="S7" i="5"/>
  <c r="Q7" i="5"/>
  <c r="P7" i="5"/>
  <c r="O7" i="5"/>
  <c r="I7" i="5"/>
  <c r="G7" i="5"/>
  <c r="F7" i="5"/>
  <c r="F38" i="5" s="1"/>
  <c r="E7" i="5"/>
  <c r="AL37" i="4"/>
  <c r="AB37" i="4"/>
  <c r="R37" i="4"/>
  <c r="H37" i="4"/>
  <c r="AU36" i="4"/>
  <c r="AT36" i="4"/>
  <c r="AM36" i="4"/>
  <c r="AK36" i="4"/>
  <c r="AJ36" i="4"/>
  <c r="AN36" i="4" s="1"/>
  <c r="AI36" i="4"/>
  <c r="AC36" i="4"/>
  <c r="AA36" i="4"/>
  <c r="Z36" i="4"/>
  <c r="Y36" i="4"/>
  <c r="S36" i="4"/>
  <c r="Q36" i="4"/>
  <c r="V36" i="4" s="1"/>
  <c r="P36" i="4"/>
  <c r="T36" i="4" s="1"/>
  <c r="O36" i="4"/>
  <c r="I36" i="4"/>
  <c r="G36" i="4"/>
  <c r="F36" i="4"/>
  <c r="E36" i="4"/>
  <c r="AU35" i="4"/>
  <c r="AT35" i="4"/>
  <c r="AS35" i="4"/>
  <c r="AR35" i="4"/>
  <c r="AM35" i="4"/>
  <c r="AK35" i="4"/>
  <c r="AJ35" i="4"/>
  <c r="AI35" i="4"/>
  <c r="AC35" i="4"/>
  <c r="AA35" i="4"/>
  <c r="Z35" i="4"/>
  <c r="Y35" i="4"/>
  <c r="S35" i="4"/>
  <c r="Q35" i="4"/>
  <c r="P35" i="4"/>
  <c r="T35" i="4" s="1"/>
  <c r="O35" i="4"/>
  <c r="AQ35" i="4" s="1"/>
  <c r="I35" i="4"/>
  <c r="G35" i="4"/>
  <c r="F35" i="4"/>
  <c r="J35" i="4" s="1"/>
  <c r="L35" i="4" s="1"/>
  <c r="E35" i="4"/>
  <c r="AT34" i="4"/>
  <c r="AU34" i="4" s="1"/>
  <c r="AS34" i="4"/>
  <c r="AR34" i="4"/>
  <c r="AN34" i="4"/>
  <c r="AM34" i="4"/>
  <c r="AO34" i="4" s="1"/>
  <c r="AK34" i="4"/>
  <c r="AP34" i="4" s="1"/>
  <c r="AJ34" i="4"/>
  <c r="AI34" i="4"/>
  <c r="AC34" i="4"/>
  <c r="AE34" i="4" s="1"/>
  <c r="AA34" i="4"/>
  <c r="AF34" i="4" s="1"/>
  <c r="Z34" i="4"/>
  <c r="AD34" i="4" s="1"/>
  <c r="Y34" i="4"/>
  <c r="V34" i="4"/>
  <c r="U34" i="4"/>
  <c r="T34" i="4"/>
  <c r="S34" i="4"/>
  <c r="Q34" i="4"/>
  <c r="P34" i="4"/>
  <c r="O34" i="4"/>
  <c r="I34" i="4"/>
  <c r="G34" i="4"/>
  <c r="L34" i="4" s="1"/>
  <c r="F34" i="4"/>
  <c r="J34" i="4" s="1"/>
  <c r="E34" i="4"/>
  <c r="AQ34" i="4" s="1"/>
  <c r="AU33" i="4"/>
  <c r="AT33" i="4"/>
  <c r="AM33" i="4"/>
  <c r="AK33" i="4"/>
  <c r="AJ33" i="4"/>
  <c r="AI33" i="4"/>
  <c r="AE33" i="4"/>
  <c r="AD33" i="4"/>
  <c r="AF33" i="4" s="1"/>
  <c r="AC33" i="4"/>
  <c r="AA33" i="4"/>
  <c r="Z33" i="4"/>
  <c r="Y33" i="4"/>
  <c r="S33" i="4"/>
  <c r="Q33" i="4"/>
  <c r="P33" i="4"/>
  <c r="T33" i="4" s="1"/>
  <c r="U33" i="4" s="1"/>
  <c r="O33" i="4"/>
  <c r="L33" i="4"/>
  <c r="J33" i="4"/>
  <c r="K33" i="4" s="1"/>
  <c r="I33" i="4"/>
  <c r="G33" i="4"/>
  <c r="AS33" i="4" s="1"/>
  <c r="F33" i="4"/>
  <c r="E33" i="4"/>
  <c r="AT32" i="4"/>
  <c r="AU32" i="4" s="1"/>
  <c r="AS32" i="4"/>
  <c r="AR32" i="4"/>
  <c r="AP32" i="4"/>
  <c r="AM32" i="4"/>
  <c r="AK32" i="4"/>
  <c r="AJ32" i="4"/>
  <c r="AN32" i="4" s="1"/>
  <c r="AI32" i="4"/>
  <c r="AC32" i="4"/>
  <c r="AV32" i="4" s="1"/>
  <c r="AA32" i="4"/>
  <c r="Z32" i="4"/>
  <c r="Y32" i="4"/>
  <c r="V32" i="4"/>
  <c r="S32" i="4"/>
  <c r="U32" i="4" s="1"/>
  <c r="Q32" i="4"/>
  <c r="P32" i="4"/>
  <c r="T32" i="4" s="1"/>
  <c r="O32" i="4"/>
  <c r="L32" i="4"/>
  <c r="I32" i="4"/>
  <c r="G32" i="4"/>
  <c r="F32" i="4"/>
  <c r="J32" i="4" s="1"/>
  <c r="E32" i="4"/>
  <c r="AQ32" i="4" s="1"/>
  <c r="AT31" i="4"/>
  <c r="AU31" i="4" s="1"/>
  <c r="AN31" i="4"/>
  <c r="AO31" i="4" s="1"/>
  <c r="AM31" i="4"/>
  <c r="AK31" i="4"/>
  <c r="AJ31" i="4"/>
  <c r="AI31" i="4"/>
  <c r="AC31" i="4"/>
  <c r="AA31" i="4"/>
  <c r="Z31" i="4"/>
  <c r="AD31" i="4" s="1"/>
  <c r="Y31" i="4"/>
  <c r="AQ31" i="4" s="1"/>
  <c r="S31" i="4"/>
  <c r="Q31" i="4"/>
  <c r="V31" i="4" s="1"/>
  <c r="P31" i="4"/>
  <c r="T31" i="4" s="1"/>
  <c r="O31" i="4"/>
  <c r="I31" i="4"/>
  <c r="G31" i="4"/>
  <c r="F31" i="4"/>
  <c r="J31" i="4" s="1"/>
  <c r="E31" i="4"/>
  <c r="AV30" i="4"/>
  <c r="AU30" i="4"/>
  <c r="AT30" i="4"/>
  <c r="AM30" i="4"/>
  <c r="AK30" i="4"/>
  <c r="AJ30" i="4"/>
  <c r="AI30" i="4"/>
  <c r="AE30" i="4"/>
  <c r="AD30" i="4"/>
  <c r="AF30" i="4" s="1"/>
  <c r="AC30" i="4"/>
  <c r="AA30" i="4"/>
  <c r="Z30" i="4"/>
  <c r="Y30" i="4"/>
  <c r="T30" i="4"/>
  <c r="S30" i="4"/>
  <c r="Q30" i="4"/>
  <c r="P30" i="4"/>
  <c r="O30" i="4"/>
  <c r="L30" i="4"/>
  <c r="I30" i="4"/>
  <c r="J30" i="4" s="1"/>
  <c r="G30" i="4"/>
  <c r="F30" i="4"/>
  <c r="AR30" i="4" s="1"/>
  <c r="E30" i="4"/>
  <c r="AV29" i="4"/>
  <c r="AU29" i="4"/>
  <c r="AT29" i="4"/>
  <c r="AR29" i="4"/>
  <c r="AP29" i="4"/>
  <c r="AO29" i="4"/>
  <c r="AM29" i="4"/>
  <c r="AK29" i="4"/>
  <c r="AJ29" i="4"/>
  <c r="AN29" i="4" s="1"/>
  <c r="AI29" i="4"/>
  <c r="AD29" i="4"/>
  <c r="AE29" i="4" s="1"/>
  <c r="AC29" i="4"/>
  <c r="AA29" i="4"/>
  <c r="AF29" i="4" s="1"/>
  <c r="Z29" i="4"/>
  <c r="Y29" i="4"/>
  <c r="AQ29" i="4" s="1"/>
  <c r="V29" i="4"/>
  <c r="S29" i="4"/>
  <c r="Q29" i="4"/>
  <c r="P29" i="4"/>
  <c r="T29" i="4" s="1"/>
  <c r="U29" i="4" s="1"/>
  <c r="O29" i="4"/>
  <c r="J29" i="4"/>
  <c r="I29" i="4"/>
  <c r="G29" i="4"/>
  <c r="F29" i="4"/>
  <c r="E29" i="4"/>
  <c r="AT28" i="4"/>
  <c r="AU28" i="4" s="1"/>
  <c r="AR28" i="4"/>
  <c r="AM28" i="4"/>
  <c r="AK28" i="4"/>
  <c r="AJ28" i="4"/>
  <c r="AN28" i="4" s="1"/>
  <c r="AP28" i="4" s="1"/>
  <c r="AI28" i="4"/>
  <c r="AC28" i="4"/>
  <c r="AE28" i="4" s="1"/>
  <c r="AA28" i="4"/>
  <c r="AF28" i="4" s="1"/>
  <c r="Z28" i="4"/>
  <c r="AD28" i="4" s="1"/>
  <c r="Y28" i="4"/>
  <c r="S28" i="4"/>
  <c r="Q28" i="4"/>
  <c r="P28" i="4"/>
  <c r="T28" i="4" s="1"/>
  <c r="V28" i="4" s="1"/>
  <c r="O28" i="4"/>
  <c r="I28" i="4"/>
  <c r="G28" i="4"/>
  <c r="F28" i="4"/>
  <c r="J28" i="4" s="1"/>
  <c r="E28" i="4"/>
  <c r="AU27" i="4"/>
  <c r="AT27" i="4"/>
  <c r="AS27" i="4"/>
  <c r="AM27" i="4"/>
  <c r="AO27" i="4" s="1"/>
  <c r="AK27" i="4"/>
  <c r="AJ27" i="4"/>
  <c r="AN27" i="4" s="1"/>
  <c r="AI27" i="4"/>
  <c r="AD27" i="4"/>
  <c r="AC27" i="4"/>
  <c r="AA27" i="4"/>
  <c r="Z27" i="4"/>
  <c r="Y27" i="4"/>
  <c r="S27" i="4"/>
  <c r="Q27" i="4"/>
  <c r="V27" i="4" s="1"/>
  <c r="P27" i="4"/>
  <c r="T27" i="4" s="1"/>
  <c r="O27" i="4"/>
  <c r="K27" i="4"/>
  <c r="J27" i="4"/>
  <c r="I27" i="4"/>
  <c r="G27" i="4"/>
  <c r="L27" i="4" s="1"/>
  <c r="F27" i="4"/>
  <c r="AR27" i="4" s="1"/>
  <c r="E27" i="4"/>
  <c r="AQ27" i="4" s="1"/>
  <c r="AU26" i="4"/>
  <c r="AT26" i="4"/>
  <c r="AS26" i="4"/>
  <c r="AP26" i="4"/>
  <c r="AN26" i="4"/>
  <c r="AO26" i="4" s="1"/>
  <c r="AM26" i="4"/>
  <c r="AK26" i="4"/>
  <c r="AJ26" i="4"/>
  <c r="AI26" i="4"/>
  <c r="AD26" i="4"/>
  <c r="AE26" i="4" s="1"/>
  <c r="AC26" i="4"/>
  <c r="AA26" i="4"/>
  <c r="Z26" i="4"/>
  <c r="AR26" i="4" s="1"/>
  <c r="Y26" i="4"/>
  <c r="V26" i="4"/>
  <c r="U26" i="4"/>
  <c r="T26" i="4"/>
  <c r="S26" i="4"/>
  <c r="Q26" i="4"/>
  <c r="P26" i="4"/>
  <c r="O26" i="4"/>
  <c r="J26" i="4"/>
  <c r="I26" i="4"/>
  <c r="G26" i="4"/>
  <c r="F26" i="4"/>
  <c r="E26" i="4"/>
  <c r="AQ26" i="4" s="1"/>
  <c r="AT25" i="4"/>
  <c r="AU25" i="4" s="1"/>
  <c r="AM25" i="4"/>
  <c r="AK25" i="4"/>
  <c r="AP25" i="4" s="1"/>
  <c r="AJ25" i="4"/>
  <c r="AN25" i="4" s="1"/>
  <c r="AI25" i="4"/>
  <c r="AC25" i="4"/>
  <c r="AA25" i="4"/>
  <c r="AE25" i="4" s="1"/>
  <c r="Z25" i="4"/>
  <c r="AD25" i="4" s="1"/>
  <c r="AF25" i="4" s="1"/>
  <c r="Y25" i="4"/>
  <c r="U25" i="4"/>
  <c r="S25" i="4"/>
  <c r="Q25" i="4"/>
  <c r="P25" i="4"/>
  <c r="T25" i="4" s="1"/>
  <c r="O25" i="4"/>
  <c r="I25" i="4"/>
  <c r="G25" i="4"/>
  <c r="F25" i="4"/>
  <c r="J25" i="4" s="1"/>
  <c r="L25" i="4" s="1"/>
  <c r="E25" i="4"/>
  <c r="AQ25" i="4" s="1"/>
  <c r="AV24" i="4"/>
  <c r="AU24" i="4"/>
  <c r="AT24" i="4"/>
  <c r="AM24" i="4"/>
  <c r="AK24" i="4"/>
  <c r="AP24" i="4" s="1"/>
  <c r="AJ24" i="4"/>
  <c r="AN24" i="4" s="1"/>
  <c r="AI24" i="4"/>
  <c r="AE24" i="4"/>
  <c r="AD24" i="4"/>
  <c r="AF24" i="4" s="1"/>
  <c r="AC24" i="4"/>
  <c r="AA24" i="4"/>
  <c r="Z24" i="4"/>
  <c r="Y24" i="4"/>
  <c r="S24" i="4"/>
  <c r="Q24" i="4"/>
  <c r="P24" i="4"/>
  <c r="T24" i="4" s="1"/>
  <c r="O24" i="4"/>
  <c r="I24" i="4"/>
  <c r="G24" i="4"/>
  <c r="F24" i="4"/>
  <c r="J24" i="4" s="1"/>
  <c r="L24" i="4" s="1"/>
  <c r="E24" i="4"/>
  <c r="AQ24" i="4" s="1"/>
  <c r="AT23" i="4"/>
  <c r="AU23" i="4" s="1"/>
  <c r="AQ23" i="4"/>
  <c r="AP23" i="4"/>
  <c r="AO23" i="4"/>
  <c r="AN23" i="4"/>
  <c r="AM23" i="4"/>
  <c r="AK23" i="4"/>
  <c r="AJ23" i="4"/>
  <c r="AI23" i="4"/>
  <c r="AC23" i="4"/>
  <c r="AA23" i="4"/>
  <c r="Z23" i="4"/>
  <c r="AD23" i="4" s="1"/>
  <c r="Y23" i="4"/>
  <c r="T23" i="4"/>
  <c r="V23" i="4" s="1"/>
  <c r="S23" i="4"/>
  <c r="Q23" i="4"/>
  <c r="P23" i="4"/>
  <c r="O23" i="4"/>
  <c r="I23" i="4"/>
  <c r="G23" i="4"/>
  <c r="F23" i="4"/>
  <c r="E23" i="4"/>
  <c r="AU22" i="4"/>
  <c r="AT22" i="4"/>
  <c r="AP22" i="4"/>
  <c r="AM22" i="4"/>
  <c r="AK22" i="4"/>
  <c r="AJ22" i="4"/>
  <c r="AN22" i="4" s="1"/>
  <c r="AI22" i="4"/>
  <c r="AF22" i="4"/>
  <c r="AE22" i="4"/>
  <c r="AD22" i="4"/>
  <c r="AC22" i="4"/>
  <c r="AA22" i="4"/>
  <c r="Z22" i="4"/>
  <c r="Y22" i="4"/>
  <c r="S22" i="4"/>
  <c r="Q22" i="4"/>
  <c r="P22" i="4"/>
  <c r="T22" i="4" s="1"/>
  <c r="O22" i="4"/>
  <c r="L22" i="4"/>
  <c r="K22" i="4"/>
  <c r="J22" i="4"/>
  <c r="I22" i="4"/>
  <c r="G22" i="4"/>
  <c r="F22" i="4"/>
  <c r="E22" i="4"/>
  <c r="AT21" i="4"/>
  <c r="AU21" i="4" s="1"/>
  <c r="AQ21" i="4"/>
  <c r="AM21" i="4"/>
  <c r="AK21" i="4"/>
  <c r="AJ21" i="4"/>
  <c r="AN21" i="4" s="1"/>
  <c r="AI21" i="4"/>
  <c r="AC21" i="4"/>
  <c r="AA21" i="4"/>
  <c r="Z21" i="4"/>
  <c r="AD21" i="4" s="1"/>
  <c r="AF21" i="4" s="1"/>
  <c r="Y21" i="4"/>
  <c r="S21" i="4"/>
  <c r="Q21" i="4"/>
  <c r="P21" i="4"/>
  <c r="T21" i="4" s="1"/>
  <c r="O21" i="4"/>
  <c r="I21" i="4"/>
  <c r="G21" i="4"/>
  <c r="F21" i="4"/>
  <c r="E21" i="4"/>
  <c r="AT20" i="4"/>
  <c r="AU20" i="4" s="1"/>
  <c r="AO20" i="4"/>
  <c r="AN20" i="4"/>
  <c r="AM20" i="4"/>
  <c r="AK20" i="4"/>
  <c r="AP20" i="4" s="1"/>
  <c r="AJ20" i="4"/>
  <c r="AI20" i="4"/>
  <c r="AC20" i="4"/>
  <c r="AE20" i="4" s="1"/>
  <c r="AA20" i="4"/>
  <c r="AF20" i="4" s="1"/>
  <c r="Z20" i="4"/>
  <c r="AD20" i="4" s="1"/>
  <c r="Y20" i="4"/>
  <c r="V20" i="4"/>
  <c r="U20" i="4"/>
  <c r="T20" i="4"/>
  <c r="S20" i="4"/>
  <c r="Q20" i="4"/>
  <c r="P20" i="4"/>
  <c r="O20" i="4"/>
  <c r="I20" i="4"/>
  <c r="G20" i="4"/>
  <c r="F20" i="4"/>
  <c r="J20" i="4" s="1"/>
  <c r="E20" i="4"/>
  <c r="AQ20" i="4" s="1"/>
  <c r="AV19" i="4"/>
  <c r="AU19" i="4"/>
  <c r="AT19" i="4"/>
  <c r="AN19" i="4"/>
  <c r="AM19" i="4"/>
  <c r="AK19" i="4"/>
  <c r="AJ19" i="4"/>
  <c r="AI19" i="4"/>
  <c r="AF19" i="4"/>
  <c r="AE19" i="4"/>
  <c r="AD19" i="4"/>
  <c r="AC19" i="4"/>
  <c r="AA19" i="4"/>
  <c r="Z19" i="4"/>
  <c r="Y19" i="4"/>
  <c r="S19" i="4"/>
  <c r="Q19" i="4"/>
  <c r="P19" i="4"/>
  <c r="O19" i="4"/>
  <c r="J19" i="4"/>
  <c r="L19" i="4" s="1"/>
  <c r="I19" i="4"/>
  <c r="G19" i="4"/>
  <c r="F19" i="4"/>
  <c r="AR19" i="4" s="1"/>
  <c r="E19" i="4"/>
  <c r="AQ19" i="4" s="1"/>
  <c r="AU18" i="4"/>
  <c r="AT18" i="4"/>
  <c r="AR18" i="4"/>
  <c r="AP18" i="4"/>
  <c r="AM18" i="4"/>
  <c r="AK18" i="4"/>
  <c r="AJ18" i="4"/>
  <c r="AN18" i="4" s="1"/>
  <c r="AO18" i="4" s="1"/>
  <c r="AI18" i="4"/>
  <c r="AF18" i="4"/>
  <c r="AD18" i="4"/>
  <c r="AC18" i="4"/>
  <c r="AA18" i="4"/>
  <c r="AE18" i="4" s="1"/>
  <c r="Z18" i="4"/>
  <c r="Y18" i="4"/>
  <c r="S18" i="4"/>
  <c r="Q18" i="4"/>
  <c r="P18" i="4"/>
  <c r="T18" i="4" s="1"/>
  <c r="O18" i="4"/>
  <c r="I18" i="4"/>
  <c r="G18" i="4"/>
  <c r="F18" i="4"/>
  <c r="E18" i="4"/>
  <c r="AQ18" i="4" s="1"/>
  <c r="AT17" i="4"/>
  <c r="AU17" i="4" s="1"/>
  <c r="AR17" i="4"/>
  <c r="AQ17" i="4"/>
  <c r="AM17" i="4"/>
  <c r="AK17" i="4"/>
  <c r="AJ17" i="4"/>
  <c r="AI17" i="4"/>
  <c r="AC17" i="4"/>
  <c r="AA17" i="4"/>
  <c r="AF17" i="4" s="1"/>
  <c r="Z17" i="4"/>
  <c r="AD17" i="4" s="1"/>
  <c r="Y17" i="4"/>
  <c r="S17" i="4"/>
  <c r="Q17" i="4"/>
  <c r="P17" i="4"/>
  <c r="O17" i="4"/>
  <c r="I17" i="4"/>
  <c r="G17" i="4"/>
  <c r="F17" i="4"/>
  <c r="J17" i="4" s="1"/>
  <c r="E17" i="4"/>
  <c r="AT16" i="4"/>
  <c r="AU16" i="4" s="1"/>
  <c r="AN16" i="4"/>
  <c r="AM16" i="4"/>
  <c r="AK16" i="4"/>
  <c r="AJ16" i="4"/>
  <c r="AI16" i="4"/>
  <c r="AC16" i="4"/>
  <c r="AD16" i="4" s="1"/>
  <c r="AF16" i="4" s="1"/>
  <c r="AA16" i="4"/>
  <c r="Z16" i="4"/>
  <c r="Y16" i="4"/>
  <c r="S16" i="4"/>
  <c r="T16" i="4" s="1"/>
  <c r="Q16" i="4"/>
  <c r="P16" i="4"/>
  <c r="O16" i="4"/>
  <c r="L16" i="4"/>
  <c r="K16" i="4"/>
  <c r="J16" i="4"/>
  <c r="I16" i="4"/>
  <c r="G16" i="4"/>
  <c r="F16" i="4"/>
  <c r="E16" i="4"/>
  <c r="AU15" i="4"/>
  <c r="AT15" i="4"/>
  <c r="AP15" i="4"/>
  <c r="AO15" i="4"/>
  <c r="AN15" i="4"/>
  <c r="AM15" i="4"/>
  <c r="AK15" i="4"/>
  <c r="AJ15" i="4"/>
  <c r="AI15" i="4"/>
  <c r="AC15" i="4"/>
  <c r="AA15" i="4"/>
  <c r="Z15" i="4"/>
  <c r="Y15" i="4"/>
  <c r="V15" i="4"/>
  <c r="U15" i="4"/>
  <c r="T15" i="4"/>
  <c r="S15" i="4"/>
  <c r="Q15" i="4"/>
  <c r="P15" i="4"/>
  <c r="O15" i="4"/>
  <c r="J15" i="4"/>
  <c r="I15" i="4"/>
  <c r="G15" i="4"/>
  <c r="AS15" i="4" s="1"/>
  <c r="F15" i="4"/>
  <c r="AR15" i="4" s="1"/>
  <c r="E15" i="4"/>
  <c r="AQ15" i="4" s="1"/>
  <c r="AT14" i="4"/>
  <c r="AU14" i="4" s="1"/>
  <c r="AM14" i="4"/>
  <c r="AK14" i="4"/>
  <c r="AJ14" i="4"/>
  <c r="AI14" i="4"/>
  <c r="AC14" i="4"/>
  <c r="AA14" i="4"/>
  <c r="AF14" i="4" s="1"/>
  <c r="Z14" i="4"/>
  <c r="AD14" i="4" s="1"/>
  <c r="Y14" i="4"/>
  <c r="V14" i="4"/>
  <c r="T14" i="4"/>
  <c r="S14" i="4"/>
  <c r="U14" i="4" s="1"/>
  <c r="Q14" i="4"/>
  <c r="P14" i="4"/>
  <c r="O14" i="4"/>
  <c r="AQ14" i="4" s="1"/>
  <c r="I14" i="4"/>
  <c r="AV14" i="4" s="1"/>
  <c r="G14" i="4"/>
  <c r="F14" i="4"/>
  <c r="J14" i="4" s="1"/>
  <c r="E14" i="4"/>
  <c r="AT13" i="4"/>
  <c r="AU13" i="4" s="1"/>
  <c r="AM13" i="4"/>
  <c r="AK13" i="4"/>
  <c r="AP13" i="4" s="1"/>
  <c r="AJ13" i="4"/>
  <c r="AN13" i="4" s="1"/>
  <c r="AI13" i="4"/>
  <c r="AD13" i="4"/>
  <c r="AC13" i="4"/>
  <c r="AA13" i="4"/>
  <c r="AF13" i="4" s="1"/>
  <c r="Z13" i="4"/>
  <c r="Y13" i="4"/>
  <c r="T13" i="4"/>
  <c r="S13" i="4"/>
  <c r="Q13" i="4"/>
  <c r="P13" i="4"/>
  <c r="O13" i="4"/>
  <c r="J13" i="4"/>
  <c r="I13" i="4"/>
  <c r="G13" i="4"/>
  <c r="F13" i="4"/>
  <c r="AR13" i="4" s="1"/>
  <c r="E13" i="4"/>
  <c r="AQ13" i="4" s="1"/>
  <c r="AU12" i="4"/>
  <c r="AT12" i="4"/>
  <c r="AP12" i="4"/>
  <c r="AO12" i="4"/>
  <c r="AN12" i="4"/>
  <c r="AM12" i="4"/>
  <c r="AK12" i="4"/>
  <c r="AJ12" i="4"/>
  <c r="AI12" i="4"/>
  <c r="AD12" i="4"/>
  <c r="AF12" i="4" s="1"/>
  <c r="AC12" i="4"/>
  <c r="AE12" i="4" s="1"/>
  <c r="AA12" i="4"/>
  <c r="Z12" i="4"/>
  <c r="Y12" i="4"/>
  <c r="V12" i="4"/>
  <c r="U12" i="4"/>
  <c r="T12" i="4"/>
  <c r="S12" i="4"/>
  <c r="Q12" i="4"/>
  <c r="P12" i="4"/>
  <c r="O12" i="4"/>
  <c r="J12" i="4"/>
  <c r="L12" i="4" s="1"/>
  <c r="I12" i="4"/>
  <c r="AV12" i="4" s="1"/>
  <c r="G12" i="4"/>
  <c r="AS12" i="4" s="1"/>
  <c r="F12" i="4"/>
  <c r="AR12" i="4" s="1"/>
  <c r="E12" i="4"/>
  <c r="AT11" i="4"/>
  <c r="AU11" i="4" s="1"/>
  <c r="AR11" i="4"/>
  <c r="AQ11" i="4"/>
  <c r="AM11" i="4"/>
  <c r="AK11" i="4"/>
  <c r="AJ11" i="4"/>
  <c r="AN11" i="4" s="1"/>
  <c r="AP11" i="4" s="1"/>
  <c r="AI11" i="4"/>
  <c r="AF11" i="4"/>
  <c r="AE11" i="4"/>
  <c r="AC11" i="4"/>
  <c r="AA11" i="4"/>
  <c r="Z11" i="4"/>
  <c r="AD11" i="4" s="1"/>
  <c r="Y11" i="4"/>
  <c r="V11" i="4"/>
  <c r="U11" i="4"/>
  <c r="T11" i="4"/>
  <c r="S11" i="4"/>
  <c r="Q11" i="4"/>
  <c r="P11" i="4"/>
  <c r="O11" i="4"/>
  <c r="K11" i="4"/>
  <c r="I11" i="4"/>
  <c r="G11" i="4"/>
  <c r="AS11" i="4" s="1"/>
  <c r="F11" i="4"/>
  <c r="J11" i="4" s="1"/>
  <c r="L11" i="4" s="1"/>
  <c r="E11" i="4"/>
  <c r="AV10" i="4"/>
  <c r="AT10" i="4"/>
  <c r="AU10" i="4" s="1"/>
  <c r="AM10" i="4"/>
  <c r="AK10" i="4"/>
  <c r="AJ10" i="4"/>
  <c r="AI10" i="4"/>
  <c r="AD10" i="4"/>
  <c r="AC10" i="4"/>
  <c r="AA10" i="4"/>
  <c r="AF10" i="4" s="1"/>
  <c r="Z10" i="4"/>
  <c r="Y10" i="4"/>
  <c r="S10" i="4"/>
  <c r="Q10" i="4"/>
  <c r="P10" i="4"/>
  <c r="T10" i="4" s="1"/>
  <c r="O10" i="4"/>
  <c r="I10" i="4"/>
  <c r="G10" i="4"/>
  <c r="F10" i="4"/>
  <c r="E10" i="4"/>
  <c r="AQ10" i="4" s="1"/>
  <c r="AV9" i="4"/>
  <c r="AT9" i="4"/>
  <c r="AQ9" i="4"/>
  <c r="AP9" i="4"/>
  <c r="AN9" i="4"/>
  <c r="AO9" i="4" s="1"/>
  <c r="AM9" i="4"/>
  <c r="AK9" i="4"/>
  <c r="AJ9" i="4"/>
  <c r="AI9" i="4"/>
  <c r="AD9" i="4"/>
  <c r="AC9" i="4"/>
  <c r="AA9" i="4"/>
  <c r="Z9" i="4"/>
  <c r="Y9" i="4"/>
  <c r="U9" i="4"/>
  <c r="T9" i="4"/>
  <c r="S9" i="4"/>
  <c r="Q9" i="4"/>
  <c r="P9" i="4"/>
  <c r="O9" i="4"/>
  <c r="I9" i="4"/>
  <c r="G9" i="4"/>
  <c r="F9" i="4"/>
  <c r="E9" i="4"/>
  <c r="AV8" i="4"/>
  <c r="AU8" i="4"/>
  <c r="AT8" i="4"/>
  <c r="AN8" i="4"/>
  <c r="AP8" i="4" s="1"/>
  <c r="AM8" i="4"/>
  <c r="AK8" i="4"/>
  <c r="AJ8" i="4"/>
  <c r="AI8" i="4"/>
  <c r="AD8" i="4"/>
  <c r="AC8" i="4"/>
  <c r="AA8" i="4"/>
  <c r="Z8" i="4"/>
  <c r="Y8" i="4"/>
  <c r="S8" i="4"/>
  <c r="T8" i="4" s="1"/>
  <c r="U8" i="4" s="1"/>
  <c r="Q8" i="4"/>
  <c r="P8" i="4"/>
  <c r="O8" i="4"/>
  <c r="J8" i="4"/>
  <c r="I8" i="4"/>
  <c r="G8" i="4"/>
  <c r="AS8" i="4" s="1"/>
  <c r="F8" i="4"/>
  <c r="E8" i="4"/>
  <c r="AQ8" i="4" s="1"/>
  <c r="AT7" i="4"/>
  <c r="AU7" i="4" s="1"/>
  <c r="AM7" i="4"/>
  <c r="AK7" i="4"/>
  <c r="AJ7" i="4"/>
  <c r="AI7" i="4"/>
  <c r="AC7" i="4"/>
  <c r="AA7" i="4"/>
  <c r="Z7" i="4"/>
  <c r="Z37" i="4" s="1"/>
  <c r="Y7" i="4"/>
  <c r="S7" i="4"/>
  <c r="Q7" i="4"/>
  <c r="P7" i="4"/>
  <c r="O7" i="4"/>
  <c r="J7" i="4"/>
  <c r="I7" i="4"/>
  <c r="G7" i="4"/>
  <c r="F7" i="4"/>
  <c r="E7" i="4"/>
  <c r="AL38" i="3"/>
  <c r="AB38" i="3"/>
  <c r="R38" i="3"/>
  <c r="H38" i="3"/>
  <c r="AU37" i="3"/>
  <c r="AT37" i="3"/>
  <c r="AP37" i="3"/>
  <c r="AM37" i="3"/>
  <c r="AO37" i="3" s="1"/>
  <c r="AK37" i="3"/>
  <c r="AJ37" i="3"/>
  <c r="AN37" i="3" s="1"/>
  <c r="AI37" i="3"/>
  <c r="AD37" i="3"/>
  <c r="AC37" i="3"/>
  <c r="AA37" i="3"/>
  <c r="Z37" i="3"/>
  <c r="Y37" i="3"/>
  <c r="S37" i="3"/>
  <c r="Q37" i="3"/>
  <c r="P37" i="3"/>
  <c r="T37" i="3" s="1"/>
  <c r="V37" i="3" s="1"/>
  <c r="O37" i="3"/>
  <c r="AQ37" i="3" s="1"/>
  <c r="I37" i="3"/>
  <c r="AV37" i="3" s="1"/>
  <c r="G37" i="3"/>
  <c r="F37" i="3"/>
  <c r="J37" i="3" s="1"/>
  <c r="K37" i="3" s="1"/>
  <c r="E37" i="3"/>
  <c r="AV36" i="3"/>
  <c r="AT36" i="3"/>
  <c r="AU36" i="3" s="1"/>
  <c r="AS36" i="3"/>
  <c r="AN36" i="3"/>
  <c r="AP36" i="3" s="1"/>
  <c r="AM36" i="3"/>
  <c r="AK36" i="3"/>
  <c r="AJ36" i="3"/>
  <c r="AI36" i="3"/>
  <c r="AD36" i="3"/>
  <c r="AC36" i="3"/>
  <c r="AA36" i="3"/>
  <c r="AF36" i="3" s="1"/>
  <c r="Z36" i="3"/>
  <c r="Y36" i="3"/>
  <c r="T36" i="3"/>
  <c r="V36" i="3" s="1"/>
  <c r="S36" i="3"/>
  <c r="U36" i="3" s="1"/>
  <c r="Q36" i="3"/>
  <c r="P36" i="3"/>
  <c r="O36" i="3"/>
  <c r="L36" i="3"/>
  <c r="J36" i="3"/>
  <c r="I36" i="3"/>
  <c r="G36" i="3"/>
  <c r="K36" i="3" s="1"/>
  <c r="F36" i="3"/>
  <c r="AR36" i="3" s="1"/>
  <c r="E36" i="3"/>
  <c r="AT35" i="3"/>
  <c r="AU35" i="3" s="1"/>
  <c r="AN35" i="3"/>
  <c r="AM35" i="3"/>
  <c r="AK35" i="3"/>
  <c r="AJ35" i="3"/>
  <c r="AI35" i="3"/>
  <c r="AC35" i="3"/>
  <c r="AA35" i="3"/>
  <c r="Z35" i="3"/>
  <c r="Y35" i="3"/>
  <c r="AQ35" i="3" s="1"/>
  <c r="T35" i="3"/>
  <c r="S35" i="3"/>
  <c r="Q35" i="3"/>
  <c r="P35" i="3"/>
  <c r="O35" i="3"/>
  <c r="L35" i="3"/>
  <c r="I35" i="3"/>
  <c r="AV35" i="3" s="1"/>
  <c r="G35" i="3"/>
  <c r="F35" i="3"/>
  <c r="J35" i="3" s="1"/>
  <c r="E35" i="3"/>
  <c r="AT34" i="3"/>
  <c r="AU34" i="3" s="1"/>
  <c r="AM34" i="3"/>
  <c r="AK34" i="3"/>
  <c r="AJ34" i="3"/>
  <c r="AI34" i="3"/>
  <c r="AD34" i="3"/>
  <c r="AC34" i="3"/>
  <c r="AA34" i="3"/>
  <c r="Z34" i="3"/>
  <c r="Y34" i="3"/>
  <c r="S34" i="3"/>
  <c r="Q34" i="3"/>
  <c r="V34" i="3" s="1"/>
  <c r="P34" i="3"/>
  <c r="T34" i="3" s="1"/>
  <c r="O34" i="3"/>
  <c r="AQ34" i="3" s="1"/>
  <c r="I34" i="3"/>
  <c r="G34" i="3"/>
  <c r="AS34" i="3" s="1"/>
  <c r="F34" i="3"/>
  <c r="E34" i="3"/>
  <c r="AT33" i="3"/>
  <c r="AU33" i="3" s="1"/>
  <c r="AM33" i="3"/>
  <c r="AK33" i="3"/>
  <c r="AJ33" i="3"/>
  <c r="AN33" i="3" s="1"/>
  <c r="AI33" i="3"/>
  <c r="AF33" i="3"/>
  <c r="AC33" i="3"/>
  <c r="AE33" i="3" s="1"/>
  <c r="AA33" i="3"/>
  <c r="Z33" i="3"/>
  <c r="AD33" i="3" s="1"/>
  <c r="Y33" i="3"/>
  <c r="T33" i="3"/>
  <c r="S33" i="3"/>
  <c r="Q33" i="3"/>
  <c r="P33" i="3"/>
  <c r="O33" i="3"/>
  <c r="I33" i="3"/>
  <c r="G33" i="3"/>
  <c r="F33" i="3"/>
  <c r="J33" i="3" s="1"/>
  <c r="E33" i="3"/>
  <c r="AQ33" i="3" s="1"/>
  <c r="AT32" i="3"/>
  <c r="AU32" i="3" s="1"/>
  <c r="AM32" i="3"/>
  <c r="AK32" i="3"/>
  <c r="AJ32" i="3"/>
  <c r="AI32" i="3"/>
  <c r="AF32" i="3"/>
  <c r="AE32" i="3"/>
  <c r="AC32" i="3"/>
  <c r="AA32" i="3"/>
  <c r="Z32" i="3"/>
  <c r="AD32" i="3" s="1"/>
  <c r="Y32" i="3"/>
  <c r="S32" i="3"/>
  <c r="T32" i="3" s="1"/>
  <c r="V32" i="3" s="1"/>
  <c r="Q32" i="3"/>
  <c r="P32" i="3"/>
  <c r="O32" i="3"/>
  <c r="I32" i="3"/>
  <c r="G32" i="3"/>
  <c r="AS32" i="3" s="1"/>
  <c r="F32" i="3"/>
  <c r="AR32" i="3" s="1"/>
  <c r="E32" i="3"/>
  <c r="AQ32" i="3" s="1"/>
  <c r="AT31" i="3"/>
  <c r="AU31" i="3" s="1"/>
  <c r="AQ31" i="3"/>
  <c r="AN31" i="3"/>
  <c r="AM31" i="3"/>
  <c r="AK31" i="3"/>
  <c r="AP31" i="3" s="1"/>
  <c r="AJ31" i="3"/>
  <c r="AI31" i="3"/>
  <c r="AC31" i="3"/>
  <c r="AA31" i="3"/>
  <c r="Z31" i="3"/>
  <c r="Y31" i="3"/>
  <c r="S31" i="3"/>
  <c r="Q31" i="3"/>
  <c r="P31" i="3"/>
  <c r="T31" i="3" s="1"/>
  <c r="O31" i="3"/>
  <c r="I31" i="3"/>
  <c r="G31" i="3"/>
  <c r="F31" i="3"/>
  <c r="E31" i="3"/>
  <c r="AU30" i="3"/>
  <c r="AT30" i="3"/>
  <c r="AN30" i="3"/>
  <c r="AM30" i="3"/>
  <c r="AK30" i="3"/>
  <c r="AJ30" i="3"/>
  <c r="AI30" i="3"/>
  <c r="AD30" i="3"/>
  <c r="AF30" i="3" s="1"/>
  <c r="AC30" i="3"/>
  <c r="AA30" i="3"/>
  <c r="Z30" i="3"/>
  <c r="Y30" i="3"/>
  <c r="S30" i="3"/>
  <c r="Q30" i="3"/>
  <c r="P30" i="3"/>
  <c r="O30" i="3"/>
  <c r="J30" i="3"/>
  <c r="I30" i="3"/>
  <c r="G30" i="3"/>
  <c r="F30" i="3"/>
  <c r="E30" i="3"/>
  <c r="AQ30" i="3" s="1"/>
  <c r="AU29" i="3"/>
  <c r="AT29" i="3"/>
  <c r="AP29" i="3"/>
  <c r="AO29" i="3"/>
  <c r="AN29" i="3"/>
  <c r="AM29" i="3"/>
  <c r="AK29" i="3"/>
  <c r="AJ29" i="3"/>
  <c r="AI29" i="3"/>
  <c r="AC29" i="3"/>
  <c r="AD29" i="3" s="1"/>
  <c r="AA29" i="3"/>
  <c r="Z29" i="3"/>
  <c r="Y29" i="3"/>
  <c r="V29" i="3"/>
  <c r="T29" i="3"/>
  <c r="S29" i="3"/>
  <c r="U29" i="3" s="1"/>
  <c r="Q29" i="3"/>
  <c r="P29" i="3"/>
  <c r="O29" i="3"/>
  <c r="J29" i="3"/>
  <c r="I29" i="3"/>
  <c r="G29" i="3"/>
  <c r="F29" i="3"/>
  <c r="AR29" i="3" s="1"/>
  <c r="E29" i="3"/>
  <c r="AQ29" i="3" s="1"/>
  <c r="AV28" i="3"/>
  <c r="AU28" i="3"/>
  <c r="AT28" i="3"/>
  <c r="AM28" i="3"/>
  <c r="AK28" i="3"/>
  <c r="AJ28" i="3"/>
  <c r="AN28" i="3" s="1"/>
  <c r="AI28" i="3"/>
  <c r="AF28" i="3"/>
  <c r="AE28" i="3"/>
  <c r="AC28" i="3"/>
  <c r="AA28" i="3"/>
  <c r="Z28" i="3"/>
  <c r="AD28" i="3" s="1"/>
  <c r="Y28" i="3"/>
  <c r="S28" i="3"/>
  <c r="Q28" i="3"/>
  <c r="P28" i="3"/>
  <c r="T28" i="3" s="1"/>
  <c r="O28" i="3"/>
  <c r="L28" i="3"/>
  <c r="I28" i="3"/>
  <c r="G28" i="3"/>
  <c r="AS28" i="3" s="1"/>
  <c r="F28" i="3"/>
  <c r="J28" i="3" s="1"/>
  <c r="K28" i="3" s="1"/>
  <c r="E28" i="3"/>
  <c r="AT27" i="3"/>
  <c r="AU27" i="3" s="1"/>
  <c r="AN27" i="3"/>
  <c r="AM27" i="3"/>
  <c r="AK27" i="3"/>
  <c r="AJ27" i="3"/>
  <c r="AI27" i="3"/>
  <c r="AC27" i="3"/>
  <c r="AA27" i="3"/>
  <c r="AF27" i="3" s="1"/>
  <c r="Z27" i="3"/>
  <c r="AD27" i="3" s="1"/>
  <c r="Y27" i="3"/>
  <c r="S27" i="3"/>
  <c r="Q27" i="3"/>
  <c r="P27" i="3"/>
  <c r="T27" i="3" s="1"/>
  <c r="V27" i="3" s="1"/>
  <c r="O27" i="3"/>
  <c r="K27" i="3"/>
  <c r="J27" i="3"/>
  <c r="L27" i="3" s="1"/>
  <c r="I27" i="3"/>
  <c r="AV27" i="3" s="1"/>
  <c r="G27" i="3"/>
  <c r="F27" i="3"/>
  <c r="AR27" i="3" s="1"/>
  <c r="E27" i="3"/>
  <c r="AQ27" i="3" s="1"/>
  <c r="AU26" i="3"/>
  <c r="AT26" i="3"/>
  <c r="AQ26" i="3"/>
  <c r="AM26" i="3"/>
  <c r="AK26" i="3"/>
  <c r="AP26" i="3" s="1"/>
  <c r="AJ26" i="3"/>
  <c r="AN26" i="3" s="1"/>
  <c r="AI26" i="3"/>
  <c r="AD26" i="3"/>
  <c r="AF26" i="3" s="1"/>
  <c r="AC26" i="3"/>
  <c r="AE26" i="3" s="1"/>
  <c r="AA26" i="3"/>
  <c r="Z26" i="3"/>
  <c r="Y26" i="3"/>
  <c r="S26" i="3"/>
  <c r="Q26" i="3"/>
  <c r="P26" i="3"/>
  <c r="T26" i="3" s="1"/>
  <c r="O26" i="3"/>
  <c r="L26" i="3"/>
  <c r="J26" i="3"/>
  <c r="I26" i="3"/>
  <c r="AV26" i="3" s="1"/>
  <c r="G26" i="3"/>
  <c r="F26" i="3"/>
  <c r="E26" i="3"/>
  <c r="AT25" i="3"/>
  <c r="AU25" i="3" s="1"/>
  <c r="AR25" i="3"/>
  <c r="AQ25" i="3"/>
  <c r="AM25" i="3"/>
  <c r="AK25" i="3"/>
  <c r="AP25" i="3" s="1"/>
  <c r="AJ25" i="3"/>
  <c r="AN25" i="3" s="1"/>
  <c r="AO25" i="3" s="1"/>
  <c r="AI25" i="3"/>
  <c r="AF25" i="3"/>
  <c r="AE25" i="3"/>
  <c r="AC25" i="3"/>
  <c r="AA25" i="3"/>
  <c r="Z25" i="3"/>
  <c r="AD25" i="3" s="1"/>
  <c r="Y25" i="3"/>
  <c r="U25" i="3"/>
  <c r="S25" i="3"/>
  <c r="Q25" i="3"/>
  <c r="V25" i="3" s="1"/>
  <c r="P25" i="3"/>
  <c r="T25" i="3" s="1"/>
  <c r="O25" i="3"/>
  <c r="L25" i="3"/>
  <c r="AX25" i="3" s="1"/>
  <c r="I25" i="3"/>
  <c r="AV25" i="3" s="1"/>
  <c r="G25" i="3"/>
  <c r="AS25" i="3" s="1"/>
  <c r="F25" i="3"/>
  <c r="J25" i="3" s="1"/>
  <c r="K25" i="3" s="1"/>
  <c r="E25" i="3"/>
  <c r="AT24" i="3"/>
  <c r="AU24" i="3" s="1"/>
  <c r="AQ24" i="3"/>
  <c r="AO24" i="3"/>
  <c r="AM24" i="3"/>
  <c r="AK24" i="3"/>
  <c r="AJ24" i="3"/>
  <c r="AN24" i="3" s="1"/>
  <c r="AI24" i="3"/>
  <c r="AC24" i="3"/>
  <c r="AA24" i="3"/>
  <c r="AF24" i="3" s="1"/>
  <c r="Z24" i="3"/>
  <c r="AD24" i="3" s="1"/>
  <c r="Y24" i="3"/>
  <c r="S24" i="3"/>
  <c r="Q24" i="3"/>
  <c r="P24" i="3"/>
  <c r="O24" i="3"/>
  <c r="I24" i="3"/>
  <c r="AV24" i="3" s="1"/>
  <c r="G24" i="3"/>
  <c r="L24" i="3" s="1"/>
  <c r="F24" i="3"/>
  <c r="J24" i="3" s="1"/>
  <c r="K24" i="3" s="1"/>
  <c r="E24" i="3"/>
  <c r="AT23" i="3"/>
  <c r="AU23" i="3" s="1"/>
  <c r="AM23" i="3"/>
  <c r="AO23" i="3" s="1"/>
  <c r="AK23" i="3"/>
  <c r="AP23" i="3" s="1"/>
  <c r="AJ23" i="3"/>
  <c r="AN23" i="3" s="1"/>
  <c r="AI23" i="3"/>
  <c r="AE23" i="3"/>
  <c r="AC23" i="3"/>
  <c r="AA23" i="3"/>
  <c r="Z23" i="3"/>
  <c r="AD23" i="3" s="1"/>
  <c r="Y23" i="3"/>
  <c r="S23" i="3"/>
  <c r="Q23" i="3"/>
  <c r="V23" i="3" s="1"/>
  <c r="P23" i="3"/>
  <c r="T23" i="3" s="1"/>
  <c r="U23" i="3" s="1"/>
  <c r="O23" i="3"/>
  <c r="I23" i="3"/>
  <c r="G23" i="3"/>
  <c r="F23" i="3"/>
  <c r="AR23" i="3" s="1"/>
  <c r="E23" i="3"/>
  <c r="AT22" i="3"/>
  <c r="AU22" i="3" s="1"/>
  <c r="AM22" i="3"/>
  <c r="AK22" i="3"/>
  <c r="AJ22" i="3"/>
  <c r="AN22" i="3" s="1"/>
  <c r="AI22" i="3"/>
  <c r="AE22" i="3"/>
  <c r="AD22" i="3"/>
  <c r="AC22" i="3"/>
  <c r="AA22" i="3"/>
  <c r="AF22" i="3" s="1"/>
  <c r="Z22" i="3"/>
  <c r="Y22" i="3"/>
  <c r="S22" i="3"/>
  <c r="Q22" i="3"/>
  <c r="AS22" i="3" s="1"/>
  <c r="P22" i="3"/>
  <c r="T22" i="3" s="1"/>
  <c r="U22" i="3" s="1"/>
  <c r="O22" i="3"/>
  <c r="K22" i="3"/>
  <c r="J22" i="3"/>
  <c r="I22" i="3"/>
  <c r="G22" i="3"/>
  <c r="L22" i="3" s="1"/>
  <c r="F22" i="3"/>
  <c r="E22" i="3"/>
  <c r="AU21" i="3"/>
  <c r="AT21" i="3"/>
  <c r="AM21" i="3"/>
  <c r="AK21" i="3"/>
  <c r="AJ21" i="3"/>
  <c r="AN21" i="3" s="1"/>
  <c r="AI21" i="3"/>
  <c r="AE21" i="3"/>
  <c r="AD21" i="3"/>
  <c r="AC21" i="3"/>
  <c r="AA21" i="3"/>
  <c r="Z21" i="3"/>
  <c r="Y21" i="3"/>
  <c r="S21" i="3"/>
  <c r="Q21" i="3"/>
  <c r="P21" i="3"/>
  <c r="T21" i="3" s="1"/>
  <c r="O21" i="3"/>
  <c r="AQ21" i="3" s="1"/>
  <c r="J21" i="3"/>
  <c r="K21" i="3" s="1"/>
  <c r="I21" i="3"/>
  <c r="AV21" i="3" s="1"/>
  <c r="G21" i="3"/>
  <c r="F21" i="3"/>
  <c r="AR21" i="3" s="1"/>
  <c r="E21" i="3"/>
  <c r="AT20" i="3"/>
  <c r="AU20" i="3" s="1"/>
  <c r="AM20" i="3"/>
  <c r="AO20" i="3" s="1"/>
  <c r="AK20" i="3"/>
  <c r="AJ20" i="3"/>
  <c r="AN20" i="3" s="1"/>
  <c r="AP20" i="3" s="1"/>
  <c r="AI20" i="3"/>
  <c r="AC20" i="3"/>
  <c r="AA20" i="3"/>
  <c r="Z20" i="3"/>
  <c r="Y20" i="3"/>
  <c r="T20" i="3"/>
  <c r="U20" i="3" s="1"/>
  <c r="S20" i="3"/>
  <c r="Q20" i="3"/>
  <c r="P20" i="3"/>
  <c r="O20" i="3"/>
  <c r="I20" i="3"/>
  <c r="G20" i="3"/>
  <c r="F20" i="3"/>
  <c r="E20" i="3"/>
  <c r="AQ20" i="3" s="1"/>
  <c r="AT19" i="3"/>
  <c r="AU19" i="3" s="1"/>
  <c r="AR19" i="3"/>
  <c r="AM19" i="3"/>
  <c r="AK19" i="3"/>
  <c r="AP19" i="3" s="1"/>
  <c r="AJ19" i="3"/>
  <c r="AN19" i="3" s="1"/>
  <c r="AI19" i="3"/>
  <c r="AC19" i="3"/>
  <c r="AA19" i="3"/>
  <c r="Z19" i="3"/>
  <c r="Y19" i="3"/>
  <c r="S19" i="3"/>
  <c r="Q19" i="3"/>
  <c r="P19" i="3"/>
  <c r="O19" i="3"/>
  <c r="J19" i="3"/>
  <c r="I19" i="3"/>
  <c r="K19" i="3" s="1"/>
  <c r="G19" i="3"/>
  <c r="F19" i="3"/>
  <c r="E19" i="3"/>
  <c r="AT18" i="3"/>
  <c r="AU18" i="3" s="1"/>
  <c r="AS18" i="3"/>
  <c r="AN18" i="3"/>
  <c r="AM18" i="3"/>
  <c r="AK18" i="3"/>
  <c r="AJ18" i="3"/>
  <c r="AI18" i="3"/>
  <c r="AD18" i="3"/>
  <c r="AC18" i="3"/>
  <c r="AA18" i="3"/>
  <c r="Z18" i="3"/>
  <c r="Y18" i="3"/>
  <c r="V18" i="3"/>
  <c r="T18" i="3"/>
  <c r="U18" i="3" s="1"/>
  <c r="S18" i="3"/>
  <c r="Q18" i="3"/>
  <c r="P18" i="3"/>
  <c r="O18" i="3"/>
  <c r="I18" i="3"/>
  <c r="G18" i="3"/>
  <c r="F18" i="3"/>
  <c r="AR18" i="3" s="1"/>
  <c r="E18" i="3"/>
  <c r="AQ18" i="3" s="1"/>
  <c r="AT17" i="3"/>
  <c r="AU17" i="3" s="1"/>
  <c r="AP17" i="3"/>
  <c r="AM17" i="3"/>
  <c r="AK17" i="3"/>
  <c r="AJ17" i="3"/>
  <c r="AN17" i="3" s="1"/>
  <c r="AI17" i="3"/>
  <c r="AC17" i="3"/>
  <c r="AA17" i="3"/>
  <c r="AE17" i="3" s="1"/>
  <c r="Z17" i="3"/>
  <c r="AD17" i="3" s="1"/>
  <c r="Y17" i="3"/>
  <c r="T17" i="3"/>
  <c r="U17" i="3" s="1"/>
  <c r="S17" i="3"/>
  <c r="Q17" i="3"/>
  <c r="P17" i="3"/>
  <c r="O17" i="3"/>
  <c r="I17" i="3"/>
  <c r="AV17" i="3" s="1"/>
  <c r="G17" i="3"/>
  <c r="F17" i="3"/>
  <c r="E17" i="3"/>
  <c r="AQ17" i="3" s="1"/>
  <c r="AT16" i="3"/>
  <c r="AU16" i="3" s="1"/>
  <c r="AN16" i="3"/>
  <c r="AM16" i="3"/>
  <c r="AK16" i="3"/>
  <c r="AJ16" i="3"/>
  <c r="AI16" i="3"/>
  <c r="AD16" i="3"/>
  <c r="AE16" i="3" s="1"/>
  <c r="AC16" i="3"/>
  <c r="AA16" i="3"/>
  <c r="Z16" i="3"/>
  <c r="Y16" i="3"/>
  <c r="S16" i="3"/>
  <c r="Q16" i="3"/>
  <c r="P16" i="3"/>
  <c r="T16" i="3" s="1"/>
  <c r="O16" i="3"/>
  <c r="AQ16" i="3" s="1"/>
  <c r="I16" i="3"/>
  <c r="G16" i="3"/>
  <c r="F16" i="3"/>
  <c r="AR16" i="3" s="1"/>
  <c r="E16" i="3"/>
  <c r="AU15" i="3"/>
  <c r="AT15" i="3"/>
  <c r="AM15" i="3"/>
  <c r="AK15" i="3"/>
  <c r="AJ15" i="3"/>
  <c r="AI15" i="3"/>
  <c r="AF15" i="3"/>
  <c r="AD15" i="3"/>
  <c r="AE15" i="3" s="1"/>
  <c r="AC15" i="3"/>
  <c r="AA15" i="3"/>
  <c r="Z15" i="3"/>
  <c r="AR15" i="3" s="1"/>
  <c r="Y15" i="3"/>
  <c r="S15" i="3"/>
  <c r="Q15" i="3"/>
  <c r="P15" i="3"/>
  <c r="O15" i="3"/>
  <c r="J15" i="3"/>
  <c r="I15" i="3"/>
  <c r="G15" i="3"/>
  <c r="F15" i="3"/>
  <c r="E15" i="3"/>
  <c r="AV14" i="3"/>
  <c r="AU14" i="3"/>
  <c r="AT14" i="3"/>
  <c r="AQ14" i="3"/>
  <c r="AM14" i="3"/>
  <c r="AK14" i="3"/>
  <c r="AJ14" i="3"/>
  <c r="AI14" i="3"/>
  <c r="AD14" i="3"/>
  <c r="AC14" i="3"/>
  <c r="AA14" i="3"/>
  <c r="Z14" i="3"/>
  <c r="Y14" i="3"/>
  <c r="S14" i="3"/>
  <c r="Q14" i="3"/>
  <c r="P14" i="3"/>
  <c r="T14" i="3" s="1"/>
  <c r="V14" i="3" s="1"/>
  <c r="O14" i="3"/>
  <c r="I14" i="3"/>
  <c r="G14" i="3"/>
  <c r="F14" i="3"/>
  <c r="J14" i="3" s="1"/>
  <c r="E14" i="3"/>
  <c r="AT13" i="3"/>
  <c r="AU13" i="3" s="1"/>
  <c r="AM13" i="3"/>
  <c r="AK13" i="3"/>
  <c r="AJ13" i="3"/>
  <c r="AN13" i="3" s="1"/>
  <c r="AP13" i="3" s="1"/>
  <c r="AI13" i="3"/>
  <c r="AC13" i="3"/>
  <c r="AA13" i="3"/>
  <c r="AE13" i="3" s="1"/>
  <c r="Z13" i="3"/>
  <c r="AD13" i="3" s="1"/>
  <c r="Y13" i="3"/>
  <c r="T13" i="3"/>
  <c r="V13" i="3" s="1"/>
  <c r="S13" i="3"/>
  <c r="Q13" i="3"/>
  <c r="P13" i="3"/>
  <c r="O13" i="3"/>
  <c r="I13" i="3"/>
  <c r="G13" i="3"/>
  <c r="F13" i="3"/>
  <c r="AR13" i="3" s="1"/>
  <c r="E13" i="3"/>
  <c r="AU12" i="3"/>
  <c r="AT12" i="3"/>
  <c r="AM12" i="3"/>
  <c r="AK12" i="3"/>
  <c r="AJ12" i="3"/>
  <c r="AN12" i="3" s="1"/>
  <c r="AO12" i="3" s="1"/>
  <c r="AI12" i="3"/>
  <c r="AC12" i="3"/>
  <c r="AA12" i="3"/>
  <c r="Z12" i="3"/>
  <c r="Y12" i="3"/>
  <c r="T12" i="3"/>
  <c r="S12" i="3"/>
  <c r="Q12" i="3"/>
  <c r="P12" i="3"/>
  <c r="AR12" i="3" s="1"/>
  <c r="O12" i="3"/>
  <c r="I12" i="3"/>
  <c r="J12" i="3" s="1"/>
  <c r="G12" i="3"/>
  <c r="F12" i="3"/>
  <c r="E12" i="3"/>
  <c r="AQ12" i="3" s="1"/>
  <c r="AT11" i="3"/>
  <c r="AU11" i="3" s="1"/>
  <c r="AR11" i="3"/>
  <c r="AM11" i="3"/>
  <c r="AK11" i="3"/>
  <c r="AJ11" i="3"/>
  <c r="AN11" i="3" s="1"/>
  <c r="AP11" i="3" s="1"/>
  <c r="AI11" i="3"/>
  <c r="AC11" i="3"/>
  <c r="AA11" i="3"/>
  <c r="Z11" i="3"/>
  <c r="AD11" i="3" s="1"/>
  <c r="Y11" i="3"/>
  <c r="T11" i="3"/>
  <c r="V11" i="3" s="1"/>
  <c r="S11" i="3"/>
  <c r="Q11" i="3"/>
  <c r="P11" i="3"/>
  <c r="O11" i="3"/>
  <c r="I11" i="3"/>
  <c r="G11" i="3"/>
  <c r="F11" i="3"/>
  <c r="J11" i="3" s="1"/>
  <c r="L11" i="3" s="1"/>
  <c r="E11" i="3"/>
  <c r="AQ11" i="3" s="1"/>
  <c r="AU10" i="3"/>
  <c r="AT10" i="3"/>
  <c r="AQ10" i="3"/>
  <c r="AM10" i="3"/>
  <c r="AK10" i="3"/>
  <c r="AJ10" i="3"/>
  <c r="AI10" i="3"/>
  <c r="AE10" i="3"/>
  <c r="AC10" i="3"/>
  <c r="AD10" i="3" s="1"/>
  <c r="AA10" i="3"/>
  <c r="AF10" i="3" s="1"/>
  <c r="Z10" i="3"/>
  <c r="Y10" i="3"/>
  <c r="S10" i="3"/>
  <c r="Q10" i="3"/>
  <c r="P10" i="3"/>
  <c r="O10" i="3"/>
  <c r="I10" i="3"/>
  <c r="G10" i="3"/>
  <c r="F10" i="3"/>
  <c r="AR10" i="3" s="1"/>
  <c r="E10" i="3"/>
  <c r="AT9" i="3"/>
  <c r="AU9" i="3" s="1"/>
  <c r="AN9" i="3"/>
  <c r="AM9" i="3"/>
  <c r="AO9" i="3" s="1"/>
  <c r="AK9" i="3"/>
  <c r="AP9" i="3" s="1"/>
  <c r="AJ9" i="3"/>
  <c r="AI9" i="3"/>
  <c r="AC9" i="3"/>
  <c r="AA9" i="3"/>
  <c r="Z9" i="3"/>
  <c r="AD9" i="3" s="1"/>
  <c r="AE9" i="3" s="1"/>
  <c r="Y9" i="3"/>
  <c r="S9" i="3"/>
  <c r="U9" i="3" s="1"/>
  <c r="Q9" i="3"/>
  <c r="P9" i="3"/>
  <c r="T9" i="3" s="1"/>
  <c r="O9" i="3"/>
  <c r="K9" i="3"/>
  <c r="AW9" i="3" s="1"/>
  <c r="AY9" i="3" s="1"/>
  <c r="J9" i="3"/>
  <c r="I9" i="3"/>
  <c r="G9" i="3"/>
  <c r="AS9" i="3" s="1"/>
  <c r="F9" i="3"/>
  <c r="E9" i="3"/>
  <c r="AQ9" i="3" s="1"/>
  <c r="AT8" i="3"/>
  <c r="AU8" i="3" s="1"/>
  <c r="AM8" i="3"/>
  <c r="AK8" i="3"/>
  <c r="AJ8" i="3"/>
  <c r="AI8" i="3"/>
  <c r="AF8" i="3"/>
  <c r="AD8" i="3"/>
  <c r="AC8" i="3"/>
  <c r="AE8" i="3" s="1"/>
  <c r="AA8" i="3"/>
  <c r="Z8" i="3"/>
  <c r="Y8" i="3"/>
  <c r="S8" i="3"/>
  <c r="Q8" i="3"/>
  <c r="P8" i="3"/>
  <c r="O8" i="3"/>
  <c r="K8" i="3"/>
  <c r="I8" i="3"/>
  <c r="J8" i="3" s="1"/>
  <c r="L8" i="3" s="1"/>
  <c r="G8" i="3"/>
  <c r="F8" i="3"/>
  <c r="E8" i="3"/>
  <c r="AQ8" i="3" s="1"/>
  <c r="AU7" i="3"/>
  <c r="AU38" i="3" s="1"/>
  <c r="K11" i="2" s="1"/>
  <c r="AT7" i="3"/>
  <c r="AM7" i="3"/>
  <c r="AK7" i="3"/>
  <c r="AJ7" i="3"/>
  <c r="AI7" i="3"/>
  <c r="AE7" i="3"/>
  <c r="AC7" i="3"/>
  <c r="AA7" i="3"/>
  <c r="Z7" i="3"/>
  <c r="AD7" i="3" s="1"/>
  <c r="Y7" i="3"/>
  <c r="S7" i="3"/>
  <c r="Q7" i="3"/>
  <c r="P7" i="3"/>
  <c r="O7" i="3"/>
  <c r="I7" i="3"/>
  <c r="G7" i="3"/>
  <c r="F7" i="3"/>
  <c r="E7" i="3"/>
  <c r="B15" i="2"/>
  <c r="T15" i="3" l="1"/>
  <c r="U15" i="3"/>
  <c r="AV15" i="3"/>
  <c r="AP21" i="3"/>
  <c r="AO21" i="3"/>
  <c r="AS23" i="3"/>
  <c r="V31" i="3"/>
  <c r="U31" i="3"/>
  <c r="AR37" i="3"/>
  <c r="AI37" i="4"/>
  <c r="AS11" i="5"/>
  <c r="AX27" i="5"/>
  <c r="V12" i="3"/>
  <c r="U12" i="3"/>
  <c r="AQ13" i="3"/>
  <c r="AR14" i="3"/>
  <c r="AE18" i="3"/>
  <c r="AV34" i="3"/>
  <c r="AD35" i="3"/>
  <c r="AF35" i="3" s="1"/>
  <c r="AR35" i="3"/>
  <c r="V8" i="4"/>
  <c r="AQ12" i="4"/>
  <c r="L20" i="4"/>
  <c r="AX20" i="4" s="1"/>
  <c r="AS20" i="4"/>
  <c r="E38" i="5"/>
  <c r="AQ7" i="5"/>
  <c r="AF9" i="4"/>
  <c r="AE9" i="4"/>
  <c r="AV30" i="3"/>
  <c r="K30" i="3"/>
  <c r="V16" i="4"/>
  <c r="AX16" i="4" s="1"/>
  <c r="Q37" i="4"/>
  <c r="F12" i="2" s="1"/>
  <c r="AF7" i="3"/>
  <c r="AA38" i="3"/>
  <c r="G11" i="2" s="1"/>
  <c r="AO11" i="3"/>
  <c r="K13" i="3"/>
  <c r="AV13" i="3"/>
  <c r="AP16" i="3"/>
  <c r="AO16" i="3"/>
  <c r="J32" i="3"/>
  <c r="L32" i="3" s="1"/>
  <c r="AX11" i="4"/>
  <c r="O37" i="4"/>
  <c r="AS16" i="3"/>
  <c r="AE29" i="3"/>
  <c r="AV32" i="3"/>
  <c r="K32" i="3"/>
  <c r="AX36" i="3"/>
  <c r="U37" i="3"/>
  <c r="AQ7" i="3"/>
  <c r="AC38" i="3"/>
  <c r="V9" i="3"/>
  <c r="J13" i="3"/>
  <c r="L13" i="3" s="1"/>
  <c r="J16" i="3"/>
  <c r="K16" i="3" s="1"/>
  <c r="AW16" i="3" s="1"/>
  <c r="AY16" i="3" s="1"/>
  <c r="J18" i="3"/>
  <c r="L18" i="3" s="1"/>
  <c r="AX18" i="3" s="1"/>
  <c r="K18" i="3"/>
  <c r="AW18" i="3" s="1"/>
  <c r="AQ22" i="3"/>
  <c r="AP24" i="3"/>
  <c r="L29" i="3"/>
  <c r="AX29" i="3" s="1"/>
  <c r="AS29" i="3"/>
  <c r="U34" i="3"/>
  <c r="AX12" i="4"/>
  <c r="AO22" i="4"/>
  <c r="AV26" i="4"/>
  <c r="K26" i="4"/>
  <c r="AW26" i="4" s="1"/>
  <c r="AF13" i="3"/>
  <c r="AS13" i="3"/>
  <c r="AW16" i="4"/>
  <c r="J23" i="3"/>
  <c r="K23" i="3" s="1"/>
  <c r="AW23" i="3" s="1"/>
  <c r="AR7" i="3"/>
  <c r="F38" i="3"/>
  <c r="AV14" i="5"/>
  <c r="K14" i="5"/>
  <c r="J14" i="5"/>
  <c r="AM38" i="3"/>
  <c r="AF14" i="3"/>
  <c r="AE14" i="3"/>
  <c r="L20" i="3"/>
  <c r="V22" i="4"/>
  <c r="AX22" i="4" s="1"/>
  <c r="AS24" i="5"/>
  <c r="E37" i="4"/>
  <c r="AQ7" i="4"/>
  <c r="AR9" i="4"/>
  <c r="J9" i="4"/>
  <c r="K9" i="4" s="1"/>
  <c r="AW9" i="4" s="1"/>
  <c r="AK38" i="3"/>
  <c r="H11" i="2" s="1"/>
  <c r="AI38" i="3"/>
  <c r="K15" i="3"/>
  <c r="AS15" i="3"/>
  <c r="AP18" i="3"/>
  <c r="AO18" i="3"/>
  <c r="AF17" i="3"/>
  <c r="AS20" i="3"/>
  <c r="L14" i="4"/>
  <c r="AS14" i="4"/>
  <c r="U17" i="4"/>
  <c r="Q38" i="3"/>
  <c r="F11" i="2" s="1"/>
  <c r="U16" i="3"/>
  <c r="AP22" i="3"/>
  <c r="AP28" i="3"/>
  <c r="AO28" i="3"/>
  <c r="AS33" i="3"/>
  <c r="L33" i="3"/>
  <c r="AX33" i="3" s="1"/>
  <c r="AP33" i="3"/>
  <c r="AS35" i="3"/>
  <c r="AU9" i="4"/>
  <c r="AT37" i="4"/>
  <c r="J12" i="2" s="1"/>
  <c r="T17" i="4"/>
  <c r="AS18" i="4"/>
  <c r="AP12" i="5"/>
  <c r="AO12" i="5"/>
  <c r="V15" i="3"/>
  <c r="U26" i="3"/>
  <c r="V26" i="3"/>
  <c r="V28" i="3"/>
  <c r="U28" i="3"/>
  <c r="AW28" i="3" s="1"/>
  <c r="L30" i="3"/>
  <c r="AS30" i="3"/>
  <c r="AV33" i="4"/>
  <c r="J20" i="3"/>
  <c r="AR20" i="3"/>
  <c r="L7" i="3"/>
  <c r="AS7" i="3"/>
  <c r="G38" i="3"/>
  <c r="E11" i="2" s="1"/>
  <c r="J10" i="3"/>
  <c r="K10" i="3" s="1"/>
  <c r="AE12" i="3"/>
  <c r="AD12" i="3"/>
  <c r="AF12" i="3" s="1"/>
  <c r="AJ37" i="4"/>
  <c r="AP14" i="4"/>
  <c r="AK37" i="4"/>
  <c r="H12" i="2" s="1"/>
  <c r="J7" i="3"/>
  <c r="AS8" i="3"/>
  <c r="U11" i="3"/>
  <c r="J17" i="3"/>
  <c r="L17" i="3" s="1"/>
  <c r="AR17" i="3"/>
  <c r="K7" i="3"/>
  <c r="S38" i="3"/>
  <c r="Y38" i="3"/>
  <c r="K12" i="3"/>
  <c r="AS12" i="3"/>
  <c r="L15" i="3"/>
  <c r="AX15" i="3" s="1"/>
  <c r="AO15" i="3"/>
  <c r="AV18" i="3"/>
  <c r="AD19" i="3"/>
  <c r="AE19" i="3" s="1"/>
  <c r="AW22" i="3"/>
  <c r="AO22" i="3"/>
  <c r="T24" i="3"/>
  <c r="AR24" i="3"/>
  <c r="AX26" i="3"/>
  <c r="AO26" i="3"/>
  <c r="K33" i="3"/>
  <c r="AE10" i="4"/>
  <c r="AV18" i="4"/>
  <c r="J18" i="4"/>
  <c r="L18" i="4" s="1"/>
  <c r="AX18" i="4" s="1"/>
  <c r="K21" i="4"/>
  <c r="AV21" i="4"/>
  <c r="J21" i="4"/>
  <c r="L21" i="4" s="1"/>
  <c r="AX21" i="4" s="1"/>
  <c r="AS21" i="4"/>
  <c r="AV10" i="3"/>
  <c r="AF11" i="3"/>
  <c r="AX11" i="3" s="1"/>
  <c r="AE11" i="3"/>
  <c r="AN15" i="3"/>
  <c r="AQ19" i="3"/>
  <c r="V24" i="3"/>
  <c r="AX24" i="3" s="1"/>
  <c r="AW25" i="3"/>
  <c r="AY25" i="3" s="1"/>
  <c r="AS31" i="3"/>
  <c r="AC37" i="4"/>
  <c r="P37" i="4"/>
  <c r="AT38" i="3"/>
  <c r="J11" i="2" s="1"/>
  <c r="AR9" i="3"/>
  <c r="L12" i="3"/>
  <c r="L14" i="3"/>
  <c r="K14" i="3"/>
  <c r="AS14" i="3"/>
  <c r="K17" i="3"/>
  <c r="AO17" i="3"/>
  <c r="L21" i="3"/>
  <c r="AS21" i="3"/>
  <c r="AE30" i="3"/>
  <c r="K31" i="3"/>
  <c r="AV31" i="3"/>
  <c r="AQ36" i="3"/>
  <c r="AD7" i="4"/>
  <c r="AE7" i="4" s="1"/>
  <c r="AR10" i="4"/>
  <c r="J10" i="4"/>
  <c r="K10" i="4" s="1"/>
  <c r="AE13" i="4"/>
  <c r="AV13" i="4"/>
  <c r="L31" i="4"/>
  <c r="AS31" i="4"/>
  <c r="V12" i="5"/>
  <c r="AX12" i="5" s="1"/>
  <c r="U12" i="5"/>
  <c r="V30" i="5"/>
  <c r="U30" i="5"/>
  <c r="F38" i="6"/>
  <c r="J7" i="6"/>
  <c r="AR7" i="6"/>
  <c r="AM38" i="6"/>
  <c r="AN7" i="6"/>
  <c r="AN38" i="6" s="1"/>
  <c r="J16" i="6"/>
  <c r="L16" i="6" s="1"/>
  <c r="AX16" i="6" s="1"/>
  <c r="AR16" i="6"/>
  <c r="AO34" i="6"/>
  <c r="AV34" i="6"/>
  <c r="U10" i="5"/>
  <c r="AE17" i="5"/>
  <c r="J21" i="5"/>
  <c r="AR21" i="5"/>
  <c r="AS21" i="5"/>
  <c r="AF26" i="5"/>
  <c r="AE26" i="5"/>
  <c r="AS29" i="5"/>
  <c r="L29" i="5"/>
  <c r="AT38" i="6"/>
  <c r="J14" i="2" s="1"/>
  <c r="AU7" i="6"/>
  <c r="AU38" i="6" s="1"/>
  <c r="K14" i="2" s="1"/>
  <c r="AV27" i="6"/>
  <c r="K27" i="6"/>
  <c r="AW27" i="6" s="1"/>
  <c r="AY27" i="6" s="1"/>
  <c r="AP27" i="6"/>
  <c r="AO27" i="6"/>
  <c r="I38" i="3"/>
  <c r="AV7" i="3"/>
  <c r="AS10" i="3"/>
  <c r="AP12" i="3"/>
  <c r="AP15" i="3"/>
  <c r="AF18" i="3"/>
  <c r="AV23" i="3"/>
  <c r="AP27" i="3"/>
  <c r="AX27" i="3" s="1"/>
  <c r="AF29" i="3"/>
  <c r="J31" i="3"/>
  <c r="L31" i="3" s="1"/>
  <c r="AR31" i="3"/>
  <c r="AS37" i="3"/>
  <c r="AN14" i="4"/>
  <c r="AO14" i="4" s="1"/>
  <c r="U23" i="4"/>
  <c r="U28" i="4"/>
  <c r="AP31" i="4"/>
  <c r="V33" i="4"/>
  <c r="AV35" i="4"/>
  <c r="K35" i="4"/>
  <c r="AD36" i="4"/>
  <c r="AF36" i="4" s="1"/>
  <c r="L14" i="5"/>
  <c r="AD19" i="5"/>
  <c r="AE19" i="5" s="1"/>
  <c r="U20" i="5"/>
  <c r="T20" i="5"/>
  <c r="V20" i="5" s="1"/>
  <c r="AP33" i="5"/>
  <c r="AO33" i="5"/>
  <c r="AS9" i="6"/>
  <c r="L9" i="6"/>
  <c r="K9" i="6"/>
  <c r="AF13" i="5"/>
  <c r="P38" i="3"/>
  <c r="AR8" i="3"/>
  <c r="AV8" i="3"/>
  <c r="AN10" i="3"/>
  <c r="AO10" i="3" s="1"/>
  <c r="AS11" i="3"/>
  <c r="AS19" i="3"/>
  <c r="L19" i="3"/>
  <c r="U24" i="3"/>
  <c r="AW24" i="3" s="1"/>
  <c r="AS24" i="3"/>
  <c r="U27" i="3"/>
  <c r="AW27" i="3" s="1"/>
  <c r="AP30" i="3"/>
  <c r="G37" i="4"/>
  <c r="E12" i="2" s="1"/>
  <c r="AS7" i="4"/>
  <c r="L7" i="4"/>
  <c r="AN10" i="4"/>
  <c r="AP10" i="4" s="1"/>
  <c r="K19" i="4"/>
  <c r="U21" i="4"/>
  <c r="AS24" i="4"/>
  <c r="L29" i="4"/>
  <c r="AX29" i="4" s="1"/>
  <c r="K29" i="4"/>
  <c r="AW29" i="4" s="1"/>
  <c r="AS29" i="4"/>
  <c r="AX34" i="4"/>
  <c r="V35" i="4"/>
  <c r="AX35" i="4" s="1"/>
  <c r="P38" i="5"/>
  <c r="T7" i="5"/>
  <c r="V7" i="5" s="1"/>
  <c r="V8" i="5"/>
  <c r="AQ8" i="5"/>
  <c r="T9" i="5"/>
  <c r="U9" i="5" s="1"/>
  <c r="AW9" i="5" s="1"/>
  <c r="AE13" i="5"/>
  <c r="S38" i="6"/>
  <c r="T7" i="6"/>
  <c r="U7" i="6" s="1"/>
  <c r="U38" i="6" s="1"/>
  <c r="V18" i="6"/>
  <c r="AE19" i="6"/>
  <c r="AF19" i="6"/>
  <c r="AE36" i="4"/>
  <c r="AJ38" i="3"/>
  <c r="AV29" i="3"/>
  <c r="K29" i="3"/>
  <c r="AO33" i="3"/>
  <c r="AE35" i="3"/>
  <c r="AS13" i="4"/>
  <c r="U16" i="4"/>
  <c r="AV17" i="5"/>
  <c r="AP10" i="3"/>
  <c r="AV11" i="3"/>
  <c r="AO13" i="3"/>
  <c r="V21" i="3"/>
  <c r="U21" i="3"/>
  <c r="AW21" i="3" s="1"/>
  <c r="AV22" i="3"/>
  <c r="AS27" i="3"/>
  <c r="AO30" i="3"/>
  <c r="AR33" i="3"/>
  <c r="I37" i="4"/>
  <c r="L8" i="4"/>
  <c r="K8" i="4"/>
  <c r="AE23" i="4"/>
  <c r="K24" i="4"/>
  <c r="AR31" i="4"/>
  <c r="AV34" i="4"/>
  <c r="K34" i="4"/>
  <c r="AW34" i="4" s="1"/>
  <c r="AY34" i="4" s="1"/>
  <c r="AQ36" i="4"/>
  <c r="Q38" i="5"/>
  <c r="F13" i="2" s="1"/>
  <c r="AR16" i="5"/>
  <c r="J16" i="5"/>
  <c r="AV21" i="5"/>
  <c r="AP34" i="5"/>
  <c r="AV26" i="6"/>
  <c r="K26" i="6"/>
  <c r="AP26" i="6"/>
  <c r="AO26" i="6"/>
  <c r="AS10" i="4"/>
  <c r="AN7" i="3"/>
  <c r="V20" i="3"/>
  <c r="V33" i="3"/>
  <c r="AO11" i="4"/>
  <c r="AW11" i="4" s="1"/>
  <c r="AY11" i="4" s="1"/>
  <c r="K13" i="4"/>
  <c r="AN17" i="4"/>
  <c r="AP17" i="4" s="1"/>
  <c r="U18" i="4"/>
  <c r="V18" i="4"/>
  <c r="AQ33" i="4"/>
  <c r="J36" i="4"/>
  <c r="AR36" i="4"/>
  <c r="S38" i="5"/>
  <c r="AV7" i="5"/>
  <c r="AO34" i="5"/>
  <c r="AN34" i="5"/>
  <c r="O38" i="3"/>
  <c r="AF8" i="4"/>
  <c r="AE8" i="4"/>
  <c r="AV22" i="4"/>
  <c r="U22" i="4"/>
  <c r="AW22" i="4" s="1"/>
  <c r="AY22" i="4" s="1"/>
  <c r="AO25" i="4"/>
  <c r="AS9" i="5"/>
  <c r="T10" i="3"/>
  <c r="V10" i="3" s="1"/>
  <c r="K11" i="3"/>
  <c r="AQ15" i="3"/>
  <c r="AS17" i="3"/>
  <c r="V17" i="3"/>
  <c r="AR30" i="3"/>
  <c r="T30" i="3"/>
  <c r="AO31" i="3"/>
  <c r="AF34" i="3"/>
  <c r="AE36" i="3"/>
  <c r="AW36" i="3" s="1"/>
  <c r="AY36" i="3" s="1"/>
  <c r="E38" i="3"/>
  <c r="L10" i="4"/>
  <c r="T7" i="3"/>
  <c r="U13" i="3"/>
  <c r="AO19" i="3"/>
  <c r="V22" i="3"/>
  <c r="AX22" i="3" s="1"/>
  <c r="V30" i="3"/>
  <c r="AN32" i="3"/>
  <c r="AP32" i="3" s="1"/>
  <c r="U33" i="3"/>
  <c r="AE34" i="3"/>
  <c r="AP35" i="3"/>
  <c r="AO35" i="3"/>
  <c r="AE37" i="3"/>
  <c r="AW37" i="3" s="1"/>
  <c r="AY37" i="3" s="1"/>
  <c r="K7" i="4"/>
  <c r="L13" i="4"/>
  <c r="L17" i="4"/>
  <c r="AS17" i="4"/>
  <c r="T19" i="4"/>
  <c r="U19" i="4" s="1"/>
  <c r="AO19" i="4"/>
  <c r="AR20" i="4"/>
  <c r="AQ22" i="4"/>
  <c r="AR23" i="4"/>
  <c r="AO24" i="4"/>
  <c r="V25" i="4"/>
  <c r="AX25" i="4" s="1"/>
  <c r="U27" i="4"/>
  <c r="AV27" i="4"/>
  <c r="AQ28" i="4"/>
  <c r="K30" i="4"/>
  <c r="U31" i="4"/>
  <c r="AD35" i="4"/>
  <c r="AE35" i="4" s="1"/>
  <c r="L36" i="4"/>
  <c r="AS36" i="4"/>
  <c r="AO10" i="5"/>
  <c r="AQ20" i="5"/>
  <c r="AX25" i="5"/>
  <c r="AE31" i="5"/>
  <c r="AX32" i="5"/>
  <c r="AF11" i="6"/>
  <c r="AF35" i="4"/>
  <c r="AR13" i="5"/>
  <c r="J13" i="5"/>
  <c r="K13" i="5" s="1"/>
  <c r="AW13" i="5" s="1"/>
  <c r="L14" i="6"/>
  <c r="AX14" i="6" s="1"/>
  <c r="AS14" i="6"/>
  <c r="AR22" i="4"/>
  <c r="AP18" i="5"/>
  <c r="AO18" i="5"/>
  <c r="AF9" i="3"/>
  <c r="AV12" i="3"/>
  <c r="T19" i="3"/>
  <c r="V19" i="3" s="1"/>
  <c r="AF21" i="3"/>
  <c r="AE24" i="3"/>
  <c r="AS26" i="3"/>
  <c r="AR7" i="4"/>
  <c r="T7" i="4"/>
  <c r="T37" i="4" s="1"/>
  <c r="AO8" i="4"/>
  <c r="AS9" i="4"/>
  <c r="AE16" i="4"/>
  <c r="AE21" i="4"/>
  <c r="AV23" i="4"/>
  <c r="AO30" i="4"/>
  <c r="AN30" i="4"/>
  <c r="AP30" i="4" s="1"/>
  <c r="L8" i="5"/>
  <c r="AX8" i="5" s="1"/>
  <c r="AF11" i="5"/>
  <c r="L13" i="5"/>
  <c r="AS13" i="5"/>
  <c r="AO13" i="5"/>
  <c r="AS18" i="5"/>
  <c r="AS20" i="5"/>
  <c r="AD29" i="5"/>
  <c r="AE29" i="5" s="1"/>
  <c r="AQ31" i="5"/>
  <c r="V32" i="5"/>
  <c r="U32" i="5"/>
  <c r="V8" i="6"/>
  <c r="U8" i="6"/>
  <c r="V17" i="6"/>
  <c r="AX17" i="6" s="1"/>
  <c r="AW19" i="6"/>
  <c r="AY19" i="6" s="1"/>
  <c r="AR26" i="3"/>
  <c r="U32" i="3"/>
  <c r="AR16" i="4"/>
  <c r="AV17" i="4"/>
  <c r="AC38" i="5"/>
  <c r="AV8" i="5"/>
  <c r="J18" i="5"/>
  <c r="L18" i="5" s="1"/>
  <c r="AX18" i="5" s="1"/>
  <c r="AR18" i="5"/>
  <c r="AN8" i="3"/>
  <c r="AP8" i="3" s="1"/>
  <c r="L9" i="3"/>
  <c r="AX9" i="3" s="1"/>
  <c r="U14" i="3"/>
  <c r="AN14" i="3"/>
  <c r="AP14" i="3" s="1"/>
  <c r="AF16" i="3"/>
  <c r="AV16" i="3"/>
  <c r="AF23" i="3"/>
  <c r="AE27" i="3"/>
  <c r="AQ28" i="3"/>
  <c r="AR34" i="3"/>
  <c r="J34" i="3"/>
  <c r="K34" i="3" s="1"/>
  <c r="AN34" i="3"/>
  <c r="AO34" i="3" s="1"/>
  <c r="AU37" i="4"/>
  <c r="K12" i="2" s="1"/>
  <c r="K15" i="2" s="1"/>
  <c r="J5" i="2" s="1"/>
  <c r="L15" i="4"/>
  <c r="AD15" i="4"/>
  <c r="AF15" i="4" s="1"/>
  <c r="AV16" i="4"/>
  <c r="J23" i="4"/>
  <c r="K23" i="4" s="1"/>
  <c r="AW23" i="4" s="1"/>
  <c r="AF27" i="4"/>
  <c r="AX27" i="4" s="1"/>
  <c r="AF31" i="4"/>
  <c r="K32" i="4"/>
  <c r="AN33" i="4"/>
  <c r="AO33" i="4" s="1"/>
  <c r="AW33" i="4" s="1"/>
  <c r="AY33" i="4" s="1"/>
  <c r="K8" i="5"/>
  <c r="AE8" i="5"/>
  <c r="AV13" i="5"/>
  <c r="AN13" i="5"/>
  <c r="AN38" i="5" s="1"/>
  <c r="AV20" i="5"/>
  <c r="J20" i="5"/>
  <c r="K20" i="5" s="1"/>
  <c r="AW20" i="5" s="1"/>
  <c r="AR31" i="5"/>
  <c r="J31" i="5"/>
  <c r="L31" i="5" s="1"/>
  <c r="J35" i="5"/>
  <c r="AR35" i="5"/>
  <c r="AS8" i="6"/>
  <c r="AF31" i="6"/>
  <c r="AE31" i="6"/>
  <c r="U30" i="3"/>
  <c r="AM37" i="4"/>
  <c r="AO17" i="4"/>
  <c r="AS23" i="4"/>
  <c r="AR24" i="4"/>
  <c r="Z38" i="3"/>
  <c r="T8" i="3"/>
  <c r="V8" i="3" s="1"/>
  <c r="AX8" i="3" s="1"/>
  <c r="AV9" i="3"/>
  <c r="U19" i="3"/>
  <c r="AW19" i="3" s="1"/>
  <c r="AV19" i="3"/>
  <c r="AD20" i="3"/>
  <c r="AE20" i="3" s="1"/>
  <c r="AR22" i="3"/>
  <c r="AQ23" i="3"/>
  <c r="L34" i="3"/>
  <c r="AP34" i="3"/>
  <c r="V35" i="3"/>
  <c r="U35" i="3"/>
  <c r="AO36" i="3"/>
  <c r="S37" i="4"/>
  <c r="AV7" i="4"/>
  <c r="AV15" i="4"/>
  <c r="K15" i="4"/>
  <c r="V17" i="4"/>
  <c r="AR21" i="4"/>
  <c r="AE27" i="4"/>
  <c r="AW27" i="4" s="1"/>
  <c r="AY27" i="4" s="1"/>
  <c r="AP33" i="4"/>
  <c r="AX33" i="4" s="1"/>
  <c r="AR11" i="5"/>
  <c r="J11" i="5"/>
  <c r="L11" i="5" s="1"/>
  <c r="AX11" i="5" s="1"/>
  <c r="AW12" i="5"/>
  <c r="U16" i="5"/>
  <c r="AV16" i="5"/>
  <c r="AV27" i="5"/>
  <c r="K27" i="5"/>
  <c r="AP29" i="5"/>
  <c r="AO29" i="5"/>
  <c r="K14" i="6"/>
  <c r="AV36" i="6"/>
  <c r="K36" i="6"/>
  <c r="AE14" i="4"/>
  <c r="AP16" i="4"/>
  <c r="AS19" i="4"/>
  <c r="K25" i="4"/>
  <c r="AW25" i="4" s="1"/>
  <c r="AF26" i="4"/>
  <c r="V30" i="4"/>
  <c r="AX30" i="4" s="1"/>
  <c r="U35" i="4"/>
  <c r="AF10" i="5"/>
  <c r="AV11" i="5"/>
  <c r="AF16" i="5"/>
  <c r="AR17" i="5"/>
  <c r="J17" i="5"/>
  <c r="K17" i="5" s="1"/>
  <c r="AW17" i="5" s="1"/>
  <c r="AR26" i="5"/>
  <c r="J26" i="5"/>
  <c r="K26" i="5" s="1"/>
  <c r="AP36" i="5"/>
  <c r="AE16" i="6"/>
  <c r="AS25" i="6"/>
  <c r="V25" i="6"/>
  <c r="U25" i="6"/>
  <c r="AD31" i="3"/>
  <c r="AE31" i="3" s="1"/>
  <c r="AN7" i="4"/>
  <c r="AO7" i="4" s="1"/>
  <c r="AR8" i="4"/>
  <c r="AO16" i="4"/>
  <c r="AV25" i="4"/>
  <c r="L26" i="4"/>
  <c r="U30" i="4"/>
  <c r="AD32" i="4"/>
  <c r="AE32" i="4" s="1"/>
  <c r="AA38" i="5"/>
  <c r="G13" i="2" s="1"/>
  <c r="AE7" i="5"/>
  <c r="AF8" i="5"/>
  <c r="AE10" i="5"/>
  <c r="AF19" i="5"/>
  <c r="AN22" i="5"/>
  <c r="AP22" i="5" s="1"/>
  <c r="AX22" i="5" s="1"/>
  <c r="AO22" i="5"/>
  <c r="AW22" i="5" s="1"/>
  <c r="AS26" i="5"/>
  <c r="AR33" i="5"/>
  <c r="L36" i="5"/>
  <c r="K36" i="5"/>
  <c r="AW36" i="5" s="1"/>
  <c r="AX33" i="6"/>
  <c r="V9" i="4"/>
  <c r="AO13" i="4"/>
  <c r="AV20" i="4"/>
  <c r="K20" i="4"/>
  <c r="AW20" i="4" s="1"/>
  <c r="AY20" i="4" s="1"/>
  <c r="AS22" i="4"/>
  <c r="V24" i="4"/>
  <c r="AX24" i="4" s="1"/>
  <c r="L28" i="4"/>
  <c r="AX28" i="4" s="1"/>
  <c r="AQ30" i="4"/>
  <c r="AE31" i="4"/>
  <c r="AR33" i="4"/>
  <c r="K36" i="4"/>
  <c r="J7" i="5"/>
  <c r="K7" i="5" s="1"/>
  <c r="AR7" i="5"/>
  <c r="AJ38" i="5"/>
  <c r="J10" i="5"/>
  <c r="L10" i="5" s="1"/>
  <c r="AX10" i="5" s="1"/>
  <c r="AR10" i="5"/>
  <c r="L16" i="5"/>
  <c r="AX16" i="5" s="1"/>
  <c r="AS16" i="5"/>
  <c r="AS17" i="5"/>
  <c r="AS19" i="5"/>
  <c r="L19" i="5"/>
  <c r="J24" i="5"/>
  <c r="AR24" i="5"/>
  <c r="L35" i="5"/>
  <c r="AS35" i="5"/>
  <c r="K35" i="5"/>
  <c r="AE37" i="5"/>
  <c r="J21" i="6"/>
  <c r="K21" i="6" s="1"/>
  <c r="AW21" i="6" s="1"/>
  <c r="AY21" i="6" s="1"/>
  <c r="AR21" i="6"/>
  <c r="AE23" i="6"/>
  <c r="AV23" i="6"/>
  <c r="AR33" i="6"/>
  <c r="AV20" i="3"/>
  <c r="K20" i="3"/>
  <c r="AR28" i="3"/>
  <c r="AV33" i="3"/>
  <c r="AF37" i="3"/>
  <c r="V10" i="4"/>
  <c r="V13" i="4"/>
  <c r="AP19" i="4"/>
  <c r="AX19" i="4" s="1"/>
  <c r="AP21" i="4"/>
  <c r="U24" i="4"/>
  <c r="AV28" i="4"/>
  <c r="AO28" i="4"/>
  <c r="AS7" i="5"/>
  <c r="G38" i="5"/>
  <c r="E13" i="2" s="1"/>
  <c r="AV9" i="5"/>
  <c r="AE9" i="5"/>
  <c r="AS10" i="5"/>
  <c r="AD14" i="5"/>
  <c r="AF14" i="5" s="1"/>
  <c r="K16" i="5"/>
  <c r="AV19" i="5"/>
  <c r="AP19" i="5"/>
  <c r="AO19" i="5"/>
  <c r="L24" i="5"/>
  <c r="AO24" i="5"/>
  <c r="AV28" i="5"/>
  <c r="AP28" i="5"/>
  <c r="AO28" i="5"/>
  <c r="AW30" i="5"/>
  <c r="V36" i="5"/>
  <c r="U36" i="5"/>
  <c r="Y38" i="6"/>
  <c r="L10" i="6"/>
  <c r="AS10" i="6"/>
  <c r="K16" i="6"/>
  <c r="AW16" i="6" s="1"/>
  <c r="AY16" i="6" s="1"/>
  <c r="AS21" i="6"/>
  <c r="AO27" i="3"/>
  <c r="K35" i="3"/>
  <c r="L37" i="3"/>
  <c r="AX37" i="3" s="1"/>
  <c r="Y37" i="4"/>
  <c r="U10" i="4"/>
  <c r="U13" i="4"/>
  <c r="AQ16" i="4"/>
  <c r="V19" i="4"/>
  <c r="AO21" i="4"/>
  <c r="AS30" i="4"/>
  <c r="AM38" i="5"/>
  <c r="AO16" i="5"/>
  <c r="K24" i="5"/>
  <c r="U25" i="5"/>
  <c r="AV25" i="5"/>
  <c r="AQ29" i="5"/>
  <c r="AP30" i="5"/>
  <c r="AO30" i="5"/>
  <c r="AF34" i="5"/>
  <c r="AP10" i="6"/>
  <c r="AO10" i="6"/>
  <c r="AV13" i="6"/>
  <c r="AP13" i="6"/>
  <c r="AO13" i="6"/>
  <c r="AF20" i="6"/>
  <c r="AX20" i="6" s="1"/>
  <c r="AE20" i="6"/>
  <c r="AE27" i="6"/>
  <c r="L32" i="6"/>
  <c r="AX32" i="6" s="1"/>
  <c r="AS32" i="6"/>
  <c r="K32" i="6"/>
  <c r="AS33" i="5"/>
  <c r="V33" i="5"/>
  <c r="U33" i="5"/>
  <c r="AW33" i="5" s="1"/>
  <c r="AY33" i="5" s="1"/>
  <c r="AV34" i="5"/>
  <c r="AP37" i="5"/>
  <c r="AW23" i="6"/>
  <c r="AY23" i="6" s="1"/>
  <c r="V16" i="3"/>
  <c r="K26" i="3"/>
  <c r="AW26" i="3" s="1"/>
  <c r="AY26" i="3" s="1"/>
  <c r="F37" i="4"/>
  <c r="AA37" i="4"/>
  <c r="G12" i="2" s="1"/>
  <c r="L9" i="4"/>
  <c r="AV11" i="4"/>
  <c r="K12" i="4"/>
  <c r="AW12" i="4" s="1"/>
  <c r="AY12" i="4" s="1"/>
  <c r="AR14" i="4"/>
  <c r="AS16" i="4"/>
  <c r="AE17" i="4"/>
  <c r="V21" i="4"/>
  <c r="AF23" i="4"/>
  <c r="AP27" i="4"/>
  <c r="AV31" i="4"/>
  <c r="AO32" i="4"/>
  <c r="AP35" i="4"/>
  <c r="U36" i="4"/>
  <c r="AV36" i="4"/>
  <c r="AO7" i="5"/>
  <c r="AR14" i="5"/>
  <c r="J23" i="5"/>
  <c r="AF29" i="5"/>
  <c r="AV32" i="5"/>
  <c r="K32" i="5"/>
  <c r="AD34" i="5"/>
  <c r="AE34" i="5" s="1"/>
  <c r="AO37" i="5"/>
  <c r="K13" i="6"/>
  <c r="AE22" i="6"/>
  <c r="AS28" i="6"/>
  <c r="J28" i="5"/>
  <c r="L28" i="5" s="1"/>
  <c r="AR28" i="5"/>
  <c r="AN31" i="5"/>
  <c r="AP31" i="5" s="1"/>
  <c r="AN36" i="5"/>
  <c r="AO36" i="5"/>
  <c r="AV9" i="6"/>
  <c r="AO21" i="6"/>
  <c r="AF29" i="6"/>
  <c r="K33" i="6"/>
  <c r="U34" i="6"/>
  <c r="O38" i="5"/>
  <c r="AK38" i="5"/>
  <c r="H13" i="2" s="1"/>
  <c r="AS8" i="5"/>
  <c r="AP9" i="5"/>
  <c r="AV10" i="5"/>
  <c r="T21" i="5"/>
  <c r="V21" i="5" s="1"/>
  <c r="T24" i="5"/>
  <c r="U24" i="5" s="1"/>
  <c r="AO25" i="5"/>
  <c r="AW25" i="5" s="1"/>
  <c r="AY25" i="5" s="1"/>
  <c r="AS28" i="5"/>
  <c r="K29" i="5"/>
  <c r="AQ30" i="5"/>
  <c r="AV31" i="5"/>
  <c r="K31" i="5"/>
  <c r="AO32" i="5"/>
  <c r="AX33" i="5"/>
  <c r="L34" i="5"/>
  <c r="AX34" i="5" s="1"/>
  <c r="AS34" i="5"/>
  <c r="U37" i="5"/>
  <c r="AV37" i="5"/>
  <c r="V7" i="6"/>
  <c r="Q38" i="6"/>
  <c r="F14" i="2" s="1"/>
  <c r="AS7" i="6"/>
  <c r="AQ9" i="6"/>
  <c r="L13" i="6"/>
  <c r="AX13" i="6" s="1"/>
  <c r="AS13" i="6"/>
  <c r="L19" i="6"/>
  <c r="AX19" i="6" s="1"/>
  <c r="AO24" i="6"/>
  <c r="AS26" i="6"/>
  <c r="U28" i="6"/>
  <c r="AW28" i="6" s="1"/>
  <c r="AY28" i="6" s="1"/>
  <c r="AV28" i="6"/>
  <c r="AX30" i="6"/>
  <c r="AQ32" i="6"/>
  <c r="AR25" i="4"/>
  <c r="AS28" i="4"/>
  <c r="AP7" i="5"/>
  <c r="AQ12" i="5"/>
  <c r="L15" i="5"/>
  <c r="AX15" i="5" s="1"/>
  <c r="V31" i="5"/>
  <c r="AR32" i="5"/>
  <c r="Z38" i="6"/>
  <c r="AD7" i="6"/>
  <c r="AE7" i="6" s="1"/>
  <c r="AO9" i="6"/>
  <c r="J22" i="6"/>
  <c r="K22" i="6" s="1"/>
  <c r="AW22" i="6" s="1"/>
  <c r="AY22" i="6" s="1"/>
  <c r="AR22" i="6"/>
  <c r="AE28" i="6"/>
  <c r="AS25" i="4"/>
  <c r="AR12" i="5"/>
  <c r="AP14" i="5"/>
  <c r="AO14" i="5"/>
  <c r="K15" i="5"/>
  <c r="V19" i="5"/>
  <c r="U19" i="5"/>
  <c r="AW19" i="5" s="1"/>
  <c r="AN26" i="5"/>
  <c r="AP26" i="5" s="1"/>
  <c r="V28" i="5"/>
  <c r="U28" i="5"/>
  <c r="U31" i="5"/>
  <c r="AD37" i="5"/>
  <c r="AF37" i="5" s="1"/>
  <c r="AX12" i="6"/>
  <c r="AX15" i="6"/>
  <c r="J18" i="6"/>
  <c r="L18" i="6" s="1"/>
  <c r="AX18" i="6" s="1"/>
  <c r="AR18" i="6"/>
  <c r="AS22" i="6"/>
  <c r="L22" i="6"/>
  <c r="AX22" i="6" s="1"/>
  <c r="AV30" i="6"/>
  <c r="K17" i="4"/>
  <c r="K31" i="4"/>
  <c r="AW31" i="4" s="1"/>
  <c r="AN35" i="4"/>
  <c r="AO35" i="4" s="1"/>
  <c r="AQ9" i="5"/>
  <c r="AS12" i="5"/>
  <c r="U18" i="5"/>
  <c r="AF21" i="5"/>
  <c r="AE21" i="5"/>
  <c r="AR37" i="5"/>
  <c r="AC38" i="6"/>
  <c r="AJ38" i="6"/>
  <c r="AR8" i="6"/>
  <c r="L11" i="6"/>
  <c r="AX11" i="6" s="1"/>
  <c r="AS11" i="6"/>
  <c r="AQ12" i="6"/>
  <c r="AS18" i="6"/>
  <c r="AS20" i="6"/>
  <c r="AS23" i="6"/>
  <c r="V26" i="6"/>
  <c r="AX26" i="6" s="1"/>
  <c r="U30" i="6"/>
  <c r="AW30" i="6" s="1"/>
  <c r="AY30" i="6" s="1"/>
  <c r="L35" i="6"/>
  <c r="AX35" i="6" s="1"/>
  <c r="K14" i="4"/>
  <c r="K28" i="4"/>
  <c r="AW28" i="4" s="1"/>
  <c r="AP36" i="4"/>
  <c r="AR9" i="5"/>
  <c r="AO11" i="5"/>
  <c r="V14" i="5"/>
  <c r="U14" i="5"/>
  <c r="AO17" i="5"/>
  <c r="AS22" i="5"/>
  <c r="AE24" i="5"/>
  <c r="V27" i="5"/>
  <c r="AO27" i="5"/>
  <c r="U29" i="5"/>
  <c r="AS37" i="5"/>
  <c r="AI38" i="6"/>
  <c r="AW8" i="6"/>
  <c r="AY8" i="6" s="1"/>
  <c r="AP8" i="6"/>
  <c r="AX8" i="6" s="1"/>
  <c r="AF10" i="6"/>
  <c r="AQ14" i="6"/>
  <c r="AW15" i="6"/>
  <c r="AY15" i="6" s="1"/>
  <c r="AV16" i="6"/>
  <c r="AR19" i="6"/>
  <c r="AV20" i="6"/>
  <c r="AF24" i="6"/>
  <c r="AS24" i="6"/>
  <c r="AP25" i="6"/>
  <c r="AX25" i="6" s="1"/>
  <c r="T29" i="6"/>
  <c r="U29" i="6" s="1"/>
  <c r="AW29" i="6" s="1"/>
  <c r="AY29" i="6" s="1"/>
  <c r="AR29" i="6"/>
  <c r="AS34" i="6"/>
  <c r="L34" i="6"/>
  <c r="AX34" i="6" s="1"/>
  <c r="AO36" i="4"/>
  <c r="AD7" i="5"/>
  <c r="Z38" i="5"/>
  <c r="AF20" i="5"/>
  <c r="K37" i="5"/>
  <c r="AQ7" i="6"/>
  <c r="AE10" i="6"/>
  <c r="U16" i="6"/>
  <c r="K18" i="6"/>
  <c r="AW18" i="6" s="1"/>
  <c r="AY18" i="6" s="1"/>
  <c r="AF27" i="6"/>
  <c r="AX27" i="6" s="1"/>
  <c r="AR31" i="6"/>
  <c r="J31" i="6"/>
  <c r="L31" i="6" s="1"/>
  <c r="AF33" i="6"/>
  <c r="AE33" i="6"/>
  <c r="AS33" i="6"/>
  <c r="AP36" i="6"/>
  <c r="AF35" i="5"/>
  <c r="AS19" i="6"/>
  <c r="AP20" i="6"/>
  <c r="AV21" i="6"/>
  <c r="AS31" i="6"/>
  <c r="U33" i="6"/>
  <c r="J34" i="6"/>
  <c r="K34" i="6" s="1"/>
  <c r="L36" i="6"/>
  <c r="AO36" i="6"/>
  <c r="V37" i="6"/>
  <c r="AX37" i="6" s="1"/>
  <c r="AO17" i="6"/>
  <c r="J35" i="6"/>
  <c r="K35" i="6" s="1"/>
  <c r="AW35" i="6" s="1"/>
  <c r="AY35" i="6" s="1"/>
  <c r="AR35" i="6"/>
  <c r="V37" i="5"/>
  <c r="AX37" i="5" s="1"/>
  <c r="E38" i="6"/>
  <c r="AA38" i="6"/>
  <c r="G14" i="2" s="1"/>
  <c r="AV10" i="6"/>
  <c r="K10" i="6"/>
  <c r="AW10" i="6" s="1"/>
  <c r="AY10" i="6" s="1"/>
  <c r="AE11" i="6"/>
  <c r="U17" i="6"/>
  <c r="AW17" i="6" s="1"/>
  <c r="AY17" i="6" s="1"/>
  <c r="AO18" i="6"/>
  <c r="U20" i="6"/>
  <c r="AW20" i="6" s="1"/>
  <c r="AY20" i="6" s="1"/>
  <c r="AV35" i="6"/>
  <c r="V36" i="6"/>
  <c r="U36" i="6"/>
  <c r="AV18" i="5"/>
  <c r="K18" i="5"/>
  <c r="L21" i="5"/>
  <c r="AF30" i="5"/>
  <c r="U34" i="5"/>
  <c r="AS36" i="5"/>
  <c r="AV36" i="5"/>
  <c r="G38" i="6"/>
  <c r="E14" i="2" s="1"/>
  <c r="AV11" i="6"/>
  <c r="K11" i="6"/>
  <c r="AO14" i="6"/>
  <c r="AS16" i="6"/>
  <c r="U18" i="6"/>
  <c r="AQ20" i="6"/>
  <c r="AE24" i="6"/>
  <c r="AO31" i="6"/>
  <c r="AQ37" i="6"/>
  <c r="AE37" i="6"/>
  <c r="I38" i="5"/>
  <c r="AT38" i="5"/>
  <c r="J13" i="2" s="1"/>
  <c r="AE15" i="5"/>
  <c r="AP23" i="5"/>
  <c r="L30" i="5"/>
  <c r="AV7" i="6"/>
  <c r="K7" i="6"/>
  <c r="I38" i="6"/>
  <c r="AF7" i="6"/>
  <c r="AR12" i="6"/>
  <c r="U13" i="6"/>
  <c r="L24" i="6"/>
  <c r="AQ25" i="6"/>
  <c r="U26" i="6"/>
  <c r="L29" i="6"/>
  <c r="V31" i="6"/>
  <c r="AV33" i="6"/>
  <c r="AU7" i="5"/>
  <c r="AU38" i="5" s="1"/>
  <c r="K13" i="2" s="1"/>
  <c r="AO20" i="5"/>
  <c r="V23" i="5"/>
  <c r="AE27" i="5"/>
  <c r="AO35" i="5"/>
  <c r="AS12" i="6"/>
  <c r="AE12" i="6"/>
  <c r="AV24" i="6"/>
  <c r="K24" i="6"/>
  <c r="AE25" i="6"/>
  <c r="U31" i="6"/>
  <c r="AO32" i="6"/>
  <c r="V35" i="6"/>
  <c r="AQ16" i="5"/>
  <c r="AR19" i="5"/>
  <c r="K21" i="5"/>
  <c r="AN21" i="5"/>
  <c r="AP21" i="5" s="1"/>
  <c r="AD28" i="5"/>
  <c r="L7" i="6"/>
  <c r="AV12" i="6"/>
  <c r="K12" i="6"/>
  <c r="AW12" i="6" s="1"/>
  <c r="AY12" i="6" s="1"/>
  <c r="U14" i="6"/>
  <c r="AO19" i="6"/>
  <c r="AF36" i="6"/>
  <c r="O38" i="6"/>
  <c r="AK38" i="6"/>
  <c r="H14" i="2" s="1"/>
  <c r="AP7" i="6"/>
  <c r="AP38" i="6" s="1"/>
  <c r="AS17" i="6"/>
  <c r="AV25" i="6"/>
  <c r="K25" i="6"/>
  <c r="AW25" i="6" s="1"/>
  <c r="AY25" i="6" s="1"/>
  <c r="AS30" i="6"/>
  <c r="AQ34" i="6"/>
  <c r="AD9" i="6"/>
  <c r="AE9" i="6" s="1"/>
  <c r="AR13" i="6"/>
  <c r="AF13" i="6"/>
  <c r="AV18" i="6"/>
  <c r="AE21" i="6"/>
  <c r="AR26" i="6"/>
  <c r="U37" i="6"/>
  <c r="AO37" i="6"/>
  <c r="AS15" i="6"/>
  <c r="AS29" i="6"/>
  <c r="AR15" i="5"/>
  <c r="AR9" i="6"/>
  <c r="AR23" i="6"/>
  <c r="AR37" i="6"/>
  <c r="AE38" i="6" l="1"/>
  <c r="AW34" i="3"/>
  <c r="AY34" i="3" s="1"/>
  <c r="AY19" i="5"/>
  <c r="AO37" i="4"/>
  <c r="AW34" i="5"/>
  <c r="AY34" i="5" s="1"/>
  <c r="AY22" i="5"/>
  <c r="AX35" i="3"/>
  <c r="AE38" i="3"/>
  <c r="AY27" i="3"/>
  <c r="AW10" i="3"/>
  <c r="AY24" i="3"/>
  <c r="AW10" i="4"/>
  <c r="AY10" i="4" s="1"/>
  <c r="AS38" i="6"/>
  <c r="I14" i="2" s="1"/>
  <c r="L23" i="5"/>
  <c r="AX23" i="5" s="1"/>
  <c r="K23" i="5"/>
  <c r="AW23" i="5" s="1"/>
  <c r="AP13" i="5"/>
  <c r="AP38" i="5" s="1"/>
  <c r="AX8" i="4"/>
  <c r="AY29" i="4"/>
  <c r="AO21" i="5"/>
  <c r="AV38" i="3"/>
  <c r="L11" i="2" s="1"/>
  <c r="J38" i="6"/>
  <c r="AX17" i="3"/>
  <c r="E15" i="2"/>
  <c r="AX28" i="3"/>
  <c r="AY28" i="3" s="1"/>
  <c r="AQ37" i="4"/>
  <c r="C12" i="2" s="1"/>
  <c r="AF31" i="3"/>
  <c r="AX31" i="3" s="1"/>
  <c r="AX36" i="4"/>
  <c r="AX7" i="6"/>
  <c r="AD38" i="5"/>
  <c r="AF7" i="5"/>
  <c r="AW15" i="5"/>
  <c r="AY15" i="5" s="1"/>
  <c r="AF28" i="5"/>
  <c r="AE28" i="5"/>
  <c r="AW27" i="5"/>
  <c r="AY27" i="5" s="1"/>
  <c r="AV37" i="4"/>
  <c r="L12" i="2" s="1"/>
  <c r="AO10" i="4"/>
  <c r="U21" i="5"/>
  <c r="AW21" i="5" s="1"/>
  <c r="AY21" i="5" s="1"/>
  <c r="T38" i="6"/>
  <c r="AW31" i="3"/>
  <c r="AY22" i="3"/>
  <c r="AS38" i="3"/>
  <c r="I11" i="2" s="1"/>
  <c r="AE14" i="5"/>
  <c r="AW14" i="5" s="1"/>
  <c r="AY14" i="5" s="1"/>
  <c r="AS38" i="5"/>
  <c r="I13" i="2" s="1"/>
  <c r="K28" i="5"/>
  <c r="L17" i="5"/>
  <c r="AX17" i="5" s="1"/>
  <c r="AY17" i="5" s="1"/>
  <c r="AW32" i="4"/>
  <c r="AY32" i="4" s="1"/>
  <c r="J37" i="4"/>
  <c r="AW21" i="4"/>
  <c r="AY21" i="4" s="1"/>
  <c r="AX7" i="3"/>
  <c r="AO31" i="5"/>
  <c r="AW31" i="5" s="1"/>
  <c r="AY31" i="5" s="1"/>
  <c r="AR38" i="3"/>
  <c r="D11" i="2" s="1"/>
  <c r="D15" i="2" s="1"/>
  <c r="D5" i="2" s="1"/>
  <c r="AQ38" i="5"/>
  <c r="C13" i="2" s="1"/>
  <c r="AW32" i="6"/>
  <c r="AY32" i="6" s="1"/>
  <c r="AV38" i="6"/>
  <c r="L14" i="2" s="1"/>
  <c r="AW11" i="6"/>
  <c r="AY11" i="6" s="1"/>
  <c r="AX31" i="6"/>
  <c r="AY28" i="4"/>
  <c r="K10" i="5"/>
  <c r="AW10" i="5" s="1"/>
  <c r="AY10" i="5" s="1"/>
  <c r="U7" i="4"/>
  <c r="U37" i="4" s="1"/>
  <c r="L20" i="5"/>
  <c r="AX20" i="5" s="1"/>
  <c r="AY20" i="5" s="1"/>
  <c r="AE15" i="4"/>
  <c r="AE37" i="4" s="1"/>
  <c r="AW11" i="3"/>
  <c r="AY11" i="3" s="1"/>
  <c r="U7" i="5"/>
  <c r="U38" i="5" s="1"/>
  <c r="AO26" i="5"/>
  <c r="AO38" i="5" s="1"/>
  <c r="L10" i="3"/>
  <c r="AX10" i="3" s="1"/>
  <c r="J38" i="3"/>
  <c r="AW15" i="3"/>
  <c r="AY15" i="3" s="1"/>
  <c r="V24" i="5"/>
  <c r="AW13" i="3"/>
  <c r="L23" i="3"/>
  <c r="AX23" i="3" s="1"/>
  <c r="AY23" i="3" s="1"/>
  <c r="AX28" i="5"/>
  <c r="AE38" i="5"/>
  <c r="AN38" i="3"/>
  <c r="AO7" i="3"/>
  <c r="AP7" i="3"/>
  <c r="AP38" i="3" s="1"/>
  <c r="K38" i="6"/>
  <c r="AW7" i="6"/>
  <c r="AW35" i="3"/>
  <c r="AY35" i="3" s="1"/>
  <c r="V38" i="6"/>
  <c r="AX9" i="4"/>
  <c r="AY9" i="4" s="1"/>
  <c r="AX30" i="5"/>
  <c r="AX36" i="6"/>
  <c r="AW34" i="6"/>
  <c r="AY34" i="6" s="1"/>
  <c r="V29" i="6"/>
  <c r="AW14" i="4"/>
  <c r="AW24" i="5"/>
  <c r="L21" i="6"/>
  <c r="AX21" i="6" s="1"/>
  <c r="AX24" i="5"/>
  <c r="AX31" i="5"/>
  <c r="AV38" i="5"/>
  <c r="L13" i="2" s="1"/>
  <c r="AW29" i="3"/>
  <c r="AY29" i="3" s="1"/>
  <c r="AW19" i="4"/>
  <c r="AY19" i="4" s="1"/>
  <c r="AX14" i="5"/>
  <c r="AX21" i="3"/>
  <c r="AY21" i="3" s="1"/>
  <c r="K18" i="4"/>
  <c r="AW18" i="4" s="1"/>
  <c r="AY18" i="4" s="1"/>
  <c r="AY16" i="4"/>
  <c r="G15" i="2"/>
  <c r="AY12" i="5"/>
  <c r="L23" i="4"/>
  <c r="AX23" i="4" s="1"/>
  <c r="AY23" i="4" s="1"/>
  <c r="AX17" i="4"/>
  <c r="AX10" i="4"/>
  <c r="V9" i="5"/>
  <c r="AX9" i="5" s="1"/>
  <c r="AY9" i="5" s="1"/>
  <c r="L37" i="4"/>
  <c r="AW17" i="3"/>
  <c r="AY18" i="3"/>
  <c r="K11" i="5"/>
  <c r="AW11" i="5" s="1"/>
  <c r="AY11" i="5" s="1"/>
  <c r="AY25" i="4"/>
  <c r="AW37" i="6"/>
  <c r="AY37" i="6" s="1"/>
  <c r="AX29" i="6"/>
  <c r="AR37" i="4"/>
  <c r="D12" i="2" s="1"/>
  <c r="AX13" i="4"/>
  <c r="AS37" i="4"/>
  <c r="I12" i="2" s="1"/>
  <c r="AW35" i="4"/>
  <c r="AY35" i="4" s="1"/>
  <c r="AF19" i="3"/>
  <c r="AF38" i="3" s="1"/>
  <c r="AX31" i="4"/>
  <c r="AY31" i="4" s="1"/>
  <c r="AW12" i="3"/>
  <c r="AY12" i="3" s="1"/>
  <c r="L16" i="3"/>
  <c r="AX16" i="3" s="1"/>
  <c r="AY36" i="5"/>
  <c r="AW30" i="4"/>
  <c r="AY30" i="4" s="1"/>
  <c r="K37" i="4"/>
  <c r="AO8" i="3"/>
  <c r="F15" i="2"/>
  <c r="H15" i="2"/>
  <c r="AX20" i="3"/>
  <c r="AD38" i="3"/>
  <c r="AW13" i="6"/>
  <c r="AY13" i="6" s="1"/>
  <c r="AX34" i="3"/>
  <c r="AX35" i="5"/>
  <c r="AX26" i="4"/>
  <c r="AF32" i="4"/>
  <c r="AX32" i="4" s="1"/>
  <c r="AW26" i="6"/>
  <c r="AY26" i="6" s="1"/>
  <c r="T38" i="5"/>
  <c r="AW9" i="6"/>
  <c r="AX29" i="5"/>
  <c r="AX14" i="3"/>
  <c r="AW33" i="3"/>
  <c r="AY33" i="3" s="1"/>
  <c r="U8" i="3"/>
  <c r="AW8" i="3" s="1"/>
  <c r="AY8" i="3" s="1"/>
  <c r="AY26" i="4"/>
  <c r="AX13" i="3"/>
  <c r="AW30" i="3"/>
  <c r="AY30" i="3" s="1"/>
  <c r="V7" i="3"/>
  <c r="V38" i="3" s="1"/>
  <c r="T38" i="3"/>
  <c r="U7" i="3"/>
  <c r="AW7" i="3" s="1"/>
  <c r="AW35" i="5"/>
  <c r="AR38" i="5"/>
  <c r="D13" i="2" s="1"/>
  <c r="AW16" i="5"/>
  <c r="AY16" i="5" s="1"/>
  <c r="AX36" i="5"/>
  <c r="AX15" i="4"/>
  <c r="AW36" i="4"/>
  <c r="AW24" i="6"/>
  <c r="AY24" i="6" s="1"/>
  <c r="AX24" i="6"/>
  <c r="AW18" i="5"/>
  <c r="AY18" i="5" s="1"/>
  <c r="AQ38" i="6"/>
  <c r="C14" i="2" s="1"/>
  <c r="AW33" i="6"/>
  <c r="AY33" i="6" s="1"/>
  <c r="AW36" i="6"/>
  <c r="AY36" i="6" s="1"/>
  <c r="V7" i="4"/>
  <c r="V37" i="4" s="1"/>
  <c r="AF9" i="6"/>
  <c r="AX9" i="6" s="1"/>
  <c r="AO32" i="3"/>
  <c r="AW32" i="3" s="1"/>
  <c r="AY32" i="3" s="1"/>
  <c r="AW24" i="4"/>
  <c r="AY24" i="4" s="1"/>
  <c r="K31" i="6"/>
  <c r="AW31" i="6" s="1"/>
  <c r="AY31" i="6" s="1"/>
  <c r="AX12" i="3"/>
  <c r="AX10" i="6"/>
  <c r="J38" i="5"/>
  <c r="L7" i="5"/>
  <c r="AX21" i="5"/>
  <c r="AD38" i="6"/>
  <c r="AW37" i="5"/>
  <c r="AY37" i="5" s="1"/>
  <c r="AW32" i="5"/>
  <c r="AY32" i="5" s="1"/>
  <c r="L26" i="5"/>
  <c r="AX26" i="5" s="1"/>
  <c r="AO7" i="6"/>
  <c r="AO38" i="6" s="1"/>
  <c r="U10" i="3"/>
  <c r="K38" i="3"/>
  <c r="AX30" i="3"/>
  <c r="AX14" i="4"/>
  <c r="AW29" i="5"/>
  <c r="AY29" i="5" s="1"/>
  <c r="AY30" i="5"/>
  <c r="AW14" i="6"/>
  <c r="AY14" i="6" s="1"/>
  <c r="AO14" i="3"/>
  <c r="AW14" i="3" s="1"/>
  <c r="AY14" i="3" s="1"/>
  <c r="AD37" i="4"/>
  <c r="AF7" i="4"/>
  <c r="AF37" i="4" s="1"/>
  <c r="J15" i="2"/>
  <c r="AF20" i="3"/>
  <c r="AX32" i="3"/>
  <c r="AX19" i="5"/>
  <c r="AF38" i="6"/>
  <c r="AW17" i="4"/>
  <c r="AY17" i="4" s="1"/>
  <c r="AW20" i="3"/>
  <c r="AN37" i="4"/>
  <c r="AP7" i="4"/>
  <c r="AP37" i="4" s="1"/>
  <c r="AW15" i="4"/>
  <c r="AY15" i="4" s="1"/>
  <c r="AW8" i="5"/>
  <c r="AY8" i="5" s="1"/>
  <c r="AW13" i="4"/>
  <c r="AY13" i="4" s="1"/>
  <c r="AW8" i="4"/>
  <c r="AY8" i="4" s="1"/>
  <c r="AX19" i="3"/>
  <c r="AY19" i="3" s="1"/>
  <c r="AR38" i="6"/>
  <c r="D14" i="2" s="1"/>
  <c r="AQ38" i="3"/>
  <c r="C11" i="2" s="1"/>
  <c r="AW38" i="3" l="1"/>
  <c r="M11" i="2" s="1"/>
  <c r="AY7" i="3"/>
  <c r="AY38" i="3" s="1"/>
  <c r="AY17" i="3"/>
  <c r="AX7" i="4"/>
  <c r="AX37" i="4" s="1"/>
  <c r="N12" i="2" s="1"/>
  <c r="AY31" i="3"/>
  <c r="AY24" i="5"/>
  <c r="AW7" i="5"/>
  <c r="K38" i="5"/>
  <c r="L38" i="5"/>
  <c r="AX7" i="5"/>
  <c r="AX38" i="5" s="1"/>
  <c r="N13" i="2" s="1"/>
  <c r="AO38" i="3"/>
  <c r="L38" i="3"/>
  <c r="AY36" i="4"/>
  <c r="AY20" i="3"/>
  <c r="AY14" i="4"/>
  <c r="AW26" i="5"/>
  <c r="AY26" i="5" s="1"/>
  <c r="AX13" i="5"/>
  <c r="AY13" i="5" s="1"/>
  <c r="AY10" i="3"/>
  <c r="AY9" i="6"/>
  <c r="L15" i="2"/>
  <c r="AW7" i="4"/>
  <c r="AY13" i="3"/>
  <c r="AW28" i="5"/>
  <c r="AY28" i="5" s="1"/>
  <c r="AF38" i="5"/>
  <c r="C15" i="2"/>
  <c r="A5" i="2" s="1"/>
  <c r="AY35" i="5"/>
  <c r="V38" i="5"/>
  <c r="AW38" i="6"/>
  <c r="M14" i="2" s="1"/>
  <c r="AY7" i="6"/>
  <c r="AY38" i="6" s="1"/>
  <c r="AX38" i="3"/>
  <c r="N11" i="2" s="1"/>
  <c r="N15" i="2" s="1"/>
  <c r="M5" i="2" s="1"/>
  <c r="U38" i="3"/>
  <c r="L38" i="6"/>
  <c r="I15" i="2"/>
  <c r="G5" i="2" s="1"/>
  <c r="AX38" i="6"/>
  <c r="N14" i="2" s="1"/>
  <c r="AY23" i="5"/>
  <c r="AW37" i="4" l="1"/>
  <c r="M12" i="2" s="1"/>
  <c r="M15" i="2" s="1"/>
  <c r="AY7" i="4"/>
  <c r="AY37" i="4" s="1"/>
  <c r="AW38" i="5"/>
  <c r="M13" i="2" s="1"/>
  <c r="AY7" i="5"/>
  <c r="AY38" i="5" s="1"/>
</calcChain>
</file>

<file path=xl/sharedStrings.xml><?xml version="1.0" encoding="utf-8"?>
<sst xmlns="http://schemas.openxmlformats.org/spreadsheetml/2006/main" count="765" uniqueCount="87">
  <si>
    <t>AUTOMATED AHU SAVINGS REPORT INDEX</t>
  </si>
  <si>
    <t>Control Panel &amp; Direct Navigation Links to Executive Dashboards and Monthly Reports</t>
  </si>
  <si>
    <t>REPORT NAVIGATION INDEX</t>
  </si>
  <si>
    <t>S.No</t>
  </si>
  <si>
    <t>Sheet / Module Name</t>
  </si>
  <si>
    <t>Description</t>
  </si>
  <si>
    <t>Direct Link to Sheet</t>
  </si>
  <si>
    <t>Executive Dashboard</t>
  </si>
  <si>
    <t>High-level KPI Cards &amp; Monthly Comparison Summary</t>
  </si>
  <si>
    <t>Go to Executive Dashboard Sheet &gt;&gt;</t>
  </si>
  <si>
    <t>May 2026</t>
  </si>
  <si>
    <t>Detailed daily tracker and savings analysis for May 2026</t>
  </si>
  <si>
    <t>Go to May 2026 Sheet &gt;&gt;</t>
  </si>
  <si>
    <t>June 2026</t>
  </si>
  <si>
    <t>Detailed daily tracker and savings analysis for June 2026</t>
  </si>
  <si>
    <t>Go to June 2026 Sheet &gt;&gt;</t>
  </si>
  <si>
    <t>July 2026</t>
  </si>
  <si>
    <t>Detailed daily tracker and savings analysis for July 2026</t>
  </si>
  <si>
    <t>Go to July 2026 Sheet &gt;&gt;</t>
  </si>
  <si>
    <t>August 2026</t>
  </si>
  <si>
    <t>Detailed daily tracker and savings analysis for August 2026</t>
  </si>
  <si>
    <t>Go to August 2026 Sheet &gt;&gt;</t>
  </si>
  <si>
    <t>SINGLE-FILE ZERO-EFFORT AUTOMATION INSTRUCTIONS</t>
  </si>
  <si>
    <t>1. Open 'Daily AHU ON Off Time.xlsx' and enter/update ONLY: ON Time, OFF Time, and Current/Previous Readings (Difference).</t>
  </si>
  <si>
    <t>2. Double-click the 'RUN_AUTO_UPDATE.bat' script in this folder whenever you finish updating the file.</t>
  </si>
  <si>
    <t>3. The script automatically detects all months, adds new sheets, recalculates hourly costs, and rebuilds the Executive Dashboard instantly!</t>
  </si>
  <si>
    <t>4. No other files needed! Energy tracker file is NOT required.</t>
  </si>
  <si>
    <t>MONTH-WISE AHU SAVED HOURS &amp; KWH COST DASHBOARD</t>
  </si>
  <si>
    <t>Executive Summary of Scheduled AHU Hours vs Actual Running Hours, Savings &amp; KWH Consumption Costs</t>
  </si>
  <si>
    <t>TOTAL SCHEDULED AHU HOURS</t>
  </si>
  <si>
    <t>TOTAL ACTUAL RUN HOURS</t>
  </si>
  <si>
    <t>TOTAL SAVED SHUT-OFF HRS</t>
  </si>
  <si>
    <t>TOTAL KWH ENERGY COST</t>
  </si>
  <si>
    <t>TOTAL COST SAVED (RS)</t>
  </si>
  <si>
    <t>SCHEDULED VS ACTUAL RUNNING HOURS &amp; FINANCIAL SAVINGS BREAKDOWN</t>
  </si>
  <si>
    <t>Month</t>
  </si>
  <si>
    <t>Days</t>
  </si>
  <si>
    <t>Tot Sched AHU Hrs</t>
  </si>
  <si>
    <t>Tot Actual Run Hrs</t>
  </si>
  <si>
    <t>AHU-1 Saved (Hrs)</t>
  </si>
  <si>
    <t>AHU-2 Saved (Hrs)</t>
  </si>
  <si>
    <t>AHU-3 Saved (Hrs)</t>
  </si>
  <si>
    <t>AHU-4 Saved (Hrs)</t>
  </si>
  <si>
    <t>Total Saved Hrs</t>
  </si>
  <si>
    <t>KWH Consumption</t>
  </si>
  <si>
    <t>KWH Cost (Rs)</t>
  </si>
  <si>
    <t>Tot Actual Cost (Rs)</t>
  </si>
  <si>
    <t>Full Cost 8PM (Rs)</t>
  </si>
  <si>
    <t>Total Cost Saved (Rs)</t>
  </si>
  <si>
    <t>TOTAL / YTD</t>
  </si>
  <si>
    <t>AHU DAILY SAVINGS &amp; KWH COST REPORT - MAY 2026</t>
  </si>
  <si>
    <t>Operating Schedule: Mon-Fri 8:00 AM to 8:00 PM (12 hrs/AHU) | Sat 8:00 AM to 2:00 PM (6 hrs/AHU) | Sun Off</t>
  </si>
  <si>
    <t>Logic: KWH Rate = Rs. 7.45 | Hourly Rate = KWH Cost / Actual Run Hrs | Full Cost = KWH Cost + (Saved Hrs * Hourly Rate) | Saving = Saved Hrs * Hourly Rate</t>
  </si>
  <si>
    <t>Date &amp; Day</t>
  </si>
  <si>
    <t>AHU-1 (CFM 26500)</t>
  </si>
  <si>
    <t>AHU-2 (CFM 26700)</t>
  </si>
  <si>
    <t>AHU-3 (CFM 28000)</t>
  </si>
  <si>
    <t>AHU-4 (CFM 28500)</t>
  </si>
  <si>
    <t>DAILY TOTAL COMBINED SUMMARY (ALL AHUs)</t>
  </si>
  <si>
    <t>Date</t>
  </si>
  <si>
    <t>Day</t>
  </si>
  <si>
    <t>ON Time</t>
  </si>
  <si>
    <t>OFF Time</t>
  </si>
  <si>
    <t>Sched Hrs</t>
  </si>
  <si>
    <t>Actual Run Hrs</t>
  </si>
  <si>
    <t>Saved Hrs</t>
  </si>
  <si>
    <t>Consumption (KWH)</t>
  </si>
  <si>
    <t>Actual Cost (Rs)</t>
  </si>
  <si>
    <t>Cost / Hr (Rs)</t>
  </si>
  <si>
    <t>Cost Saved (Rs)</t>
  </si>
  <si>
    <t>Tot Sched Hrs</t>
  </si>
  <si>
    <t>Tot Saved Hrs</t>
  </si>
  <si>
    <t>Tot Consumption (KWH)</t>
  </si>
  <si>
    <t>Tot Full Cost 8PM (Rs)</t>
  </si>
  <si>
    <t>Savings %</t>
  </si>
  <si>
    <t>Fri</t>
  </si>
  <si>
    <t>Sat</t>
  </si>
  <si>
    <t>Sun</t>
  </si>
  <si>
    <t>Mon</t>
  </si>
  <si>
    <t>Tue</t>
  </si>
  <si>
    <t>Wed</t>
  </si>
  <si>
    <t>Thu</t>
  </si>
  <si>
    <t>OFF</t>
  </si>
  <si>
    <t>MONTH TOTAL</t>
  </si>
  <si>
    <t>AHU DAILY SAVINGS &amp; KWH COST REPORT - JUNE 2026</t>
  </si>
  <si>
    <t>AHU DAILY SAVINGS &amp; KWH COST REPORT - JULY 2026</t>
  </si>
  <si>
    <t>AHU DAILY SAVINGS &amp; KWH COST REPORT -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</si>
</sst>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Rs. &quot;#,##0.00"/>
    <numFmt numFmtId="166" formatCode="#,##0.00\ &quot;Hrs&quot;"/>
  </numFmts>
  <fonts count="10" x14ac:knownFonts="1">
    <font>
      <sz val="11"/>
      <color theme="1"/>
      <name val="Calibri"/>
      <family val="2"/>
      <scheme val="minor"/>
    </font>
    <font>
      <b/>
      <sz val="15"/>
      <color rgb="FF1B365D"/>
      <name val="Segoe UI"/>
    </font>
    <font>
      <i/>
      <sz val="9.5"/>
      <color rgb="FF555555"/>
      <name val="Segoe UI"/>
    </font>
    <font>
      <b/>
      <sz val="9.5"/>
      <color rgb="FFFFFFFF"/>
      <name val="Segoe UI"/>
    </font>
    <font>
      <b/>
      <sz val="8.5"/>
      <color rgb="FF1B365D"/>
      <name val="Segoe UI"/>
    </font>
    <font>
      <sz val="9"/>
      <color rgb="FF000000"/>
      <name val="Segoe UI"/>
    </font>
    <font>
      <b/>
      <sz val="9"/>
      <color rgb="FF000000"/>
      <name val="Segoe UI"/>
    </font>
    <font>
      <b/>
      <sz val="9"/>
      <color rgb="FF555555"/>
      <name val="Segoe UI"/>
    </font>
    <font>
      <b/>
      <sz val="11"/>
      <color rgb="FF1B365D"/>
      <name val="Segoe UI"/>
    </font>
    <font>
      <b/>
      <u/>
      <sz val="9.5"/>
      <color rgb="FF0563C1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D9E1F2"/>
        <bgColor rgb="FFD9E1F2"/>
      </patternFill>
    </fill>
    <fill>
      <patternFill patternType="solid">
        <fgColor rgb="FFF9FAFC"/>
        <bgColor rgb="FFF9FAFC"/>
      </patternFill>
    </fill>
    <fill>
      <patternFill patternType="solid">
        <fgColor rgb="FFE8EEF5"/>
        <bgColor rgb="FFE8EEF5"/>
      </patternFill>
    </fill>
    <fill>
      <patternFill patternType="solid">
        <fgColor rgb="FFEBF3FA"/>
        <bgColor rgb="FFEBF3FA"/>
      </patternFill>
    </fill>
    <fill>
      <patternFill patternType="solid">
        <fgColor rgb="FFE6F4EA"/>
        <bgColor rgb="FFE6F4EA"/>
      </patternFill>
    </fill>
    <fill>
      <patternFill patternType="solid">
        <fgColor rgb="FFFEF7E0"/>
        <bgColor rgb="FFFEF7E0"/>
      </patternFill>
    </fill>
    <fill>
      <patternFill patternType="solid">
        <fgColor rgb="FFF3E8FD"/>
        <bgColor rgb="FFF3E8FD"/>
      </patternFill>
    </fill>
    <fill>
      <patternFill patternType="solid">
        <fgColor rgb="FFE8F5E9"/>
        <bgColor rgb="FFE8F5E9"/>
      </patternFill>
    </fill>
  </fills>
  <borders count="5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medium">
        <color rgb="FF1B365D"/>
      </top>
      <bottom style="medium">
        <color rgb="FF1B365D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B365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/>
    <xf numFmtId="0" fontId="8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6" fillId="4" borderId="2" xfId="0" applyFont="1" applyFill="1" applyBorder="1"/>
    <xf numFmtId="0" fontId="0" fillId="4" borderId="2" xfId="0" applyFill="1" applyBorder="1" applyAlignment="1">
      <alignment horizontal="left" vertical="center"/>
    </xf>
    <xf numFmtId="0" fontId="9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6" fillId="0" borderId="2" xfId="0" applyFont="1" applyBorder="1"/>
    <xf numFmtId="0" fontId="0" fillId="0" borderId="2" xfId="0" applyBorder="1" applyAlignment="1">
      <alignment horizontal="left" vertical="center"/>
    </xf>
    <xf numFmtId="0" fontId="9" fillId="0" borderId="2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20" fontId="5" fillId="0" borderId="2" xfId="0" applyNumberFormat="1" applyFont="1" applyBorder="1" applyAlignment="1">
      <alignment horizontal="center" vertical="center" wrapText="1"/>
    </xf>
    <xf numFmtId="4" fontId="5" fillId="0" borderId="2" xfId="0" applyNumberFormat="1" applyFont="1" applyBorder="1" applyAlignment="1">
      <alignment horizontal="right" vertical="center"/>
    </xf>
    <xf numFmtId="3" fontId="5" fillId="0" borderId="2" xfId="0" applyNumberFormat="1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5" fontId="6" fillId="0" borderId="2" xfId="0" applyNumberFormat="1" applyFont="1" applyBorder="1" applyAlignment="1">
      <alignment horizontal="right" vertical="center"/>
    </xf>
    <xf numFmtId="4" fontId="6" fillId="0" borderId="2" xfId="0" applyNumberFormat="1" applyFont="1" applyBorder="1" applyAlignment="1">
      <alignment horizontal="right" vertical="center"/>
    </xf>
    <xf numFmtId="10" fontId="5" fillId="0" borderId="2" xfId="0" applyNumberFormat="1" applyFont="1" applyBorder="1" applyAlignment="1">
      <alignment horizontal="right" vertical="center"/>
    </xf>
    <xf numFmtId="164" fontId="5" fillId="4" borderId="2" xfId="0" applyNumberFormat="1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20" fontId="5" fillId="4" borderId="2" xfId="0" applyNumberFormat="1" applyFont="1" applyFill="1" applyBorder="1" applyAlignment="1">
      <alignment horizontal="center" vertical="center" wrapText="1"/>
    </xf>
    <xf numFmtId="4" fontId="5" fillId="4" borderId="2" xfId="0" applyNumberFormat="1" applyFont="1" applyFill="1" applyBorder="1" applyAlignment="1">
      <alignment horizontal="right" vertical="center"/>
    </xf>
    <xf numFmtId="3" fontId="5" fillId="4" borderId="2" xfId="0" applyNumberFormat="1" applyFont="1" applyFill="1" applyBorder="1" applyAlignment="1">
      <alignment horizontal="right" vertical="center"/>
    </xf>
    <xf numFmtId="165" fontId="5" fillId="4" borderId="2" xfId="0" applyNumberFormat="1" applyFont="1" applyFill="1" applyBorder="1" applyAlignment="1">
      <alignment horizontal="right" vertical="center"/>
    </xf>
    <xf numFmtId="165" fontId="6" fillId="4" borderId="2" xfId="0" applyNumberFormat="1" applyFont="1" applyFill="1" applyBorder="1" applyAlignment="1">
      <alignment horizontal="right" vertical="center"/>
    </xf>
    <xf numFmtId="4" fontId="6" fillId="4" borderId="2" xfId="0" applyNumberFormat="1" applyFont="1" applyFill="1" applyBorder="1" applyAlignment="1">
      <alignment horizontal="right" vertical="center"/>
    </xf>
    <xf numFmtId="10" fontId="5" fillId="4" borderId="2" xfId="0" applyNumberFormat="1" applyFont="1" applyFill="1" applyBorder="1" applyAlignment="1">
      <alignment horizontal="right" vertical="center"/>
    </xf>
    <xf numFmtId="0" fontId="6" fillId="5" borderId="3" xfId="0" applyFont="1" applyFill="1" applyBorder="1"/>
    <xf numFmtId="4" fontId="6" fillId="5" borderId="3" xfId="0" applyNumberFormat="1" applyFont="1" applyFill="1" applyBorder="1"/>
    <xf numFmtId="3" fontId="6" fillId="5" borderId="3" xfId="0" applyNumberFormat="1" applyFont="1" applyFill="1" applyBorder="1"/>
    <xf numFmtId="165" fontId="6" fillId="5" borderId="3" xfId="0" applyNumberFormat="1" applyFont="1" applyFill="1" applyBorder="1"/>
    <xf numFmtId="10" fontId="6" fillId="5" borderId="3" xfId="0" applyNumberFormat="1" applyFont="1" applyFill="1" applyBorder="1"/>
    <xf numFmtId="0" fontId="5" fillId="0" borderId="0" xfId="0" applyFont="1" applyAlignment="1">
      <alignment horizontal="left" vertical="center"/>
    </xf>
    <xf numFmtId="0" fontId="0" fillId="0" borderId="0" xfId="0"/>
    <xf numFmtId="166" fontId="1" fillId="7" borderId="2" xfId="0" applyNumberFormat="1" applyFont="1" applyFill="1" applyBorder="1" applyAlignment="1">
      <alignment horizontal="center" vertical="center" wrapText="1"/>
    </xf>
    <xf numFmtId="0" fontId="0" fillId="0" borderId="2" xfId="0" applyBorder="1"/>
    <xf numFmtId="166" fontId="1" fillId="6" borderId="2" xfId="0" applyNumberFormat="1" applyFont="1" applyFill="1" applyBorder="1" applyAlignment="1">
      <alignment horizontal="center" vertical="center" wrapText="1"/>
    </xf>
    <xf numFmtId="166" fontId="1" fillId="8" borderId="2" xfId="0" applyNumberFormat="1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7" fillId="10" borderId="2" xfId="0" applyFont="1" applyFill="1" applyBorder="1" applyAlignment="1">
      <alignment horizontal="center" vertical="center" wrapText="1"/>
    </xf>
    <xf numFmtId="165" fontId="1" fillId="10" borderId="2" xfId="0" applyNumberFormat="1" applyFont="1" applyFill="1" applyBorder="1" applyAlignment="1">
      <alignment horizontal="center" vertical="center" wrapText="1"/>
    </xf>
    <xf numFmtId="165" fontId="1" fillId="9" borderId="2" xfId="0" applyNumberFormat="1" applyFont="1" applyFill="1" applyBorder="1" applyAlignment="1">
      <alignment horizontal="center" vertical="center" wrapText="1"/>
    </xf>
    <xf numFmtId="0" fontId="7" fillId="8" borderId="2" xfId="0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3" xfId="0" applyFont="1" applyFill="1" applyBorder="1"/>
    <xf numFmtId="0" fontId="3" fillId="2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4" fillId="3" borderId="4" xfId="0" applyFont="1" applyFill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0" fontId="5" fillId="0" borderId="4" xfId="0" applyNumberFormat="1" applyFont="1" applyBorder="1" applyAlignment="1">
      <alignment horizontal="center" vertical="center" wrapText="1"/>
    </xf>
    <xf numFmtId="4" fontId="5" fillId="0" borderId="4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165" fontId="5" fillId="0" borderId="4" xfId="0" applyNumberFormat="1" applyFont="1" applyBorder="1" applyAlignment="1">
      <alignment horizontal="center" vertical="center"/>
    </xf>
    <xf numFmtId="165" fontId="6" fillId="0" borderId="4" xfId="0" applyNumberFormat="1" applyFont="1" applyBorder="1" applyAlignment="1">
      <alignment horizontal="center" vertical="center"/>
    </xf>
    <xf numFmtId="4" fontId="6" fillId="0" borderId="4" xfId="0" applyNumberFormat="1" applyFont="1" applyBorder="1" applyAlignment="1">
      <alignment horizontal="center" vertical="center"/>
    </xf>
    <xf numFmtId="10" fontId="5" fillId="0" borderId="4" xfId="0" applyNumberFormat="1" applyFont="1" applyBorder="1" applyAlignment="1">
      <alignment horizontal="center" vertical="center"/>
    </xf>
    <xf numFmtId="164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4" fontId="5" fillId="4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horizontal="center" vertical="center"/>
    </xf>
    <xf numFmtId="165" fontId="6" fillId="4" borderId="4" xfId="0" applyNumberFormat="1" applyFont="1" applyFill="1" applyBorder="1" applyAlignment="1">
      <alignment horizontal="center" vertical="center"/>
    </xf>
    <xf numFmtId="4" fontId="6" fillId="4" borderId="4" xfId="0" applyNumberFormat="1" applyFont="1" applyFill="1" applyBorder="1" applyAlignment="1">
      <alignment horizontal="center" vertical="center"/>
    </xf>
    <xf numFmtId="10" fontId="5" fillId="4" borderId="4" xfId="0" applyNumberFormat="1" applyFont="1" applyFill="1" applyBorder="1" applyAlignment="1">
      <alignment horizontal="center" vertical="center"/>
    </xf>
    <xf numFmtId="20" fontId="5" fillId="4" borderId="4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4" fontId="6" fillId="5" borderId="4" xfId="0" applyNumberFormat="1" applyFont="1" applyFill="1" applyBorder="1" applyAlignment="1">
      <alignment horizontal="center"/>
    </xf>
    <xf numFmtId="3" fontId="6" fillId="5" borderId="4" xfId="0" applyNumberFormat="1" applyFont="1" applyFill="1" applyBorder="1" applyAlignment="1">
      <alignment horizontal="center"/>
    </xf>
    <xf numFmtId="165" fontId="6" fillId="5" borderId="4" xfId="0" applyNumberFormat="1" applyFont="1" applyFill="1" applyBorder="1" applyAlignment="1">
      <alignment horizontal="center"/>
    </xf>
    <xf numFmtId="10" fontId="6" fillId="5" borderId="4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4" fontId="6" fillId="0" borderId="2" xfId="0" applyNumberFormat="1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6" fillId="0" borderId="2" xfId="0" applyNumberFormat="1" applyFont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/>
    </xf>
    <xf numFmtId="4" fontId="0" fillId="4" borderId="2" xfId="0" applyNumberFormat="1" applyFill="1" applyBorder="1" applyAlignment="1">
      <alignment horizontal="center"/>
    </xf>
    <xf numFmtId="3" fontId="0" fillId="4" borderId="2" xfId="0" applyNumberFormat="1" applyFill="1" applyBorder="1" applyAlignment="1">
      <alignment horizontal="center"/>
    </xf>
    <xf numFmtId="165" fontId="0" fillId="4" borderId="2" xfId="0" applyNumberFormat="1" applyFill="1" applyBorder="1" applyAlignment="1">
      <alignment horizontal="center"/>
    </xf>
    <xf numFmtId="165" fontId="6" fillId="4" borderId="2" xfId="0" applyNumberFormat="1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 vertical="center"/>
    </xf>
    <xf numFmtId="3" fontId="6" fillId="5" borderId="3" xfId="0" applyNumberFormat="1" applyFont="1" applyFill="1" applyBorder="1" applyAlignment="1">
      <alignment horizontal="center" vertical="center"/>
    </xf>
    <xf numFmtId="4" fontId="6" fillId="5" borderId="3" xfId="0" applyNumberFormat="1" applyFont="1" applyFill="1" applyBorder="1" applyAlignment="1">
      <alignment horizontal="center" vertical="center"/>
    </xf>
    <xf numFmtId="165" fontId="6" fillId="5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D10" sqref="D10"/>
    </sheetView>
  </sheetViews>
  <sheetFormatPr defaultRowHeight="14.5" x14ac:dyDescent="0.35"/>
  <cols>
    <col min="1" max="1" width="23.81640625" customWidth="1"/>
    <col min="2" max="2" width="23" customWidth="1"/>
    <col min="3" max="3" width="63" customWidth="1"/>
    <col min="4" max="4" width="38" customWidth="1"/>
  </cols>
  <sheetData>
    <row r="1" spans="1:4" ht="22.5" x14ac:dyDescent="0.6">
      <c r="A1" s="1" t="s">
        <v>0</v>
      </c>
    </row>
    <row r="2" spans="1:4" x14ac:dyDescent="0.35">
      <c r="A2" s="2" t="s">
        <v>1</v>
      </c>
    </row>
    <row r="4" spans="1:4" ht="16.5" x14ac:dyDescent="0.45">
      <c r="A4" s="3" t="s">
        <v>2</v>
      </c>
    </row>
    <row r="5" spans="1:4" ht="24" customHeight="1" x14ac:dyDescent="0.35">
      <c r="A5" s="4" t="s">
        <v>3</v>
      </c>
      <c r="B5" s="4" t="s">
        <v>4</v>
      </c>
      <c r="C5" s="4" t="s">
        <v>5</v>
      </c>
      <c r="D5" s="4" t="s">
        <v>6</v>
      </c>
    </row>
    <row r="6" spans="1:4" ht="15" x14ac:dyDescent="0.4">
      <c r="A6" s="5">
        <v>1</v>
      </c>
      <c r="B6" s="6" t="s">
        <v>7</v>
      </c>
      <c r="C6" s="7" t="s">
        <v>8</v>
      </c>
      <c r="D6" s="8" t="s">
        <v>9</v>
      </c>
    </row>
    <row r="7" spans="1:4" ht="15" x14ac:dyDescent="0.4">
      <c r="A7" s="9">
        <v>2</v>
      </c>
      <c r="B7" s="10" t="s">
        <v>10</v>
      </c>
      <c r="C7" s="11" t="s">
        <v>11</v>
      </c>
      <c r="D7" s="12" t="s">
        <v>12</v>
      </c>
    </row>
    <row r="8" spans="1:4" ht="15" x14ac:dyDescent="0.4">
      <c r="A8" s="5">
        <v>3</v>
      </c>
      <c r="B8" s="6" t="s">
        <v>13</v>
      </c>
      <c r="C8" s="7" t="s">
        <v>14</v>
      </c>
      <c r="D8" s="8" t="s">
        <v>15</v>
      </c>
    </row>
    <row r="9" spans="1:4" ht="15" x14ac:dyDescent="0.4">
      <c r="A9" s="9">
        <v>4</v>
      </c>
      <c r="B9" s="10" t="s">
        <v>16</v>
      </c>
      <c r="C9" s="11" t="s">
        <v>17</v>
      </c>
      <c r="D9" s="12" t="s">
        <v>18</v>
      </c>
    </row>
    <row r="10" spans="1:4" ht="15" x14ac:dyDescent="0.4">
      <c r="A10" s="5">
        <v>5</v>
      </c>
      <c r="B10" s="6" t="s">
        <v>19</v>
      </c>
      <c r="C10" s="7" t="s">
        <v>20</v>
      </c>
      <c r="D10" s="8" t="s">
        <v>21</v>
      </c>
    </row>
    <row r="15" spans="1:4" ht="16.5" x14ac:dyDescent="0.45">
      <c r="A15" s="3" t="s">
        <v>22</v>
      </c>
    </row>
    <row r="17" spans="1:4" x14ac:dyDescent="0.35">
      <c r="A17" s="37" t="s">
        <v>23</v>
      </c>
      <c r="B17" s="38"/>
      <c r="C17" s="38"/>
      <c r="D17" s="38"/>
    </row>
    <row r="18" spans="1:4" x14ac:dyDescent="0.35">
      <c r="A18" s="37" t="s">
        <v>24</v>
      </c>
      <c r="B18" s="38"/>
      <c r="C18" s="38"/>
      <c r="D18" s="38"/>
    </row>
    <row r="19" spans="1:4" x14ac:dyDescent="0.35">
      <c r="A19" s="37" t="s">
        <v>25</v>
      </c>
      <c r="B19" s="38"/>
      <c r="C19" s="38"/>
      <c r="D19" s="38"/>
    </row>
    <row r="20" spans="1:4" x14ac:dyDescent="0.35">
      <c r="A20" s="37" t="s">
        <v>26</v>
      </c>
      <c r="B20" s="38"/>
      <c r="C20" s="38"/>
      <c r="D20" s="38"/>
    </row>
  </sheetData>
  <mergeCells count="4">
    <mergeCell ref="A17:D17"/>
    <mergeCell ref="A18:D18"/>
    <mergeCell ref="A20:D20"/>
    <mergeCell ref="A19:D19"/>
  </mergeCells>
  <hyperlinks>
    <hyperlink ref="D6" location="Executive Dashboard!A1" display="Go to Executive Dashboard Sheet &gt;&gt;" xr:uid="{00000000-0004-0000-0000-000000000000}"/>
    <hyperlink ref="D7" location="May 2026!A1" display="Go to May 2026 Sheet &gt;&gt;" xr:uid="{00000000-0004-0000-0000-000001000000}"/>
    <hyperlink ref="D8" location="June 2026!A1" display="Go to June 2026 Sheet &gt;&gt;" xr:uid="{00000000-0004-0000-0000-000002000000}"/>
    <hyperlink ref="D9" location="July 2026!A1" display="Go to July 2026 Sheet &gt;&gt;" xr:uid="{00000000-0004-0000-0000-000003000000}"/>
    <hyperlink ref="D10" location="August 2026!A1" display="Go to August 2026 Sheet &gt;&gt;" xr:uid="{00000000-0004-0000-0000-000004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"/>
  <sheetViews>
    <sheetView tabSelected="1" workbookViewId="0">
      <selection activeCell="A9" sqref="A9:N15"/>
    </sheetView>
  </sheetViews>
  <sheetFormatPr defaultRowHeight="14.5" x14ac:dyDescent="0.35"/>
  <cols>
    <col min="1" max="1" width="15" customWidth="1"/>
    <col min="2" max="2" width="17" customWidth="1"/>
    <col min="3" max="4" width="23" customWidth="1"/>
    <col min="5" max="6" width="22" customWidth="1"/>
    <col min="7" max="10" width="23" customWidth="1"/>
    <col min="11" max="14" width="39" customWidth="1"/>
    <col min="15" max="15" width="14" customWidth="1"/>
  </cols>
  <sheetData>
    <row r="1" spans="1:15" ht="22.5" x14ac:dyDescent="0.6">
      <c r="A1" s="1" t="s">
        <v>27</v>
      </c>
    </row>
    <row r="2" spans="1:15" x14ac:dyDescent="0.35">
      <c r="A2" s="2" t="s">
        <v>28</v>
      </c>
    </row>
    <row r="4" spans="1:15" x14ac:dyDescent="0.35">
      <c r="A4" s="49" t="s">
        <v>29</v>
      </c>
      <c r="B4" s="40"/>
      <c r="C4" s="40"/>
      <c r="D4" s="43" t="s">
        <v>30</v>
      </c>
      <c r="E4" s="40"/>
      <c r="F4" s="40"/>
      <c r="G4" s="47" t="s">
        <v>31</v>
      </c>
      <c r="H4" s="40"/>
      <c r="I4" s="40"/>
      <c r="J4" s="48" t="s">
        <v>32</v>
      </c>
      <c r="K4" s="40"/>
      <c r="L4" s="40"/>
      <c r="M4" s="44" t="s">
        <v>33</v>
      </c>
      <c r="N4" s="40"/>
      <c r="O4" s="40"/>
    </row>
    <row r="5" spans="1:15" x14ac:dyDescent="0.35">
      <c r="A5" s="41">
        <f>C15</f>
        <v>4608</v>
      </c>
      <c r="B5" s="40"/>
      <c r="C5" s="40"/>
      <c r="D5" s="39">
        <f>D15</f>
        <v>3429.8500000000008</v>
      </c>
      <c r="E5" s="40"/>
      <c r="F5" s="40"/>
      <c r="G5" s="42">
        <f>I15</f>
        <v>288.01666666666682</v>
      </c>
      <c r="H5" s="40"/>
      <c r="I5" s="40"/>
      <c r="J5" s="46">
        <f>K15</f>
        <v>170485.8</v>
      </c>
      <c r="K5" s="40"/>
      <c r="L5" s="40"/>
      <c r="M5" s="45">
        <f>N15</f>
        <v>16321.365186079733</v>
      </c>
      <c r="N5" s="40"/>
      <c r="O5" s="40"/>
    </row>
    <row r="6" spans="1:15" x14ac:dyDescent="0.35">
      <c r="A6" s="40"/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</row>
    <row r="9" spans="1:15" ht="16.5" x14ac:dyDescent="0.45">
      <c r="A9" s="81" t="s">
        <v>34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</row>
    <row r="10" spans="1:15" ht="26" customHeight="1" x14ac:dyDescent="0.35">
      <c r="A10" s="4" t="s">
        <v>35</v>
      </c>
      <c r="B10" s="4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4" t="s">
        <v>41</v>
      </c>
      <c r="H10" s="4" t="s">
        <v>42</v>
      </c>
      <c r="I10" s="4" t="s">
        <v>43</v>
      </c>
      <c r="J10" s="4" t="s">
        <v>44</v>
      </c>
      <c r="K10" s="4" t="s">
        <v>45</v>
      </c>
      <c r="L10" s="4" t="s">
        <v>46</v>
      </c>
      <c r="M10" s="4" t="s">
        <v>47</v>
      </c>
      <c r="N10" s="4" t="s">
        <v>48</v>
      </c>
    </row>
    <row r="11" spans="1:15" ht="15" x14ac:dyDescent="0.4">
      <c r="A11" s="83" t="s">
        <v>10</v>
      </c>
      <c r="B11" s="9">
        <v>31</v>
      </c>
      <c r="C11" s="84">
        <f>'May 2026'!AQ38</f>
        <v>1128</v>
      </c>
      <c r="D11" s="84">
        <f>'May 2026'!AR38</f>
        <v>1056.1000000000001</v>
      </c>
      <c r="E11" s="85">
        <f>'May 2026'!G38</f>
        <v>18.500000000000014</v>
      </c>
      <c r="F11" s="85">
        <f>'May 2026'!Q38</f>
        <v>13.33333333333335</v>
      </c>
      <c r="G11" s="85">
        <f>'May 2026'!AA38</f>
        <v>27.050000000000015</v>
      </c>
      <c r="H11" s="85">
        <f>'May 2026'!AK38</f>
        <v>28.716666666666683</v>
      </c>
      <c r="I11" s="84">
        <f>'May 2026'!AS38</f>
        <v>87.600000000000051</v>
      </c>
      <c r="J11" s="86">
        <f>'May 2026'!AT38</f>
        <v>6226</v>
      </c>
      <c r="K11" s="87">
        <f>'May 2026'!AU38</f>
        <v>46383.7</v>
      </c>
      <c r="L11" s="88">
        <f>'May 2026'!AV38</f>
        <v>46383.7</v>
      </c>
      <c r="M11" s="87">
        <f>'May 2026'!AW38</f>
        <v>50379.606612311683</v>
      </c>
      <c r="N11" s="88">
        <f>'May 2026'!AX38</f>
        <v>3995.9066123116877</v>
      </c>
    </row>
    <row r="12" spans="1:15" ht="15" x14ac:dyDescent="0.4">
      <c r="A12" s="89" t="s">
        <v>13</v>
      </c>
      <c r="B12" s="5">
        <v>30</v>
      </c>
      <c r="C12" s="90">
        <f>'June 2026'!AQ37</f>
        <v>1152</v>
      </c>
      <c r="D12" s="90">
        <f>'June 2026'!AR37</f>
        <v>1129.6166666666668</v>
      </c>
      <c r="E12" s="91">
        <f>'June 2026'!G37</f>
        <v>19.750000000000021</v>
      </c>
      <c r="F12" s="91">
        <f>'June 2026'!Q37</f>
        <v>2.8500000000000085</v>
      </c>
      <c r="G12" s="91">
        <f>'June 2026'!AA37</f>
        <v>32.983333333333348</v>
      </c>
      <c r="H12" s="91">
        <f>'June 2026'!AK37</f>
        <v>37.183333333333344</v>
      </c>
      <c r="I12" s="90">
        <f>'June 2026'!AS37</f>
        <v>92.766666666666737</v>
      </c>
      <c r="J12" s="92">
        <f>'June 2026'!AT37</f>
        <v>7613</v>
      </c>
      <c r="K12" s="93">
        <f>'June 2026'!AU37</f>
        <v>56716.85</v>
      </c>
      <c r="L12" s="94">
        <f>'June 2026'!AV37</f>
        <v>56716.850000000006</v>
      </c>
      <c r="M12" s="93">
        <f>'June 2026'!AW37</f>
        <v>61556.610365215638</v>
      </c>
      <c r="N12" s="94">
        <f>'June 2026'!AX37</f>
        <v>4839.7603652156349</v>
      </c>
    </row>
    <row r="13" spans="1:15" ht="15" x14ac:dyDescent="0.4">
      <c r="A13" s="83" t="s">
        <v>16</v>
      </c>
      <c r="B13" s="9">
        <v>31</v>
      </c>
      <c r="C13" s="84">
        <f>'July 2026'!AQ38</f>
        <v>1200</v>
      </c>
      <c r="D13" s="84">
        <f>'July 2026'!AR38</f>
        <v>1171.3333333333335</v>
      </c>
      <c r="E13" s="85">
        <f>'July 2026'!G38</f>
        <v>24.26666666666668</v>
      </c>
      <c r="F13" s="85">
        <f>'July 2026'!Q38</f>
        <v>14.000000000000014</v>
      </c>
      <c r="G13" s="85">
        <f>'July 2026'!AA38</f>
        <v>26.283333333333346</v>
      </c>
      <c r="H13" s="85">
        <f>'July 2026'!AK38</f>
        <v>39.700000000000017</v>
      </c>
      <c r="I13" s="84">
        <f>'July 2026'!AS38</f>
        <v>104.25000000000007</v>
      </c>
      <c r="J13" s="86">
        <f>'July 2026'!AT38</f>
        <v>8303</v>
      </c>
      <c r="K13" s="87">
        <f>'July 2026'!AU38</f>
        <v>61857.350000000006</v>
      </c>
      <c r="L13" s="88">
        <f>'July 2026'!AV38</f>
        <v>61857.350000000006</v>
      </c>
      <c r="M13" s="87">
        <f>'July 2026'!AW38</f>
        <v>69139.74029629273</v>
      </c>
      <c r="N13" s="88">
        <f>'July 2026'!AX38</f>
        <v>7282.3902962927223</v>
      </c>
    </row>
    <row r="14" spans="1:15" ht="15" x14ac:dyDescent="0.4">
      <c r="A14" s="89" t="s">
        <v>19</v>
      </c>
      <c r="B14" s="5">
        <v>31</v>
      </c>
      <c r="C14" s="90">
        <f>'August 2026'!AQ38</f>
        <v>1128</v>
      </c>
      <c r="D14" s="90">
        <f>'August 2026'!AR38</f>
        <v>72.800000000000011</v>
      </c>
      <c r="E14" s="91">
        <f>'August 2026'!G38</f>
        <v>0</v>
      </c>
      <c r="F14" s="91">
        <f>'August 2026'!Q38</f>
        <v>0</v>
      </c>
      <c r="G14" s="91">
        <f>'August 2026'!AA38</f>
        <v>1.4500000000000002</v>
      </c>
      <c r="H14" s="91">
        <f>'August 2026'!AK38</f>
        <v>1.9500000000000011</v>
      </c>
      <c r="I14" s="90">
        <f>'August 2026'!AS38</f>
        <v>3.4000000000000012</v>
      </c>
      <c r="J14" s="92">
        <f>'August 2026'!AT38</f>
        <v>742</v>
      </c>
      <c r="K14" s="93">
        <f>'August 2026'!AU38</f>
        <v>5527.9000000000005</v>
      </c>
      <c r="L14" s="94">
        <f>'August 2026'!AV38</f>
        <v>5527.9000000000005</v>
      </c>
      <c r="M14" s="93">
        <f>'August 2026'!AW38</f>
        <v>5731.2079122596897</v>
      </c>
      <c r="N14" s="94">
        <f>'August 2026'!AX38</f>
        <v>203.30791225968864</v>
      </c>
    </row>
    <row r="15" spans="1:15" x14ac:dyDescent="0.35">
      <c r="A15" s="95" t="s">
        <v>49</v>
      </c>
      <c r="B15" s="96">
        <f t="shared" ref="B15:N15" si="0">SUM(B11:B14)</f>
        <v>123</v>
      </c>
      <c r="C15" s="97">
        <f t="shared" si="0"/>
        <v>4608</v>
      </c>
      <c r="D15" s="97">
        <f t="shared" si="0"/>
        <v>3429.8500000000008</v>
      </c>
      <c r="E15" s="97">
        <f t="shared" si="0"/>
        <v>62.516666666666715</v>
      </c>
      <c r="F15" s="97">
        <f t="shared" si="0"/>
        <v>30.183333333333373</v>
      </c>
      <c r="G15" s="97">
        <f t="shared" si="0"/>
        <v>87.766666666666708</v>
      </c>
      <c r="H15" s="97">
        <f t="shared" si="0"/>
        <v>107.55000000000005</v>
      </c>
      <c r="I15" s="97">
        <f t="shared" si="0"/>
        <v>288.01666666666682</v>
      </c>
      <c r="J15" s="96">
        <f t="shared" si="0"/>
        <v>22884</v>
      </c>
      <c r="K15" s="98">
        <f t="shared" si="0"/>
        <v>170485.8</v>
      </c>
      <c r="L15" s="98">
        <f t="shared" si="0"/>
        <v>170485.80000000002</v>
      </c>
      <c r="M15" s="98">
        <f t="shared" si="0"/>
        <v>186807.16518607974</v>
      </c>
      <c r="N15" s="98">
        <f t="shared" si="0"/>
        <v>16321.365186079733</v>
      </c>
    </row>
  </sheetData>
  <mergeCells count="10">
    <mergeCell ref="D5:F6"/>
    <mergeCell ref="A5:C6"/>
    <mergeCell ref="G5:I6"/>
    <mergeCell ref="D4:F4"/>
    <mergeCell ref="M4:O4"/>
    <mergeCell ref="M5:O6"/>
    <mergeCell ref="J5:L6"/>
    <mergeCell ref="G4:I4"/>
    <mergeCell ref="J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38"/>
  <sheetViews>
    <sheetView workbookViewId="0">
      <selection activeCell="H8" sqref="H8"/>
    </sheetView>
  </sheetViews>
  <sheetFormatPr defaultRowHeight="14.5" x14ac:dyDescent="0.35"/>
  <cols>
    <col min="1" max="1" width="9.36328125" bestFit="1" customWidth="1"/>
    <col min="2" max="2" width="4.1796875" bestFit="1" customWidth="1"/>
    <col min="3" max="3" width="7.26953125" bestFit="1" customWidth="1"/>
    <col min="4" max="4" width="7.7265625" bestFit="1" customWidth="1"/>
    <col min="5" max="5" width="8.08984375" bestFit="1" customWidth="1"/>
    <col min="6" max="6" width="11.6328125" bestFit="1" customWidth="1"/>
    <col min="7" max="7" width="8.08984375" bestFit="1" customWidth="1"/>
    <col min="8" max="8" width="15.90625" bestFit="1" customWidth="1"/>
    <col min="9" max="9" width="12.26953125" bestFit="1" customWidth="1"/>
    <col min="10" max="10" width="10.6328125" bestFit="1" customWidth="1"/>
    <col min="11" max="11" width="14.08984375" bestFit="1" customWidth="1"/>
    <col min="12" max="12" width="12" bestFit="1" customWidth="1"/>
    <col min="13" max="13" width="7.26953125" bestFit="1" customWidth="1"/>
    <col min="14" max="14" width="7.7265625" bestFit="1" customWidth="1"/>
    <col min="15" max="15" width="8.08984375" bestFit="1" customWidth="1"/>
    <col min="16" max="16" width="11.6328125" bestFit="1" customWidth="1"/>
    <col min="17" max="17" width="8.08984375" bestFit="1" customWidth="1"/>
    <col min="18" max="18" width="15.90625" bestFit="1" customWidth="1"/>
    <col min="19" max="19" width="12.26953125" bestFit="1" customWidth="1"/>
    <col min="20" max="20" width="10.6328125" bestFit="1" customWidth="1"/>
    <col min="21" max="21" width="14.08984375" bestFit="1" customWidth="1"/>
    <col min="22" max="22" width="12" bestFit="1" customWidth="1"/>
    <col min="23" max="23" width="7.26953125" bestFit="1" customWidth="1"/>
    <col min="24" max="24" width="7.7265625" bestFit="1" customWidth="1"/>
    <col min="25" max="25" width="8.08984375" bestFit="1" customWidth="1"/>
    <col min="26" max="26" width="11.6328125" bestFit="1" customWidth="1"/>
    <col min="27" max="27" width="8.08984375" bestFit="1" customWidth="1"/>
    <col min="28" max="28" width="15.90625" bestFit="1" customWidth="1"/>
    <col min="29" max="29" width="12.26953125" bestFit="1" customWidth="1"/>
    <col min="30" max="30" width="10.6328125" bestFit="1" customWidth="1"/>
    <col min="31" max="31" width="14.08984375" bestFit="1" customWidth="1"/>
    <col min="32" max="32" width="12" bestFit="1" customWidth="1"/>
    <col min="33" max="33" width="7.26953125" bestFit="1" customWidth="1"/>
    <col min="34" max="34" width="7.7265625" bestFit="1" customWidth="1"/>
    <col min="35" max="35" width="8.08984375" bestFit="1" customWidth="1"/>
    <col min="36" max="36" width="11.6328125" bestFit="1" customWidth="1"/>
    <col min="37" max="37" width="8.08984375" bestFit="1" customWidth="1"/>
    <col min="38" max="38" width="15.90625" bestFit="1" customWidth="1"/>
    <col min="39" max="39" width="12.26953125" bestFit="1" customWidth="1"/>
    <col min="40" max="40" width="10.6328125" bestFit="1" customWidth="1"/>
    <col min="41" max="41" width="14.08984375" bestFit="1" customWidth="1"/>
    <col min="42" max="42" width="12" bestFit="1" customWidth="1"/>
    <col min="43" max="43" width="11" bestFit="1" customWidth="1"/>
    <col min="44" max="44" width="14.6328125" bestFit="1" customWidth="1"/>
    <col min="45" max="45" width="11" bestFit="1" customWidth="1"/>
    <col min="46" max="46" width="18.90625" bestFit="1" customWidth="1"/>
    <col min="47" max="47" width="11.36328125" bestFit="1" customWidth="1"/>
    <col min="48" max="48" width="15.26953125" bestFit="1" customWidth="1"/>
    <col min="49" max="49" width="17.08984375" bestFit="1" customWidth="1"/>
    <col min="50" max="50" width="16.26953125" bestFit="1" customWidth="1"/>
    <col min="51" max="51" width="8.1796875" bestFit="1" customWidth="1"/>
  </cols>
  <sheetData>
    <row r="1" spans="1:51" ht="22.5" x14ac:dyDescent="0.6">
      <c r="A1" s="1" t="s">
        <v>50</v>
      </c>
    </row>
    <row r="2" spans="1:51" x14ac:dyDescent="0.35">
      <c r="A2" s="2" t="s">
        <v>51</v>
      </c>
    </row>
    <row r="3" spans="1:51" x14ac:dyDescent="0.35">
      <c r="A3" s="2" t="s">
        <v>52</v>
      </c>
    </row>
    <row r="5" spans="1:51" x14ac:dyDescent="0.35">
      <c r="A5" s="53" t="s">
        <v>53</v>
      </c>
      <c r="B5" s="54"/>
      <c r="C5" s="53" t="s">
        <v>54</v>
      </c>
      <c r="D5" s="54"/>
      <c r="E5" s="54"/>
      <c r="F5" s="54"/>
      <c r="G5" s="54"/>
      <c r="H5" s="54"/>
      <c r="I5" s="54"/>
      <c r="J5" s="54"/>
      <c r="K5" s="54"/>
      <c r="L5" s="54"/>
      <c r="M5" s="53" t="s">
        <v>55</v>
      </c>
      <c r="N5" s="54"/>
      <c r="O5" s="54"/>
      <c r="P5" s="54"/>
      <c r="Q5" s="54"/>
      <c r="R5" s="54"/>
      <c r="S5" s="54"/>
      <c r="T5" s="54"/>
      <c r="U5" s="54"/>
      <c r="V5" s="54"/>
      <c r="W5" s="53" t="s">
        <v>56</v>
      </c>
      <c r="X5" s="54"/>
      <c r="Y5" s="54"/>
      <c r="Z5" s="54"/>
      <c r="AA5" s="54"/>
      <c r="AB5" s="54"/>
      <c r="AC5" s="54"/>
      <c r="AD5" s="54"/>
      <c r="AE5" s="54"/>
      <c r="AF5" s="54"/>
      <c r="AG5" s="53" t="s">
        <v>57</v>
      </c>
      <c r="AH5" s="54"/>
      <c r="AI5" s="54"/>
      <c r="AJ5" s="54"/>
      <c r="AK5" s="54"/>
      <c r="AL5" s="54"/>
      <c r="AM5" s="54"/>
      <c r="AN5" s="54"/>
      <c r="AO5" s="54"/>
      <c r="AP5" s="54"/>
      <c r="AQ5" s="53" t="s">
        <v>58</v>
      </c>
      <c r="AR5" s="54"/>
      <c r="AS5" s="54"/>
      <c r="AT5" s="54"/>
      <c r="AU5" s="54"/>
      <c r="AV5" s="54"/>
      <c r="AW5" s="54"/>
      <c r="AX5" s="54"/>
      <c r="AY5" s="54"/>
    </row>
    <row r="6" spans="1:51" x14ac:dyDescent="0.35">
      <c r="A6" s="55" t="s">
        <v>59</v>
      </c>
      <c r="B6" s="55" t="s">
        <v>60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66</v>
      </c>
      <c r="I6" s="55" t="s">
        <v>67</v>
      </c>
      <c r="J6" s="55" t="s">
        <v>68</v>
      </c>
      <c r="K6" s="55" t="s">
        <v>47</v>
      </c>
      <c r="L6" s="55" t="s">
        <v>69</v>
      </c>
      <c r="M6" s="55" t="s">
        <v>61</v>
      </c>
      <c r="N6" s="55" t="s">
        <v>62</v>
      </c>
      <c r="O6" s="55" t="s">
        <v>63</v>
      </c>
      <c r="P6" s="55" t="s">
        <v>64</v>
      </c>
      <c r="Q6" s="55" t="s">
        <v>65</v>
      </c>
      <c r="R6" s="55" t="s">
        <v>66</v>
      </c>
      <c r="S6" s="55" t="s">
        <v>67</v>
      </c>
      <c r="T6" s="55" t="s">
        <v>68</v>
      </c>
      <c r="U6" s="55" t="s">
        <v>47</v>
      </c>
      <c r="V6" s="55" t="s">
        <v>69</v>
      </c>
      <c r="W6" s="55" t="s">
        <v>61</v>
      </c>
      <c r="X6" s="55" t="s">
        <v>62</v>
      </c>
      <c r="Y6" s="55" t="s">
        <v>63</v>
      </c>
      <c r="Z6" s="55" t="s">
        <v>64</v>
      </c>
      <c r="AA6" s="55" t="s">
        <v>65</v>
      </c>
      <c r="AB6" s="55" t="s">
        <v>66</v>
      </c>
      <c r="AC6" s="55" t="s">
        <v>67</v>
      </c>
      <c r="AD6" s="55" t="s">
        <v>68</v>
      </c>
      <c r="AE6" s="55" t="s">
        <v>47</v>
      </c>
      <c r="AF6" s="55" t="s">
        <v>69</v>
      </c>
      <c r="AG6" s="55" t="s">
        <v>61</v>
      </c>
      <c r="AH6" s="55" t="s">
        <v>62</v>
      </c>
      <c r="AI6" s="55" t="s">
        <v>63</v>
      </c>
      <c r="AJ6" s="55" t="s">
        <v>64</v>
      </c>
      <c r="AK6" s="55" t="s">
        <v>65</v>
      </c>
      <c r="AL6" s="55" t="s">
        <v>66</v>
      </c>
      <c r="AM6" s="55" t="s">
        <v>67</v>
      </c>
      <c r="AN6" s="55" t="s">
        <v>68</v>
      </c>
      <c r="AO6" s="55" t="s">
        <v>47</v>
      </c>
      <c r="AP6" s="55" t="s">
        <v>69</v>
      </c>
      <c r="AQ6" s="55" t="s">
        <v>70</v>
      </c>
      <c r="AR6" s="55" t="s">
        <v>38</v>
      </c>
      <c r="AS6" s="55" t="s">
        <v>71</v>
      </c>
      <c r="AT6" s="55" t="s">
        <v>72</v>
      </c>
      <c r="AU6" s="55" t="s">
        <v>45</v>
      </c>
      <c r="AV6" s="55" t="s">
        <v>46</v>
      </c>
      <c r="AW6" s="55" t="s">
        <v>73</v>
      </c>
      <c r="AX6" s="55" t="s">
        <v>48</v>
      </c>
      <c r="AY6" s="55" t="s">
        <v>74</v>
      </c>
    </row>
    <row r="7" spans="1:51" x14ac:dyDescent="0.35">
      <c r="A7" s="56">
        <v>46143</v>
      </c>
      <c r="B7" s="57" t="s">
        <v>75</v>
      </c>
      <c r="C7" s="58">
        <v>0.28472222222222221</v>
      </c>
      <c r="D7" s="58">
        <v>0.80208333333333337</v>
      </c>
      <c r="E7" s="59">
        <f t="shared" ref="E7:E37" si="0">IF(B7="Sun", 0, IF(B7="Sat", 6, 12))</f>
        <v>12</v>
      </c>
      <c r="F7" s="59">
        <f t="shared" ref="F7:F37" si="1">IF(OR(D7="OFF", ISBLANK(D7)), 0, (D7 - C7)*24)</f>
        <v>12.416666666666668</v>
      </c>
      <c r="G7" s="59">
        <f t="shared" ref="G7:G37" si="2">IF(OR(B7="Sun", D7="OFF", ISBLANK(D7)), 0, MAX(0, (IF(B7="Sat", 14/24, 20/24) - D7)*24))</f>
        <v>0.75</v>
      </c>
      <c r="H7" s="60">
        <v>110</v>
      </c>
      <c r="I7" s="61">
        <f t="shared" ref="I7:I37" si="3">H7*7.45</f>
        <v>819.5</v>
      </c>
      <c r="J7" s="61">
        <f t="shared" ref="J7:J37" si="4">IF(F7&gt;0, I7/F7, 0)</f>
        <v>66</v>
      </c>
      <c r="K7" s="61">
        <f t="shared" ref="K7:K37" si="5">I7 + (G7*J7)</f>
        <v>869</v>
      </c>
      <c r="L7" s="62">
        <f t="shared" ref="L7:L37" si="6">G7*J7</f>
        <v>49.5</v>
      </c>
      <c r="M7" s="58">
        <v>0.28472222222222221</v>
      </c>
      <c r="N7" s="58">
        <v>0.80208333333333337</v>
      </c>
      <c r="O7" s="59">
        <f t="shared" ref="O7:O37" si="7">IF(B7="Sun", 0, IF(B7="Sat", 6, 12))</f>
        <v>12</v>
      </c>
      <c r="P7" s="59">
        <f t="shared" ref="P7:P37" si="8">IF(OR(N7="OFF", ISBLANK(N7)), 0, (N7 - M7)*24)</f>
        <v>12.416666666666668</v>
      </c>
      <c r="Q7" s="59">
        <f t="shared" ref="Q7:Q37" si="9">IF(OR(B7="Sun", N7="OFF", ISBLANK(N7)), 0, MAX(0, (IF(B7="Sat", 14/24, 20/24) - N7)*24))</f>
        <v>0.75</v>
      </c>
      <c r="R7" s="60">
        <v>134</v>
      </c>
      <c r="S7" s="61">
        <f t="shared" ref="S7:S37" si="10">R7*7.45</f>
        <v>998.30000000000007</v>
      </c>
      <c r="T7" s="61">
        <f t="shared" ref="T7:T37" si="11">IF(P7&gt;0, S7/P7, 0)</f>
        <v>80.399999999999991</v>
      </c>
      <c r="U7" s="61">
        <f t="shared" ref="U7:U37" si="12">S7 + (Q7*T7)</f>
        <v>1058.6000000000001</v>
      </c>
      <c r="V7" s="62">
        <f t="shared" ref="V7:V37" si="13">Q7*T7</f>
        <v>60.3</v>
      </c>
      <c r="W7" s="58">
        <v>0.28472222222222221</v>
      </c>
      <c r="X7" s="58">
        <v>0.74652777777777779</v>
      </c>
      <c r="Y7" s="59">
        <f t="shared" ref="Y7:Y37" si="14">IF(B7="Sun", 0, IF(B7="Sat", 6, 12))</f>
        <v>12</v>
      </c>
      <c r="Z7" s="59">
        <f t="shared" ref="Z7:Z37" si="15">IF(OR(X7="OFF", ISBLANK(X7)), 0, (X7 - W7)*24)</f>
        <v>11.083333333333334</v>
      </c>
      <c r="AA7" s="59">
        <f t="shared" ref="AA7:AA37" si="16">IF(OR(B7="Sun", X7="OFF", ISBLANK(X7)), 0, MAX(0, (IF(B7="Sat", 14/24, 20/24) - X7)*24))</f>
        <v>2.0833333333333339</v>
      </c>
      <c r="AB7" s="60">
        <v>89</v>
      </c>
      <c r="AC7" s="61">
        <f t="shared" ref="AC7:AC37" si="17">AB7*7.45</f>
        <v>663.05000000000007</v>
      </c>
      <c r="AD7" s="61">
        <f t="shared" ref="AD7:AD37" si="18">IF(Z7&gt;0, AC7/Z7, 0)</f>
        <v>59.824060150375942</v>
      </c>
      <c r="AE7" s="61">
        <f t="shared" ref="AE7:AE37" si="19">AC7 + (AA7*AD7)</f>
        <v>787.6834586466166</v>
      </c>
      <c r="AF7" s="62">
        <f t="shared" ref="AF7:AF37" si="20">AA7*AD7</f>
        <v>124.63345864661657</v>
      </c>
      <c r="AG7" s="58">
        <v>0.28472222222222221</v>
      </c>
      <c r="AH7" s="58">
        <v>0.80208333333333337</v>
      </c>
      <c r="AI7" s="59">
        <f t="shared" ref="AI7:AI37" si="21">IF(B7="Sun", 0, IF(B7="Sat", 6, 12))</f>
        <v>12</v>
      </c>
      <c r="AJ7" s="59">
        <f t="shared" ref="AJ7:AJ37" si="22">IF(OR(AH7="OFF", ISBLANK(AH7)), 0, (AH7 - AG7)*24)</f>
        <v>12.416666666666668</v>
      </c>
      <c r="AK7" s="59">
        <f t="shared" ref="AK7:AK37" si="23">IF(OR(B7="Sun", AH7="OFF", ISBLANK(AH7)), 0, MAX(0, (IF(B7="Sat", 14/24, 20/24) - AH7)*24))</f>
        <v>0.75</v>
      </c>
      <c r="AL7" s="60">
        <v>68</v>
      </c>
      <c r="AM7" s="61">
        <f t="shared" ref="AM7:AM37" si="24">AL7*7.45</f>
        <v>506.6</v>
      </c>
      <c r="AN7" s="61">
        <f t="shared" ref="AN7:AN37" si="25">IF(AJ7&gt;0, AM7/AJ7, 0)</f>
        <v>40.799999999999997</v>
      </c>
      <c r="AO7" s="61">
        <f t="shared" ref="AO7:AO37" si="26">AM7 + (AK7*AN7)</f>
        <v>537.20000000000005</v>
      </c>
      <c r="AP7" s="62">
        <f t="shared" ref="AP7:AP37" si="27">AK7*AN7</f>
        <v>30.599999999999998</v>
      </c>
      <c r="AQ7" s="59">
        <f t="shared" ref="AQ7:AQ37" si="28">E7+O7+Y7+AI7</f>
        <v>48</v>
      </c>
      <c r="AR7" s="59">
        <f t="shared" ref="AR7:AR37" si="29">F7+P7+Z7+AJ7</f>
        <v>48.333333333333343</v>
      </c>
      <c r="AS7" s="63">
        <f t="shared" ref="AS7:AS37" si="30">G7+Q7+AA7+AK7</f>
        <v>4.3333333333333339</v>
      </c>
      <c r="AT7" s="60">
        <f t="shared" ref="AT7:AT37" si="31">H7+R7+AB7+AL7</f>
        <v>401</v>
      </c>
      <c r="AU7" s="61">
        <f t="shared" ref="AU7:AU37" si="32">AT7*7.45</f>
        <v>2987.4500000000003</v>
      </c>
      <c r="AV7" s="62">
        <f t="shared" ref="AV7:AV37" si="33">I7+S7+AC7+AM7</f>
        <v>2987.4500000000003</v>
      </c>
      <c r="AW7" s="61">
        <f t="shared" ref="AW7:AW37" si="34">K7+U7+AE7+AO7</f>
        <v>3252.4834586466168</v>
      </c>
      <c r="AX7" s="62">
        <f t="shared" ref="AX7:AX37" si="35">L7+V7+AF7+AP7</f>
        <v>265.03345864661657</v>
      </c>
      <c r="AY7" s="64">
        <f t="shared" ref="AY7:AY37" si="36">IF(AW7&gt;0, AX7/AW7, 0)</f>
        <v>8.1486489329264417E-2</v>
      </c>
    </row>
    <row r="8" spans="1:51" x14ac:dyDescent="0.35">
      <c r="A8" s="65">
        <v>46144</v>
      </c>
      <c r="B8" s="66" t="s">
        <v>76</v>
      </c>
      <c r="C8" s="73">
        <v>0.27083333333333331</v>
      </c>
      <c r="D8" s="73">
        <v>0.83333333333333337</v>
      </c>
      <c r="E8" s="67">
        <f t="shared" si="0"/>
        <v>6</v>
      </c>
      <c r="F8" s="67">
        <f t="shared" si="1"/>
        <v>13.5</v>
      </c>
      <c r="G8" s="67">
        <f t="shared" si="2"/>
        <v>0</v>
      </c>
      <c r="H8" s="68">
        <v>64</v>
      </c>
      <c r="I8" s="69">
        <f t="shared" si="3"/>
        <v>476.8</v>
      </c>
      <c r="J8" s="69">
        <f t="shared" si="4"/>
        <v>35.318518518518516</v>
      </c>
      <c r="K8" s="69">
        <f t="shared" si="5"/>
        <v>476.8</v>
      </c>
      <c r="L8" s="70">
        <f t="shared" si="6"/>
        <v>0</v>
      </c>
      <c r="M8" s="73">
        <v>0.27083333333333331</v>
      </c>
      <c r="N8" s="73">
        <v>0.83333333333333337</v>
      </c>
      <c r="O8" s="67">
        <f t="shared" si="7"/>
        <v>6</v>
      </c>
      <c r="P8" s="67">
        <f t="shared" si="8"/>
        <v>13.5</v>
      </c>
      <c r="Q8" s="67">
        <f t="shared" si="9"/>
        <v>0</v>
      </c>
      <c r="R8" s="68">
        <v>77</v>
      </c>
      <c r="S8" s="69">
        <f t="shared" si="10"/>
        <v>573.65</v>
      </c>
      <c r="T8" s="69">
        <f t="shared" si="11"/>
        <v>42.492592592592594</v>
      </c>
      <c r="U8" s="69">
        <f t="shared" si="12"/>
        <v>573.65</v>
      </c>
      <c r="V8" s="70">
        <f t="shared" si="13"/>
        <v>0</v>
      </c>
      <c r="W8" s="73">
        <v>0.27083333333333331</v>
      </c>
      <c r="X8" s="73">
        <v>0.72916666666666663</v>
      </c>
      <c r="Y8" s="67">
        <f t="shared" si="14"/>
        <v>6</v>
      </c>
      <c r="Z8" s="67">
        <f t="shared" si="15"/>
        <v>11</v>
      </c>
      <c r="AA8" s="67">
        <f t="shared" si="16"/>
        <v>0</v>
      </c>
      <c r="AB8" s="68">
        <v>62</v>
      </c>
      <c r="AC8" s="69">
        <f t="shared" si="17"/>
        <v>461.90000000000003</v>
      </c>
      <c r="AD8" s="69">
        <f t="shared" si="18"/>
        <v>41.990909090909092</v>
      </c>
      <c r="AE8" s="69">
        <f t="shared" si="19"/>
        <v>461.90000000000003</v>
      </c>
      <c r="AF8" s="70">
        <f t="shared" si="20"/>
        <v>0</v>
      </c>
      <c r="AG8" s="73">
        <v>0.27083333333333331</v>
      </c>
      <c r="AH8" s="73">
        <v>0.83333333333333337</v>
      </c>
      <c r="AI8" s="67">
        <f t="shared" si="21"/>
        <v>6</v>
      </c>
      <c r="AJ8" s="67">
        <f t="shared" si="22"/>
        <v>13.5</v>
      </c>
      <c r="AK8" s="67">
        <f t="shared" si="23"/>
        <v>0</v>
      </c>
      <c r="AL8" s="68">
        <v>46</v>
      </c>
      <c r="AM8" s="69">
        <f t="shared" si="24"/>
        <v>342.7</v>
      </c>
      <c r="AN8" s="69">
        <f t="shared" si="25"/>
        <v>25.385185185185183</v>
      </c>
      <c r="AO8" s="69">
        <f t="shared" si="26"/>
        <v>342.7</v>
      </c>
      <c r="AP8" s="70">
        <f t="shared" si="27"/>
        <v>0</v>
      </c>
      <c r="AQ8" s="67">
        <f t="shared" si="28"/>
        <v>24</v>
      </c>
      <c r="AR8" s="67">
        <f t="shared" si="29"/>
        <v>51.5</v>
      </c>
      <c r="AS8" s="71">
        <f t="shared" si="30"/>
        <v>0</v>
      </c>
      <c r="AT8" s="68">
        <f t="shared" si="31"/>
        <v>249</v>
      </c>
      <c r="AU8" s="69">
        <f t="shared" si="32"/>
        <v>1855.05</v>
      </c>
      <c r="AV8" s="70">
        <f t="shared" si="33"/>
        <v>1855.0500000000002</v>
      </c>
      <c r="AW8" s="69">
        <f t="shared" si="34"/>
        <v>1855.0500000000002</v>
      </c>
      <c r="AX8" s="70">
        <f t="shared" si="35"/>
        <v>0</v>
      </c>
      <c r="AY8" s="72">
        <f t="shared" si="36"/>
        <v>0</v>
      </c>
    </row>
    <row r="9" spans="1:51" x14ac:dyDescent="0.35">
      <c r="A9" s="56">
        <v>46145</v>
      </c>
      <c r="B9" s="57" t="s">
        <v>77</v>
      </c>
      <c r="C9" s="58">
        <v>0</v>
      </c>
      <c r="D9" s="58">
        <v>0</v>
      </c>
      <c r="E9" s="59">
        <f t="shared" si="0"/>
        <v>0</v>
      </c>
      <c r="F9" s="59">
        <f t="shared" si="1"/>
        <v>0</v>
      </c>
      <c r="G9" s="59">
        <f t="shared" si="2"/>
        <v>0</v>
      </c>
      <c r="H9" s="60">
        <v>0</v>
      </c>
      <c r="I9" s="61">
        <f t="shared" si="3"/>
        <v>0</v>
      </c>
      <c r="J9" s="61">
        <f t="shared" si="4"/>
        <v>0</v>
      </c>
      <c r="K9" s="61">
        <f t="shared" si="5"/>
        <v>0</v>
      </c>
      <c r="L9" s="62">
        <f t="shared" si="6"/>
        <v>0</v>
      </c>
      <c r="M9" s="58">
        <v>0</v>
      </c>
      <c r="N9" s="58">
        <v>0</v>
      </c>
      <c r="O9" s="59">
        <f t="shared" si="7"/>
        <v>0</v>
      </c>
      <c r="P9" s="59">
        <f t="shared" si="8"/>
        <v>0</v>
      </c>
      <c r="Q9" s="59">
        <f t="shared" si="9"/>
        <v>0</v>
      </c>
      <c r="R9" s="60">
        <v>0</v>
      </c>
      <c r="S9" s="61">
        <f t="shared" si="10"/>
        <v>0</v>
      </c>
      <c r="T9" s="61">
        <f t="shared" si="11"/>
        <v>0</v>
      </c>
      <c r="U9" s="61">
        <f t="shared" si="12"/>
        <v>0</v>
      </c>
      <c r="V9" s="62">
        <f t="shared" si="13"/>
        <v>0</v>
      </c>
      <c r="W9" s="58">
        <v>0</v>
      </c>
      <c r="X9" s="58">
        <v>0</v>
      </c>
      <c r="Y9" s="59">
        <f t="shared" si="14"/>
        <v>0</v>
      </c>
      <c r="Z9" s="59">
        <f t="shared" si="15"/>
        <v>0</v>
      </c>
      <c r="AA9" s="59">
        <f t="shared" si="16"/>
        <v>0</v>
      </c>
      <c r="AB9" s="60">
        <v>0</v>
      </c>
      <c r="AC9" s="61">
        <f t="shared" si="17"/>
        <v>0</v>
      </c>
      <c r="AD9" s="61">
        <f t="shared" si="18"/>
        <v>0</v>
      </c>
      <c r="AE9" s="61">
        <f t="shared" si="19"/>
        <v>0</v>
      </c>
      <c r="AF9" s="62">
        <f t="shared" si="20"/>
        <v>0</v>
      </c>
      <c r="AG9" s="58">
        <v>0</v>
      </c>
      <c r="AH9" s="58">
        <v>0</v>
      </c>
      <c r="AI9" s="59">
        <f t="shared" si="21"/>
        <v>0</v>
      </c>
      <c r="AJ9" s="59">
        <f t="shared" si="22"/>
        <v>0</v>
      </c>
      <c r="AK9" s="59">
        <f t="shared" si="23"/>
        <v>0</v>
      </c>
      <c r="AL9" s="60">
        <v>0</v>
      </c>
      <c r="AM9" s="61">
        <f t="shared" si="24"/>
        <v>0</v>
      </c>
      <c r="AN9" s="61">
        <f t="shared" si="25"/>
        <v>0</v>
      </c>
      <c r="AO9" s="61">
        <f t="shared" si="26"/>
        <v>0</v>
      </c>
      <c r="AP9" s="62">
        <f t="shared" si="27"/>
        <v>0</v>
      </c>
      <c r="AQ9" s="59">
        <f t="shared" si="28"/>
        <v>0</v>
      </c>
      <c r="AR9" s="59">
        <f t="shared" si="29"/>
        <v>0</v>
      </c>
      <c r="AS9" s="63">
        <f t="shared" si="30"/>
        <v>0</v>
      </c>
      <c r="AT9" s="60">
        <f t="shared" si="31"/>
        <v>0</v>
      </c>
      <c r="AU9" s="61">
        <f t="shared" si="32"/>
        <v>0</v>
      </c>
      <c r="AV9" s="62">
        <f t="shared" si="33"/>
        <v>0</v>
      </c>
      <c r="AW9" s="61">
        <f t="shared" si="34"/>
        <v>0</v>
      </c>
      <c r="AX9" s="62">
        <f t="shared" si="35"/>
        <v>0</v>
      </c>
      <c r="AY9" s="64">
        <f t="shared" si="36"/>
        <v>0</v>
      </c>
    </row>
    <row r="10" spans="1:51" x14ac:dyDescent="0.35">
      <c r="A10" s="65">
        <v>46146</v>
      </c>
      <c r="B10" s="66" t="s">
        <v>78</v>
      </c>
      <c r="C10" s="73">
        <v>0.27361111111111108</v>
      </c>
      <c r="D10" s="73">
        <v>0.91666666666666663</v>
      </c>
      <c r="E10" s="67">
        <f t="shared" si="0"/>
        <v>12</v>
      </c>
      <c r="F10" s="67">
        <f t="shared" si="1"/>
        <v>15.433333333333332</v>
      </c>
      <c r="G10" s="67">
        <f t="shared" si="2"/>
        <v>0</v>
      </c>
      <c r="H10" s="68">
        <v>60</v>
      </c>
      <c r="I10" s="69">
        <f t="shared" si="3"/>
        <v>447</v>
      </c>
      <c r="J10" s="69">
        <f t="shared" si="4"/>
        <v>28.963282937365015</v>
      </c>
      <c r="K10" s="69">
        <f t="shared" si="5"/>
        <v>447</v>
      </c>
      <c r="L10" s="70">
        <f t="shared" si="6"/>
        <v>0</v>
      </c>
      <c r="M10" s="73">
        <v>0.27361111111111108</v>
      </c>
      <c r="N10" s="73">
        <v>0.91666666666666663</v>
      </c>
      <c r="O10" s="67">
        <f t="shared" si="7"/>
        <v>12</v>
      </c>
      <c r="P10" s="67">
        <f t="shared" si="8"/>
        <v>15.433333333333332</v>
      </c>
      <c r="Q10" s="67">
        <f t="shared" si="9"/>
        <v>0</v>
      </c>
      <c r="R10" s="68">
        <v>88</v>
      </c>
      <c r="S10" s="69">
        <f t="shared" si="10"/>
        <v>655.6</v>
      </c>
      <c r="T10" s="69">
        <f t="shared" si="11"/>
        <v>42.479481641468688</v>
      </c>
      <c r="U10" s="69">
        <f t="shared" si="12"/>
        <v>655.6</v>
      </c>
      <c r="V10" s="70">
        <f t="shared" si="13"/>
        <v>0</v>
      </c>
      <c r="W10" s="73">
        <v>0.27361111111111108</v>
      </c>
      <c r="X10" s="73">
        <v>0.81944444444444442</v>
      </c>
      <c r="Y10" s="67">
        <f t="shared" si="14"/>
        <v>12</v>
      </c>
      <c r="Z10" s="67">
        <f t="shared" si="15"/>
        <v>13.100000000000001</v>
      </c>
      <c r="AA10" s="67">
        <f t="shared" si="16"/>
        <v>0.33333333333333481</v>
      </c>
      <c r="AB10" s="68">
        <v>86</v>
      </c>
      <c r="AC10" s="69">
        <f t="shared" si="17"/>
        <v>640.70000000000005</v>
      </c>
      <c r="AD10" s="69">
        <f t="shared" si="18"/>
        <v>48.908396946564885</v>
      </c>
      <c r="AE10" s="69">
        <f t="shared" si="19"/>
        <v>657.00279898218844</v>
      </c>
      <c r="AF10" s="70">
        <f t="shared" si="20"/>
        <v>16.302798982188367</v>
      </c>
      <c r="AG10" s="73">
        <v>0.27361111111111108</v>
      </c>
      <c r="AH10" s="73">
        <v>0.91666666666666663</v>
      </c>
      <c r="AI10" s="67">
        <f t="shared" si="21"/>
        <v>12</v>
      </c>
      <c r="AJ10" s="67">
        <f t="shared" si="22"/>
        <v>15.433333333333332</v>
      </c>
      <c r="AK10" s="67">
        <f t="shared" si="23"/>
        <v>0</v>
      </c>
      <c r="AL10" s="68">
        <v>66</v>
      </c>
      <c r="AM10" s="69">
        <f t="shared" si="24"/>
        <v>491.7</v>
      </c>
      <c r="AN10" s="69">
        <f t="shared" si="25"/>
        <v>31.859611231101514</v>
      </c>
      <c r="AO10" s="69">
        <f t="shared" si="26"/>
        <v>491.7</v>
      </c>
      <c r="AP10" s="70">
        <f t="shared" si="27"/>
        <v>0</v>
      </c>
      <c r="AQ10" s="67">
        <f t="shared" si="28"/>
        <v>48</v>
      </c>
      <c r="AR10" s="67">
        <f t="shared" si="29"/>
        <v>59.4</v>
      </c>
      <c r="AS10" s="71">
        <f t="shared" si="30"/>
        <v>0.33333333333333481</v>
      </c>
      <c r="AT10" s="68">
        <f t="shared" si="31"/>
        <v>300</v>
      </c>
      <c r="AU10" s="69">
        <f t="shared" si="32"/>
        <v>2235</v>
      </c>
      <c r="AV10" s="70">
        <f t="shared" si="33"/>
        <v>2235</v>
      </c>
      <c r="AW10" s="69">
        <f t="shared" si="34"/>
        <v>2251.3027989821881</v>
      </c>
      <c r="AX10" s="70">
        <f t="shared" si="35"/>
        <v>16.302798982188367</v>
      </c>
      <c r="AY10" s="72">
        <f t="shared" si="36"/>
        <v>7.2414954530145154E-3</v>
      </c>
    </row>
    <row r="11" spans="1:51" x14ac:dyDescent="0.35">
      <c r="A11" s="56">
        <v>46147</v>
      </c>
      <c r="B11" s="57" t="s">
        <v>79</v>
      </c>
      <c r="C11" s="58">
        <v>0.27777777777777779</v>
      </c>
      <c r="D11" s="58">
        <v>0.95833333333333337</v>
      </c>
      <c r="E11" s="59">
        <f t="shared" si="0"/>
        <v>12</v>
      </c>
      <c r="F11" s="59">
        <f t="shared" si="1"/>
        <v>16.333333333333336</v>
      </c>
      <c r="G11" s="59">
        <f t="shared" si="2"/>
        <v>0</v>
      </c>
      <c r="H11" s="60">
        <v>67</v>
      </c>
      <c r="I11" s="61">
        <f t="shared" si="3"/>
        <v>499.15000000000003</v>
      </c>
      <c r="J11" s="61">
        <f t="shared" si="4"/>
        <v>30.560204081632651</v>
      </c>
      <c r="K11" s="61">
        <f t="shared" si="5"/>
        <v>499.15000000000003</v>
      </c>
      <c r="L11" s="62">
        <f t="shared" si="6"/>
        <v>0</v>
      </c>
      <c r="M11" s="58">
        <v>0.27777777777777779</v>
      </c>
      <c r="N11" s="58">
        <v>0.95833333333333337</v>
      </c>
      <c r="O11" s="59">
        <f t="shared" si="7"/>
        <v>12</v>
      </c>
      <c r="P11" s="59">
        <f t="shared" si="8"/>
        <v>16.333333333333336</v>
      </c>
      <c r="Q11" s="59">
        <f t="shared" si="9"/>
        <v>0</v>
      </c>
      <c r="R11" s="60">
        <v>93</v>
      </c>
      <c r="S11" s="61">
        <f t="shared" si="10"/>
        <v>692.85</v>
      </c>
      <c r="T11" s="61">
        <f t="shared" si="11"/>
        <v>42.419387755102036</v>
      </c>
      <c r="U11" s="61">
        <f t="shared" si="12"/>
        <v>692.85</v>
      </c>
      <c r="V11" s="62">
        <f t="shared" si="13"/>
        <v>0</v>
      </c>
      <c r="W11" s="58">
        <v>0.27777777777777779</v>
      </c>
      <c r="X11" s="58">
        <v>0.80555555555555558</v>
      </c>
      <c r="Y11" s="59">
        <f t="shared" si="14"/>
        <v>12</v>
      </c>
      <c r="Z11" s="59">
        <f t="shared" si="15"/>
        <v>12.666666666666668</v>
      </c>
      <c r="AA11" s="59">
        <f t="shared" si="16"/>
        <v>0.66666666666666696</v>
      </c>
      <c r="AB11" s="60">
        <v>94</v>
      </c>
      <c r="AC11" s="61">
        <f t="shared" si="17"/>
        <v>700.30000000000007</v>
      </c>
      <c r="AD11" s="61">
        <f t="shared" si="18"/>
        <v>55.286842105263155</v>
      </c>
      <c r="AE11" s="61">
        <f t="shared" si="19"/>
        <v>737.1578947368422</v>
      </c>
      <c r="AF11" s="62">
        <f t="shared" si="20"/>
        <v>36.85789473684212</v>
      </c>
      <c r="AG11" s="58">
        <v>0.27777777777777779</v>
      </c>
      <c r="AH11" s="58">
        <v>0.95833333333333337</v>
      </c>
      <c r="AI11" s="59">
        <f t="shared" si="21"/>
        <v>12</v>
      </c>
      <c r="AJ11" s="59">
        <f t="shared" si="22"/>
        <v>16.333333333333336</v>
      </c>
      <c r="AK11" s="59">
        <f t="shared" si="23"/>
        <v>0</v>
      </c>
      <c r="AL11" s="60">
        <v>68</v>
      </c>
      <c r="AM11" s="61">
        <f t="shared" si="24"/>
        <v>506.6</v>
      </c>
      <c r="AN11" s="61">
        <f t="shared" si="25"/>
        <v>31.016326530612243</v>
      </c>
      <c r="AO11" s="61">
        <f t="shared" si="26"/>
        <v>506.6</v>
      </c>
      <c r="AP11" s="62">
        <f t="shared" si="27"/>
        <v>0</v>
      </c>
      <c r="AQ11" s="59">
        <f t="shared" si="28"/>
        <v>48</v>
      </c>
      <c r="AR11" s="59">
        <f t="shared" si="29"/>
        <v>61.666666666666679</v>
      </c>
      <c r="AS11" s="63">
        <f t="shared" si="30"/>
        <v>0.66666666666666696</v>
      </c>
      <c r="AT11" s="60">
        <f t="shared" si="31"/>
        <v>322</v>
      </c>
      <c r="AU11" s="61">
        <f t="shared" si="32"/>
        <v>2398.9</v>
      </c>
      <c r="AV11" s="62">
        <f t="shared" si="33"/>
        <v>2398.9</v>
      </c>
      <c r="AW11" s="61">
        <f t="shared" si="34"/>
        <v>2435.757894736842</v>
      </c>
      <c r="AX11" s="62">
        <f t="shared" si="35"/>
        <v>36.85789473684212</v>
      </c>
      <c r="AY11" s="64">
        <f t="shared" si="36"/>
        <v>1.513200257566002E-2</v>
      </c>
    </row>
    <row r="12" spans="1:51" x14ac:dyDescent="0.35">
      <c r="A12" s="65">
        <v>46148</v>
      </c>
      <c r="B12" s="66" t="s">
        <v>80</v>
      </c>
      <c r="C12" s="73">
        <v>0.31944444444444442</v>
      </c>
      <c r="D12" s="73">
        <v>0.77430555555555558</v>
      </c>
      <c r="E12" s="67">
        <f t="shared" si="0"/>
        <v>12</v>
      </c>
      <c r="F12" s="67">
        <f t="shared" si="1"/>
        <v>10.916666666666668</v>
      </c>
      <c r="G12" s="67">
        <f t="shared" si="2"/>
        <v>1.416666666666667</v>
      </c>
      <c r="H12" s="68">
        <v>58</v>
      </c>
      <c r="I12" s="69">
        <f t="shared" si="3"/>
        <v>432.1</v>
      </c>
      <c r="J12" s="69">
        <f t="shared" si="4"/>
        <v>39.581679389312974</v>
      </c>
      <c r="K12" s="69">
        <f t="shared" si="5"/>
        <v>488.17404580152674</v>
      </c>
      <c r="L12" s="70">
        <f t="shared" si="6"/>
        <v>56.074045801526722</v>
      </c>
      <c r="M12" s="73">
        <v>0.31944444444444442</v>
      </c>
      <c r="N12" s="73">
        <v>0.77430555555555558</v>
      </c>
      <c r="O12" s="67">
        <f t="shared" si="7"/>
        <v>12</v>
      </c>
      <c r="P12" s="67">
        <f t="shared" si="8"/>
        <v>10.916666666666668</v>
      </c>
      <c r="Q12" s="67">
        <f t="shared" si="9"/>
        <v>1.416666666666667</v>
      </c>
      <c r="R12" s="68">
        <v>69</v>
      </c>
      <c r="S12" s="69">
        <f t="shared" si="10"/>
        <v>514.05000000000007</v>
      </c>
      <c r="T12" s="69">
        <f t="shared" si="11"/>
        <v>47.088549618320613</v>
      </c>
      <c r="U12" s="69">
        <f t="shared" si="12"/>
        <v>580.75877862595428</v>
      </c>
      <c r="V12" s="70">
        <f t="shared" si="13"/>
        <v>66.70877862595421</v>
      </c>
      <c r="W12" s="73">
        <v>0.31944444444444442</v>
      </c>
      <c r="X12" s="73">
        <v>0.77430555555555558</v>
      </c>
      <c r="Y12" s="67">
        <f t="shared" si="14"/>
        <v>12</v>
      </c>
      <c r="Z12" s="67">
        <f t="shared" si="15"/>
        <v>10.916666666666668</v>
      </c>
      <c r="AA12" s="67">
        <f t="shared" si="16"/>
        <v>1.416666666666667</v>
      </c>
      <c r="AB12" s="68">
        <v>70</v>
      </c>
      <c r="AC12" s="69">
        <f t="shared" si="17"/>
        <v>521.5</v>
      </c>
      <c r="AD12" s="69">
        <f t="shared" si="18"/>
        <v>47.770992366412209</v>
      </c>
      <c r="AE12" s="69">
        <f t="shared" si="19"/>
        <v>589.17557251908397</v>
      </c>
      <c r="AF12" s="70">
        <f t="shared" si="20"/>
        <v>67.675572519083971</v>
      </c>
      <c r="AG12" s="73">
        <v>0.31944444444444442</v>
      </c>
      <c r="AH12" s="73">
        <v>0.77430555555555558</v>
      </c>
      <c r="AI12" s="67">
        <f t="shared" si="21"/>
        <v>12</v>
      </c>
      <c r="AJ12" s="67">
        <f t="shared" si="22"/>
        <v>10.916666666666668</v>
      </c>
      <c r="AK12" s="67">
        <f t="shared" si="23"/>
        <v>1.416666666666667</v>
      </c>
      <c r="AL12" s="68">
        <v>55</v>
      </c>
      <c r="AM12" s="69">
        <f t="shared" si="24"/>
        <v>409.75</v>
      </c>
      <c r="AN12" s="69">
        <f t="shared" si="25"/>
        <v>37.534351145038165</v>
      </c>
      <c r="AO12" s="69">
        <f t="shared" si="26"/>
        <v>462.92366412213744</v>
      </c>
      <c r="AP12" s="70">
        <f t="shared" si="27"/>
        <v>53.17366412213741</v>
      </c>
      <c r="AQ12" s="67">
        <f t="shared" si="28"/>
        <v>48</v>
      </c>
      <c r="AR12" s="67">
        <f t="shared" si="29"/>
        <v>43.666666666666671</v>
      </c>
      <c r="AS12" s="71">
        <f t="shared" si="30"/>
        <v>5.6666666666666679</v>
      </c>
      <c r="AT12" s="68">
        <f t="shared" si="31"/>
        <v>252</v>
      </c>
      <c r="AU12" s="69">
        <f t="shared" si="32"/>
        <v>1877.4</v>
      </c>
      <c r="AV12" s="70">
        <f t="shared" si="33"/>
        <v>1877.4</v>
      </c>
      <c r="AW12" s="69">
        <f t="shared" si="34"/>
        <v>2121.0320610687027</v>
      </c>
      <c r="AX12" s="70">
        <f t="shared" si="35"/>
        <v>243.63206106870231</v>
      </c>
      <c r="AY12" s="72">
        <f t="shared" si="36"/>
        <v>0.11486486486486486</v>
      </c>
    </row>
    <row r="13" spans="1:51" x14ac:dyDescent="0.35">
      <c r="A13" s="56">
        <v>46149</v>
      </c>
      <c r="B13" s="57" t="s">
        <v>81</v>
      </c>
      <c r="C13" s="58">
        <v>0.3263888888888889</v>
      </c>
      <c r="D13" s="58">
        <v>0.8305555555555556</v>
      </c>
      <c r="E13" s="59">
        <f t="shared" si="0"/>
        <v>12</v>
      </c>
      <c r="F13" s="59">
        <f t="shared" si="1"/>
        <v>12.1</v>
      </c>
      <c r="G13" s="59">
        <f t="shared" si="2"/>
        <v>6.666666666666643E-2</v>
      </c>
      <c r="H13" s="60">
        <v>60</v>
      </c>
      <c r="I13" s="61">
        <f t="shared" si="3"/>
        <v>447</v>
      </c>
      <c r="J13" s="61">
        <f t="shared" si="4"/>
        <v>36.942148760330582</v>
      </c>
      <c r="K13" s="61">
        <f t="shared" si="5"/>
        <v>449.46280991735534</v>
      </c>
      <c r="L13" s="62">
        <f t="shared" si="6"/>
        <v>2.4628099173553633</v>
      </c>
      <c r="M13" s="58">
        <v>0.3263888888888889</v>
      </c>
      <c r="N13" s="58">
        <v>0.8305555555555556</v>
      </c>
      <c r="O13" s="59">
        <f t="shared" si="7"/>
        <v>12</v>
      </c>
      <c r="P13" s="59">
        <f t="shared" si="8"/>
        <v>12.1</v>
      </c>
      <c r="Q13" s="59">
        <f t="shared" si="9"/>
        <v>6.666666666666643E-2</v>
      </c>
      <c r="R13" s="60">
        <v>65</v>
      </c>
      <c r="S13" s="61">
        <f t="shared" si="10"/>
        <v>484.25</v>
      </c>
      <c r="T13" s="61">
        <f t="shared" si="11"/>
        <v>40.020661157024797</v>
      </c>
      <c r="U13" s="61">
        <f t="shared" si="12"/>
        <v>486.91804407713499</v>
      </c>
      <c r="V13" s="62">
        <f t="shared" si="13"/>
        <v>2.6680440771349772</v>
      </c>
      <c r="W13" s="58">
        <v>0.3263888888888889</v>
      </c>
      <c r="X13" s="58">
        <v>0.8305555555555556</v>
      </c>
      <c r="Y13" s="59">
        <f t="shared" si="14"/>
        <v>12</v>
      </c>
      <c r="Z13" s="59">
        <f t="shared" si="15"/>
        <v>12.1</v>
      </c>
      <c r="AA13" s="59">
        <f t="shared" si="16"/>
        <v>6.666666666666643E-2</v>
      </c>
      <c r="AB13" s="60">
        <v>81</v>
      </c>
      <c r="AC13" s="61">
        <f t="shared" si="17"/>
        <v>603.45000000000005</v>
      </c>
      <c r="AD13" s="61">
        <f t="shared" si="18"/>
        <v>49.871900826446286</v>
      </c>
      <c r="AE13" s="61">
        <f t="shared" si="19"/>
        <v>606.77479338842977</v>
      </c>
      <c r="AF13" s="62">
        <f t="shared" si="20"/>
        <v>3.3247933884297405</v>
      </c>
      <c r="AG13" s="58">
        <v>0.3263888888888889</v>
      </c>
      <c r="AH13" s="58">
        <v>0.8305555555555556</v>
      </c>
      <c r="AI13" s="59">
        <f t="shared" si="21"/>
        <v>12</v>
      </c>
      <c r="AJ13" s="59">
        <f t="shared" si="22"/>
        <v>12.1</v>
      </c>
      <c r="AK13" s="59">
        <f t="shared" si="23"/>
        <v>6.666666666666643E-2</v>
      </c>
      <c r="AL13" s="60">
        <v>62</v>
      </c>
      <c r="AM13" s="61">
        <f t="shared" si="24"/>
        <v>461.90000000000003</v>
      </c>
      <c r="AN13" s="61">
        <f t="shared" si="25"/>
        <v>38.173553719008268</v>
      </c>
      <c r="AO13" s="61">
        <f t="shared" si="26"/>
        <v>464.44490358126723</v>
      </c>
      <c r="AP13" s="62">
        <f t="shared" si="27"/>
        <v>2.5449035812672087</v>
      </c>
      <c r="AQ13" s="59">
        <f t="shared" si="28"/>
        <v>48</v>
      </c>
      <c r="AR13" s="59">
        <f t="shared" si="29"/>
        <v>48.4</v>
      </c>
      <c r="AS13" s="63">
        <f t="shared" si="30"/>
        <v>0.26666666666666572</v>
      </c>
      <c r="AT13" s="60">
        <f t="shared" si="31"/>
        <v>268</v>
      </c>
      <c r="AU13" s="61">
        <f t="shared" si="32"/>
        <v>1996.6000000000001</v>
      </c>
      <c r="AV13" s="62">
        <f t="shared" si="33"/>
        <v>1996.6000000000001</v>
      </c>
      <c r="AW13" s="61">
        <f t="shared" si="34"/>
        <v>2007.6005509641873</v>
      </c>
      <c r="AX13" s="62">
        <f t="shared" si="35"/>
        <v>11.000550964187289</v>
      </c>
      <c r="AY13" s="64">
        <f t="shared" si="36"/>
        <v>5.4794520547945015E-3</v>
      </c>
    </row>
    <row r="14" spans="1:51" x14ac:dyDescent="0.35">
      <c r="A14" s="65">
        <v>46150</v>
      </c>
      <c r="B14" s="66" t="s">
        <v>75</v>
      </c>
      <c r="C14" s="73">
        <v>0.32291666666666669</v>
      </c>
      <c r="D14" s="73">
        <v>0.75694444444444442</v>
      </c>
      <c r="E14" s="67">
        <f t="shared" si="0"/>
        <v>12</v>
      </c>
      <c r="F14" s="67">
        <f t="shared" si="1"/>
        <v>10.416666666666666</v>
      </c>
      <c r="G14" s="67">
        <f t="shared" si="2"/>
        <v>1.8333333333333348</v>
      </c>
      <c r="H14" s="68">
        <v>55</v>
      </c>
      <c r="I14" s="69">
        <f t="shared" si="3"/>
        <v>409.75</v>
      </c>
      <c r="J14" s="69">
        <f t="shared" si="4"/>
        <v>39.336000000000006</v>
      </c>
      <c r="K14" s="69">
        <f t="shared" si="5"/>
        <v>481.8660000000001</v>
      </c>
      <c r="L14" s="70">
        <f t="shared" si="6"/>
        <v>72.116000000000071</v>
      </c>
      <c r="M14" s="73">
        <v>0.32291666666666669</v>
      </c>
      <c r="N14" s="73">
        <v>0.81944444444444442</v>
      </c>
      <c r="O14" s="67">
        <f t="shared" si="7"/>
        <v>12</v>
      </c>
      <c r="P14" s="67">
        <f t="shared" si="8"/>
        <v>11.916666666666666</v>
      </c>
      <c r="Q14" s="67">
        <f t="shared" si="9"/>
        <v>0.33333333333333481</v>
      </c>
      <c r="R14" s="68">
        <v>65</v>
      </c>
      <c r="S14" s="69">
        <f t="shared" si="10"/>
        <v>484.25</v>
      </c>
      <c r="T14" s="69">
        <f t="shared" si="11"/>
        <v>40.63636363636364</v>
      </c>
      <c r="U14" s="69">
        <f t="shared" si="12"/>
        <v>497.79545454545462</v>
      </c>
      <c r="V14" s="70">
        <f t="shared" si="13"/>
        <v>13.545454545454607</v>
      </c>
      <c r="W14" s="73">
        <v>0.32291666666666669</v>
      </c>
      <c r="X14" s="73">
        <v>0.73333333333333328</v>
      </c>
      <c r="Y14" s="67">
        <f t="shared" si="14"/>
        <v>12</v>
      </c>
      <c r="Z14" s="67">
        <f t="shared" si="15"/>
        <v>9.8499999999999979</v>
      </c>
      <c r="AA14" s="67">
        <f t="shared" si="16"/>
        <v>2.4000000000000021</v>
      </c>
      <c r="AB14" s="68">
        <v>69</v>
      </c>
      <c r="AC14" s="69">
        <f t="shared" si="17"/>
        <v>514.05000000000007</v>
      </c>
      <c r="AD14" s="69">
        <f t="shared" si="18"/>
        <v>52.187817258883264</v>
      </c>
      <c r="AE14" s="69">
        <f t="shared" si="19"/>
        <v>639.30076142131998</v>
      </c>
      <c r="AF14" s="70">
        <f t="shared" si="20"/>
        <v>125.25076142131995</v>
      </c>
      <c r="AG14" s="73">
        <v>0.32291666666666669</v>
      </c>
      <c r="AH14" s="73">
        <v>0.75694444444444442</v>
      </c>
      <c r="AI14" s="67">
        <f t="shared" si="21"/>
        <v>12</v>
      </c>
      <c r="AJ14" s="67">
        <f t="shared" si="22"/>
        <v>10.416666666666666</v>
      </c>
      <c r="AK14" s="67">
        <f t="shared" si="23"/>
        <v>1.8333333333333348</v>
      </c>
      <c r="AL14" s="68">
        <v>54</v>
      </c>
      <c r="AM14" s="69">
        <f t="shared" si="24"/>
        <v>402.3</v>
      </c>
      <c r="AN14" s="69">
        <f t="shared" si="25"/>
        <v>38.620800000000003</v>
      </c>
      <c r="AO14" s="69">
        <f t="shared" si="26"/>
        <v>473.10480000000007</v>
      </c>
      <c r="AP14" s="70">
        <f t="shared" si="27"/>
        <v>70.804800000000057</v>
      </c>
      <c r="AQ14" s="67">
        <f t="shared" si="28"/>
        <v>48</v>
      </c>
      <c r="AR14" s="67">
        <f t="shared" si="29"/>
        <v>42.599999999999994</v>
      </c>
      <c r="AS14" s="71">
        <f t="shared" si="30"/>
        <v>6.4000000000000066</v>
      </c>
      <c r="AT14" s="68">
        <f t="shared" si="31"/>
        <v>243</v>
      </c>
      <c r="AU14" s="69">
        <f t="shared" si="32"/>
        <v>1810.3500000000001</v>
      </c>
      <c r="AV14" s="70">
        <f t="shared" si="33"/>
        <v>1810.3500000000001</v>
      </c>
      <c r="AW14" s="69">
        <f t="shared" si="34"/>
        <v>2092.0670159667748</v>
      </c>
      <c r="AX14" s="70">
        <f t="shared" si="35"/>
        <v>281.71701596677468</v>
      </c>
      <c r="AY14" s="72">
        <f t="shared" si="36"/>
        <v>0.13465965182601433</v>
      </c>
    </row>
    <row r="15" spans="1:51" x14ac:dyDescent="0.35">
      <c r="A15" s="56">
        <v>46151</v>
      </c>
      <c r="B15" s="57" t="s">
        <v>76</v>
      </c>
      <c r="C15" s="58">
        <v>0.32777777777777778</v>
      </c>
      <c r="D15" s="58">
        <v>0.5854166666666667</v>
      </c>
      <c r="E15" s="59">
        <f t="shared" si="0"/>
        <v>6</v>
      </c>
      <c r="F15" s="59">
        <f t="shared" si="1"/>
        <v>6.1833333333333336</v>
      </c>
      <c r="G15" s="59">
        <f t="shared" si="2"/>
        <v>0</v>
      </c>
      <c r="H15" s="60">
        <v>32</v>
      </c>
      <c r="I15" s="61">
        <f t="shared" si="3"/>
        <v>238.4</v>
      </c>
      <c r="J15" s="61">
        <f t="shared" si="4"/>
        <v>38.555256064690028</v>
      </c>
      <c r="K15" s="61">
        <f t="shared" si="5"/>
        <v>238.4</v>
      </c>
      <c r="L15" s="62">
        <f t="shared" si="6"/>
        <v>0</v>
      </c>
      <c r="M15" s="58">
        <v>0.32777777777777778</v>
      </c>
      <c r="N15" s="58">
        <v>0.5854166666666667</v>
      </c>
      <c r="O15" s="59">
        <f t="shared" si="7"/>
        <v>6</v>
      </c>
      <c r="P15" s="59">
        <f t="shared" si="8"/>
        <v>6.1833333333333336</v>
      </c>
      <c r="Q15" s="59">
        <f t="shared" si="9"/>
        <v>0</v>
      </c>
      <c r="R15" s="60">
        <v>33</v>
      </c>
      <c r="S15" s="61">
        <f t="shared" si="10"/>
        <v>245.85</v>
      </c>
      <c r="T15" s="61">
        <f t="shared" si="11"/>
        <v>39.760107816711589</v>
      </c>
      <c r="U15" s="61">
        <f t="shared" si="12"/>
        <v>245.85</v>
      </c>
      <c r="V15" s="62">
        <f t="shared" si="13"/>
        <v>0</v>
      </c>
      <c r="W15" s="58">
        <v>0.32777777777777778</v>
      </c>
      <c r="X15" s="58">
        <v>0.5854166666666667</v>
      </c>
      <c r="Y15" s="59">
        <f t="shared" si="14"/>
        <v>6</v>
      </c>
      <c r="Z15" s="59">
        <f t="shared" si="15"/>
        <v>6.1833333333333336</v>
      </c>
      <c r="AA15" s="59">
        <f t="shared" si="16"/>
        <v>0</v>
      </c>
      <c r="AB15" s="60">
        <v>71</v>
      </c>
      <c r="AC15" s="61">
        <f t="shared" si="17"/>
        <v>528.95000000000005</v>
      </c>
      <c r="AD15" s="61">
        <f t="shared" si="18"/>
        <v>85.544474393531004</v>
      </c>
      <c r="AE15" s="61">
        <f t="shared" si="19"/>
        <v>528.95000000000005</v>
      </c>
      <c r="AF15" s="62">
        <f t="shared" si="20"/>
        <v>0</v>
      </c>
      <c r="AG15" s="58">
        <v>0.32777777777777778</v>
      </c>
      <c r="AH15" s="58">
        <v>0.5854166666666667</v>
      </c>
      <c r="AI15" s="59">
        <f t="shared" si="21"/>
        <v>6</v>
      </c>
      <c r="AJ15" s="59">
        <f t="shared" si="22"/>
        <v>6.1833333333333336</v>
      </c>
      <c r="AK15" s="59">
        <f t="shared" si="23"/>
        <v>0</v>
      </c>
      <c r="AL15" s="60">
        <v>31</v>
      </c>
      <c r="AM15" s="61">
        <f t="shared" si="24"/>
        <v>230.95000000000002</v>
      </c>
      <c r="AN15" s="61">
        <f t="shared" si="25"/>
        <v>37.350404312668466</v>
      </c>
      <c r="AO15" s="61">
        <f t="shared" si="26"/>
        <v>230.95000000000002</v>
      </c>
      <c r="AP15" s="62">
        <f t="shared" si="27"/>
        <v>0</v>
      </c>
      <c r="AQ15" s="59">
        <f t="shared" si="28"/>
        <v>24</v>
      </c>
      <c r="AR15" s="59">
        <f t="shared" si="29"/>
        <v>24.733333333333334</v>
      </c>
      <c r="AS15" s="63">
        <f t="shared" si="30"/>
        <v>0</v>
      </c>
      <c r="AT15" s="60">
        <f t="shared" si="31"/>
        <v>167</v>
      </c>
      <c r="AU15" s="61">
        <f t="shared" si="32"/>
        <v>1244.1500000000001</v>
      </c>
      <c r="AV15" s="62">
        <f t="shared" si="33"/>
        <v>1244.1500000000001</v>
      </c>
      <c r="AW15" s="61">
        <f t="shared" si="34"/>
        <v>1244.1500000000001</v>
      </c>
      <c r="AX15" s="62">
        <f t="shared" si="35"/>
        <v>0</v>
      </c>
      <c r="AY15" s="64">
        <f t="shared" si="36"/>
        <v>0</v>
      </c>
    </row>
    <row r="16" spans="1:51" x14ac:dyDescent="0.35">
      <c r="A16" s="65">
        <v>46152</v>
      </c>
      <c r="B16" s="66" t="s">
        <v>77</v>
      </c>
      <c r="C16" s="66" t="s">
        <v>82</v>
      </c>
      <c r="D16" s="66" t="s">
        <v>82</v>
      </c>
      <c r="E16" s="67">
        <f t="shared" si="0"/>
        <v>0</v>
      </c>
      <c r="F16" s="67">
        <f t="shared" si="1"/>
        <v>0</v>
      </c>
      <c r="G16" s="67">
        <f t="shared" si="2"/>
        <v>0</v>
      </c>
      <c r="H16" s="68">
        <v>0</v>
      </c>
      <c r="I16" s="69">
        <f t="shared" si="3"/>
        <v>0</v>
      </c>
      <c r="J16" s="69">
        <f t="shared" si="4"/>
        <v>0</v>
      </c>
      <c r="K16" s="69">
        <f t="shared" si="5"/>
        <v>0</v>
      </c>
      <c r="L16" s="70">
        <f t="shared" si="6"/>
        <v>0</v>
      </c>
      <c r="M16" s="66" t="s">
        <v>82</v>
      </c>
      <c r="N16" s="66" t="s">
        <v>82</v>
      </c>
      <c r="O16" s="67">
        <f t="shared" si="7"/>
        <v>0</v>
      </c>
      <c r="P16" s="67">
        <f t="shared" si="8"/>
        <v>0</v>
      </c>
      <c r="Q16" s="67">
        <f t="shared" si="9"/>
        <v>0</v>
      </c>
      <c r="R16" s="68">
        <v>0</v>
      </c>
      <c r="S16" s="69">
        <f t="shared" si="10"/>
        <v>0</v>
      </c>
      <c r="T16" s="69">
        <f t="shared" si="11"/>
        <v>0</v>
      </c>
      <c r="U16" s="69">
        <f t="shared" si="12"/>
        <v>0</v>
      </c>
      <c r="V16" s="70">
        <f t="shared" si="13"/>
        <v>0</v>
      </c>
      <c r="W16" s="66" t="s">
        <v>82</v>
      </c>
      <c r="X16" s="66" t="s">
        <v>82</v>
      </c>
      <c r="Y16" s="67">
        <f t="shared" si="14"/>
        <v>0</v>
      </c>
      <c r="Z16" s="67">
        <f t="shared" si="15"/>
        <v>0</v>
      </c>
      <c r="AA16" s="67">
        <f t="shared" si="16"/>
        <v>0</v>
      </c>
      <c r="AB16" s="68">
        <v>0</v>
      </c>
      <c r="AC16" s="69">
        <f t="shared" si="17"/>
        <v>0</v>
      </c>
      <c r="AD16" s="69">
        <f t="shared" si="18"/>
        <v>0</v>
      </c>
      <c r="AE16" s="69">
        <f t="shared" si="19"/>
        <v>0</v>
      </c>
      <c r="AF16" s="70">
        <f t="shared" si="20"/>
        <v>0</v>
      </c>
      <c r="AG16" s="66" t="s">
        <v>82</v>
      </c>
      <c r="AH16" s="66" t="s">
        <v>82</v>
      </c>
      <c r="AI16" s="67">
        <f t="shared" si="21"/>
        <v>0</v>
      </c>
      <c r="AJ16" s="67">
        <f t="shared" si="22"/>
        <v>0</v>
      </c>
      <c r="AK16" s="67">
        <f t="shared" si="23"/>
        <v>0</v>
      </c>
      <c r="AL16" s="68">
        <v>0</v>
      </c>
      <c r="AM16" s="69">
        <f t="shared" si="24"/>
        <v>0</v>
      </c>
      <c r="AN16" s="69">
        <f t="shared" si="25"/>
        <v>0</v>
      </c>
      <c r="AO16" s="69">
        <f t="shared" si="26"/>
        <v>0</v>
      </c>
      <c r="AP16" s="70">
        <f t="shared" si="27"/>
        <v>0</v>
      </c>
      <c r="AQ16" s="67">
        <f t="shared" si="28"/>
        <v>0</v>
      </c>
      <c r="AR16" s="67">
        <f t="shared" si="29"/>
        <v>0</v>
      </c>
      <c r="AS16" s="71">
        <f t="shared" si="30"/>
        <v>0</v>
      </c>
      <c r="AT16" s="68">
        <f t="shared" si="31"/>
        <v>0</v>
      </c>
      <c r="AU16" s="69">
        <f t="shared" si="32"/>
        <v>0</v>
      </c>
      <c r="AV16" s="70">
        <f t="shared" si="33"/>
        <v>0</v>
      </c>
      <c r="AW16" s="69">
        <f t="shared" si="34"/>
        <v>0</v>
      </c>
      <c r="AX16" s="70">
        <f t="shared" si="35"/>
        <v>0</v>
      </c>
      <c r="AY16" s="72">
        <f t="shared" si="36"/>
        <v>0</v>
      </c>
    </row>
    <row r="17" spans="1:51" x14ac:dyDescent="0.35">
      <c r="A17" s="56">
        <v>46153</v>
      </c>
      <c r="B17" s="57" t="s">
        <v>78</v>
      </c>
      <c r="C17" s="58">
        <v>0.31666666666666671</v>
      </c>
      <c r="D17" s="58">
        <v>0.79305555555555551</v>
      </c>
      <c r="E17" s="59">
        <f t="shared" si="0"/>
        <v>12</v>
      </c>
      <c r="F17" s="59">
        <f t="shared" si="1"/>
        <v>11.433333333333332</v>
      </c>
      <c r="G17" s="59">
        <f t="shared" si="2"/>
        <v>0.96666666666666856</v>
      </c>
      <c r="H17" s="60">
        <v>60</v>
      </c>
      <c r="I17" s="61">
        <f t="shared" si="3"/>
        <v>447</v>
      </c>
      <c r="J17" s="61">
        <f t="shared" si="4"/>
        <v>39.096209912536452</v>
      </c>
      <c r="K17" s="61">
        <f t="shared" si="5"/>
        <v>484.79300291545201</v>
      </c>
      <c r="L17" s="62">
        <f t="shared" si="6"/>
        <v>37.793002915451979</v>
      </c>
      <c r="M17" s="58">
        <v>0.31666666666666671</v>
      </c>
      <c r="N17" s="58">
        <v>0.79305555555555551</v>
      </c>
      <c r="O17" s="59">
        <f t="shared" si="7"/>
        <v>12</v>
      </c>
      <c r="P17" s="59">
        <f t="shared" si="8"/>
        <v>11.433333333333332</v>
      </c>
      <c r="Q17" s="59">
        <f t="shared" si="9"/>
        <v>0.96666666666666856</v>
      </c>
      <c r="R17" s="60">
        <v>59</v>
      </c>
      <c r="S17" s="61">
        <f t="shared" si="10"/>
        <v>439.55</v>
      </c>
      <c r="T17" s="61">
        <f t="shared" si="11"/>
        <v>38.444606413994173</v>
      </c>
      <c r="U17" s="61">
        <f t="shared" si="12"/>
        <v>476.71311953352779</v>
      </c>
      <c r="V17" s="62">
        <f t="shared" si="13"/>
        <v>37.16311953352777</v>
      </c>
      <c r="W17" s="58">
        <v>0.31666666666666671</v>
      </c>
      <c r="X17" s="58">
        <v>0.79305555555555551</v>
      </c>
      <c r="Y17" s="59">
        <f t="shared" si="14"/>
        <v>12</v>
      </c>
      <c r="Z17" s="59">
        <f t="shared" si="15"/>
        <v>11.433333333333332</v>
      </c>
      <c r="AA17" s="59">
        <f t="shared" si="16"/>
        <v>0.96666666666666856</v>
      </c>
      <c r="AB17" s="60">
        <v>81</v>
      </c>
      <c r="AC17" s="61">
        <f t="shared" si="17"/>
        <v>603.45000000000005</v>
      </c>
      <c r="AD17" s="61">
        <f t="shared" si="18"/>
        <v>52.779883381924208</v>
      </c>
      <c r="AE17" s="61">
        <f t="shared" si="19"/>
        <v>654.47055393586015</v>
      </c>
      <c r="AF17" s="62">
        <f t="shared" si="20"/>
        <v>51.020553935860164</v>
      </c>
      <c r="AG17" s="58">
        <v>0.31666666666666671</v>
      </c>
      <c r="AH17" s="58">
        <v>0.79305555555555551</v>
      </c>
      <c r="AI17" s="59">
        <f t="shared" si="21"/>
        <v>12</v>
      </c>
      <c r="AJ17" s="59">
        <f t="shared" si="22"/>
        <v>11.433333333333332</v>
      </c>
      <c r="AK17" s="59">
        <f t="shared" si="23"/>
        <v>0.96666666666666856</v>
      </c>
      <c r="AL17" s="60">
        <v>1</v>
      </c>
      <c r="AM17" s="61">
        <f t="shared" si="24"/>
        <v>7.45</v>
      </c>
      <c r="AN17" s="61">
        <f t="shared" si="25"/>
        <v>0.65160349854227417</v>
      </c>
      <c r="AO17" s="61">
        <f t="shared" si="26"/>
        <v>8.0798833819241995</v>
      </c>
      <c r="AP17" s="62">
        <f t="shared" si="27"/>
        <v>0.62988338192419957</v>
      </c>
      <c r="AQ17" s="59">
        <f t="shared" si="28"/>
        <v>48</v>
      </c>
      <c r="AR17" s="59">
        <f t="shared" si="29"/>
        <v>45.733333333333327</v>
      </c>
      <c r="AS17" s="63">
        <f t="shared" si="30"/>
        <v>3.8666666666666742</v>
      </c>
      <c r="AT17" s="60">
        <f t="shared" si="31"/>
        <v>201</v>
      </c>
      <c r="AU17" s="61">
        <f t="shared" si="32"/>
        <v>1497.45</v>
      </c>
      <c r="AV17" s="62">
        <f t="shared" si="33"/>
        <v>1497.45</v>
      </c>
      <c r="AW17" s="61">
        <f t="shared" si="34"/>
        <v>1624.0565597667642</v>
      </c>
      <c r="AX17" s="62">
        <f t="shared" si="35"/>
        <v>126.60655976676412</v>
      </c>
      <c r="AY17" s="64">
        <f t="shared" si="36"/>
        <v>7.7956989247311981E-2</v>
      </c>
    </row>
    <row r="18" spans="1:51" x14ac:dyDescent="0.35">
      <c r="A18" s="65">
        <v>46154</v>
      </c>
      <c r="B18" s="66" t="s">
        <v>79</v>
      </c>
      <c r="C18" s="73">
        <v>0.32500000000000001</v>
      </c>
      <c r="D18" s="73">
        <v>0.79166666666666663</v>
      </c>
      <c r="E18" s="67">
        <f t="shared" si="0"/>
        <v>12</v>
      </c>
      <c r="F18" s="67">
        <f t="shared" si="1"/>
        <v>11.2</v>
      </c>
      <c r="G18" s="67">
        <f t="shared" si="2"/>
        <v>1.0000000000000018</v>
      </c>
      <c r="H18" s="68">
        <v>58</v>
      </c>
      <c r="I18" s="69">
        <f t="shared" si="3"/>
        <v>432.1</v>
      </c>
      <c r="J18" s="69">
        <f t="shared" si="4"/>
        <v>38.580357142857146</v>
      </c>
      <c r="K18" s="69">
        <f t="shared" si="5"/>
        <v>470.68035714285725</v>
      </c>
      <c r="L18" s="70">
        <f t="shared" si="6"/>
        <v>38.580357142857217</v>
      </c>
      <c r="M18" s="73">
        <v>0.32500000000000001</v>
      </c>
      <c r="N18" s="73">
        <v>0.79166666666666663</v>
      </c>
      <c r="O18" s="67">
        <f t="shared" si="7"/>
        <v>12</v>
      </c>
      <c r="P18" s="67">
        <f t="shared" si="8"/>
        <v>11.2</v>
      </c>
      <c r="Q18" s="67">
        <f t="shared" si="9"/>
        <v>1.0000000000000018</v>
      </c>
      <c r="R18" s="68">
        <v>57</v>
      </c>
      <c r="S18" s="69">
        <f t="shared" si="10"/>
        <v>424.65000000000003</v>
      </c>
      <c r="T18" s="69">
        <f t="shared" si="11"/>
        <v>37.915178571428577</v>
      </c>
      <c r="U18" s="69">
        <f t="shared" si="12"/>
        <v>462.56517857142865</v>
      </c>
      <c r="V18" s="70">
        <f t="shared" si="13"/>
        <v>37.91517857142864</v>
      </c>
      <c r="W18" s="73">
        <v>0.32500000000000001</v>
      </c>
      <c r="X18" s="73">
        <v>0.79166666666666663</v>
      </c>
      <c r="Y18" s="67">
        <f t="shared" si="14"/>
        <v>12</v>
      </c>
      <c r="Z18" s="67">
        <f t="shared" si="15"/>
        <v>11.2</v>
      </c>
      <c r="AA18" s="67">
        <f t="shared" si="16"/>
        <v>1.0000000000000018</v>
      </c>
      <c r="AB18" s="68">
        <v>73</v>
      </c>
      <c r="AC18" s="69">
        <f t="shared" si="17"/>
        <v>543.85</v>
      </c>
      <c r="AD18" s="69">
        <f t="shared" si="18"/>
        <v>48.558035714285722</v>
      </c>
      <c r="AE18" s="69">
        <f t="shared" si="19"/>
        <v>592.4080357142858</v>
      </c>
      <c r="AF18" s="70">
        <f t="shared" si="20"/>
        <v>48.558035714285808</v>
      </c>
      <c r="AG18" s="73">
        <v>0.32500000000000001</v>
      </c>
      <c r="AH18" s="73">
        <v>0.75555555555555554</v>
      </c>
      <c r="AI18" s="67">
        <f t="shared" si="21"/>
        <v>12</v>
      </c>
      <c r="AJ18" s="67">
        <f t="shared" si="22"/>
        <v>10.333333333333332</v>
      </c>
      <c r="AK18" s="67">
        <f t="shared" si="23"/>
        <v>1.866666666666668</v>
      </c>
      <c r="AL18" s="68">
        <v>50</v>
      </c>
      <c r="AM18" s="69">
        <f t="shared" si="24"/>
        <v>372.5</v>
      </c>
      <c r="AN18" s="69">
        <f t="shared" si="25"/>
        <v>36.048387096774199</v>
      </c>
      <c r="AO18" s="69">
        <f t="shared" si="26"/>
        <v>439.79032258064524</v>
      </c>
      <c r="AP18" s="70">
        <f t="shared" si="27"/>
        <v>67.290322580645224</v>
      </c>
      <c r="AQ18" s="67">
        <f t="shared" si="28"/>
        <v>48</v>
      </c>
      <c r="AR18" s="67">
        <f t="shared" si="29"/>
        <v>43.933333333333323</v>
      </c>
      <c r="AS18" s="71">
        <f t="shared" si="30"/>
        <v>4.8666666666666734</v>
      </c>
      <c r="AT18" s="68">
        <f t="shared" si="31"/>
        <v>238</v>
      </c>
      <c r="AU18" s="69">
        <f t="shared" si="32"/>
        <v>1773.1000000000001</v>
      </c>
      <c r="AV18" s="70">
        <f t="shared" si="33"/>
        <v>1773.1</v>
      </c>
      <c r="AW18" s="69">
        <f t="shared" si="34"/>
        <v>1965.4438940092168</v>
      </c>
      <c r="AX18" s="70">
        <f t="shared" si="35"/>
        <v>192.34389400921691</v>
      </c>
      <c r="AY18" s="72">
        <f t="shared" si="36"/>
        <v>9.7862826100247324E-2</v>
      </c>
    </row>
    <row r="19" spans="1:51" x14ac:dyDescent="0.35">
      <c r="A19" s="56">
        <v>46155</v>
      </c>
      <c r="B19" s="57" t="s">
        <v>80</v>
      </c>
      <c r="C19" s="58">
        <v>0.30902777777777779</v>
      </c>
      <c r="D19" s="58">
        <v>0.75486111111111109</v>
      </c>
      <c r="E19" s="59">
        <f t="shared" si="0"/>
        <v>12</v>
      </c>
      <c r="F19" s="59">
        <f t="shared" si="1"/>
        <v>10.7</v>
      </c>
      <c r="G19" s="59">
        <f t="shared" si="2"/>
        <v>1.8833333333333346</v>
      </c>
      <c r="H19" s="60">
        <v>55</v>
      </c>
      <c r="I19" s="61">
        <f t="shared" si="3"/>
        <v>409.75</v>
      </c>
      <c r="J19" s="61">
        <f t="shared" si="4"/>
        <v>38.294392523364486</v>
      </c>
      <c r="K19" s="61">
        <f t="shared" si="5"/>
        <v>481.87110591900318</v>
      </c>
      <c r="L19" s="62">
        <f t="shared" si="6"/>
        <v>72.12110591900317</v>
      </c>
      <c r="M19" s="58">
        <v>0.30902777777777779</v>
      </c>
      <c r="N19" s="58">
        <v>0.79791666666666672</v>
      </c>
      <c r="O19" s="59">
        <f t="shared" si="7"/>
        <v>12</v>
      </c>
      <c r="P19" s="59">
        <f t="shared" si="8"/>
        <v>11.733333333333334</v>
      </c>
      <c r="Q19" s="59">
        <f t="shared" si="9"/>
        <v>0.84999999999999964</v>
      </c>
      <c r="R19" s="60">
        <v>59</v>
      </c>
      <c r="S19" s="61">
        <f t="shared" si="10"/>
        <v>439.55</v>
      </c>
      <c r="T19" s="61">
        <f t="shared" si="11"/>
        <v>37.461647727272727</v>
      </c>
      <c r="U19" s="61">
        <f t="shared" si="12"/>
        <v>471.39240056818181</v>
      </c>
      <c r="V19" s="62">
        <f t="shared" si="13"/>
        <v>31.842400568181805</v>
      </c>
      <c r="W19" s="58">
        <v>0.30902777777777779</v>
      </c>
      <c r="X19" s="58">
        <v>0.79791666666666672</v>
      </c>
      <c r="Y19" s="59">
        <f t="shared" si="14"/>
        <v>12</v>
      </c>
      <c r="Z19" s="59">
        <f t="shared" si="15"/>
        <v>11.733333333333334</v>
      </c>
      <c r="AA19" s="59">
        <f t="shared" si="16"/>
        <v>0.84999999999999964</v>
      </c>
      <c r="AB19" s="60">
        <v>66</v>
      </c>
      <c r="AC19" s="61">
        <f t="shared" si="17"/>
        <v>491.7</v>
      </c>
      <c r="AD19" s="61">
        <f t="shared" si="18"/>
        <v>41.906249999999993</v>
      </c>
      <c r="AE19" s="61">
        <f t="shared" si="19"/>
        <v>527.3203125</v>
      </c>
      <c r="AF19" s="62">
        <f t="shared" si="20"/>
        <v>35.620312499999976</v>
      </c>
      <c r="AG19" s="58">
        <v>0.30902777777777779</v>
      </c>
      <c r="AH19" s="58">
        <v>0.73055555555555551</v>
      </c>
      <c r="AI19" s="59">
        <f t="shared" si="21"/>
        <v>12</v>
      </c>
      <c r="AJ19" s="59">
        <f t="shared" si="22"/>
        <v>10.116666666666665</v>
      </c>
      <c r="AK19" s="59">
        <f t="shared" si="23"/>
        <v>2.4666666666666686</v>
      </c>
      <c r="AL19" s="60">
        <v>57</v>
      </c>
      <c r="AM19" s="61">
        <f t="shared" si="24"/>
        <v>424.65000000000003</v>
      </c>
      <c r="AN19" s="61">
        <f t="shared" si="25"/>
        <v>41.975288303130156</v>
      </c>
      <c r="AO19" s="61">
        <f t="shared" si="26"/>
        <v>528.18904448105445</v>
      </c>
      <c r="AP19" s="62">
        <f t="shared" si="27"/>
        <v>103.53904448105446</v>
      </c>
      <c r="AQ19" s="59">
        <f t="shared" si="28"/>
        <v>48</v>
      </c>
      <c r="AR19" s="59">
        <f t="shared" si="29"/>
        <v>44.283333333333339</v>
      </c>
      <c r="AS19" s="63">
        <f t="shared" si="30"/>
        <v>6.0500000000000025</v>
      </c>
      <c r="AT19" s="60">
        <f t="shared" si="31"/>
        <v>237</v>
      </c>
      <c r="AU19" s="61">
        <f t="shared" si="32"/>
        <v>1765.65</v>
      </c>
      <c r="AV19" s="62">
        <f t="shared" si="33"/>
        <v>1765.65</v>
      </c>
      <c r="AW19" s="61">
        <f t="shared" si="34"/>
        <v>2008.7728634682394</v>
      </c>
      <c r="AX19" s="62">
        <f t="shared" si="35"/>
        <v>243.12286346823942</v>
      </c>
      <c r="AY19" s="64">
        <f t="shared" si="36"/>
        <v>0.12103053953470704</v>
      </c>
    </row>
    <row r="20" spans="1:51" x14ac:dyDescent="0.35">
      <c r="A20" s="65">
        <v>46156</v>
      </c>
      <c r="B20" s="66" t="s">
        <v>81</v>
      </c>
      <c r="C20" s="73">
        <v>0.3125</v>
      </c>
      <c r="D20" s="73">
        <v>0.82638888888888884</v>
      </c>
      <c r="E20" s="67">
        <f t="shared" si="0"/>
        <v>12</v>
      </c>
      <c r="F20" s="67">
        <f t="shared" si="1"/>
        <v>12.333333333333332</v>
      </c>
      <c r="G20" s="67">
        <f t="shared" si="2"/>
        <v>0.16666666666666874</v>
      </c>
      <c r="H20" s="68">
        <v>64</v>
      </c>
      <c r="I20" s="69">
        <f t="shared" si="3"/>
        <v>476.8</v>
      </c>
      <c r="J20" s="69">
        <f t="shared" si="4"/>
        <v>38.659459459459462</v>
      </c>
      <c r="K20" s="69">
        <f t="shared" si="5"/>
        <v>483.24324324324334</v>
      </c>
      <c r="L20" s="70">
        <f t="shared" si="6"/>
        <v>6.443243243243324</v>
      </c>
      <c r="M20" s="73">
        <v>0.3125</v>
      </c>
      <c r="N20" s="73">
        <v>0.82638888888888884</v>
      </c>
      <c r="O20" s="67">
        <f t="shared" si="7"/>
        <v>12</v>
      </c>
      <c r="P20" s="67">
        <f t="shared" si="8"/>
        <v>12.333333333333332</v>
      </c>
      <c r="Q20" s="67">
        <f t="shared" si="9"/>
        <v>0.16666666666666874</v>
      </c>
      <c r="R20" s="68">
        <v>63</v>
      </c>
      <c r="S20" s="69">
        <f t="shared" si="10"/>
        <v>469.35</v>
      </c>
      <c r="T20" s="69">
        <f t="shared" si="11"/>
        <v>38.055405405405409</v>
      </c>
      <c r="U20" s="69">
        <f t="shared" si="12"/>
        <v>475.69256756756766</v>
      </c>
      <c r="V20" s="70">
        <f t="shared" si="13"/>
        <v>6.3425675675676469</v>
      </c>
      <c r="W20" s="73">
        <v>0.3125</v>
      </c>
      <c r="X20" s="73">
        <v>0.7583333333333333</v>
      </c>
      <c r="Y20" s="67">
        <f t="shared" si="14"/>
        <v>12</v>
      </c>
      <c r="Z20" s="67">
        <f t="shared" si="15"/>
        <v>10.7</v>
      </c>
      <c r="AA20" s="67">
        <f t="shared" si="16"/>
        <v>1.8000000000000016</v>
      </c>
      <c r="AB20" s="68">
        <v>61</v>
      </c>
      <c r="AC20" s="69">
        <f t="shared" si="17"/>
        <v>454.45</v>
      </c>
      <c r="AD20" s="69">
        <f t="shared" si="18"/>
        <v>42.471962616822431</v>
      </c>
      <c r="AE20" s="69">
        <f t="shared" si="19"/>
        <v>530.89953271028048</v>
      </c>
      <c r="AF20" s="70">
        <f t="shared" si="20"/>
        <v>76.449532710280437</v>
      </c>
      <c r="AG20" s="73">
        <v>0.3125</v>
      </c>
      <c r="AH20" s="73">
        <v>0.7583333333333333</v>
      </c>
      <c r="AI20" s="67">
        <f t="shared" si="21"/>
        <v>12</v>
      </c>
      <c r="AJ20" s="67">
        <f t="shared" si="22"/>
        <v>10.7</v>
      </c>
      <c r="AK20" s="67">
        <f t="shared" si="23"/>
        <v>1.8000000000000016</v>
      </c>
      <c r="AL20" s="68">
        <v>55</v>
      </c>
      <c r="AM20" s="69">
        <f t="shared" si="24"/>
        <v>409.75</v>
      </c>
      <c r="AN20" s="69">
        <f t="shared" si="25"/>
        <v>38.294392523364486</v>
      </c>
      <c r="AO20" s="69">
        <f t="shared" si="26"/>
        <v>478.67990654205613</v>
      </c>
      <c r="AP20" s="70">
        <f t="shared" si="27"/>
        <v>68.929906542056131</v>
      </c>
      <c r="AQ20" s="67">
        <f t="shared" si="28"/>
        <v>48</v>
      </c>
      <c r="AR20" s="67">
        <f t="shared" si="29"/>
        <v>46.066666666666663</v>
      </c>
      <c r="AS20" s="71">
        <f t="shared" si="30"/>
        <v>3.9333333333333407</v>
      </c>
      <c r="AT20" s="68">
        <f t="shared" si="31"/>
        <v>243</v>
      </c>
      <c r="AU20" s="69">
        <f t="shared" si="32"/>
        <v>1810.3500000000001</v>
      </c>
      <c r="AV20" s="70">
        <f t="shared" si="33"/>
        <v>1810.3500000000001</v>
      </c>
      <c r="AW20" s="69">
        <f t="shared" si="34"/>
        <v>1968.5152500631477</v>
      </c>
      <c r="AX20" s="70">
        <f t="shared" si="35"/>
        <v>158.16525006314754</v>
      </c>
      <c r="AY20" s="72">
        <f t="shared" si="36"/>
        <v>8.0347485272503613E-2</v>
      </c>
    </row>
    <row r="21" spans="1:51" x14ac:dyDescent="0.35">
      <c r="A21" s="56">
        <v>46157</v>
      </c>
      <c r="B21" s="57" t="s">
        <v>75</v>
      </c>
      <c r="C21" s="58">
        <v>0.3125</v>
      </c>
      <c r="D21" s="58">
        <v>0.79791666666666672</v>
      </c>
      <c r="E21" s="59">
        <f t="shared" si="0"/>
        <v>12</v>
      </c>
      <c r="F21" s="59">
        <f t="shared" si="1"/>
        <v>11.650000000000002</v>
      </c>
      <c r="G21" s="59">
        <f t="shared" si="2"/>
        <v>0.84999999999999964</v>
      </c>
      <c r="H21" s="60">
        <v>62</v>
      </c>
      <c r="I21" s="61">
        <f t="shared" si="3"/>
        <v>461.90000000000003</v>
      </c>
      <c r="J21" s="61">
        <f t="shared" si="4"/>
        <v>39.648068669527895</v>
      </c>
      <c r="K21" s="61">
        <f t="shared" si="5"/>
        <v>495.60085836909872</v>
      </c>
      <c r="L21" s="62">
        <f t="shared" si="6"/>
        <v>33.700858369098697</v>
      </c>
      <c r="M21" s="58">
        <v>0.3125</v>
      </c>
      <c r="N21" s="58">
        <v>0.83333333333333337</v>
      </c>
      <c r="O21" s="59">
        <f t="shared" si="7"/>
        <v>12</v>
      </c>
      <c r="P21" s="59">
        <f t="shared" si="8"/>
        <v>12.5</v>
      </c>
      <c r="Q21" s="59">
        <f t="shared" si="9"/>
        <v>0</v>
      </c>
      <c r="R21" s="60">
        <v>66</v>
      </c>
      <c r="S21" s="61">
        <f t="shared" si="10"/>
        <v>491.7</v>
      </c>
      <c r="T21" s="61">
        <f t="shared" si="11"/>
        <v>39.335999999999999</v>
      </c>
      <c r="U21" s="61">
        <f t="shared" si="12"/>
        <v>491.7</v>
      </c>
      <c r="V21" s="62">
        <f t="shared" si="13"/>
        <v>0</v>
      </c>
      <c r="W21" s="58">
        <v>0.3125</v>
      </c>
      <c r="X21" s="58">
        <v>0.79791666666666672</v>
      </c>
      <c r="Y21" s="59">
        <f t="shared" si="14"/>
        <v>12</v>
      </c>
      <c r="Z21" s="59">
        <f t="shared" si="15"/>
        <v>11.650000000000002</v>
      </c>
      <c r="AA21" s="59">
        <f t="shared" si="16"/>
        <v>0.84999999999999964</v>
      </c>
      <c r="AB21" s="60">
        <v>66</v>
      </c>
      <c r="AC21" s="61">
        <f t="shared" si="17"/>
        <v>491.7</v>
      </c>
      <c r="AD21" s="61">
        <f t="shared" si="18"/>
        <v>42.206008583690981</v>
      </c>
      <c r="AE21" s="61">
        <f t="shared" si="19"/>
        <v>527.57510729613728</v>
      </c>
      <c r="AF21" s="62">
        <f t="shared" si="20"/>
        <v>35.875107296137315</v>
      </c>
      <c r="AG21" s="58">
        <v>0.3125</v>
      </c>
      <c r="AH21" s="58">
        <v>0.71250000000000002</v>
      </c>
      <c r="AI21" s="59">
        <f t="shared" si="21"/>
        <v>12</v>
      </c>
      <c r="AJ21" s="59">
        <f t="shared" si="22"/>
        <v>9.6000000000000014</v>
      </c>
      <c r="AK21" s="59">
        <f t="shared" si="23"/>
        <v>2.9000000000000004</v>
      </c>
      <c r="AL21" s="60">
        <v>51</v>
      </c>
      <c r="AM21" s="61">
        <f t="shared" si="24"/>
        <v>379.95</v>
      </c>
      <c r="AN21" s="61">
        <f t="shared" si="25"/>
        <v>39.578124999999993</v>
      </c>
      <c r="AO21" s="61">
        <f t="shared" si="26"/>
        <v>494.7265625</v>
      </c>
      <c r="AP21" s="62">
        <f t="shared" si="27"/>
        <v>114.7765625</v>
      </c>
      <c r="AQ21" s="59">
        <f t="shared" si="28"/>
        <v>48</v>
      </c>
      <c r="AR21" s="59">
        <f t="shared" si="29"/>
        <v>45.400000000000006</v>
      </c>
      <c r="AS21" s="63">
        <f t="shared" si="30"/>
        <v>4.5999999999999996</v>
      </c>
      <c r="AT21" s="60">
        <f t="shared" si="31"/>
        <v>245</v>
      </c>
      <c r="AU21" s="61">
        <f t="shared" si="32"/>
        <v>1825.25</v>
      </c>
      <c r="AV21" s="62">
        <f t="shared" si="33"/>
        <v>1825.25</v>
      </c>
      <c r="AW21" s="61">
        <f t="shared" si="34"/>
        <v>2009.602528165236</v>
      </c>
      <c r="AX21" s="62">
        <f t="shared" si="35"/>
        <v>184.35252816523601</v>
      </c>
      <c r="AY21" s="64">
        <f t="shared" si="36"/>
        <v>9.1735816203191975E-2</v>
      </c>
    </row>
    <row r="22" spans="1:51" x14ac:dyDescent="0.35">
      <c r="A22" s="65">
        <v>46158</v>
      </c>
      <c r="B22" s="66" t="s">
        <v>76</v>
      </c>
      <c r="C22" s="73">
        <v>0.3125</v>
      </c>
      <c r="D22" s="73">
        <v>0.58333333333333337</v>
      </c>
      <c r="E22" s="67">
        <f t="shared" si="0"/>
        <v>6</v>
      </c>
      <c r="F22" s="67">
        <f t="shared" si="1"/>
        <v>6.5000000000000009</v>
      </c>
      <c r="G22" s="67">
        <f t="shared" si="2"/>
        <v>0</v>
      </c>
      <c r="H22" s="68">
        <v>14</v>
      </c>
      <c r="I22" s="69">
        <f t="shared" si="3"/>
        <v>104.3</v>
      </c>
      <c r="J22" s="69">
        <f t="shared" si="4"/>
        <v>16.046153846153842</v>
      </c>
      <c r="K22" s="69">
        <f t="shared" si="5"/>
        <v>104.3</v>
      </c>
      <c r="L22" s="70">
        <f t="shared" si="6"/>
        <v>0</v>
      </c>
      <c r="M22" s="73">
        <v>0.3125</v>
      </c>
      <c r="N22" s="73">
        <v>0.58333333333333337</v>
      </c>
      <c r="O22" s="67">
        <f t="shared" si="7"/>
        <v>6</v>
      </c>
      <c r="P22" s="67">
        <f t="shared" si="8"/>
        <v>6.5000000000000009</v>
      </c>
      <c r="Q22" s="67">
        <f t="shared" si="9"/>
        <v>0</v>
      </c>
      <c r="R22" s="68">
        <v>1</v>
      </c>
      <c r="S22" s="69">
        <f t="shared" si="10"/>
        <v>7.45</v>
      </c>
      <c r="T22" s="69">
        <f t="shared" si="11"/>
        <v>1.1461538461538461</v>
      </c>
      <c r="U22" s="69">
        <f t="shared" si="12"/>
        <v>7.45</v>
      </c>
      <c r="V22" s="70">
        <f t="shared" si="13"/>
        <v>0</v>
      </c>
      <c r="W22" s="73">
        <v>0.3125</v>
      </c>
      <c r="X22" s="73">
        <v>0.58333333333333337</v>
      </c>
      <c r="Y22" s="67">
        <f t="shared" si="14"/>
        <v>6</v>
      </c>
      <c r="Z22" s="67">
        <f t="shared" si="15"/>
        <v>6.5000000000000009</v>
      </c>
      <c r="AA22" s="67">
        <f t="shared" si="16"/>
        <v>0</v>
      </c>
      <c r="AB22" s="68">
        <v>1</v>
      </c>
      <c r="AC22" s="69">
        <f t="shared" si="17"/>
        <v>7.45</v>
      </c>
      <c r="AD22" s="69">
        <f t="shared" si="18"/>
        <v>1.1461538461538461</v>
      </c>
      <c r="AE22" s="69">
        <f t="shared" si="19"/>
        <v>7.45</v>
      </c>
      <c r="AF22" s="70">
        <f t="shared" si="20"/>
        <v>0</v>
      </c>
      <c r="AG22" s="73">
        <v>0.3125</v>
      </c>
      <c r="AH22" s="73">
        <v>0.58333333333333337</v>
      </c>
      <c r="AI22" s="67">
        <f t="shared" si="21"/>
        <v>6</v>
      </c>
      <c r="AJ22" s="67">
        <f t="shared" si="22"/>
        <v>6.5000000000000009</v>
      </c>
      <c r="AK22" s="67">
        <f t="shared" si="23"/>
        <v>0</v>
      </c>
      <c r="AL22" s="68">
        <v>0</v>
      </c>
      <c r="AM22" s="69">
        <f t="shared" si="24"/>
        <v>0</v>
      </c>
      <c r="AN22" s="69">
        <f t="shared" si="25"/>
        <v>0</v>
      </c>
      <c r="AO22" s="69">
        <f t="shared" si="26"/>
        <v>0</v>
      </c>
      <c r="AP22" s="70">
        <f t="shared" si="27"/>
        <v>0</v>
      </c>
      <c r="AQ22" s="67">
        <f t="shared" si="28"/>
        <v>24</v>
      </c>
      <c r="AR22" s="67">
        <f t="shared" si="29"/>
        <v>26.000000000000004</v>
      </c>
      <c r="AS22" s="71">
        <f t="shared" si="30"/>
        <v>0</v>
      </c>
      <c r="AT22" s="68">
        <f t="shared" si="31"/>
        <v>16</v>
      </c>
      <c r="AU22" s="69">
        <f t="shared" si="32"/>
        <v>119.2</v>
      </c>
      <c r="AV22" s="70">
        <f t="shared" si="33"/>
        <v>119.2</v>
      </c>
      <c r="AW22" s="69">
        <f t="shared" si="34"/>
        <v>119.2</v>
      </c>
      <c r="AX22" s="70">
        <f t="shared" si="35"/>
        <v>0</v>
      </c>
      <c r="AY22" s="72">
        <f t="shared" si="36"/>
        <v>0</v>
      </c>
    </row>
    <row r="23" spans="1:51" x14ac:dyDescent="0.35">
      <c r="A23" s="56">
        <v>46159</v>
      </c>
      <c r="B23" s="57" t="s">
        <v>77</v>
      </c>
      <c r="C23" s="57" t="s">
        <v>82</v>
      </c>
      <c r="D23" s="57" t="s">
        <v>82</v>
      </c>
      <c r="E23" s="59">
        <f t="shared" si="0"/>
        <v>0</v>
      </c>
      <c r="F23" s="59">
        <f t="shared" si="1"/>
        <v>0</v>
      </c>
      <c r="G23" s="59">
        <f t="shared" si="2"/>
        <v>0</v>
      </c>
      <c r="H23" s="60">
        <v>1</v>
      </c>
      <c r="I23" s="61">
        <f t="shared" si="3"/>
        <v>7.45</v>
      </c>
      <c r="J23" s="61">
        <f t="shared" si="4"/>
        <v>0</v>
      </c>
      <c r="K23" s="61">
        <f t="shared" si="5"/>
        <v>7.45</v>
      </c>
      <c r="L23" s="62">
        <f t="shared" si="6"/>
        <v>0</v>
      </c>
      <c r="M23" s="57" t="s">
        <v>82</v>
      </c>
      <c r="N23" s="57" t="s">
        <v>82</v>
      </c>
      <c r="O23" s="59">
        <f t="shared" si="7"/>
        <v>0</v>
      </c>
      <c r="P23" s="59">
        <f t="shared" si="8"/>
        <v>0</v>
      </c>
      <c r="Q23" s="59">
        <f t="shared" si="9"/>
        <v>0</v>
      </c>
      <c r="R23" s="60">
        <v>1</v>
      </c>
      <c r="S23" s="61">
        <f t="shared" si="10"/>
        <v>7.45</v>
      </c>
      <c r="T23" s="61">
        <f t="shared" si="11"/>
        <v>0</v>
      </c>
      <c r="U23" s="61">
        <f t="shared" si="12"/>
        <v>7.45</v>
      </c>
      <c r="V23" s="62">
        <f t="shared" si="13"/>
        <v>0</v>
      </c>
      <c r="W23" s="57" t="s">
        <v>82</v>
      </c>
      <c r="X23" s="57" t="s">
        <v>82</v>
      </c>
      <c r="Y23" s="59">
        <f t="shared" si="14"/>
        <v>0</v>
      </c>
      <c r="Z23" s="59">
        <f t="shared" si="15"/>
        <v>0</v>
      </c>
      <c r="AA23" s="59">
        <f t="shared" si="16"/>
        <v>0</v>
      </c>
      <c r="AB23" s="60">
        <v>0</v>
      </c>
      <c r="AC23" s="61">
        <f t="shared" si="17"/>
        <v>0</v>
      </c>
      <c r="AD23" s="61">
        <f t="shared" si="18"/>
        <v>0</v>
      </c>
      <c r="AE23" s="61">
        <f t="shared" si="19"/>
        <v>0</v>
      </c>
      <c r="AF23" s="62">
        <f t="shared" si="20"/>
        <v>0</v>
      </c>
      <c r="AG23" s="57" t="s">
        <v>82</v>
      </c>
      <c r="AH23" s="57" t="s">
        <v>82</v>
      </c>
      <c r="AI23" s="59">
        <f t="shared" si="21"/>
        <v>0</v>
      </c>
      <c r="AJ23" s="59">
        <f t="shared" si="22"/>
        <v>0</v>
      </c>
      <c r="AK23" s="59">
        <f t="shared" si="23"/>
        <v>0</v>
      </c>
      <c r="AL23" s="60">
        <v>1</v>
      </c>
      <c r="AM23" s="61">
        <f t="shared" si="24"/>
        <v>7.45</v>
      </c>
      <c r="AN23" s="61">
        <f t="shared" si="25"/>
        <v>0</v>
      </c>
      <c r="AO23" s="61">
        <f t="shared" si="26"/>
        <v>7.45</v>
      </c>
      <c r="AP23" s="62">
        <f t="shared" si="27"/>
        <v>0</v>
      </c>
      <c r="AQ23" s="59">
        <f t="shared" si="28"/>
        <v>0</v>
      </c>
      <c r="AR23" s="59">
        <f t="shared" si="29"/>
        <v>0</v>
      </c>
      <c r="AS23" s="63">
        <f t="shared" si="30"/>
        <v>0</v>
      </c>
      <c r="AT23" s="60">
        <f t="shared" si="31"/>
        <v>3</v>
      </c>
      <c r="AU23" s="61">
        <f t="shared" si="32"/>
        <v>22.35</v>
      </c>
      <c r="AV23" s="62">
        <f t="shared" si="33"/>
        <v>22.35</v>
      </c>
      <c r="AW23" s="61">
        <f t="shared" si="34"/>
        <v>22.35</v>
      </c>
      <c r="AX23" s="62">
        <f t="shared" si="35"/>
        <v>0</v>
      </c>
      <c r="AY23" s="64">
        <f t="shared" si="36"/>
        <v>0</v>
      </c>
    </row>
    <row r="24" spans="1:51" x14ac:dyDescent="0.35">
      <c r="A24" s="65">
        <v>46160</v>
      </c>
      <c r="B24" s="66" t="s">
        <v>78</v>
      </c>
      <c r="C24" s="73">
        <v>0.2986111111111111</v>
      </c>
      <c r="D24" s="73">
        <v>0.79861111111111116</v>
      </c>
      <c r="E24" s="67">
        <f t="shared" si="0"/>
        <v>12</v>
      </c>
      <c r="F24" s="67">
        <f t="shared" si="1"/>
        <v>12</v>
      </c>
      <c r="G24" s="67">
        <f t="shared" si="2"/>
        <v>0.83333333333333304</v>
      </c>
      <c r="H24" s="68">
        <v>69</v>
      </c>
      <c r="I24" s="69">
        <f t="shared" si="3"/>
        <v>514.05000000000007</v>
      </c>
      <c r="J24" s="69">
        <f t="shared" si="4"/>
        <v>42.837500000000006</v>
      </c>
      <c r="K24" s="69">
        <f t="shared" si="5"/>
        <v>549.7479166666667</v>
      </c>
      <c r="L24" s="70">
        <f t="shared" si="6"/>
        <v>35.697916666666657</v>
      </c>
      <c r="M24" s="73">
        <v>0.2986111111111111</v>
      </c>
      <c r="N24" s="73">
        <v>0.83333333333333337</v>
      </c>
      <c r="O24" s="67">
        <f t="shared" si="7"/>
        <v>12</v>
      </c>
      <c r="P24" s="67">
        <f t="shared" si="8"/>
        <v>12.833333333333336</v>
      </c>
      <c r="Q24" s="67">
        <f t="shared" si="9"/>
        <v>0</v>
      </c>
      <c r="R24" s="68">
        <v>69</v>
      </c>
      <c r="S24" s="69">
        <f t="shared" si="10"/>
        <v>514.05000000000007</v>
      </c>
      <c r="T24" s="69">
        <f t="shared" si="11"/>
        <v>40.055844155844156</v>
      </c>
      <c r="U24" s="69">
        <f t="shared" si="12"/>
        <v>514.05000000000007</v>
      </c>
      <c r="V24" s="70">
        <f t="shared" si="13"/>
        <v>0</v>
      </c>
      <c r="W24" s="73">
        <v>0.2986111111111111</v>
      </c>
      <c r="X24" s="73">
        <v>0.76736111111111116</v>
      </c>
      <c r="Y24" s="67">
        <f t="shared" si="14"/>
        <v>12</v>
      </c>
      <c r="Z24" s="67">
        <f t="shared" si="15"/>
        <v>11.250000000000002</v>
      </c>
      <c r="AA24" s="67">
        <f t="shared" si="16"/>
        <v>1.583333333333333</v>
      </c>
      <c r="AB24" s="68">
        <v>65</v>
      </c>
      <c r="AC24" s="69">
        <f t="shared" si="17"/>
        <v>484.25</v>
      </c>
      <c r="AD24" s="69">
        <f t="shared" si="18"/>
        <v>43.044444444444437</v>
      </c>
      <c r="AE24" s="69">
        <f t="shared" si="19"/>
        <v>552.40370370370374</v>
      </c>
      <c r="AF24" s="70">
        <f t="shared" si="20"/>
        <v>68.153703703703684</v>
      </c>
      <c r="AG24" s="73">
        <v>0.2986111111111111</v>
      </c>
      <c r="AH24" s="73">
        <v>0.75763888888888886</v>
      </c>
      <c r="AI24" s="67">
        <f t="shared" si="21"/>
        <v>12</v>
      </c>
      <c r="AJ24" s="67">
        <f t="shared" si="22"/>
        <v>11.016666666666666</v>
      </c>
      <c r="AK24" s="67">
        <f t="shared" si="23"/>
        <v>1.8166666666666682</v>
      </c>
      <c r="AL24" s="68">
        <v>64</v>
      </c>
      <c r="AM24" s="69">
        <f t="shared" si="24"/>
        <v>476.8</v>
      </c>
      <c r="AN24" s="69">
        <f t="shared" si="25"/>
        <v>43.279878971255677</v>
      </c>
      <c r="AO24" s="69">
        <f t="shared" si="26"/>
        <v>555.42511346444792</v>
      </c>
      <c r="AP24" s="70">
        <f t="shared" si="27"/>
        <v>78.625113464447878</v>
      </c>
      <c r="AQ24" s="67">
        <f t="shared" si="28"/>
        <v>48</v>
      </c>
      <c r="AR24" s="67">
        <f t="shared" si="29"/>
        <v>47.1</v>
      </c>
      <c r="AS24" s="71">
        <f t="shared" si="30"/>
        <v>4.2333333333333343</v>
      </c>
      <c r="AT24" s="68">
        <f t="shared" si="31"/>
        <v>267</v>
      </c>
      <c r="AU24" s="69">
        <f t="shared" si="32"/>
        <v>1989.15</v>
      </c>
      <c r="AV24" s="70">
        <f t="shared" si="33"/>
        <v>1989.15</v>
      </c>
      <c r="AW24" s="69">
        <f t="shared" si="34"/>
        <v>2171.6267338348184</v>
      </c>
      <c r="AX24" s="70">
        <f t="shared" si="35"/>
        <v>182.47673383481822</v>
      </c>
      <c r="AY24" s="72">
        <f t="shared" si="36"/>
        <v>8.4027669668897173E-2</v>
      </c>
    </row>
    <row r="25" spans="1:51" x14ac:dyDescent="0.35">
      <c r="A25" s="56">
        <v>46161</v>
      </c>
      <c r="B25" s="57" t="s">
        <v>79</v>
      </c>
      <c r="C25" s="58">
        <v>0.31597222222222221</v>
      </c>
      <c r="D25" s="58">
        <v>0.77430555555555558</v>
      </c>
      <c r="E25" s="59">
        <f t="shared" si="0"/>
        <v>12</v>
      </c>
      <c r="F25" s="59">
        <f t="shared" si="1"/>
        <v>11</v>
      </c>
      <c r="G25" s="59">
        <f t="shared" si="2"/>
        <v>1.416666666666667</v>
      </c>
      <c r="H25" s="60">
        <v>90</v>
      </c>
      <c r="I25" s="61">
        <f t="shared" si="3"/>
        <v>670.5</v>
      </c>
      <c r="J25" s="61">
        <f t="shared" si="4"/>
        <v>60.954545454545453</v>
      </c>
      <c r="K25" s="61">
        <f t="shared" si="5"/>
        <v>756.85227272727275</v>
      </c>
      <c r="L25" s="62">
        <f t="shared" si="6"/>
        <v>86.352272727272748</v>
      </c>
      <c r="M25" s="58">
        <v>0.31597222222222221</v>
      </c>
      <c r="N25" s="58">
        <v>0.80208333333333337</v>
      </c>
      <c r="O25" s="59">
        <f t="shared" si="7"/>
        <v>12</v>
      </c>
      <c r="P25" s="59">
        <f t="shared" si="8"/>
        <v>11.666666666666668</v>
      </c>
      <c r="Q25" s="59">
        <f t="shared" si="9"/>
        <v>0.75</v>
      </c>
      <c r="R25" s="60">
        <v>65</v>
      </c>
      <c r="S25" s="61">
        <f t="shared" si="10"/>
        <v>484.25</v>
      </c>
      <c r="T25" s="61">
        <f t="shared" si="11"/>
        <v>41.507142857142853</v>
      </c>
      <c r="U25" s="61">
        <f t="shared" si="12"/>
        <v>515.38035714285718</v>
      </c>
      <c r="V25" s="62">
        <f t="shared" si="13"/>
        <v>31.13035714285714</v>
      </c>
      <c r="W25" s="58">
        <v>0.31597222222222221</v>
      </c>
      <c r="X25" s="58">
        <v>0.73611111111111116</v>
      </c>
      <c r="Y25" s="59">
        <f t="shared" si="14"/>
        <v>12</v>
      </c>
      <c r="Z25" s="59">
        <f t="shared" si="15"/>
        <v>10.083333333333336</v>
      </c>
      <c r="AA25" s="59">
        <f t="shared" si="16"/>
        <v>2.333333333333333</v>
      </c>
      <c r="AB25" s="60">
        <v>58</v>
      </c>
      <c r="AC25" s="61">
        <f t="shared" si="17"/>
        <v>432.1</v>
      </c>
      <c r="AD25" s="61">
        <f t="shared" si="18"/>
        <v>42.852892561983467</v>
      </c>
      <c r="AE25" s="61">
        <f t="shared" si="19"/>
        <v>532.09008264462807</v>
      </c>
      <c r="AF25" s="62">
        <f t="shared" si="20"/>
        <v>99.990082644628075</v>
      </c>
      <c r="AG25" s="58">
        <v>0.31597222222222221</v>
      </c>
      <c r="AH25" s="58">
        <v>0.71458333333333335</v>
      </c>
      <c r="AI25" s="59">
        <f t="shared" si="21"/>
        <v>12</v>
      </c>
      <c r="AJ25" s="59">
        <f t="shared" si="22"/>
        <v>9.5666666666666664</v>
      </c>
      <c r="AK25" s="59">
        <f t="shared" si="23"/>
        <v>2.8500000000000005</v>
      </c>
      <c r="AL25" s="60">
        <v>50</v>
      </c>
      <c r="AM25" s="61">
        <f t="shared" si="24"/>
        <v>372.5</v>
      </c>
      <c r="AN25" s="61">
        <f t="shared" si="25"/>
        <v>38.937282229965156</v>
      </c>
      <c r="AO25" s="61">
        <f t="shared" si="26"/>
        <v>483.47125435540073</v>
      </c>
      <c r="AP25" s="62">
        <f t="shared" si="27"/>
        <v>110.97125435540072</v>
      </c>
      <c r="AQ25" s="59">
        <f t="shared" si="28"/>
        <v>48</v>
      </c>
      <c r="AR25" s="59">
        <f t="shared" si="29"/>
        <v>42.316666666666663</v>
      </c>
      <c r="AS25" s="63">
        <f t="shared" si="30"/>
        <v>7.3500000000000005</v>
      </c>
      <c r="AT25" s="60">
        <f t="shared" si="31"/>
        <v>263</v>
      </c>
      <c r="AU25" s="61">
        <f t="shared" si="32"/>
        <v>1959.3500000000001</v>
      </c>
      <c r="AV25" s="62">
        <f t="shared" si="33"/>
        <v>1959.35</v>
      </c>
      <c r="AW25" s="61">
        <f t="shared" si="34"/>
        <v>2287.7939668701588</v>
      </c>
      <c r="AX25" s="62">
        <f t="shared" si="35"/>
        <v>328.4439668701587</v>
      </c>
      <c r="AY25" s="64">
        <f t="shared" si="36"/>
        <v>0.14356361264449438</v>
      </c>
    </row>
    <row r="26" spans="1:51" x14ac:dyDescent="0.35">
      <c r="A26" s="65">
        <v>46162</v>
      </c>
      <c r="B26" s="66" t="s">
        <v>80</v>
      </c>
      <c r="C26" s="73">
        <v>0.31805555555555548</v>
      </c>
      <c r="D26" s="73">
        <v>0.79513888888888884</v>
      </c>
      <c r="E26" s="67">
        <f t="shared" si="0"/>
        <v>12</v>
      </c>
      <c r="F26" s="67">
        <f t="shared" si="1"/>
        <v>11.450000000000001</v>
      </c>
      <c r="G26" s="67">
        <f t="shared" si="2"/>
        <v>0.91666666666666874</v>
      </c>
      <c r="H26" s="68">
        <v>81</v>
      </c>
      <c r="I26" s="69">
        <f t="shared" si="3"/>
        <v>603.45000000000005</v>
      </c>
      <c r="J26" s="69">
        <f t="shared" si="4"/>
        <v>52.703056768558952</v>
      </c>
      <c r="K26" s="69">
        <f t="shared" si="5"/>
        <v>651.76113537117919</v>
      </c>
      <c r="L26" s="70">
        <f t="shared" si="6"/>
        <v>48.311135371179148</v>
      </c>
      <c r="M26" s="73">
        <v>0.31805555555555548</v>
      </c>
      <c r="N26" s="73">
        <v>0.79513888888888884</v>
      </c>
      <c r="O26" s="67">
        <f t="shared" si="7"/>
        <v>12</v>
      </c>
      <c r="P26" s="67">
        <f t="shared" si="8"/>
        <v>11.450000000000001</v>
      </c>
      <c r="Q26" s="67">
        <f t="shared" si="9"/>
        <v>0.91666666666666874</v>
      </c>
      <c r="R26" s="68">
        <v>62</v>
      </c>
      <c r="S26" s="69">
        <f t="shared" si="10"/>
        <v>461.90000000000003</v>
      </c>
      <c r="T26" s="69">
        <f t="shared" si="11"/>
        <v>40.340611353711786</v>
      </c>
      <c r="U26" s="69">
        <f t="shared" si="12"/>
        <v>498.87889374090258</v>
      </c>
      <c r="V26" s="70">
        <f t="shared" si="13"/>
        <v>36.978893740902556</v>
      </c>
      <c r="W26" s="73">
        <v>0.31805555555555548</v>
      </c>
      <c r="X26" s="73">
        <v>0.76736111111111116</v>
      </c>
      <c r="Y26" s="67">
        <f t="shared" si="14"/>
        <v>12</v>
      </c>
      <c r="Z26" s="67">
        <f t="shared" si="15"/>
        <v>10.783333333333337</v>
      </c>
      <c r="AA26" s="67">
        <f t="shared" si="16"/>
        <v>1.583333333333333</v>
      </c>
      <c r="AB26" s="68">
        <v>61</v>
      </c>
      <c r="AC26" s="69">
        <f t="shared" si="17"/>
        <v>454.45</v>
      </c>
      <c r="AD26" s="69">
        <f t="shared" si="18"/>
        <v>42.143740340030895</v>
      </c>
      <c r="AE26" s="69">
        <f t="shared" si="19"/>
        <v>521.17758887171556</v>
      </c>
      <c r="AF26" s="70">
        <f t="shared" si="20"/>
        <v>66.727588871715568</v>
      </c>
      <c r="AG26" s="73">
        <v>0.31805555555555548</v>
      </c>
      <c r="AH26" s="73">
        <v>0.76736111111111116</v>
      </c>
      <c r="AI26" s="67">
        <f t="shared" si="21"/>
        <v>12</v>
      </c>
      <c r="AJ26" s="67">
        <f t="shared" si="22"/>
        <v>10.783333333333337</v>
      </c>
      <c r="AK26" s="67">
        <f t="shared" si="23"/>
        <v>1.583333333333333</v>
      </c>
      <c r="AL26" s="68">
        <v>63</v>
      </c>
      <c r="AM26" s="69">
        <f t="shared" si="24"/>
        <v>469.35</v>
      </c>
      <c r="AN26" s="69">
        <f t="shared" si="25"/>
        <v>43.525502318392569</v>
      </c>
      <c r="AO26" s="69">
        <f t="shared" si="26"/>
        <v>538.26537867078821</v>
      </c>
      <c r="AP26" s="70">
        <f t="shared" si="27"/>
        <v>68.915378670788215</v>
      </c>
      <c r="AQ26" s="67">
        <f t="shared" si="28"/>
        <v>48</v>
      </c>
      <c r="AR26" s="67">
        <f t="shared" si="29"/>
        <v>44.466666666666676</v>
      </c>
      <c r="AS26" s="71">
        <f t="shared" si="30"/>
        <v>5.0000000000000036</v>
      </c>
      <c r="AT26" s="68">
        <f t="shared" si="31"/>
        <v>267</v>
      </c>
      <c r="AU26" s="69">
        <f t="shared" si="32"/>
        <v>1989.15</v>
      </c>
      <c r="AV26" s="70">
        <f t="shared" si="33"/>
        <v>1989.15</v>
      </c>
      <c r="AW26" s="69">
        <f t="shared" si="34"/>
        <v>2210.0829966545857</v>
      </c>
      <c r="AX26" s="70">
        <f t="shared" si="35"/>
        <v>220.93299665458548</v>
      </c>
      <c r="AY26" s="72">
        <f t="shared" si="36"/>
        <v>9.9965927519017575E-2</v>
      </c>
    </row>
    <row r="27" spans="1:51" x14ac:dyDescent="0.35">
      <c r="A27" s="56">
        <v>46163</v>
      </c>
      <c r="B27" s="57" t="s">
        <v>81</v>
      </c>
      <c r="C27" s="58">
        <v>0.31597222222222221</v>
      </c>
      <c r="D27" s="58">
        <v>0.78125</v>
      </c>
      <c r="E27" s="59">
        <f t="shared" si="0"/>
        <v>12</v>
      </c>
      <c r="F27" s="59">
        <f t="shared" si="1"/>
        <v>11.166666666666668</v>
      </c>
      <c r="G27" s="59">
        <f t="shared" si="2"/>
        <v>1.2500000000000009</v>
      </c>
      <c r="H27" s="60">
        <v>81</v>
      </c>
      <c r="I27" s="61">
        <f t="shared" si="3"/>
        <v>603.45000000000005</v>
      </c>
      <c r="J27" s="61">
        <f t="shared" si="4"/>
        <v>54.040298507462687</v>
      </c>
      <c r="K27" s="61">
        <f t="shared" si="5"/>
        <v>671.00037313432847</v>
      </c>
      <c r="L27" s="62">
        <f t="shared" si="6"/>
        <v>67.55037313432841</v>
      </c>
      <c r="M27" s="58">
        <v>0.31597222222222221</v>
      </c>
      <c r="N27" s="58">
        <v>0.79305555555555551</v>
      </c>
      <c r="O27" s="59">
        <f t="shared" si="7"/>
        <v>12</v>
      </c>
      <c r="P27" s="59">
        <f t="shared" si="8"/>
        <v>11.45</v>
      </c>
      <c r="Q27" s="59">
        <f t="shared" si="9"/>
        <v>0.96666666666666856</v>
      </c>
      <c r="R27" s="60">
        <v>62</v>
      </c>
      <c r="S27" s="61">
        <f t="shared" si="10"/>
        <v>461.90000000000003</v>
      </c>
      <c r="T27" s="61">
        <f t="shared" si="11"/>
        <v>40.340611353711793</v>
      </c>
      <c r="U27" s="61">
        <f t="shared" si="12"/>
        <v>500.89592430858818</v>
      </c>
      <c r="V27" s="62">
        <f t="shared" si="13"/>
        <v>38.995924308588144</v>
      </c>
      <c r="W27" s="58">
        <v>0.31597222222222221</v>
      </c>
      <c r="X27" s="58">
        <v>0.72499999999999998</v>
      </c>
      <c r="Y27" s="59">
        <f t="shared" si="14"/>
        <v>12</v>
      </c>
      <c r="Z27" s="59">
        <f t="shared" si="15"/>
        <v>9.8166666666666664</v>
      </c>
      <c r="AA27" s="59">
        <f t="shared" si="16"/>
        <v>2.6000000000000014</v>
      </c>
      <c r="AB27" s="60">
        <v>58</v>
      </c>
      <c r="AC27" s="61">
        <f t="shared" si="17"/>
        <v>432.1</v>
      </c>
      <c r="AD27" s="61">
        <f t="shared" si="18"/>
        <v>44.016977928692704</v>
      </c>
      <c r="AE27" s="61">
        <f t="shared" si="19"/>
        <v>546.54414261460113</v>
      </c>
      <c r="AF27" s="62">
        <f t="shared" si="20"/>
        <v>114.44414261460109</v>
      </c>
      <c r="AG27" s="58">
        <v>0.31597222222222221</v>
      </c>
      <c r="AH27" s="58">
        <v>0.72499999999999998</v>
      </c>
      <c r="AI27" s="59">
        <f t="shared" si="21"/>
        <v>12</v>
      </c>
      <c r="AJ27" s="59">
        <f t="shared" si="22"/>
        <v>9.8166666666666664</v>
      </c>
      <c r="AK27" s="59">
        <f t="shared" si="23"/>
        <v>2.6000000000000014</v>
      </c>
      <c r="AL27" s="60">
        <v>59</v>
      </c>
      <c r="AM27" s="61">
        <f t="shared" si="24"/>
        <v>439.55</v>
      </c>
      <c r="AN27" s="61">
        <f t="shared" si="25"/>
        <v>44.775891341256369</v>
      </c>
      <c r="AO27" s="61">
        <f t="shared" si="26"/>
        <v>555.96731748726666</v>
      </c>
      <c r="AP27" s="62">
        <f t="shared" si="27"/>
        <v>116.41731748726662</v>
      </c>
      <c r="AQ27" s="59">
        <f t="shared" si="28"/>
        <v>48</v>
      </c>
      <c r="AR27" s="59">
        <f t="shared" si="29"/>
        <v>42.25</v>
      </c>
      <c r="AS27" s="63">
        <f t="shared" si="30"/>
        <v>7.4166666666666723</v>
      </c>
      <c r="AT27" s="60">
        <f t="shared" si="31"/>
        <v>260</v>
      </c>
      <c r="AU27" s="61">
        <f t="shared" si="32"/>
        <v>1937</v>
      </c>
      <c r="AV27" s="62">
        <f t="shared" si="33"/>
        <v>1937.0000000000002</v>
      </c>
      <c r="AW27" s="61">
        <f t="shared" si="34"/>
        <v>2274.4077575447845</v>
      </c>
      <c r="AX27" s="62">
        <f t="shared" si="35"/>
        <v>337.40775754478426</v>
      </c>
      <c r="AY27" s="64">
        <f t="shared" si="36"/>
        <v>0.14834972155960935</v>
      </c>
    </row>
    <row r="28" spans="1:51" x14ac:dyDescent="0.35">
      <c r="A28" s="65">
        <v>46164</v>
      </c>
      <c r="B28" s="66" t="s">
        <v>75</v>
      </c>
      <c r="C28" s="73">
        <v>0.31597222222222221</v>
      </c>
      <c r="D28" s="73">
        <v>0.79513888888888884</v>
      </c>
      <c r="E28" s="67">
        <f t="shared" si="0"/>
        <v>12</v>
      </c>
      <c r="F28" s="67">
        <f t="shared" si="1"/>
        <v>11.5</v>
      </c>
      <c r="G28" s="67">
        <f t="shared" si="2"/>
        <v>0.91666666666666874</v>
      </c>
      <c r="H28" s="68">
        <v>85</v>
      </c>
      <c r="I28" s="69">
        <f t="shared" si="3"/>
        <v>633.25</v>
      </c>
      <c r="J28" s="69">
        <f t="shared" si="4"/>
        <v>55.065217391304351</v>
      </c>
      <c r="K28" s="69">
        <f t="shared" si="5"/>
        <v>683.72644927536248</v>
      </c>
      <c r="L28" s="70">
        <f t="shared" si="6"/>
        <v>50.476449275362434</v>
      </c>
      <c r="M28" s="73">
        <v>0.31597222222222221</v>
      </c>
      <c r="N28" s="73">
        <v>0.79513888888888884</v>
      </c>
      <c r="O28" s="67">
        <f t="shared" si="7"/>
        <v>12</v>
      </c>
      <c r="P28" s="67">
        <f t="shared" si="8"/>
        <v>11.5</v>
      </c>
      <c r="Q28" s="67">
        <f t="shared" si="9"/>
        <v>0.91666666666666874</v>
      </c>
      <c r="R28" s="68">
        <v>61</v>
      </c>
      <c r="S28" s="69">
        <f t="shared" si="10"/>
        <v>454.45</v>
      </c>
      <c r="T28" s="69">
        <f t="shared" si="11"/>
        <v>39.517391304347825</v>
      </c>
      <c r="U28" s="69">
        <f t="shared" si="12"/>
        <v>490.67427536231889</v>
      </c>
      <c r="V28" s="70">
        <f t="shared" si="13"/>
        <v>36.22427536231892</v>
      </c>
      <c r="W28" s="73">
        <v>0.31597222222222221</v>
      </c>
      <c r="X28" s="73">
        <v>0.79513888888888884</v>
      </c>
      <c r="Y28" s="67">
        <f t="shared" si="14"/>
        <v>12</v>
      </c>
      <c r="Z28" s="67">
        <f t="shared" si="15"/>
        <v>11.5</v>
      </c>
      <c r="AA28" s="67">
        <f t="shared" si="16"/>
        <v>0.91666666666666874</v>
      </c>
      <c r="AB28" s="68">
        <v>66</v>
      </c>
      <c r="AC28" s="69">
        <f t="shared" si="17"/>
        <v>491.7</v>
      </c>
      <c r="AD28" s="69">
        <f t="shared" si="18"/>
        <v>42.756521739130434</v>
      </c>
      <c r="AE28" s="69">
        <f t="shared" si="19"/>
        <v>530.89347826086964</v>
      </c>
      <c r="AF28" s="70">
        <f t="shared" si="20"/>
        <v>39.193478260869654</v>
      </c>
      <c r="AG28" s="73">
        <v>0.31597222222222221</v>
      </c>
      <c r="AH28" s="73">
        <v>0.79513888888888884</v>
      </c>
      <c r="AI28" s="67">
        <f t="shared" si="21"/>
        <v>12</v>
      </c>
      <c r="AJ28" s="67">
        <f t="shared" si="22"/>
        <v>11.5</v>
      </c>
      <c r="AK28" s="67">
        <f t="shared" si="23"/>
        <v>0.91666666666666874</v>
      </c>
      <c r="AL28" s="68">
        <v>67</v>
      </c>
      <c r="AM28" s="69">
        <f t="shared" si="24"/>
        <v>499.15000000000003</v>
      </c>
      <c r="AN28" s="69">
        <f t="shared" si="25"/>
        <v>43.404347826086962</v>
      </c>
      <c r="AO28" s="69">
        <f t="shared" si="26"/>
        <v>538.93731884057979</v>
      </c>
      <c r="AP28" s="70">
        <f t="shared" si="27"/>
        <v>39.787318840579807</v>
      </c>
      <c r="AQ28" s="67">
        <f t="shared" si="28"/>
        <v>48</v>
      </c>
      <c r="AR28" s="67">
        <f t="shared" si="29"/>
        <v>46</v>
      </c>
      <c r="AS28" s="71">
        <f t="shared" si="30"/>
        <v>3.666666666666675</v>
      </c>
      <c r="AT28" s="68">
        <f t="shared" si="31"/>
        <v>279</v>
      </c>
      <c r="AU28" s="69">
        <f t="shared" si="32"/>
        <v>2078.5500000000002</v>
      </c>
      <c r="AV28" s="70">
        <f t="shared" si="33"/>
        <v>2078.5500000000002</v>
      </c>
      <c r="AW28" s="69">
        <f t="shared" si="34"/>
        <v>2244.2315217391306</v>
      </c>
      <c r="AX28" s="70">
        <f t="shared" si="35"/>
        <v>165.68152173913083</v>
      </c>
      <c r="AY28" s="72">
        <f t="shared" si="36"/>
        <v>7.3825503355704869E-2</v>
      </c>
    </row>
    <row r="29" spans="1:51" x14ac:dyDescent="0.35">
      <c r="A29" s="56">
        <v>46165</v>
      </c>
      <c r="B29" s="57" t="s">
        <v>76</v>
      </c>
      <c r="C29" s="57" t="s">
        <v>82</v>
      </c>
      <c r="D29" s="57" t="s">
        <v>82</v>
      </c>
      <c r="E29" s="59">
        <f t="shared" si="0"/>
        <v>6</v>
      </c>
      <c r="F29" s="59">
        <f t="shared" si="1"/>
        <v>0</v>
      </c>
      <c r="G29" s="59">
        <f t="shared" si="2"/>
        <v>0</v>
      </c>
      <c r="H29" s="60">
        <v>22</v>
      </c>
      <c r="I29" s="61">
        <f t="shared" si="3"/>
        <v>163.9</v>
      </c>
      <c r="J29" s="61">
        <f t="shared" si="4"/>
        <v>0</v>
      </c>
      <c r="K29" s="61">
        <f t="shared" si="5"/>
        <v>163.9</v>
      </c>
      <c r="L29" s="62">
        <f t="shared" si="6"/>
        <v>0</v>
      </c>
      <c r="M29" s="57" t="s">
        <v>82</v>
      </c>
      <c r="N29" s="57" t="s">
        <v>82</v>
      </c>
      <c r="O29" s="59">
        <f t="shared" si="7"/>
        <v>6</v>
      </c>
      <c r="P29" s="59">
        <f t="shared" si="8"/>
        <v>0</v>
      </c>
      <c r="Q29" s="59">
        <f t="shared" si="9"/>
        <v>0</v>
      </c>
      <c r="R29" s="60">
        <v>0</v>
      </c>
      <c r="S29" s="61">
        <f t="shared" si="10"/>
        <v>0</v>
      </c>
      <c r="T29" s="61">
        <f t="shared" si="11"/>
        <v>0</v>
      </c>
      <c r="U29" s="61">
        <f t="shared" si="12"/>
        <v>0</v>
      </c>
      <c r="V29" s="62">
        <f t="shared" si="13"/>
        <v>0</v>
      </c>
      <c r="W29" s="58">
        <v>0.43194444444444452</v>
      </c>
      <c r="X29" s="58">
        <v>0.58402777777777781</v>
      </c>
      <c r="Y29" s="59">
        <f t="shared" si="14"/>
        <v>6</v>
      </c>
      <c r="Z29" s="59">
        <f t="shared" si="15"/>
        <v>3.649999999999999</v>
      </c>
      <c r="AA29" s="59">
        <f t="shared" si="16"/>
        <v>0</v>
      </c>
      <c r="AB29" s="60">
        <v>21</v>
      </c>
      <c r="AC29" s="61">
        <f t="shared" si="17"/>
        <v>156.45000000000002</v>
      </c>
      <c r="AD29" s="61">
        <f t="shared" si="18"/>
        <v>42.863013698630155</v>
      </c>
      <c r="AE29" s="61">
        <f t="shared" si="19"/>
        <v>156.45000000000002</v>
      </c>
      <c r="AF29" s="62">
        <f t="shared" si="20"/>
        <v>0</v>
      </c>
      <c r="AG29" s="57" t="s">
        <v>82</v>
      </c>
      <c r="AH29" s="57" t="s">
        <v>82</v>
      </c>
      <c r="AI29" s="59">
        <f t="shared" si="21"/>
        <v>6</v>
      </c>
      <c r="AJ29" s="59">
        <f t="shared" si="22"/>
        <v>0</v>
      </c>
      <c r="AK29" s="59">
        <f t="shared" si="23"/>
        <v>0</v>
      </c>
      <c r="AL29" s="60">
        <v>2</v>
      </c>
      <c r="AM29" s="61">
        <f t="shared" si="24"/>
        <v>14.9</v>
      </c>
      <c r="AN29" s="61">
        <f t="shared" si="25"/>
        <v>0</v>
      </c>
      <c r="AO29" s="61">
        <f t="shared" si="26"/>
        <v>14.9</v>
      </c>
      <c r="AP29" s="62">
        <f t="shared" si="27"/>
        <v>0</v>
      </c>
      <c r="AQ29" s="59">
        <f t="shared" si="28"/>
        <v>24</v>
      </c>
      <c r="AR29" s="59">
        <f t="shared" si="29"/>
        <v>3.649999999999999</v>
      </c>
      <c r="AS29" s="63">
        <f t="shared" si="30"/>
        <v>0</v>
      </c>
      <c r="AT29" s="60">
        <f t="shared" si="31"/>
        <v>45</v>
      </c>
      <c r="AU29" s="61">
        <f t="shared" si="32"/>
        <v>335.25</v>
      </c>
      <c r="AV29" s="62">
        <f t="shared" si="33"/>
        <v>335.25</v>
      </c>
      <c r="AW29" s="61">
        <f t="shared" si="34"/>
        <v>335.25</v>
      </c>
      <c r="AX29" s="62">
        <f t="shared" si="35"/>
        <v>0</v>
      </c>
      <c r="AY29" s="64">
        <f t="shared" si="36"/>
        <v>0</v>
      </c>
    </row>
    <row r="30" spans="1:51" x14ac:dyDescent="0.35">
      <c r="A30" s="65">
        <v>46166</v>
      </c>
      <c r="B30" s="66" t="s">
        <v>77</v>
      </c>
      <c r="C30" s="66" t="s">
        <v>82</v>
      </c>
      <c r="D30" s="66" t="s">
        <v>82</v>
      </c>
      <c r="E30" s="67">
        <f t="shared" si="0"/>
        <v>0</v>
      </c>
      <c r="F30" s="67">
        <f t="shared" si="1"/>
        <v>0</v>
      </c>
      <c r="G30" s="67">
        <f t="shared" si="2"/>
        <v>0</v>
      </c>
      <c r="H30" s="68">
        <v>0</v>
      </c>
      <c r="I30" s="69">
        <f t="shared" si="3"/>
        <v>0</v>
      </c>
      <c r="J30" s="69">
        <f t="shared" si="4"/>
        <v>0</v>
      </c>
      <c r="K30" s="69">
        <f t="shared" si="5"/>
        <v>0</v>
      </c>
      <c r="L30" s="70">
        <f t="shared" si="6"/>
        <v>0</v>
      </c>
      <c r="M30" s="66" t="s">
        <v>82</v>
      </c>
      <c r="N30" s="66" t="s">
        <v>82</v>
      </c>
      <c r="O30" s="67">
        <f t="shared" si="7"/>
        <v>0</v>
      </c>
      <c r="P30" s="67">
        <f t="shared" si="8"/>
        <v>0</v>
      </c>
      <c r="Q30" s="67">
        <f t="shared" si="9"/>
        <v>0</v>
      </c>
      <c r="R30" s="68">
        <v>0</v>
      </c>
      <c r="S30" s="69">
        <f t="shared" si="10"/>
        <v>0</v>
      </c>
      <c r="T30" s="69">
        <f t="shared" si="11"/>
        <v>0</v>
      </c>
      <c r="U30" s="69">
        <f t="shared" si="12"/>
        <v>0</v>
      </c>
      <c r="V30" s="70">
        <f t="shared" si="13"/>
        <v>0</v>
      </c>
      <c r="W30" s="66" t="s">
        <v>82</v>
      </c>
      <c r="X30" s="66" t="s">
        <v>82</v>
      </c>
      <c r="Y30" s="67">
        <f t="shared" si="14"/>
        <v>0</v>
      </c>
      <c r="Z30" s="67">
        <f t="shared" si="15"/>
        <v>0</v>
      </c>
      <c r="AA30" s="67">
        <f t="shared" si="16"/>
        <v>0</v>
      </c>
      <c r="AB30" s="68">
        <v>0</v>
      </c>
      <c r="AC30" s="69">
        <f t="shared" si="17"/>
        <v>0</v>
      </c>
      <c r="AD30" s="69">
        <f t="shared" si="18"/>
        <v>0</v>
      </c>
      <c r="AE30" s="69">
        <f t="shared" si="19"/>
        <v>0</v>
      </c>
      <c r="AF30" s="70">
        <f t="shared" si="20"/>
        <v>0</v>
      </c>
      <c r="AG30" s="66" t="s">
        <v>82</v>
      </c>
      <c r="AH30" s="66" t="s">
        <v>82</v>
      </c>
      <c r="AI30" s="67">
        <f t="shared" si="21"/>
        <v>0</v>
      </c>
      <c r="AJ30" s="67">
        <f t="shared" si="22"/>
        <v>0</v>
      </c>
      <c r="AK30" s="67">
        <f t="shared" si="23"/>
        <v>0</v>
      </c>
      <c r="AL30" s="68">
        <v>1</v>
      </c>
      <c r="AM30" s="69">
        <f t="shared" si="24"/>
        <v>7.45</v>
      </c>
      <c r="AN30" s="69">
        <f t="shared" si="25"/>
        <v>0</v>
      </c>
      <c r="AO30" s="69">
        <f t="shared" si="26"/>
        <v>7.45</v>
      </c>
      <c r="AP30" s="70">
        <f t="shared" si="27"/>
        <v>0</v>
      </c>
      <c r="AQ30" s="67">
        <f t="shared" si="28"/>
        <v>0</v>
      </c>
      <c r="AR30" s="67">
        <f t="shared" si="29"/>
        <v>0</v>
      </c>
      <c r="AS30" s="71">
        <f t="shared" si="30"/>
        <v>0</v>
      </c>
      <c r="AT30" s="68">
        <f t="shared" si="31"/>
        <v>1</v>
      </c>
      <c r="AU30" s="69">
        <f t="shared" si="32"/>
        <v>7.45</v>
      </c>
      <c r="AV30" s="70">
        <f t="shared" si="33"/>
        <v>7.45</v>
      </c>
      <c r="AW30" s="69">
        <f t="shared" si="34"/>
        <v>7.45</v>
      </c>
      <c r="AX30" s="70">
        <f t="shared" si="35"/>
        <v>0</v>
      </c>
      <c r="AY30" s="72">
        <f t="shared" si="36"/>
        <v>0</v>
      </c>
    </row>
    <row r="31" spans="1:51" x14ac:dyDescent="0.35">
      <c r="A31" s="56">
        <v>46167</v>
      </c>
      <c r="B31" s="57" t="s">
        <v>78</v>
      </c>
      <c r="C31" s="58">
        <v>0.3125</v>
      </c>
      <c r="D31" s="58">
        <v>0.83333333333333337</v>
      </c>
      <c r="E31" s="59">
        <f t="shared" si="0"/>
        <v>12</v>
      </c>
      <c r="F31" s="59">
        <f t="shared" si="1"/>
        <v>12.5</v>
      </c>
      <c r="G31" s="59">
        <f t="shared" si="2"/>
        <v>0</v>
      </c>
      <c r="H31" s="60">
        <v>97</v>
      </c>
      <c r="I31" s="61">
        <f t="shared" si="3"/>
        <v>722.65</v>
      </c>
      <c r="J31" s="61">
        <f t="shared" si="4"/>
        <v>57.811999999999998</v>
      </c>
      <c r="K31" s="61">
        <f t="shared" si="5"/>
        <v>722.65</v>
      </c>
      <c r="L31" s="62">
        <f t="shared" si="6"/>
        <v>0</v>
      </c>
      <c r="M31" s="58">
        <v>0.31458333333333333</v>
      </c>
      <c r="N31" s="58">
        <v>0.83333333333333337</v>
      </c>
      <c r="O31" s="59">
        <f t="shared" si="7"/>
        <v>12</v>
      </c>
      <c r="P31" s="59">
        <f t="shared" si="8"/>
        <v>12.450000000000001</v>
      </c>
      <c r="Q31" s="59">
        <f t="shared" si="9"/>
        <v>0</v>
      </c>
      <c r="R31" s="60">
        <v>70</v>
      </c>
      <c r="S31" s="61">
        <f t="shared" si="10"/>
        <v>521.5</v>
      </c>
      <c r="T31" s="61">
        <f t="shared" si="11"/>
        <v>41.887550200803211</v>
      </c>
      <c r="U31" s="61">
        <f t="shared" si="12"/>
        <v>521.5</v>
      </c>
      <c r="V31" s="62">
        <f t="shared" si="13"/>
        <v>0</v>
      </c>
      <c r="W31" s="58">
        <v>0.3125</v>
      </c>
      <c r="X31" s="58">
        <v>0.80347222222222225</v>
      </c>
      <c r="Y31" s="59">
        <f t="shared" si="14"/>
        <v>12</v>
      </c>
      <c r="Z31" s="59">
        <f t="shared" si="15"/>
        <v>11.783333333333335</v>
      </c>
      <c r="AA31" s="59">
        <f t="shared" si="16"/>
        <v>0.71666666666666679</v>
      </c>
      <c r="AB31" s="60">
        <v>112</v>
      </c>
      <c r="AC31" s="61">
        <f t="shared" si="17"/>
        <v>834.4</v>
      </c>
      <c r="AD31" s="61">
        <f t="shared" si="18"/>
        <v>70.811881188118804</v>
      </c>
      <c r="AE31" s="61">
        <f t="shared" si="19"/>
        <v>885.14851485148517</v>
      </c>
      <c r="AF31" s="62">
        <f t="shared" si="20"/>
        <v>50.748514851485155</v>
      </c>
      <c r="AG31" s="58">
        <v>0.31458333333333333</v>
      </c>
      <c r="AH31" s="58">
        <v>0.83333333333333337</v>
      </c>
      <c r="AI31" s="59">
        <f t="shared" si="21"/>
        <v>12</v>
      </c>
      <c r="AJ31" s="59">
        <f t="shared" si="22"/>
        <v>12.450000000000001</v>
      </c>
      <c r="AK31" s="59">
        <f t="shared" si="23"/>
        <v>0</v>
      </c>
      <c r="AL31" s="60">
        <v>82</v>
      </c>
      <c r="AM31" s="61">
        <f t="shared" si="24"/>
        <v>610.9</v>
      </c>
      <c r="AN31" s="61">
        <f t="shared" si="25"/>
        <v>49.068273092369473</v>
      </c>
      <c r="AO31" s="61">
        <f t="shared" si="26"/>
        <v>610.9</v>
      </c>
      <c r="AP31" s="62">
        <f t="shared" si="27"/>
        <v>0</v>
      </c>
      <c r="AQ31" s="59">
        <f t="shared" si="28"/>
        <v>48</v>
      </c>
      <c r="AR31" s="59">
        <f t="shared" si="29"/>
        <v>49.183333333333337</v>
      </c>
      <c r="AS31" s="63">
        <f t="shared" si="30"/>
        <v>0.71666666666666679</v>
      </c>
      <c r="AT31" s="60">
        <f t="shared" si="31"/>
        <v>361</v>
      </c>
      <c r="AU31" s="61">
        <f t="shared" si="32"/>
        <v>2689.4500000000003</v>
      </c>
      <c r="AV31" s="62">
        <f t="shared" si="33"/>
        <v>2689.4500000000003</v>
      </c>
      <c r="AW31" s="61">
        <f t="shared" si="34"/>
        <v>2740.1985148514855</v>
      </c>
      <c r="AX31" s="62">
        <f t="shared" si="35"/>
        <v>50.748514851485155</v>
      </c>
      <c r="AY31" s="64">
        <f t="shared" si="36"/>
        <v>1.8520013997684999E-2</v>
      </c>
    </row>
    <row r="32" spans="1:51" x14ac:dyDescent="0.35">
      <c r="A32" s="65">
        <v>46168</v>
      </c>
      <c r="B32" s="66" t="s">
        <v>79</v>
      </c>
      <c r="C32" s="73">
        <v>0.2673611111111111</v>
      </c>
      <c r="D32" s="73">
        <v>0.79166666666666663</v>
      </c>
      <c r="E32" s="67">
        <f t="shared" si="0"/>
        <v>12</v>
      </c>
      <c r="F32" s="67">
        <f t="shared" si="1"/>
        <v>12.583333333333334</v>
      </c>
      <c r="G32" s="67">
        <f t="shared" si="2"/>
        <v>1.0000000000000018</v>
      </c>
      <c r="H32" s="68">
        <v>95</v>
      </c>
      <c r="I32" s="69">
        <f t="shared" si="3"/>
        <v>707.75</v>
      </c>
      <c r="J32" s="69">
        <f t="shared" si="4"/>
        <v>56.245033112582782</v>
      </c>
      <c r="K32" s="69">
        <f t="shared" si="5"/>
        <v>763.99503311258286</v>
      </c>
      <c r="L32" s="70">
        <f t="shared" si="6"/>
        <v>56.245033112582881</v>
      </c>
      <c r="M32" s="73">
        <v>0.2673611111111111</v>
      </c>
      <c r="N32" s="73">
        <v>0.79166666666666663</v>
      </c>
      <c r="O32" s="67">
        <f t="shared" si="7"/>
        <v>12</v>
      </c>
      <c r="P32" s="67">
        <f t="shared" si="8"/>
        <v>12.583333333333334</v>
      </c>
      <c r="Q32" s="67">
        <f t="shared" si="9"/>
        <v>1.0000000000000018</v>
      </c>
      <c r="R32" s="68">
        <v>75</v>
      </c>
      <c r="S32" s="69">
        <f t="shared" si="10"/>
        <v>558.75</v>
      </c>
      <c r="T32" s="69">
        <f t="shared" si="11"/>
        <v>44.40397350993377</v>
      </c>
      <c r="U32" s="69">
        <f t="shared" si="12"/>
        <v>603.15397350993385</v>
      </c>
      <c r="V32" s="70">
        <f t="shared" si="13"/>
        <v>44.403973509933849</v>
      </c>
      <c r="W32" s="73">
        <v>0.2673611111111111</v>
      </c>
      <c r="X32" s="73">
        <v>0.78125</v>
      </c>
      <c r="Y32" s="67">
        <f t="shared" si="14"/>
        <v>12</v>
      </c>
      <c r="Z32" s="67">
        <f t="shared" si="15"/>
        <v>12.333333333333332</v>
      </c>
      <c r="AA32" s="67">
        <f t="shared" si="16"/>
        <v>1.2500000000000009</v>
      </c>
      <c r="AB32" s="68">
        <v>96</v>
      </c>
      <c r="AC32" s="69">
        <f t="shared" si="17"/>
        <v>715.2</v>
      </c>
      <c r="AD32" s="69">
        <f t="shared" si="18"/>
        <v>57.989189189189197</v>
      </c>
      <c r="AE32" s="69">
        <f t="shared" si="19"/>
        <v>787.68648648648661</v>
      </c>
      <c r="AF32" s="70">
        <f t="shared" si="20"/>
        <v>72.486486486486541</v>
      </c>
      <c r="AG32" s="73">
        <v>0.2673611111111111</v>
      </c>
      <c r="AH32" s="73">
        <v>0.78125</v>
      </c>
      <c r="AI32" s="67">
        <f t="shared" si="21"/>
        <v>12</v>
      </c>
      <c r="AJ32" s="67">
        <f t="shared" si="22"/>
        <v>12.333333333333332</v>
      </c>
      <c r="AK32" s="67">
        <f t="shared" si="23"/>
        <v>1.2500000000000009</v>
      </c>
      <c r="AL32" s="68">
        <v>89</v>
      </c>
      <c r="AM32" s="69">
        <f t="shared" si="24"/>
        <v>663.05000000000007</v>
      </c>
      <c r="AN32" s="69">
        <f t="shared" si="25"/>
        <v>53.760810810810824</v>
      </c>
      <c r="AO32" s="69">
        <f t="shared" si="26"/>
        <v>730.25101351351361</v>
      </c>
      <c r="AP32" s="70">
        <f t="shared" si="27"/>
        <v>67.201013513513573</v>
      </c>
      <c r="AQ32" s="67">
        <f t="shared" si="28"/>
        <v>48</v>
      </c>
      <c r="AR32" s="67">
        <f t="shared" si="29"/>
        <v>49.833333333333329</v>
      </c>
      <c r="AS32" s="71">
        <f t="shared" si="30"/>
        <v>4.5000000000000053</v>
      </c>
      <c r="AT32" s="68">
        <f t="shared" si="31"/>
        <v>355</v>
      </c>
      <c r="AU32" s="69">
        <f t="shared" si="32"/>
        <v>2644.75</v>
      </c>
      <c r="AV32" s="70">
        <f t="shared" si="33"/>
        <v>2644.75</v>
      </c>
      <c r="AW32" s="69">
        <f t="shared" si="34"/>
        <v>2885.0865066225169</v>
      </c>
      <c r="AX32" s="70">
        <f t="shared" si="35"/>
        <v>240.33650662251685</v>
      </c>
      <c r="AY32" s="72">
        <f t="shared" si="36"/>
        <v>8.3303050383702879E-2</v>
      </c>
    </row>
    <row r="33" spans="1:51" x14ac:dyDescent="0.35">
      <c r="A33" s="56">
        <v>46169</v>
      </c>
      <c r="B33" s="57" t="s">
        <v>80</v>
      </c>
      <c r="C33" s="57" t="s">
        <v>82</v>
      </c>
      <c r="D33" s="57" t="s">
        <v>82</v>
      </c>
      <c r="E33" s="59">
        <f t="shared" si="0"/>
        <v>12</v>
      </c>
      <c r="F33" s="59">
        <f t="shared" si="1"/>
        <v>0</v>
      </c>
      <c r="G33" s="59">
        <f t="shared" si="2"/>
        <v>0</v>
      </c>
      <c r="H33" s="60">
        <v>1</v>
      </c>
      <c r="I33" s="61">
        <f t="shared" si="3"/>
        <v>7.45</v>
      </c>
      <c r="J33" s="61">
        <f t="shared" si="4"/>
        <v>0</v>
      </c>
      <c r="K33" s="61">
        <f t="shared" si="5"/>
        <v>7.45</v>
      </c>
      <c r="L33" s="62">
        <f t="shared" si="6"/>
        <v>0</v>
      </c>
      <c r="M33" s="57" t="s">
        <v>82</v>
      </c>
      <c r="N33" s="57" t="s">
        <v>82</v>
      </c>
      <c r="O33" s="59">
        <f t="shared" si="7"/>
        <v>12</v>
      </c>
      <c r="P33" s="59">
        <f t="shared" si="8"/>
        <v>0</v>
      </c>
      <c r="Q33" s="59">
        <f t="shared" si="9"/>
        <v>0</v>
      </c>
      <c r="R33" s="60">
        <v>1</v>
      </c>
      <c r="S33" s="61">
        <f t="shared" si="10"/>
        <v>7.45</v>
      </c>
      <c r="T33" s="61">
        <f t="shared" si="11"/>
        <v>0</v>
      </c>
      <c r="U33" s="61">
        <f t="shared" si="12"/>
        <v>7.45</v>
      </c>
      <c r="V33" s="62">
        <f t="shared" si="13"/>
        <v>0</v>
      </c>
      <c r="W33" s="57" t="s">
        <v>82</v>
      </c>
      <c r="X33" s="57" t="s">
        <v>82</v>
      </c>
      <c r="Y33" s="59">
        <f t="shared" si="14"/>
        <v>12</v>
      </c>
      <c r="Z33" s="59">
        <f t="shared" si="15"/>
        <v>0</v>
      </c>
      <c r="AA33" s="59">
        <f t="shared" si="16"/>
        <v>0</v>
      </c>
      <c r="AB33" s="60">
        <v>4</v>
      </c>
      <c r="AC33" s="61">
        <f t="shared" si="17"/>
        <v>29.8</v>
      </c>
      <c r="AD33" s="61">
        <f t="shared" si="18"/>
        <v>0</v>
      </c>
      <c r="AE33" s="61">
        <f t="shared" si="19"/>
        <v>29.8</v>
      </c>
      <c r="AF33" s="62">
        <f t="shared" si="20"/>
        <v>0</v>
      </c>
      <c r="AG33" s="57" t="s">
        <v>82</v>
      </c>
      <c r="AH33" s="57" t="s">
        <v>82</v>
      </c>
      <c r="AI33" s="59">
        <f t="shared" si="21"/>
        <v>12</v>
      </c>
      <c r="AJ33" s="59">
        <f t="shared" si="22"/>
        <v>0</v>
      </c>
      <c r="AK33" s="59">
        <f t="shared" si="23"/>
        <v>0</v>
      </c>
      <c r="AL33" s="60">
        <v>4</v>
      </c>
      <c r="AM33" s="61">
        <f t="shared" si="24"/>
        <v>29.8</v>
      </c>
      <c r="AN33" s="61">
        <f t="shared" si="25"/>
        <v>0</v>
      </c>
      <c r="AO33" s="61">
        <f t="shared" si="26"/>
        <v>29.8</v>
      </c>
      <c r="AP33" s="62">
        <f t="shared" si="27"/>
        <v>0</v>
      </c>
      <c r="AQ33" s="59">
        <f t="shared" si="28"/>
        <v>48</v>
      </c>
      <c r="AR33" s="59">
        <f t="shared" si="29"/>
        <v>0</v>
      </c>
      <c r="AS33" s="63">
        <f t="shared" si="30"/>
        <v>0</v>
      </c>
      <c r="AT33" s="60">
        <f t="shared" si="31"/>
        <v>10</v>
      </c>
      <c r="AU33" s="61">
        <f t="shared" si="32"/>
        <v>74.5</v>
      </c>
      <c r="AV33" s="62">
        <f t="shared" si="33"/>
        <v>74.5</v>
      </c>
      <c r="AW33" s="61">
        <f t="shared" si="34"/>
        <v>74.5</v>
      </c>
      <c r="AX33" s="62">
        <f t="shared" si="35"/>
        <v>0</v>
      </c>
      <c r="AY33" s="64">
        <f t="shared" si="36"/>
        <v>0</v>
      </c>
    </row>
    <row r="34" spans="1:51" x14ac:dyDescent="0.35">
      <c r="A34" s="65">
        <v>46170</v>
      </c>
      <c r="B34" s="66" t="s">
        <v>81</v>
      </c>
      <c r="C34" s="73">
        <v>0.28819444444444442</v>
      </c>
      <c r="D34" s="73">
        <v>0.78194444444444444</v>
      </c>
      <c r="E34" s="67">
        <f t="shared" si="0"/>
        <v>12</v>
      </c>
      <c r="F34" s="67">
        <f t="shared" si="1"/>
        <v>11.850000000000001</v>
      </c>
      <c r="G34" s="67">
        <f t="shared" si="2"/>
        <v>1.2333333333333343</v>
      </c>
      <c r="H34" s="68">
        <v>81</v>
      </c>
      <c r="I34" s="69">
        <f t="shared" si="3"/>
        <v>603.45000000000005</v>
      </c>
      <c r="J34" s="69">
        <f t="shared" si="4"/>
        <v>50.924050632911388</v>
      </c>
      <c r="K34" s="69">
        <f t="shared" si="5"/>
        <v>666.25632911392415</v>
      </c>
      <c r="L34" s="70">
        <f t="shared" si="6"/>
        <v>62.806329113924093</v>
      </c>
      <c r="M34" s="73">
        <v>0.28819444444444442</v>
      </c>
      <c r="N34" s="73">
        <v>0.78194444444444444</v>
      </c>
      <c r="O34" s="67">
        <f t="shared" si="7"/>
        <v>12</v>
      </c>
      <c r="P34" s="67">
        <f t="shared" si="8"/>
        <v>11.850000000000001</v>
      </c>
      <c r="Q34" s="67">
        <f t="shared" si="9"/>
        <v>1.2333333333333343</v>
      </c>
      <c r="R34" s="68">
        <v>72</v>
      </c>
      <c r="S34" s="69">
        <f t="shared" si="10"/>
        <v>536.4</v>
      </c>
      <c r="T34" s="69">
        <f t="shared" si="11"/>
        <v>45.265822784810119</v>
      </c>
      <c r="U34" s="69">
        <f t="shared" si="12"/>
        <v>592.22784810126586</v>
      </c>
      <c r="V34" s="70">
        <f t="shared" si="13"/>
        <v>55.827848101265857</v>
      </c>
      <c r="W34" s="73">
        <v>0.28819444444444442</v>
      </c>
      <c r="X34" s="73">
        <v>0.76527777777777772</v>
      </c>
      <c r="Y34" s="67">
        <f t="shared" si="14"/>
        <v>12</v>
      </c>
      <c r="Z34" s="67">
        <f t="shared" si="15"/>
        <v>11.45</v>
      </c>
      <c r="AA34" s="67">
        <f t="shared" si="16"/>
        <v>1.6333333333333355</v>
      </c>
      <c r="AB34" s="68">
        <v>87</v>
      </c>
      <c r="AC34" s="69">
        <f t="shared" si="17"/>
        <v>648.15</v>
      </c>
      <c r="AD34" s="69">
        <f t="shared" si="18"/>
        <v>56.606986899563317</v>
      </c>
      <c r="AE34" s="69">
        <f t="shared" si="19"/>
        <v>740.60807860262014</v>
      </c>
      <c r="AF34" s="70">
        <f t="shared" si="20"/>
        <v>92.458078602620205</v>
      </c>
      <c r="AG34" s="73">
        <v>0.28819444444444442</v>
      </c>
      <c r="AH34" s="73">
        <v>0.76527777777777772</v>
      </c>
      <c r="AI34" s="67">
        <f t="shared" si="21"/>
        <v>12</v>
      </c>
      <c r="AJ34" s="67">
        <f t="shared" si="22"/>
        <v>11.45</v>
      </c>
      <c r="AK34" s="67">
        <f t="shared" si="23"/>
        <v>1.6333333333333355</v>
      </c>
      <c r="AL34" s="68">
        <v>82</v>
      </c>
      <c r="AM34" s="69">
        <f t="shared" si="24"/>
        <v>610.9</v>
      </c>
      <c r="AN34" s="69">
        <f t="shared" si="25"/>
        <v>53.353711790393014</v>
      </c>
      <c r="AO34" s="69">
        <f t="shared" si="26"/>
        <v>698.04439592430867</v>
      </c>
      <c r="AP34" s="70">
        <f t="shared" si="27"/>
        <v>87.144395924308711</v>
      </c>
      <c r="AQ34" s="67">
        <f t="shared" si="28"/>
        <v>48</v>
      </c>
      <c r="AR34" s="67">
        <f t="shared" si="29"/>
        <v>46.600000000000009</v>
      </c>
      <c r="AS34" s="71">
        <f t="shared" si="30"/>
        <v>5.7333333333333396</v>
      </c>
      <c r="AT34" s="68">
        <f t="shared" si="31"/>
        <v>322</v>
      </c>
      <c r="AU34" s="69">
        <f t="shared" si="32"/>
        <v>2398.9</v>
      </c>
      <c r="AV34" s="70">
        <f t="shared" si="33"/>
        <v>2398.9</v>
      </c>
      <c r="AW34" s="69">
        <f t="shared" si="34"/>
        <v>2697.1366517421184</v>
      </c>
      <c r="AX34" s="70">
        <f t="shared" si="35"/>
        <v>298.23665174211885</v>
      </c>
      <c r="AY34" s="72">
        <f t="shared" si="36"/>
        <v>0.11057528418127559</v>
      </c>
    </row>
    <row r="35" spans="1:51" x14ac:dyDescent="0.35">
      <c r="A35" s="56">
        <v>46171</v>
      </c>
      <c r="B35" s="57" t="s">
        <v>75</v>
      </c>
      <c r="C35" s="58">
        <v>0.30902777777777779</v>
      </c>
      <c r="D35" s="58">
        <v>0.75</v>
      </c>
      <c r="E35" s="59">
        <f t="shared" si="0"/>
        <v>12</v>
      </c>
      <c r="F35" s="59">
        <f t="shared" si="1"/>
        <v>10.583333333333332</v>
      </c>
      <c r="G35" s="59">
        <f t="shared" si="2"/>
        <v>2.0000000000000009</v>
      </c>
      <c r="H35" s="60">
        <v>75</v>
      </c>
      <c r="I35" s="61">
        <f t="shared" si="3"/>
        <v>558.75</v>
      </c>
      <c r="J35" s="61">
        <f t="shared" si="4"/>
        <v>52.795275590551185</v>
      </c>
      <c r="K35" s="61">
        <f t="shared" si="5"/>
        <v>664.34055118110246</v>
      </c>
      <c r="L35" s="62">
        <f t="shared" si="6"/>
        <v>105.59055118110241</v>
      </c>
      <c r="M35" s="58">
        <v>0.30902777777777779</v>
      </c>
      <c r="N35" s="58">
        <v>0.75</v>
      </c>
      <c r="O35" s="59">
        <f t="shared" si="7"/>
        <v>12</v>
      </c>
      <c r="P35" s="59">
        <f t="shared" si="8"/>
        <v>10.583333333333332</v>
      </c>
      <c r="Q35" s="59">
        <f t="shared" si="9"/>
        <v>2.0000000000000009</v>
      </c>
      <c r="R35" s="60">
        <v>66</v>
      </c>
      <c r="S35" s="61">
        <f t="shared" si="10"/>
        <v>491.7</v>
      </c>
      <c r="T35" s="61">
        <f t="shared" si="11"/>
        <v>46.45984251968504</v>
      </c>
      <c r="U35" s="61">
        <f t="shared" si="12"/>
        <v>584.6196850393701</v>
      </c>
      <c r="V35" s="62">
        <f t="shared" si="13"/>
        <v>92.919685039370123</v>
      </c>
      <c r="W35" s="58">
        <v>0.30902777777777779</v>
      </c>
      <c r="X35" s="58">
        <v>0.75</v>
      </c>
      <c r="Y35" s="59">
        <f t="shared" si="14"/>
        <v>12</v>
      </c>
      <c r="Z35" s="59">
        <f t="shared" si="15"/>
        <v>10.583333333333332</v>
      </c>
      <c r="AA35" s="59">
        <f t="shared" si="16"/>
        <v>2.0000000000000009</v>
      </c>
      <c r="AB35" s="60">
        <v>83</v>
      </c>
      <c r="AC35" s="61">
        <f t="shared" si="17"/>
        <v>618.35</v>
      </c>
      <c r="AD35" s="61">
        <f t="shared" si="18"/>
        <v>58.426771653543312</v>
      </c>
      <c r="AE35" s="61">
        <f t="shared" si="19"/>
        <v>735.20354330708665</v>
      </c>
      <c r="AF35" s="62">
        <f t="shared" si="20"/>
        <v>116.85354330708668</v>
      </c>
      <c r="AG35" s="58">
        <v>0.30902777777777779</v>
      </c>
      <c r="AH35" s="58">
        <v>0.75</v>
      </c>
      <c r="AI35" s="59">
        <f t="shared" si="21"/>
        <v>12</v>
      </c>
      <c r="AJ35" s="59">
        <f t="shared" si="22"/>
        <v>10.583333333333332</v>
      </c>
      <c r="AK35" s="59">
        <f t="shared" si="23"/>
        <v>2.0000000000000009</v>
      </c>
      <c r="AL35" s="60">
        <v>69</v>
      </c>
      <c r="AM35" s="61">
        <f t="shared" si="24"/>
        <v>514.05000000000007</v>
      </c>
      <c r="AN35" s="61">
        <f t="shared" si="25"/>
        <v>48.5716535433071</v>
      </c>
      <c r="AO35" s="61">
        <f t="shared" si="26"/>
        <v>611.19330708661437</v>
      </c>
      <c r="AP35" s="62">
        <f t="shared" si="27"/>
        <v>97.143307086614243</v>
      </c>
      <c r="AQ35" s="59">
        <f t="shared" si="28"/>
        <v>48</v>
      </c>
      <c r="AR35" s="59">
        <f t="shared" si="29"/>
        <v>42.333333333333329</v>
      </c>
      <c r="AS35" s="63">
        <f t="shared" si="30"/>
        <v>8.0000000000000036</v>
      </c>
      <c r="AT35" s="60">
        <f t="shared" si="31"/>
        <v>293</v>
      </c>
      <c r="AU35" s="61">
        <f t="shared" si="32"/>
        <v>2182.85</v>
      </c>
      <c r="AV35" s="62">
        <f t="shared" si="33"/>
        <v>2182.8500000000004</v>
      </c>
      <c r="AW35" s="61">
        <f t="shared" si="34"/>
        <v>2595.3570866141736</v>
      </c>
      <c r="AX35" s="62">
        <f t="shared" si="35"/>
        <v>412.50708661417349</v>
      </c>
      <c r="AY35" s="64">
        <f t="shared" si="36"/>
        <v>0.15894039735099347</v>
      </c>
    </row>
    <row r="36" spans="1:51" x14ac:dyDescent="0.35">
      <c r="A36" s="65">
        <v>46172</v>
      </c>
      <c r="B36" s="66" t="s">
        <v>76</v>
      </c>
      <c r="C36" s="66" t="s">
        <v>82</v>
      </c>
      <c r="D36" s="66" t="s">
        <v>82</v>
      </c>
      <c r="E36" s="67">
        <f t="shared" si="0"/>
        <v>6</v>
      </c>
      <c r="F36" s="67">
        <f t="shared" si="1"/>
        <v>0</v>
      </c>
      <c r="G36" s="67">
        <f t="shared" si="2"/>
        <v>0</v>
      </c>
      <c r="H36" s="68">
        <v>3</v>
      </c>
      <c r="I36" s="69">
        <f t="shared" si="3"/>
        <v>22.35</v>
      </c>
      <c r="J36" s="69">
        <f t="shared" si="4"/>
        <v>0</v>
      </c>
      <c r="K36" s="69">
        <f t="shared" si="5"/>
        <v>22.35</v>
      </c>
      <c r="L36" s="70">
        <f t="shared" si="6"/>
        <v>0</v>
      </c>
      <c r="M36" s="73">
        <v>0.41388888888888892</v>
      </c>
      <c r="N36" s="73">
        <v>0.58333333333333337</v>
      </c>
      <c r="O36" s="67">
        <f t="shared" si="7"/>
        <v>6</v>
      </c>
      <c r="P36" s="67">
        <f t="shared" si="8"/>
        <v>4.0666666666666664</v>
      </c>
      <c r="Q36" s="67">
        <f t="shared" si="9"/>
        <v>0</v>
      </c>
      <c r="R36" s="68">
        <v>37</v>
      </c>
      <c r="S36" s="69">
        <f t="shared" si="10"/>
        <v>275.65000000000003</v>
      </c>
      <c r="T36" s="69">
        <f t="shared" si="11"/>
        <v>67.782786885245912</v>
      </c>
      <c r="U36" s="69">
        <f t="shared" si="12"/>
        <v>275.65000000000003</v>
      </c>
      <c r="V36" s="70">
        <f t="shared" si="13"/>
        <v>0</v>
      </c>
      <c r="W36" s="73">
        <v>0.30902777777777779</v>
      </c>
      <c r="X36" s="73">
        <v>0.58333333333333337</v>
      </c>
      <c r="Y36" s="67">
        <f t="shared" si="14"/>
        <v>6</v>
      </c>
      <c r="Z36" s="67">
        <f t="shared" si="15"/>
        <v>6.5833333333333339</v>
      </c>
      <c r="AA36" s="67">
        <f t="shared" si="16"/>
        <v>0</v>
      </c>
      <c r="AB36" s="68">
        <v>72</v>
      </c>
      <c r="AC36" s="69">
        <f t="shared" si="17"/>
        <v>536.4</v>
      </c>
      <c r="AD36" s="69">
        <f t="shared" si="18"/>
        <v>81.478481012658222</v>
      </c>
      <c r="AE36" s="69">
        <f t="shared" si="19"/>
        <v>536.4</v>
      </c>
      <c r="AF36" s="70">
        <f t="shared" si="20"/>
        <v>0</v>
      </c>
      <c r="AG36" s="66" t="s">
        <v>82</v>
      </c>
      <c r="AH36" s="66" t="s">
        <v>82</v>
      </c>
      <c r="AI36" s="67">
        <f t="shared" si="21"/>
        <v>6</v>
      </c>
      <c r="AJ36" s="67">
        <f t="shared" si="22"/>
        <v>0</v>
      </c>
      <c r="AK36" s="67">
        <f t="shared" si="23"/>
        <v>0</v>
      </c>
      <c r="AL36" s="68">
        <v>4</v>
      </c>
      <c r="AM36" s="69">
        <f t="shared" si="24"/>
        <v>29.8</v>
      </c>
      <c r="AN36" s="69">
        <f t="shared" si="25"/>
        <v>0</v>
      </c>
      <c r="AO36" s="69">
        <f t="shared" si="26"/>
        <v>29.8</v>
      </c>
      <c r="AP36" s="70">
        <f t="shared" si="27"/>
        <v>0</v>
      </c>
      <c r="AQ36" s="67">
        <f t="shared" si="28"/>
        <v>24</v>
      </c>
      <c r="AR36" s="67">
        <f t="shared" si="29"/>
        <v>10.65</v>
      </c>
      <c r="AS36" s="71">
        <f t="shared" si="30"/>
        <v>0</v>
      </c>
      <c r="AT36" s="68">
        <f t="shared" si="31"/>
        <v>116</v>
      </c>
      <c r="AU36" s="69">
        <f t="shared" si="32"/>
        <v>864.2</v>
      </c>
      <c r="AV36" s="70">
        <f t="shared" si="33"/>
        <v>864.2</v>
      </c>
      <c r="AW36" s="69">
        <f t="shared" si="34"/>
        <v>864.2</v>
      </c>
      <c r="AX36" s="70">
        <f t="shared" si="35"/>
        <v>0</v>
      </c>
      <c r="AY36" s="72">
        <f t="shared" si="36"/>
        <v>0</v>
      </c>
    </row>
    <row r="37" spans="1:51" x14ac:dyDescent="0.35">
      <c r="A37" s="56">
        <v>46173</v>
      </c>
      <c r="B37" s="57" t="s">
        <v>77</v>
      </c>
      <c r="C37" s="57" t="s">
        <v>82</v>
      </c>
      <c r="D37" s="57" t="s">
        <v>82</v>
      </c>
      <c r="E37" s="59">
        <f t="shared" si="0"/>
        <v>0</v>
      </c>
      <c r="F37" s="59">
        <f t="shared" si="1"/>
        <v>0</v>
      </c>
      <c r="G37" s="59">
        <f t="shared" si="2"/>
        <v>0</v>
      </c>
      <c r="H37" s="60">
        <v>1</v>
      </c>
      <c r="I37" s="61">
        <f t="shared" si="3"/>
        <v>7.45</v>
      </c>
      <c r="J37" s="61">
        <f t="shared" si="4"/>
        <v>0</v>
      </c>
      <c r="K37" s="61">
        <f t="shared" si="5"/>
        <v>7.45</v>
      </c>
      <c r="L37" s="62">
        <f t="shared" si="6"/>
        <v>0</v>
      </c>
      <c r="M37" s="57" t="s">
        <v>82</v>
      </c>
      <c r="N37" s="57" t="s">
        <v>82</v>
      </c>
      <c r="O37" s="59">
        <f t="shared" si="7"/>
        <v>0</v>
      </c>
      <c r="P37" s="59">
        <f t="shared" si="8"/>
        <v>0</v>
      </c>
      <c r="Q37" s="59">
        <f t="shared" si="9"/>
        <v>0</v>
      </c>
      <c r="R37" s="60">
        <v>0</v>
      </c>
      <c r="S37" s="61">
        <f t="shared" si="10"/>
        <v>0</v>
      </c>
      <c r="T37" s="61">
        <f t="shared" si="11"/>
        <v>0</v>
      </c>
      <c r="U37" s="61">
        <f t="shared" si="12"/>
        <v>0</v>
      </c>
      <c r="V37" s="62">
        <f t="shared" si="13"/>
        <v>0</v>
      </c>
      <c r="W37" s="57" t="s">
        <v>82</v>
      </c>
      <c r="X37" s="57" t="s">
        <v>82</v>
      </c>
      <c r="Y37" s="59">
        <f t="shared" si="14"/>
        <v>0</v>
      </c>
      <c r="Z37" s="59">
        <f t="shared" si="15"/>
        <v>0</v>
      </c>
      <c r="AA37" s="59">
        <f t="shared" si="16"/>
        <v>0</v>
      </c>
      <c r="AB37" s="60">
        <v>0</v>
      </c>
      <c r="AC37" s="61">
        <f t="shared" si="17"/>
        <v>0</v>
      </c>
      <c r="AD37" s="61">
        <f t="shared" si="18"/>
        <v>0</v>
      </c>
      <c r="AE37" s="61">
        <f t="shared" si="19"/>
        <v>0</v>
      </c>
      <c r="AF37" s="62">
        <f t="shared" si="20"/>
        <v>0</v>
      </c>
      <c r="AG37" s="57" t="s">
        <v>82</v>
      </c>
      <c r="AH37" s="57" t="s">
        <v>82</v>
      </c>
      <c r="AI37" s="59">
        <f t="shared" si="21"/>
        <v>0</v>
      </c>
      <c r="AJ37" s="59">
        <f t="shared" si="22"/>
        <v>0</v>
      </c>
      <c r="AK37" s="59">
        <f t="shared" si="23"/>
        <v>0</v>
      </c>
      <c r="AL37" s="60">
        <v>1</v>
      </c>
      <c r="AM37" s="61">
        <f t="shared" si="24"/>
        <v>7.45</v>
      </c>
      <c r="AN37" s="61">
        <f t="shared" si="25"/>
        <v>0</v>
      </c>
      <c r="AO37" s="61">
        <f t="shared" si="26"/>
        <v>7.45</v>
      </c>
      <c r="AP37" s="62">
        <f t="shared" si="27"/>
        <v>0</v>
      </c>
      <c r="AQ37" s="59">
        <f t="shared" si="28"/>
        <v>0</v>
      </c>
      <c r="AR37" s="59">
        <f t="shared" si="29"/>
        <v>0</v>
      </c>
      <c r="AS37" s="63">
        <f t="shared" si="30"/>
        <v>0</v>
      </c>
      <c r="AT37" s="60">
        <f t="shared" si="31"/>
        <v>2</v>
      </c>
      <c r="AU37" s="61">
        <f t="shared" si="32"/>
        <v>14.9</v>
      </c>
      <c r="AV37" s="62">
        <f t="shared" si="33"/>
        <v>14.9</v>
      </c>
      <c r="AW37" s="61">
        <f t="shared" si="34"/>
        <v>14.9</v>
      </c>
      <c r="AX37" s="62">
        <f t="shared" si="35"/>
        <v>0</v>
      </c>
      <c r="AY37" s="64">
        <f t="shared" si="36"/>
        <v>0</v>
      </c>
    </row>
    <row r="38" spans="1:51" ht="15" x14ac:dyDescent="0.4">
      <c r="A38" s="74" t="s">
        <v>83</v>
      </c>
      <c r="B38" s="75"/>
      <c r="C38" s="76"/>
      <c r="D38" s="76"/>
      <c r="E38" s="77">
        <f>SUM(E7:E37)</f>
        <v>282</v>
      </c>
      <c r="F38" s="77">
        <f>SUM(F7:F37)</f>
        <v>265.75</v>
      </c>
      <c r="G38" s="77">
        <f>SUM(G7:G37)</f>
        <v>18.500000000000014</v>
      </c>
      <c r="H38" s="78">
        <f>SUM(H7:H37)</f>
        <v>1601</v>
      </c>
      <c r="I38" s="79">
        <f>SUM(I7:I37)</f>
        <v>11927.450000000003</v>
      </c>
      <c r="J38" s="79">
        <f>AVERAGE(J7:J37)</f>
        <v>32.547055121408583</v>
      </c>
      <c r="K38" s="79">
        <f>SUM(K7:K37)</f>
        <v>12809.271483890954</v>
      </c>
      <c r="L38" s="79">
        <f>SUM(L7:L37)</f>
        <v>881.82148389095539</v>
      </c>
      <c r="M38" s="76"/>
      <c r="N38" s="76"/>
      <c r="O38" s="77">
        <f>SUM(O7:O37)</f>
        <v>282</v>
      </c>
      <c r="P38" s="77">
        <f>SUM(P7:P37)</f>
        <v>274.93333333333334</v>
      </c>
      <c r="Q38" s="77">
        <f>SUM(Q7:Q37)</f>
        <v>13.33333333333335</v>
      </c>
      <c r="R38" s="78">
        <f>SUM(R7:R37)</f>
        <v>1570</v>
      </c>
      <c r="S38" s="79">
        <f>SUM(S7:S37)</f>
        <v>11696.500000000002</v>
      </c>
      <c r="T38" s="79">
        <f>AVERAGE(T7:T37)</f>
        <v>32.748958487324998</v>
      </c>
      <c r="U38" s="79">
        <f>SUM(U7:U37)</f>
        <v>12289.466500694487</v>
      </c>
      <c r="V38" s="79">
        <f>SUM(V7:V37)</f>
        <v>592.96650069448629</v>
      </c>
      <c r="W38" s="76"/>
      <c r="X38" s="76"/>
      <c r="Y38" s="77">
        <f>SUM(Y7:Y37)</f>
        <v>282</v>
      </c>
      <c r="Z38" s="77">
        <f>SUM(Z7:Z37)</f>
        <v>259.93333333333334</v>
      </c>
      <c r="AA38" s="77">
        <f>SUM(AA7:AA37)</f>
        <v>27.050000000000015</v>
      </c>
      <c r="AB38" s="78">
        <f>SUM(AB7:AB37)</f>
        <v>1753</v>
      </c>
      <c r="AC38" s="79">
        <f>SUM(AC7:AC37)</f>
        <v>13059.850000000002</v>
      </c>
      <c r="AD38" s="79">
        <f>AVERAGE(AD7:AD37)</f>
        <v>40.433696385072523</v>
      </c>
      <c r="AE38" s="79">
        <f>SUM(AE7:AE37)</f>
        <v>14402.474441194241</v>
      </c>
      <c r="AF38" s="79">
        <f>SUM(AF7:AF37)</f>
        <v>1342.6244411942412</v>
      </c>
      <c r="AG38" s="76"/>
      <c r="AH38" s="76"/>
      <c r="AI38" s="77">
        <f>SUM(AI7:AI37)</f>
        <v>282</v>
      </c>
      <c r="AJ38" s="77">
        <f>SUM(AJ7:AJ37)</f>
        <v>255.48333333333332</v>
      </c>
      <c r="AK38" s="77">
        <f>SUM(AK7:AK37)</f>
        <v>28.716666666666683</v>
      </c>
      <c r="AL38" s="78">
        <f>SUM(AL7:AL37)</f>
        <v>1302</v>
      </c>
      <c r="AM38" s="79">
        <f>SUM(AM7:AM37)</f>
        <v>9699.899999999996</v>
      </c>
      <c r="AN38" s="79">
        <f>AVERAGE(AN7:AN37)</f>
        <v>27.611786466750399</v>
      </c>
      <c r="AO38" s="79">
        <f t="shared" ref="AO38:AX38" si="37">SUM(AO7:AO37)</f>
        <v>10878.394186532005</v>
      </c>
      <c r="AP38" s="79">
        <f t="shared" si="37"/>
        <v>1178.4941865320043</v>
      </c>
      <c r="AQ38" s="77">
        <f t="shared" si="37"/>
        <v>1128</v>
      </c>
      <c r="AR38" s="77">
        <f t="shared" si="37"/>
        <v>1056.1000000000001</v>
      </c>
      <c r="AS38" s="77">
        <f t="shared" si="37"/>
        <v>87.600000000000051</v>
      </c>
      <c r="AT38" s="78">
        <f t="shared" si="37"/>
        <v>6226</v>
      </c>
      <c r="AU38" s="79">
        <f t="shared" si="37"/>
        <v>46383.7</v>
      </c>
      <c r="AV38" s="79">
        <f t="shared" si="37"/>
        <v>46383.7</v>
      </c>
      <c r="AW38" s="79">
        <f t="shared" si="37"/>
        <v>50379.606612311683</v>
      </c>
      <c r="AX38" s="79">
        <f t="shared" si="37"/>
        <v>3995.9066123116877</v>
      </c>
      <c r="AY38" s="80">
        <f>AVERAGE(AY7:AY37)</f>
        <v>5.6415122358804998E-2</v>
      </c>
    </row>
  </sheetData>
  <mergeCells count="7">
    <mergeCell ref="AQ5:AY5"/>
    <mergeCell ref="A5:B5"/>
    <mergeCell ref="C5:L5"/>
    <mergeCell ref="AG5:AP5"/>
    <mergeCell ref="A38:B38"/>
    <mergeCell ref="W5:AF5"/>
    <mergeCell ref="M5:V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Y37"/>
  <sheetViews>
    <sheetView workbookViewId="0"/>
  </sheetViews>
  <sheetFormatPr defaultRowHeight="14.5" x14ac:dyDescent="0.35"/>
  <cols>
    <col min="1" max="1" width="13" customWidth="1"/>
    <col min="2" max="2" width="10" customWidth="1"/>
    <col min="3" max="3" width="19" customWidth="1"/>
    <col min="4" max="4" width="10" customWidth="1"/>
    <col min="5" max="5" width="41" customWidth="1"/>
    <col min="6" max="6" width="53" customWidth="1"/>
    <col min="7" max="7" width="96" customWidth="1"/>
    <col min="8" max="8" width="19" customWidth="1"/>
    <col min="9" max="9" width="30" customWidth="1"/>
    <col min="10" max="10" width="40" customWidth="1"/>
    <col min="11" max="11" width="34" customWidth="1"/>
    <col min="12" max="12" width="30" customWidth="1"/>
    <col min="13" max="13" width="19" customWidth="1"/>
    <col min="14" max="14" width="10" customWidth="1"/>
    <col min="15" max="15" width="41" customWidth="1"/>
    <col min="16" max="16" width="53" customWidth="1"/>
    <col min="17" max="17" width="96" customWidth="1"/>
    <col min="18" max="18" width="19" customWidth="1"/>
    <col min="19" max="19" width="30" customWidth="1"/>
    <col min="20" max="20" width="40" customWidth="1"/>
    <col min="21" max="21" width="34" customWidth="1"/>
    <col min="22" max="22" width="30" customWidth="1"/>
    <col min="23" max="23" width="19" customWidth="1"/>
    <col min="24" max="24" width="10" customWidth="1"/>
    <col min="25" max="25" width="41" customWidth="1"/>
    <col min="26" max="26" width="53" customWidth="1"/>
    <col min="27" max="27" width="96" customWidth="1"/>
    <col min="28" max="28" width="19" customWidth="1"/>
    <col min="29" max="29" width="32" customWidth="1"/>
    <col min="30" max="30" width="41" customWidth="1"/>
    <col min="31" max="31" width="37" customWidth="1"/>
    <col min="32" max="32" width="32" customWidth="1"/>
    <col min="33" max="33" width="19" customWidth="1"/>
    <col min="34" max="34" width="10" customWidth="1"/>
    <col min="35" max="35" width="41" customWidth="1"/>
    <col min="36" max="36" width="57" customWidth="1"/>
    <col min="37" max="37" width="99" customWidth="1"/>
    <col min="38" max="38" width="19" customWidth="1"/>
    <col min="39" max="39" width="32" customWidth="1"/>
    <col min="40" max="40" width="43" customWidth="1"/>
    <col min="41" max="41" width="37" customWidth="1"/>
    <col min="42" max="42" width="32" customWidth="1"/>
    <col min="43" max="43" width="41" customWidth="1"/>
    <col min="44" max="45" width="20" customWidth="1"/>
    <col min="46" max="46" width="23" customWidth="1"/>
    <col min="47" max="47" width="32" customWidth="1"/>
    <col min="48" max="50" width="36" customWidth="1"/>
    <col min="51" max="51" width="27" customWidth="1"/>
  </cols>
  <sheetData>
    <row r="1" spans="1:51" ht="22.5" x14ac:dyDescent="0.6">
      <c r="A1" s="1" t="s">
        <v>84</v>
      </c>
    </row>
    <row r="2" spans="1:51" x14ac:dyDescent="0.35">
      <c r="A2" s="2" t="s">
        <v>51</v>
      </c>
    </row>
    <row r="3" spans="1:51" x14ac:dyDescent="0.35">
      <c r="A3" s="2" t="s">
        <v>52</v>
      </c>
    </row>
    <row r="5" spans="1:51" x14ac:dyDescent="0.35">
      <c r="A5" s="50" t="s">
        <v>53</v>
      </c>
      <c r="B5" s="38"/>
      <c r="C5" s="50" t="s">
        <v>54</v>
      </c>
      <c r="D5" s="38"/>
      <c r="E5" s="38"/>
      <c r="F5" s="38"/>
      <c r="G5" s="38"/>
      <c r="H5" s="38"/>
      <c r="I5" s="38"/>
      <c r="J5" s="38"/>
      <c r="K5" s="38"/>
      <c r="L5" s="38"/>
      <c r="M5" s="50" t="s">
        <v>55</v>
      </c>
      <c r="N5" s="38"/>
      <c r="O5" s="38"/>
      <c r="P5" s="38"/>
      <c r="Q5" s="38"/>
      <c r="R5" s="38"/>
      <c r="S5" s="38"/>
      <c r="T5" s="38"/>
      <c r="U5" s="38"/>
      <c r="V5" s="38"/>
      <c r="W5" s="50" t="s">
        <v>56</v>
      </c>
      <c r="X5" s="38"/>
      <c r="Y5" s="38"/>
      <c r="Z5" s="38"/>
      <c r="AA5" s="38"/>
      <c r="AB5" s="38"/>
      <c r="AC5" s="38"/>
      <c r="AD5" s="38"/>
      <c r="AE5" s="38"/>
      <c r="AF5" s="38"/>
      <c r="AG5" s="50" t="s">
        <v>57</v>
      </c>
      <c r="AH5" s="38"/>
      <c r="AI5" s="38"/>
      <c r="AJ5" s="38"/>
      <c r="AK5" s="38"/>
      <c r="AL5" s="38"/>
      <c r="AM5" s="38"/>
      <c r="AN5" s="38"/>
      <c r="AO5" s="38"/>
      <c r="AP5" s="38"/>
      <c r="AQ5" s="50" t="s">
        <v>58</v>
      </c>
      <c r="AR5" s="38"/>
      <c r="AS5" s="38"/>
      <c r="AT5" s="38"/>
      <c r="AU5" s="38"/>
      <c r="AV5" s="38"/>
      <c r="AW5" s="38"/>
      <c r="AX5" s="38"/>
      <c r="AY5" s="38"/>
    </row>
    <row r="6" spans="1:51" x14ac:dyDescent="0.35">
      <c r="A6" s="13" t="s">
        <v>59</v>
      </c>
      <c r="B6" s="13" t="s">
        <v>60</v>
      </c>
      <c r="C6" s="13" t="s">
        <v>61</v>
      </c>
      <c r="D6" s="13" t="s">
        <v>62</v>
      </c>
      <c r="E6" s="13" t="s">
        <v>63</v>
      </c>
      <c r="F6" s="13" t="s">
        <v>64</v>
      </c>
      <c r="G6" s="13" t="s">
        <v>65</v>
      </c>
      <c r="H6" s="13" t="s">
        <v>66</v>
      </c>
      <c r="I6" s="13" t="s">
        <v>67</v>
      </c>
      <c r="J6" s="13" t="s">
        <v>68</v>
      </c>
      <c r="K6" s="13" t="s">
        <v>47</v>
      </c>
      <c r="L6" s="13" t="s">
        <v>69</v>
      </c>
      <c r="M6" s="13" t="s">
        <v>61</v>
      </c>
      <c r="N6" s="13" t="s">
        <v>62</v>
      </c>
      <c r="O6" s="13" t="s">
        <v>63</v>
      </c>
      <c r="P6" s="13" t="s">
        <v>64</v>
      </c>
      <c r="Q6" s="13" t="s">
        <v>65</v>
      </c>
      <c r="R6" s="13" t="s">
        <v>66</v>
      </c>
      <c r="S6" s="13" t="s">
        <v>67</v>
      </c>
      <c r="T6" s="13" t="s">
        <v>68</v>
      </c>
      <c r="U6" s="13" t="s">
        <v>47</v>
      </c>
      <c r="V6" s="13" t="s">
        <v>69</v>
      </c>
      <c r="W6" s="13" t="s">
        <v>61</v>
      </c>
      <c r="X6" s="13" t="s">
        <v>62</v>
      </c>
      <c r="Y6" s="13" t="s">
        <v>63</v>
      </c>
      <c r="Z6" s="13" t="s">
        <v>64</v>
      </c>
      <c r="AA6" s="13" t="s">
        <v>65</v>
      </c>
      <c r="AB6" s="13" t="s">
        <v>66</v>
      </c>
      <c r="AC6" s="13" t="s">
        <v>67</v>
      </c>
      <c r="AD6" s="13" t="s">
        <v>68</v>
      </c>
      <c r="AE6" s="13" t="s">
        <v>47</v>
      </c>
      <c r="AF6" s="13" t="s">
        <v>69</v>
      </c>
      <c r="AG6" s="13" t="s">
        <v>61</v>
      </c>
      <c r="AH6" s="13" t="s">
        <v>62</v>
      </c>
      <c r="AI6" s="13" t="s">
        <v>63</v>
      </c>
      <c r="AJ6" s="13" t="s">
        <v>64</v>
      </c>
      <c r="AK6" s="13" t="s">
        <v>65</v>
      </c>
      <c r="AL6" s="13" t="s">
        <v>66</v>
      </c>
      <c r="AM6" s="13" t="s">
        <v>67</v>
      </c>
      <c r="AN6" s="13" t="s">
        <v>68</v>
      </c>
      <c r="AO6" s="13" t="s">
        <v>47</v>
      </c>
      <c r="AP6" s="13" t="s">
        <v>69</v>
      </c>
      <c r="AQ6" s="13" t="s">
        <v>70</v>
      </c>
      <c r="AR6" s="13" t="s">
        <v>38</v>
      </c>
      <c r="AS6" s="13" t="s">
        <v>71</v>
      </c>
      <c r="AT6" s="13" t="s">
        <v>72</v>
      </c>
      <c r="AU6" s="13" t="s">
        <v>45</v>
      </c>
      <c r="AV6" s="13" t="s">
        <v>46</v>
      </c>
      <c r="AW6" s="13" t="s">
        <v>73</v>
      </c>
      <c r="AX6" s="13" t="s">
        <v>48</v>
      </c>
      <c r="AY6" s="13" t="s">
        <v>74</v>
      </c>
    </row>
    <row r="7" spans="1:51" x14ac:dyDescent="0.35">
      <c r="A7" s="14">
        <v>46174</v>
      </c>
      <c r="B7" s="15" t="s">
        <v>78</v>
      </c>
      <c r="C7" s="16">
        <v>0.29166666666666669</v>
      </c>
      <c r="D7" s="16">
        <v>0.79166666666666663</v>
      </c>
      <c r="E7" s="17">
        <f t="shared" ref="E7:E36" si="0">IF(B7="Sun", 0, IF(B7="Sat", 6, 12))</f>
        <v>12</v>
      </c>
      <c r="F7" s="17">
        <f t="shared" ref="F7:F36" si="1">IF(OR(D7="OFF", ISBLANK(D7)), 0, (D7 - C7)*24)</f>
        <v>11.999999999999998</v>
      </c>
      <c r="G7" s="17">
        <f t="shared" ref="G7:G36" si="2">IF(OR(B7="Sun", D7="OFF", ISBLANK(D7)), 0, MAX(0, (IF(B7="Sat", 14/24, 20/24) - D7)*24))</f>
        <v>1.0000000000000018</v>
      </c>
      <c r="H7" s="18">
        <v>98</v>
      </c>
      <c r="I7" s="19">
        <f t="shared" ref="I7:I36" si="3">H7*7.45</f>
        <v>730.1</v>
      </c>
      <c r="J7" s="19">
        <f t="shared" ref="J7:J36" si="4">IF(F7&gt;0, I7/F7, 0)</f>
        <v>60.841666666666676</v>
      </c>
      <c r="K7" s="19">
        <f t="shared" ref="K7:K36" si="5">I7 + (G7*J7)</f>
        <v>790.94166666666683</v>
      </c>
      <c r="L7" s="20">
        <f t="shared" ref="L7:L36" si="6">G7*J7</f>
        <v>60.841666666666782</v>
      </c>
      <c r="M7" s="16">
        <v>0.29166666666666669</v>
      </c>
      <c r="N7" s="16">
        <v>0.83194444444444449</v>
      </c>
      <c r="O7" s="17">
        <f t="shared" ref="O7:O36" si="7">IF(B7="Sun", 0, IF(B7="Sat", 6, 12))</f>
        <v>12</v>
      </c>
      <c r="P7" s="17">
        <f t="shared" ref="P7:P36" si="8">IF(OR(N7="OFF", ISBLANK(N7)), 0, (N7 - M7)*24)</f>
        <v>12.966666666666669</v>
      </c>
      <c r="Q7" s="17">
        <f t="shared" ref="Q7:Q36" si="9">IF(OR(B7="Sun", N7="OFF", ISBLANK(N7)), 0, MAX(0, (IF(B7="Sat", 14/24, 20/24) - N7)*24))</f>
        <v>3.3333333333333215E-2</v>
      </c>
      <c r="R7" s="18">
        <v>81</v>
      </c>
      <c r="S7" s="19">
        <f t="shared" ref="S7:S36" si="10">R7*7.45</f>
        <v>603.45000000000005</v>
      </c>
      <c r="T7" s="19">
        <f t="shared" ref="T7:T36" si="11">IF(P7&gt;0, S7/P7, 0)</f>
        <v>46.538560411311053</v>
      </c>
      <c r="U7" s="19">
        <f t="shared" ref="U7:U36" si="12">S7 + (Q7*T7)</f>
        <v>605.00128534704379</v>
      </c>
      <c r="V7" s="20">
        <f t="shared" ref="V7:V36" si="13">Q7*T7</f>
        <v>1.5512853470436962</v>
      </c>
      <c r="W7" s="16">
        <v>0.29166666666666669</v>
      </c>
      <c r="X7" s="16">
        <v>0.79027777777777775</v>
      </c>
      <c r="Y7" s="17">
        <f t="shared" ref="Y7:Y36" si="14">IF(B7="Sun", 0, IF(B7="Sat", 6, 12))</f>
        <v>12</v>
      </c>
      <c r="Z7" s="17">
        <f t="shared" ref="Z7:Z36" si="15">IF(OR(X7="OFF", ISBLANK(X7)), 0, (X7 - W7)*24)</f>
        <v>11.966666666666665</v>
      </c>
      <c r="AA7" s="17">
        <f t="shared" ref="AA7:AA36" si="16">IF(OR(B7="Sun", X7="OFF", ISBLANK(X7)), 0, MAX(0, (IF(B7="Sat", 14/24, 20/24) - X7)*24))</f>
        <v>1.033333333333335</v>
      </c>
      <c r="AB7" s="18">
        <v>98</v>
      </c>
      <c r="AC7" s="19">
        <f t="shared" ref="AC7:AC36" si="17">AB7*7.45</f>
        <v>730.1</v>
      </c>
      <c r="AD7" s="19">
        <f t="shared" ref="AD7:AD36" si="18">IF(Z7&gt;0, AC7/Z7, 0)</f>
        <v>61.011142061281348</v>
      </c>
      <c r="AE7" s="19">
        <f t="shared" ref="AE7:AE36" si="19">AC7 + (AA7*AD7)</f>
        <v>793.14484679665748</v>
      </c>
      <c r="AF7" s="20">
        <f t="shared" ref="AF7:AF36" si="20">AA7*AD7</f>
        <v>63.044846796657495</v>
      </c>
      <c r="AG7" s="16">
        <v>0.29166666666666669</v>
      </c>
      <c r="AH7" s="16">
        <v>0.79027777777777775</v>
      </c>
      <c r="AI7" s="17">
        <f t="shared" ref="AI7:AI36" si="21">IF(B7="Sun", 0, IF(B7="Sat", 6, 12))</f>
        <v>12</v>
      </c>
      <c r="AJ7" s="17">
        <f t="shared" ref="AJ7:AJ36" si="22">IF(OR(AH7="OFF", ISBLANK(AH7)), 0, (AH7 - AG7)*24)</f>
        <v>11.966666666666665</v>
      </c>
      <c r="AK7" s="17">
        <f t="shared" ref="AK7:AK36" si="23">IF(OR(B7="Sun", AH7="OFF", ISBLANK(AH7)), 0, MAX(0, (IF(B7="Sat", 14/24, 20/24) - AH7)*24))</f>
        <v>1.033333333333335</v>
      </c>
      <c r="AL7" s="18">
        <v>78</v>
      </c>
      <c r="AM7" s="19">
        <f t="shared" ref="AM7:AM36" si="24">AL7*7.45</f>
        <v>581.1</v>
      </c>
      <c r="AN7" s="19">
        <f t="shared" ref="AN7:AN36" si="25">IF(AJ7&gt;0, AM7/AJ7, 0)</f>
        <v>48.559888579387199</v>
      </c>
      <c r="AO7" s="19">
        <f t="shared" ref="AO7:AO36" si="26">AM7 + (AK7*AN7)</f>
        <v>631.27855153203359</v>
      </c>
      <c r="AP7" s="20">
        <f t="shared" ref="AP7:AP36" si="27">AK7*AN7</f>
        <v>50.178551532033516</v>
      </c>
      <c r="AQ7" s="17">
        <f t="shared" ref="AQ7:AQ36" si="28">E7+O7+Y7+AI7</f>
        <v>48</v>
      </c>
      <c r="AR7" s="17">
        <f t="shared" ref="AR7:AR36" si="29">F7+P7+Z7+AJ7</f>
        <v>48.900000000000006</v>
      </c>
      <c r="AS7" s="21">
        <f t="shared" ref="AS7:AS36" si="30">G7+Q7+AA7+AK7</f>
        <v>3.100000000000005</v>
      </c>
      <c r="AT7" s="18">
        <f t="shared" ref="AT7:AT36" si="31">H7+R7+AB7+AL7</f>
        <v>355</v>
      </c>
      <c r="AU7" s="19">
        <f t="shared" ref="AU7:AU36" si="32">AT7*7.45</f>
        <v>2644.75</v>
      </c>
      <c r="AV7" s="20">
        <f t="shared" ref="AV7:AV36" si="33">I7+S7+AC7+AM7</f>
        <v>2644.75</v>
      </c>
      <c r="AW7" s="19">
        <f t="shared" ref="AW7:AW36" si="34">K7+U7+AE7+AO7</f>
        <v>2820.3663503424013</v>
      </c>
      <c r="AX7" s="20">
        <f t="shared" ref="AX7:AX36" si="35">L7+V7+AF7+AP7</f>
        <v>175.61635034240149</v>
      </c>
      <c r="AY7" s="22">
        <f t="shared" ref="AY7:AY36" si="36">IF(AW7&gt;0, AX7/AW7, 0)</f>
        <v>6.2267212314840274E-2</v>
      </c>
    </row>
    <row r="8" spans="1:51" x14ac:dyDescent="0.35">
      <c r="A8" s="23">
        <v>46175</v>
      </c>
      <c r="B8" s="24" t="s">
        <v>79</v>
      </c>
      <c r="C8" s="25">
        <v>0.29166666666666669</v>
      </c>
      <c r="D8" s="25">
        <v>0.79305555555555551</v>
      </c>
      <c r="E8" s="26">
        <f t="shared" si="0"/>
        <v>12</v>
      </c>
      <c r="F8" s="26">
        <f t="shared" si="1"/>
        <v>12.033333333333333</v>
      </c>
      <c r="G8" s="26">
        <f t="shared" si="2"/>
        <v>0.96666666666666856</v>
      </c>
      <c r="H8" s="27">
        <v>105</v>
      </c>
      <c r="I8" s="28">
        <f t="shared" si="3"/>
        <v>782.25</v>
      </c>
      <c r="J8" s="28">
        <f t="shared" si="4"/>
        <v>65.00692520775624</v>
      </c>
      <c r="K8" s="28">
        <f t="shared" si="5"/>
        <v>845.09002770083111</v>
      </c>
      <c r="L8" s="29">
        <f t="shared" si="6"/>
        <v>62.840027700831158</v>
      </c>
      <c r="M8" s="25">
        <v>0.29166666666666669</v>
      </c>
      <c r="N8" s="25">
        <v>0.83333333333333337</v>
      </c>
      <c r="O8" s="26">
        <f t="shared" si="7"/>
        <v>12</v>
      </c>
      <c r="P8" s="26">
        <f t="shared" si="8"/>
        <v>13.000000000000002</v>
      </c>
      <c r="Q8" s="26">
        <f t="shared" si="9"/>
        <v>0</v>
      </c>
      <c r="R8" s="27">
        <v>78</v>
      </c>
      <c r="S8" s="28">
        <f t="shared" si="10"/>
        <v>581.1</v>
      </c>
      <c r="T8" s="28">
        <f t="shared" si="11"/>
        <v>44.699999999999996</v>
      </c>
      <c r="U8" s="28">
        <f t="shared" si="12"/>
        <v>581.1</v>
      </c>
      <c r="V8" s="29">
        <f t="shared" si="13"/>
        <v>0</v>
      </c>
      <c r="W8" s="25">
        <v>0.29166666666666669</v>
      </c>
      <c r="X8" s="25">
        <v>0.83333333333333337</v>
      </c>
      <c r="Y8" s="26">
        <f t="shared" si="14"/>
        <v>12</v>
      </c>
      <c r="Z8" s="26">
        <f t="shared" si="15"/>
        <v>13.000000000000002</v>
      </c>
      <c r="AA8" s="26">
        <f t="shared" si="16"/>
        <v>0</v>
      </c>
      <c r="AB8" s="27">
        <v>105</v>
      </c>
      <c r="AC8" s="28">
        <f t="shared" si="17"/>
        <v>782.25</v>
      </c>
      <c r="AD8" s="28">
        <f t="shared" si="18"/>
        <v>60.173076923076913</v>
      </c>
      <c r="AE8" s="28">
        <f t="shared" si="19"/>
        <v>782.25</v>
      </c>
      <c r="AF8" s="29">
        <f t="shared" si="20"/>
        <v>0</v>
      </c>
      <c r="AG8" s="25">
        <v>0.29166666666666669</v>
      </c>
      <c r="AH8" s="25">
        <v>0.75972222222222219</v>
      </c>
      <c r="AI8" s="26">
        <f t="shared" si="21"/>
        <v>12</v>
      </c>
      <c r="AJ8" s="26">
        <f t="shared" si="22"/>
        <v>11.233333333333333</v>
      </c>
      <c r="AK8" s="26">
        <f t="shared" si="23"/>
        <v>1.7666666666666684</v>
      </c>
      <c r="AL8" s="27">
        <v>75</v>
      </c>
      <c r="AM8" s="28">
        <f t="shared" si="24"/>
        <v>558.75</v>
      </c>
      <c r="AN8" s="28">
        <f t="shared" si="25"/>
        <v>49.740356083086056</v>
      </c>
      <c r="AO8" s="28">
        <f t="shared" si="26"/>
        <v>646.62462908011878</v>
      </c>
      <c r="AP8" s="29">
        <f t="shared" si="27"/>
        <v>87.87462908011878</v>
      </c>
      <c r="AQ8" s="26">
        <f t="shared" si="28"/>
        <v>48</v>
      </c>
      <c r="AR8" s="26">
        <f t="shared" si="29"/>
        <v>49.266666666666673</v>
      </c>
      <c r="AS8" s="30">
        <f t="shared" si="30"/>
        <v>2.7333333333333369</v>
      </c>
      <c r="AT8" s="27">
        <f t="shared" si="31"/>
        <v>363</v>
      </c>
      <c r="AU8" s="28">
        <f t="shared" si="32"/>
        <v>2704.35</v>
      </c>
      <c r="AV8" s="29">
        <f t="shared" si="33"/>
        <v>2704.35</v>
      </c>
      <c r="AW8" s="28">
        <f t="shared" si="34"/>
        <v>2855.0646567809499</v>
      </c>
      <c r="AX8" s="29">
        <f t="shared" si="35"/>
        <v>150.71465678094995</v>
      </c>
      <c r="AY8" s="31">
        <f t="shared" si="36"/>
        <v>5.2788526670663513E-2</v>
      </c>
    </row>
    <row r="9" spans="1:51" x14ac:dyDescent="0.35">
      <c r="A9" s="14">
        <v>46176</v>
      </c>
      <c r="B9" s="15" t="s">
        <v>80</v>
      </c>
      <c r="C9" s="16">
        <v>0.29166666666666669</v>
      </c>
      <c r="D9" s="16">
        <v>0.81597222222222221</v>
      </c>
      <c r="E9" s="17">
        <f t="shared" si="0"/>
        <v>12</v>
      </c>
      <c r="F9" s="17">
        <f t="shared" si="1"/>
        <v>12.583333333333334</v>
      </c>
      <c r="G9" s="17">
        <f t="shared" si="2"/>
        <v>0.41666666666666785</v>
      </c>
      <c r="H9" s="18">
        <v>88</v>
      </c>
      <c r="I9" s="19">
        <f t="shared" si="3"/>
        <v>655.6</v>
      </c>
      <c r="J9" s="19">
        <f t="shared" si="4"/>
        <v>52.100662251655628</v>
      </c>
      <c r="K9" s="19">
        <f t="shared" si="5"/>
        <v>677.30860927152321</v>
      </c>
      <c r="L9" s="20">
        <f t="shared" si="6"/>
        <v>21.70860927152324</v>
      </c>
      <c r="M9" s="16">
        <v>0.30694444444444452</v>
      </c>
      <c r="N9" s="16">
        <v>0.81597222222222221</v>
      </c>
      <c r="O9" s="17">
        <f t="shared" si="7"/>
        <v>12</v>
      </c>
      <c r="P9" s="17">
        <f t="shared" si="8"/>
        <v>12.216666666666663</v>
      </c>
      <c r="Q9" s="17">
        <f t="shared" si="9"/>
        <v>0.41666666666666785</v>
      </c>
      <c r="R9" s="18">
        <v>74</v>
      </c>
      <c r="S9" s="19">
        <f t="shared" si="10"/>
        <v>551.30000000000007</v>
      </c>
      <c r="T9" s="19">
        <f t="shared" si="11"/>
        <v>45.126875852660319</v>
      </c>
      <c r="U9" s="19">
        <f t="shared" si="12"/>
        <v>570.1028649386086</v>
      </c>
      <c r="V9" s="20">
        <f t="shared" si="13"/>
        <v>18.802864938608518</v>
      </c>
      <c r="W9" s="16">
        <v>0.30694444444444452</v>
      </c>
      <c r="X9" s="16">
        <v>0.74305555555555558</v>
      </c>
      <c r="Y9" s="17">
        <f t="shared" si="14"/>
        <v>12</v>
      </c>
      <c r="Z9" s="17">
        <f t="shared" si="15"/>
        <v>10.466666666666665</v>
      </c>
      <c r="AA9" s="17">
        <f t="shared" si="16"/>
        <v>2.166666666666667</v>
      </c>
      <c r="AB9" s="18">
        <v>84</v>
      </c>
      <c r="AC9" s="19">
        <f t="shared" si="17"/>
        <v>625.80000000000007</v>
      </c>
      <c r="AD9" s="19">
        <f t="shared" si="18"/>
        <v>59.789808917197469</v>
      </c>
      <c r="AE9" s="19">
        <f t="shared" si="19"/>
        <v>755.34458598726133</v>
      </c>
      <c r="AF9" s="20">
        <f t="shared" si="20"/>
        <v>129.5445859872612</v>
      </c>
      <c r="AG9" s="16">
        <v>0.30694444444444452</v>
      </c>
      <c r="AH9" s="16">
        <v>0.83333333333333337</v>
      </c>
      <c r="AI9" s="17">
        <f t="shared" si="21"/>
        <v>12</v>
      </c>
      <c r="AJ9" s="17">
        <f t="shared" si="22"/>
        <v>12.633333333333331</v>
      </c>
      <c r="AK9" s="17">
        <f t="shared" si="23"/>
        <v>0</v>
      </c>
      <c r="AL9" s="18">
        <v>74</v>
      </c>
      <c r="AM9" s="19">
        <f t="shared" si="24"/>
        <v>551.30000000000007</v>
      </c>
      <c r="AN9" s="19">
        <f t="shared" si="25"/>
        <v>43.638522427440648</v>
      </c>
      <c r="AO9" s="19">
        <f t="shared" si="26"/>
        <v>551.30000000000007</v>
      </c>
      <c r="AP9" s="20">
        <f t="shared" si="27"/>
        <v>0</v>
      </c>
      <c r="AQ9" s="17">
        <f t="shared" si="28"/>
        <v>48</v>
      </c>
      <c r="AR9" s="17">
        <f t="shared" si="29"/>
        <v>47.9</v>
      </c>
      <c r="AS9" s="21">
        <f t="shared" si="30"/>
        <v>3.0000000000000027</v>
      </c>
      <c r="AT9" s="18">
        <f t="shared" si="31"/>
        <v>320</v>
      </c>
      <c r="AU9" s="19">
        <f t="shared" si="32"/>
        <v>2384</v>
      </c>
      <c r="AV9" s="20">
        <f t="shared" si="33"/>
        <v>2384.0000000000005</v>
      </c>
      <c r="AW9" s="19">
        <f t="shared" si="34"/>
        <v>2554.0560601973934</v>
      </c>
      <c r="AX9" s="20">
        <f t="shared" si="35"/>
        <v>170.05606019739295</v>
      </c>
      <c r="AY9" s="22">
        <f t="shared" si="36"/>
        <v>6.6582743757100604E-2</v>
      </c>
    </row>
    <row r="10" spans="1:51" x14ac:dyDescent="0.35">
      <c r="A10" s="23">
        <v>46177</v>
      </c>
      <c r="B10" s="24" t="s">
        <v>81</v>
      </c>
      <c r="C10" s="25">
        <v>0.2986111111111111</v>
      </c>
      <c r="D10" s="25">
        <v>0.76388888888888884</v>
      </c>
      <c r="E10" s="26">
        <f t="shared" si="0"/>
        <v>12</v>
      </c>
      <c r="F10" s="26">
        <f t="shared" si="1"/>
        <v>11.166666666666666</v>
      </c>
      <c r="G10" s="26">
        <f t="shared" si="2"/>
        <v>1.6666666666666687</v>
      </c>
      <c r="H10" s="27">
        <v>82</v>
      </c>
      <c r="I10" s="28">
        <f t="shared" si="3"/>
        <v>610.9</v>
      </c>
      <c r="J10" s="28">
        <f t="shared" si="4"/>
        <v>54.707462686567162</v>
      </c>
      <c r="K10" s="28">
        <f t="shared" si="5"/>
        <v>702.07910447761196</v>
      </c>
      <c r="L10" s="29">
        <f t="shared" si="6"/>
        <v>91.179104477612043</v>
      </c>
      <c r="M10" s="25">
        <v>0.2986111111111111</v>
      </c>
      <c r="N10" s="25">
        <v>0.79305555555555551</v>
      </c>
      <c r="O10" s="26">
        <f t="shared" si="7"/>
        <v>12</v>
      </c>
      <c r="P10" s="26">
        <f t="shared" si="8"/>
        <v>11.866666666666665</v>
      </c>
      <c r="Q10" s="26">
        <f t="shared" si="9"/>
        <v>0.96666666666666856</v>
      </c>
      <c r="R10" s="27">
        <v>73</v>
      </c>
      <c r="S10" s="28">
        <f t="shared" si="10"/>
        <v>543.85</v>
      </c>
      <c r="T10" s="28">
        <f t="shared" si="11"/>
        <v>45.830056179775291</v>
      </c>
      <c r="U10" s="28">
        <f t="shared" si="12"/>
        <v>588.15238764044955</v>
      </c>
      <c r="V10" s="29">
        <f t="shared" si="13"/>
        <v>44.302387640449531</v>
      </c>
      <c r="W10" s="25">
        <v>0.2986111111111111</v>
      </c>
      <c r="X10" s="25">
        <v>0.74444444444444446</v>
      </c>
      <c r="Y10" s="26">
        <f t="shared" si="14"/>
        <v>12</v>
      </c>
      <c r="Z10" s="26">
        <f t="shared" si="15"/>
        <v>10.700000000000001</v>
      </c>
      <c r="AA10" s="26">
        <f t="shared" si="16"/>
        <v>2.1333333333333337</v>
      </c>
      <c r="AB10" s="27">
        <v>84</v>
      </c>
      <c r="AC10" s="28">
        <f t="shared" si="17"/>
        <v>625.80000000000007</v>
      </c>
      <c r="AD10" s="28">
        <f t="shared" si="18"/>
        <v>58.485981308411219</v>
      </c>
      <c r="AE10" s="28">
        <f t="shared" si="19"/>
        <v>750.57009345794404</v>
      </c>
      <c r="AF10" s="29">
        <f t="shared" si="20"/>
        <v>124.77009345794396</v>
      </c>
      <c r="AG10" s="25">
        <v>0.2986111111111111</v>
      </c>
      <c r="AH10" s="25">
        <v>0.74444444444444446</v>
      </c>
      <c r="AI10" s="26">
        <f t="shared" si="21"/>
        <v>12</v>
      </c>
      <c r="AJ10" s="26">
        <f t="shared" si="22"/>
        <v>10.700000000000001</v>
      </c>
      <c r="AK10" s="26">
        <f t="shared" si="23"/>
        <v>2.1333333333333337</v>
      </c>
      <c r="AL10" s="27">
        <v>63</v>
      </c>
      <c r="AM10" s="28">
        <f t="shared" si="24"/>
        <v>469.35</v>
      </c>
      <c r="AN10" s="28">
        <f t="shared" si="25"/>
        <v>43.864485981308412</v>
      </c>
      <c r="AO10" s="28">
        <f t="shared" si="26"/>
        <v>562.92757009345803</v>
      </c>
      <c r="AP10" s="29">
        <f t="shared" si="27"/>
        <v>93.577570093457965</v>
      </c>
      <c r="AQ10" s="26">
        <f t="shared" si="28"/>
        <v>48</v>
      </c>
      <c r="AR10" s="26">
        <f t="shared" si="29"/>
        <v>44.433333333333337</v>
      </c>
      <c r="AS10" s="30">
        <f t="shared" si="30"/>
        <v>6.9000000000000048</v>
      </c>
      <c r="AT10" s="27">
        <f t="shared" si="31"/>
        <v>302</v>
      </c>
      <c r="AU10" s="28">
        <f t="shared" si="32"/>
        <v>2249.9</v>
      </c>
      <c r="AV10" s="29">
        <f t="shared" si="33"/>
        <v>2249.9</v>
      </c>
      <c r="AW10" s="28">
        <f t="shared" si="34"/>
        <v>2603.7291556694636</v>
      </c>
      <c r="AX10" s="29">
        <f t="shared" si="35"/>
        <v>353.82915566946349</v>
      </c>
      <c r="AY10" s="31">
        <f t="shared" si="36"/>
        <v>0.13589322641297841</v>
      </c>
    </row>
    <row r="11" spans="1:51" x14ac:dyDescent="0.35">
      <c r="A11" s="14">
        <v>46178</v>
      </c>
      <c r="B11" s="15" t="s">
        <v>75</v>
      </c>
      <c r="C11" s="16">
        <v>0.31944444444444442</v>
      </c>
      <c r="D11" s="16">
        <v>0.77569444444444446</v>
      </c>
      <c r="E11" s="17">
        <f t="shared" si="0"/>
        <v>12</v>
      </c>
      <c r="F11" s="17">
        <f t="shared" si="1"/>
        <v>10.950000000000001</v>
      </c>
      <c r="G11" s="17">
        <f t="shared" si="2"/>
        <v>1.3833333333333337</v>
      </c>
      <c r="H11" s="18">
        <v>83</v>
      </c>
      <c r="I11" s="19">
        <f t="shared" si="3"/>
        <v>618.35</v>
      </c>
      <c r="J11" s="19">
        <f t="shared" si="4"/>
        <v>56.470319634703195</v>
      </c>
      <c r="K11" s="19">
        <f t="shared" si="5"/>
        <v>696.46727549467278</v>
      </c>
      <c r="L11" s="20">
        <f t="shared" si="6"/>
        <v>78.117275494672782</v>
      </c>
      <c r="M11" s="16">
        <v>0.31944444444444442</v>
      </c>
      <c r="N11" s="16">
        <v>0.81041666666666667</v>
      </c>
      <c r="O11" s="17">
        <f t="shared" si="7"/>
        <v>12</v>
      </c>
      <c r="P11" s="17">
        <f t="shared" si="8"/>
        <v>11.783333333333335</v>
      </c>
      <c r="Q11" s="17">
        <f t="shared" si="9"/>
        <v>0.55000000000000071</v>
      </c>
      <c r="R11" s="18">
        <v>75</v>
      </c>
      <c r="S11" s="19">
        <f t="shared" si="10"/>
        <v>558.75</v>
      </c>
      <c r="T11" s="19">
        <f t="shared" si="11"/>
        <v>47.418670438472411</v>
      </c>
      <c r="U11" s="19">
        <f t="shared" si="12"/>
        <v>584.8302687411599</v>
      </c>
      <c r="V11" s="20">
        <f t="shared" si="13"/>
        <v>26.080268741159859</v>
      </c>
      <c r="W11" s="16">
        <v>0.31944444444444442</v>
      </c>
      <c r="X11" s="16">
        <v>0.75347222222222221</v>
      </c>
      <c r="Y11" s="17">
        <f t="shared" si="14"/>
        <v>12</v>
      </c>
      <c r="Z11" s="17">
        <f t="shared" si="15"/>
        <v>10.416666666666668</v>
      </c>
      <c r="AA11" s="17">
        <f t="shared" si="16"/>
        <v>1.9166666666666679</v>
      </c>
      <c r="AB11" s="18">
        <v>77</v>
      </c>
      <c r="AC11" s="19">
        <f t="shared" si="17"/>
        <v>573.65</v>
      </c>
      <c r="AD11" s="19">
        <f t="shared" si="18"/>
        <v>55.070399999999992</v>
      </c>
      <c r="AE11" s="19">
        <f t="shared" si="19"/>
        <v>679.20159999999998</v>
      </c>
      <c r="AF11" s="20">
        <f t="shared" si="20"/>
        <v>105.55160000000005</v>
      </c>
      <c r="AG11" s="16">
        <v>0.31944444444444442</v>
      </c>
      <c r="AH11" s="16">
        <v>0.75347222222222221</v>
      </c>
      <c r="AI11" s="17">
        <f t="shared" si="21"/>
        <v>12</v>
      </c>
      <c r="AJ11" s="17">
        <f t="shared" si="22"/>
        <v>10.416666666666668</v>
      </c>
      <c r="AK11" s="17">
        <f t="shared" si="23"/>
        <v>1.9166666666666679</v>
      </c>
      <c r="AL11" s="18">
        <v>64</v>
      </c>
      <c r="AM11" s="19">
        <f t="shared" si="24"/>
        <v>476.8</v>
      </c>
      <c r="AN11" s="19">
        <f t="shared" si="25"/>
        <v>45.772799999999997</v>
      </c>
      <c r="AO11" s="19">
        <f t="shared" si="26"/>
        <v>564.53120000000001</v>
      </c>
      <c r="AP11" s="20">
        <f t="shared" si="27"/>
        <v>87.731200000000044</v>
      </c>
      <c r="AQ11" s="17">
        <f t="shared" si="28"/>
        <v>48</v>
      </c>
      <c r="AR11" s="17">
        <f t="shared" si="29"/>
        <v>43.566666666666677</v>
      </c>
      <c r="AS11" s="21">
        <f t="shared" si="30"/>
        <v>5.7666666666666702</v>
      </c>
      <c r="AT11" s="18">
        <f t="shared" si="31"/>
        <v>299</v>
      </c>
      <c r="AU11" s="19">
        <f t="shared" si="32"/>
        <v>2227.5500000000002</v>
      </c>
      <c r="AV11" s="20">
        <f t="shared" si="33"/>
        <v>2227.5500000000002</v>
      </c>
      <c r="AW11" s="19">
        <f t="shared" si="34"/>
        <v>2525.0303442358327</v>
      </c>
      <c r="AX11" s="20">
        <f t="shared" si="35"/>
        <v>297.48034423583272</v>
      </c>
      <c r="AY11" s="22">
        <f t="shared" si="36"/>
        <v>0.11781258190220334</v>
      </c>
    </row>
    <row r="12" spans="1:51" x14ac:dyDescent="0.35">
      <c r="A12" s="23">
        <v>46179</v>
      </c>
      <c r="B12" s="24" t="s">
        <v>76</v>
      </c>
      <c r="C12" s="25">
        <v>0.30555555555555558</v>
      </c>
      <c r="D12" s="25">
        <v>0.59375</v>
      </c>
      <c r="E12" s="26">
        <f t="shared" si="0"/>
        <v>6</v>
      </c>
      <c r="F12" s="26">
        <f t="shared" si="1"/>
        <v>6.9166666666666661</v>
      </c>
      <c r="G12" s="26">
        <f t="shared" si="2"/>
        <v>0</v>
      </c>
      <c r="H12" s="27">
        <v>51</v>
      </c>
      <c r="I12" s="28">
        <f t="shared" si="3"/>
        <v>379.95</v>
      </c>
      <c r="J12" s="28">
        <f t="shared" si="4"/>
        <v>54.932530120481928</v>
      </c>
      <c r="K12" s="28">
        <f t="shared" si="5"/>
        <v>379.95</v>
      </c>
      <c r="L12" s="29">
        <f t="shared" si="6"/>
        <v>0</v>
      </c>
      <c r="M12" s="25">
        <v>0.30555555555555558</v>
      </c>
      <c r="N12" s="25">
        <v>0.59375</v>
      </c>
      <c r="O12" s="26">
        <f t="shared" si="7"/>
        <v>6</v>
      </c>
      <c r="P12" s="26">
        <f t="shared" si="8"/>
        <v>6.9166666666666661</v>
      </c>
      <c r="Q12" s="26">
        <f t="shared" si="9"/>
        <v>0</v>
      </c>
      <c r="R12" s="27">
        <v>41</v>
      </c>
      <c r="S12" s="28">
        <f t="shared" si="10"/>
        <v>305.45</v>
      </c>
      <c r="T12" s="28">
        <f t="shared" si="11"/>
        <v>44.161445783132535</v>
      </c>
      <c r="U12" s="28">
        <f t="shared" si="12"/>
        <v>305.45</v>
      </c>
      <c r="V12" s="29">
        <f t="shared" si="13"/>
        <v>0</v>
      </c>
      <c r="W12" s="25">
        <v>0.30555555555555558</v>
      </c>
      <c r="X12" s="25">
        <v>0.59375</v>
      </c>
      <c r="Y12" s="26">
        <f t="shared" si="14"/>
        <v>6</v>
      </c>
      <c r="Z12" s="26">
        <f t="shared" si="15"/>
        <v>6.9166666666666661</v>
      </c>
      <c r="AA12" s="26">
        <f t="shared" si="16"/>
        <v>0</v>
      </c>
      <c r="AB12" s="27">
        <v>54</v>
      </c>
      <c r="AC12" s="28">
        <f t="shared" si="17"/>
        <v>402.3</v>
      </c>
      <c r="AD12" s="28">
        <f t="shared" si="18"/>
        <v>58.163855421686755</v>
      </c>
      <c r="AE12" s="28">
        <f t="shared" si="19"/>
        <v>402.3</v>
      </c>
      <c r="AF12" s="29">
        <f t="shared" si="20"/>
        <v>0</v>
      </c>
      <c r="AG12" s="25">
        <v>0.30555555555555558</v>
      </c>
      <c r="AH12" s="25">
        <v>0.46875</v>
      </c>
      <c r="AI12" s="26">
        <f t="shared" si="21"/>
        <v>6</v>
      </c>
      <c r="AJ12" s="26">
        <f t="shared" si="22"/>
        <v>3.9166666666666661</v>
      </c>
      <c r="AK12" s="26">
        <f t="shared" si="23"/>
        <v>2.7500000000000009</v>
      </c>
      <c r="AL12" s="27">
        <v>19</v>
      </c>
      <c r="AM12" s="28">
        <f t="shared" si="24"/>
        <v>141.55000000000001</v>
      </c>
      <c r="AN12" s="28">
        <f t="shared" si="25"/>
        <v>36.1404255319149</v>
      </c>
      <c r="AO12" s="28">
        <f t="shared" si="26"/>
        <v>240.936170212766</v>
      </c>
      <c r="AP12" s="29">
        <f t="shared" si="27"/>
        <v>99.386170212766004</v>
      </c>
      <c r="AQ12" s="26">
        <f t="shared" si="28"/>
        <v>24</v>
      </c>
      <c r="AR12" s="26">
        <f t="shared" si="29"/>
        <v>24.666666666666664</v>
      </c>
      <c r="AS12" s="30">
        <f t="shared" si="30"/>
        <v>2.7500000000000009</v>
      </c>
      <c r="AT12" s="27">
        <f t="shared" si="31"/>
        <v>165</v>
      </c>
      <c r="AU12" s="28">
        <f t="shared" si="32"/>
        <v>1229.25</v>
      </c>
      <c r="AV12" s="29">
        <f t="shared" si="33"/>
        <v>1229.25</v>
      </c>
      <c r="AW12" s="28">
        <f t="shared" si="34"/>
        <v>1328.636170212766</v>
      </c>
      <c r="AX12" s="29">
        <f t="shared" si="35"/>
        <v>99.386170212766004</v>
      </c>
      <c r="AY12" s="31">
        <f t="shared" si="36"/>
        <v>7.4803149606299246E-2</v>
      </c>
    </row>
    <row r="13" spans="1:51" x14ac:dyDescent="0.35">
      <c r="A13" s="14">
        <v>46180</v>
      </c>
      <c r="B13" s="15" t="s">
        <v>77</v>
      </c>
      <c r="C13" s="15" t="s">
        <v>82</v>
      </c>
      <c r="D13" s="15" t="s">
        <v>82</v>
      </c>
      <c r="E13" s="17">
        <f t="shared" si="0"/>
        <v>0</v>
      </c>
      <c r="F13" s="17">
        <f t="shared" si="1"/>
        <v>0</v>
      </c>
      <c r="G13" s="17">
        <f t="shared" si="2"/>
        <v>0</v>
      </c>
      <c r="H13" s="18">
        <v>0</v>
      </c>
      <c r="I13" s="19">
        <f t="shared" si="3"/>
        <v>0</v>
      </c>
      <c r="J13" s="19">
        <f t="shared" si="4"/>
        <v>0</v>
      </c>
      <c r="K13" s="19">
        <f t="shared" si="5"/>
        <v>0</v>
      </c>
      <c r="L13" s="20">
        <f t="shared" si="6"/>
        <v>0</v>
      </c>
      <c r="M13" s="15" t="s">
        <v>82</v>
      </c>
      <c r="N13" s="15" t="s">
        <v>82</v>
      </c>
      <c r="O13" s="17">
        <f t="shared" si="7"/>
        <v>0</v>
      </c>
      <c r="P13" s="17">
        <f t="shared" si="8"/>
        <v>0</v>
      </c>
      <c r="Q13" s="17">
        <f t="shared" si="9"/>
        <v>0</v>
      </c>
      <c r="R13" s="18">
        <v>0</v>
      </c>
      <c r="S13" s="19">
        <f t="shared" si="10"/>
        <v>0</v>
      </c>
      <c r="T13" s="19">
        <f t="shared" si="11"/>
        <v>0</v>
      </c>
      <c r="U13" s="19">
        <f t="shared" si="12"/>
        <v>0</v>
      </c>
      <c r="V13" s="20">
        <f t="shared" si="13"/>
        <v>0</v>
      </c>
      <c r="W13" s="15" t="s">
        <v>82</v>
      </c>
      <c r="X13" s="15" t="s">
        <v>82</v>
      </c>
      <c r="Y13" s="17">
        <f t="shared" si="14"/>
        <v>0</v>
      </c>
      <c r="Z13" s="17">
        <f t="shared" si="15"/>
        <v>0</v>
      </c>
      <c r="AA13" s="17">
        <f t="shared" si="16"/>
        <v>0</v>
      </c>
      <c r="AB13" s="18">
        <v>0</v>
      </c>
      <c r="AC13" s="19">
        <f t="shared" si="17"/>
        <v>0</v>
      </c>
      <c r="AD13" s="19">
        <f t="shared" si="18"/>
        <v>0</v>
      </c>
      <c r="AE13" s="19">
        <f t="shared" si="19"/>
        <v>0</v>
      </c>
      <c r="AF13" s="20">
        <f t="shared" si="20"/>
        <v>0</v>
      </c>
      <c r="AG13" s="15" t="s">
        <v>82</v>
      </c>
      <c r="AH13" s="15" t="s">
        <v>82</v>
      </c>
      <c r="AI13" s="17">
        <f t="shared" si="21"/>
        <v>0</v>
      </c>
      <c r="AJ13" s="17">
        <f t="shared" si="22"/>
        <v>0</v>
      </c>
      <c r="AK13" s="17">
        <f t="shared" si="23"/>
        <v>0</v>
      </c>
      <c r="AL13" s="18">
        <v>0</v>
      </c>
      <c r="AM13" s="19">
        <f t="shared" si="24"/>
        <v>0</v>
      </c>
      <c r="AN13" s="19">
        <f t="shared" si="25"/>
        <v>0</v>
      </c>
      <c r="AO13" s="19">
        <f t="shared" si="26"/>
        <v>0</v>
      </c>
      <c r="AP13" s="20">
        <f t="shared" si="27"/>
        <v>0</v>
      </c>
      <c r="AQ13" s="17">
        <f t="shared" si="28"/>
        <v>0</v>
      </c>
      <c r="AR13" s="17">
        <f t="shared" si="29"/>
        <v>0</v>
      </c>
      <c r="AS13" s="21">
        <f t="shared" si="30"/>
        <v>0</v>
      </c>
      <c r="AT13" s="18">
        <f t="shared" si="31"/>
        <v>0</v>
      </c>
      <c r="AU13" s="19">
        <f t="shared" si="32"/>
        <v>0</v>
      </c>
      <c r="AV13" s="20">
        <f t="shared" si="33"/>
        <v>0</v>
      </c>
      <c r="AW13" s="19">
        <f t="shared" si="34"/>
        <v>0</v>
      </c>
      <c r="AX13" s="20">
        <f t="shared" si="35"/>
        <v>0</v>
      </c>
      <c r="AY13" s="22">
        <f t="shared" si="36"/>
        <v>0</v>
      </c>
    </row>
    <row r="14" spans="1:51" x14ac:dyDescent="0.35">
      <c r="A14" s="23">
        <v>46181</v>
      </c>
      <c r="B14" s="24" t="s">
        <v>78</v>
      </c>
      <c r="C14" s="25">
        <v>0.30277777777777781</v>
      </c>
      <c r="D14" s="25">
        <v>0.8354166666666667</v>
      </c>
      <c r="E14" s="26">
        <f t="shared" si="0"/>
        <v>12</v>
      </c>
      <c r="F14" s="26">
        <f t="shared" si="1"/>
        <v>12.783333333333333</v>
      </c>
      <c r="G14" s="26">
        <f t="shared" si="2"/>
        <v>0</v>
      </c>
      <c r="H14" s="27">
        <v>59</v>
      </c>
      <c r="I14" s="28">
        <f t="shared" si="3"/>
        <v>439.55</v>
      </c>
      <c r="J14" s="28">
        <f t="shared" si="4"/>
        <v>34.384615384615387</v>
      </c>
      <c r="K14" s="28">
        <f t="shared" si="5"/>
        <v>439.55</v>
      </c>
      <c r="L14" s="29">
        <f t="shared" si="6"/>
        <v>0</v>
      </c>
      <c r="M14" s="25">
        <v>0.30277777777777781</v>
      </c>
      <c r="N14" s="25">
        <v>0.8354166666666667</v>
      </c>
      <c r="O14" s="26">
        <f t="shared" si="7"/>
        <v>12</v>
      </c>
      <c r="P14" s="26">
        <f t="shared" si="8"/>
        <v>12.783333333333333</v>
      </c>
      <c r="Q14" s="26">
        <f t="shared" si="9"/>
        <v>0</v>
      </c>
      <c r="R14" s="27">
        <v>48</v>
      </c>
      <c r="S14" s="28">
        <f t="shared" si="10"/>
        <v>357.6</v>
      </c>
      <c r="T14" s="28">
        <f t="shared" si="11"/>
        <v>27.973924380704045</v>
      </c>
      <c r="U14" s="28">
        <f t="shared" si="12"/>
        <v>357.6</v>
      </c>
      <c r="V14" s="29">
        <f t="shared" si="13"/>
        <v>0</v>
      </c>
      <c r="W14" s="25">
        <v>0.30277777777777781</v>
      </c>
      <c r="X14" s="25">
        <v>0.79861111111111116</v>
      </c>
      <c r="Y14" s="26">
        <f t="shared" si="14"/>
        <v>12</v>
      </c>
      <c r="Z14" s="26">
        <f t="shared" si="15"/>
        <v>11.9</v>
      </c>
      <c r="AA14" s="26">
        <f t="shared" si="16"/>
        <v>0.83333333333333304</v>
      </c>
      <c r="AB14" s="27">
        <v>56</v>
      </c>
      <c r="AC14" s="28">
        <f t="shared" si="17"/>
        <v>417.2</v>
      </c>
      <c r="AD14" s="28">
        <f t="shared" si="18"/>
        <v>35.058823529411761</v>
      </c>
      <c r="AE14" s="28">
        <f t="shared" si="19"/>
        <v>446.41568627450977</v>
      </c>
      <c r="AF14" s="29">
        <f t="shared" si="20"/>
        <v>29.215686274509789</v>
      </c>
      <c r="AG14" s="25">
        <v>0.30277777777777781</v>
      </c>
      <c r="AH14" s="25">
        <v>0.79861111111111116</v>
      </c>
      <c r="AI14" s="26">
        <f t="shared" si="21"/>
        <v>12</v>
      </c>
      <c r="AJ14" s="26">
        <f t="shared" si="22"/>
        <v>11.9</v>
      </c>
      <c r="AK14" s="26">
        <f t="shared" si="23"/>
        <v>0.83333333333333304</v>
      </c>
      <c r="AL14" s="27">
        <v>53</v>
      </c>
      <c r="AM14" s="28">
        <f t="shared" si="24"/>
        <v>394.85</v>
      </c>
      <c r="AN14" s="28">
        <f t="shared" si="25"/>
        <v>33.180672268907564</v>
      </c>
      <c r="AO14" s="28">
        <f t="shared" si="26"/>
        <v>422.50056022408967</v>
      </c>
      <c r="AP14" s="29">
        <f t="shared" si="27"/>
        <v>27.650560224089627</v>
      </c>
      <c r="AQ14" s="26">
        <f t="shared" si="28"/>
        <v>48</v>
      </c>
      <c r="AR14" s="26">
        <f t="shared" si="29"/>
        <v>49.366666666666667</v>
      </c>
      <c r="AS14" s="30">
        <f t="shared" si="30"/>
        <v>1.6666666666666661</v>
      </c>
      <c r="AT14" s="27">
        <f t="shared" si="31"/>
        <v>216</v>
      </c>
      <c r="AU14" s="28">
        <f t="shared" si="32"/>
        <v>1609.2</v>
      </c>
      <c r="AV14" s="29">
        <f t="shared" si="33"/>
        <v>1609.2000000000003</v>
      </c>
      <c r="AW14" s="28">
        <f t="shared" si="34"/>
        <v>1666.0662464985996</v>
      </c>
      <c r="AX14" s="29">
        <f t="shared" si="35"/>
        <v>56.866246498599416</v>
      </c>
      <c r="AY14" s="31">
        <f t="shared" si="36"/>
        <v>3.4132044039730934E-2</v>
      </c>
    </row>
    <row r="15" spans="1:51" x14ac:dyDescent="0.35">
      <c r="A15" s="14">
        <v>46182</v>
      </c>
      <c r="B15" s="15" t="s">
        <v>79</v>
      </c>
      <c r="C15" s="16">
        <v>0.2986111111111111</v>
      </c>
      <c r="D15" s="16">
        <v>0.76041666666666663</v>
      </c>
      <c r="E15" s="17">
        <f t="shared" si="0"/>
        <v>12</v>
      </c>
      <c r="F15" s="17">
        <f t="shared" si="1"/>
        <v>11.083333333333332</v>
      </c>
      <c r="G15" s="17">
        <f t="shared" si="2"/>
        <v>1.7500000000000018</v>
      </c>
      <c r="H15" s="18">
        <v>38</v>
      </c>
      <c r="I15" s="19">
        <f t="shared" si="3"/>
        <v>283.10000000000002</v>
      </c>
      <c r="J15" s="19">
        <f t="shared" si="4"/>
        <v>25.542857142857148</v>
      </c>
      <c r="K15" s="19">
        <f t="shared" si="5"/>
        <v>327.80000000000007</v>
      </c>
      <c r="L15" s="20">
        <f t="shared" si="6"/>
        <v>44.700000000000053</v>
      </c>
      <c r="M15" s="16">
        <v>0.2986111111111111</v>
      </c>
      <c r="N15" s="16">
        <v>0.83333333333333337</v>
      </c>
      <c r="O15" s="17">
        <f t="shared" si="7"/>
        <v>12</v>
      </c>
      <c r="P15" s="17">
        <f t="shared" si="8"/>
        <v>12.833333333333336</v>
      </c>
      <c r="Q15" s="17">
        <f t="shared" si="9"/>
        <v>0</v>
      </c>
      <c r="R15" s="18">
        <v>49</v>
      </c>
      <c r="S15" s="19">
        <f t="shared" si="10"/>
        <v>365.05</v>
      </c>
      <c r="T15" s="19">
        <f t="shared" si="11"/>
        <v>28.445454545454542</v>
      </c>
      <c r="U15" s="19">
        <f t="shared" si="12"/>
        <v>365.05</v>
      </c>
      <c r="V15" s="20">
        <f t="shared" si="13"/>
        <v>0</v>
      </c>
      <c r="W15" s="16">
        <v>0.2986111111111111</v>
      </c>
      <c r="X15" s="16">
        <v>0.76041666666666663</v>
      </c>
      <c r="Y15" s="17">
        <f t="shared" si="14"/>
        <v>12</v>
      </c>
      <c r="Z15" s="17">
        <f t="shared" si="15"/>
        <v>11.083333333333332</v>
      </c>
      <c r="AA15" s="17">
        <f t="shared" si="16"/>
        <v>1.7500000000000018</v>
      </c>
      <c r="AB15" s="18">
        <v>57</v>
      </c>
      <c r="AC15" s="19">
        <f t="shared" si="17"/>
        <v>424.65000000000003</v>
      </c>
      <c r="AD15" s="19">
        <f t="shared" si="18"/>
        <v>38.314285714285724</v>
      </c>
      <c r="AE15" s="19">
        <f t="shared" si="19"/>
        <v>491.7000000000001</v>
      </c>
      <c r="AF15" s="20">
        <f t="shared" si="20"/>
        <v>67.050000000000082</v>
      </c>
      <c r="AG15" s="16">
        <v>0.2986111111111111</v>
      </c>
      <c r="AH15" s="16">
        <v>0.76041666666666663</v>
      </c>
      <c r="AI15" s="17">
        <f t="shared" si="21"/>
        <v>12</v>
      </c>
      <c r="AJ15" s="17">
        <f t="shared" si="22"/>
        <v>11.083333333333332</v>
      </c>
      <c r="AK15" s="17">
        <f t="shared" si="23"/>
        <v>1.7500000000000018</v>
      </c>
      <c r="AL15" s="18">
        <v>55</v>
      </c>
      <c r="AM15" s="19">
        <f t="shared" si="24"/>
        <v>409.75</v>
      </c>
      <c r="AN15" s="19">
        <f t="shared" si="25"/>
        <v>36.969924812030079</v>
      </c>
      <c r="AO15" s="19">
        <f t="shared" si="26"/>
        <v>474.44736842105272</v>
      </c>
      <c r="AP15" s="20">
        <f t="shared" si="27"/>
        <v>64.697368421052701</v>
      </c>
      <c r="AQ15" s="17">
        <f t="shared" si="28"/>
        <v>48</v>
      </c>
      <c r="AR15" s="17">
        <f t="shared" si="29"/>
        <v>46.083333333333329</v>
      </c>
      <c r="AS15" s="21">
        <f t="shared" si="30"/>
        <v>5.2500000000000053</v>
      </c>
      <c r="AT15" s="18">
        <f t="shared" si="31"/>
        <v>199</v>
      </c>
      <c r="AU15" s="19">
        <f t="shared" si="32"/>
        <v>1482.55</v>
      </c>
      <c r="AV15" s="20">
        <f t="shared" si="33"/>
        <v>1482.5500000000002</v>
      </c>
      <c r="AW15" s="19">
        <f t="shared" si="34"/>
        <v>1658.9973684210529</v>
      </c>
      <c r="AX15" s="20">
        <f t="shared" si="35"/>
        <v>176.44736842105283</v>
      </c>
      <c r="AY15" s="22">
        <f t="shared" si="36"/>
        <v>0.10635783502718044</v>
      </c>
    </row>
    <row r="16" spans="1:51" x14ac:dyDescent="0.35">
      <c r="A16" s="23">
        <v>46183</v>
      </c>
      <c r="B16" s="24" t="s">
        <v>80</v>
      </c>
      <c r="C16" s="25">
        <v>0.30694444444444452</v>
      </c>
      <c r="D16" s="25">
        <v>0.80902777777777779</v>
      </c>
      <c r="E16" s="26">
        <f t="shared" si="0"/>
        <v>12</v>
      </c>
      <c r="F16" s="26">
        <f t="shared" si="1"/>
        <v>12.049999999999997</v>
      </c>
      <c r="G16" s="26">
        <f t="shared" si="2"/>
        <v>0.58333333333333393</v>
      </c>
      <c r="H16" s="27">
        <v>73</v>
      </c>
      <c r="I16" s="28">
        <f t="shared" si="3"/>
        <v>543.85</v>
      </c>
      <c r="J16" s="28">
        <f t="shared" si="4"/>
        <v>45.132780082987566</v>
      </c>
      <c r="K16" s="28">
        <f t="shared" si="5"/>
        <v>570.17745504840946</v>
      </c>
      <c r="L16" s="29">
        <f t="shared" si="6"/>
        <v>26.327455048409441</v>
      </c>
      <c r="M16" s="25">
        <v>0.30694444444444452</v>
      </c>
      <c r="N16" s="25">
        <v>0.83333333333333337</v>
      </c>
      <c r="O16" s="26">
        <f t="shared" si="7"/>
        <v>12</v>
      </c>
      <c r="P16" s="26">
        <f t="shared" si="8"/>
        <v>12.633333333333331</v>
      </c>
      <c r="Q16" s="26">
        <f t="shared" si="9"/>
        <v>0</v>
      </c>
      <c r="R16" s="27">
        <v>81</v>
      </c>
      <c r="S16" s="28">
        <f t="shared" si="10"/>
        <v>603.45000000000005</v>
      </c>
      <c r="T16" s="28">
        <f t="shared" si="11"/>
        <v>47.766490765171518</v>
      </c>
      <c r="U16" s="28">
        <f t="shared" si="12"/>
        <v>603.45000000000005</v>
      </c>
      <c r="V16" s="29">
        <f t="shared" si="13"/>
        <v>0</v>
      </c>
      <c r="W16" s="25">
        <v>0.30694444444444452</v>
      </c>
      <c r="X16" s="25">
        <v>0.77708333333333335</v>
      </c>
      <c r="Y16" s="26">
        <f t="shared" si="14"/>
        <v>12</v>
      </c>
      <c r="Z16" s="26">
        <f t="shared" si="15"/>
        <v>11.283333333333331</v>
      </c>
      <c r="AA16" s="26">
        <f t="shared" si="16"/>
        <v>1.3500000000000005</v>
      </c>
      <c r="AB16" s="27">
        <v>101</v>
      </c>
      <c r="AC16" s="28">
        <f t="shared" si="17"/>
        <v>752.45</v>
      </c>
      <c r="AD16" s="28">
        <f t="shared" si="18"/>
        <v>66.686853766617446</v>
      </c>
      <c r="AE16" s="28">
        <f t="shared" si="19"/>
        <v>842.47725258493369</v>
      </c>
      <c r="AF16" s="29">
        <f t="shared" si="20"/>
        <v>90.027252584933592</v>
      </c>
      <c r="AG16" s="25">
        <v>0.30694444444444452</v>
      </c>
      <c r="AH16" s="25">
        <v>0.77708333333333335</v>
      </c>
      <c r="AI16" s="26">
        <f t="shared" si="21"/>
        <v>12</v>
      </c>
      <c r="AJ16" s="26">
        <f t="shared" si="22"/>
        <v>11.283333333333331</v>
      </c>
      <c r="AK16" s="26">
        <f t="shared" si="23"/>
        <v>1.3500000000000005</v>
      </c>
      <c r="AL16" s="27">
        <v>89</v>
      </c>
      <c r="AM16" s="28">
        <f t="shared" si="24"/>
        <v>663.05000000000007</v>
      </c>
      <c r="AN16" s="28">
        <f t="shared" si="25"/>
        <v>58.763663220088645</v>
      </c>
      <c r="AO16" s="28">
        <f t="shared" si="26"/>
        <v>742.38094534711979</v>
      </c>
      <c r="AP16" s="29">
        <f t="shared" si="27"/>
        <v>79.330945347119709</v>
      </c>
      <c r="AQ16" s="26">
        <f t="shared" si="28"/>
        <v>48</v>
      </c>
      <c r="AR16" s="26">
        <f t="shared" si="29"/>
        <v>47.249999999999993</v>
      </c>
      <c r="AS16" s="30">
        <f t="shared" si="30"/>
        <v>3.283333333333335</v>
      </c>
      <c r="AT16" s="27">
        <f t="shared" si="31"/>
        <v>344</v>
      </c>
      <c r="AU16" s="28">
        <f t="shared" si="32"/>
        <v>2562.8000000000002</v>
      </c>
      <c r="AV16" s="29">
        <f t="shared" si="33"/>
        <v>2562.8000000000002</v>
      </c>
      <c r="AW16" s="28">
        <f t="shared" si="34"/>
        <v>2758.4856529804629</v>
      </c>
      <c r="AX16" s="29">
        <f t="shared" si="35"/>
        <v>195.68565298046275</v>
      </c>
      <c r="AY16" s="31">
        <f t="shared" si="36"/>
        <v>7.0939521751374759E-2</v>
      </c>
    </row>
    <row r="17" spans="1:51" x14ac:dyDescent="0.35">
      <c r="A17" s="14">
        <v>46184</v>
      </c>
      <c r="B17" s="15" t="s">
        <v>81</v>
      </c>
      <c r="C17" s="16">
        <v>0.30694444444444452</v>
      </c>
      <c r="D17" s="16">
        <v>0.79166666666666663</v>
      </c>
      <c r="E17" s="17">
        <f t="shared" si="0"/>
        <v>12</v>
      </c>
      <c r="F17" s="17">
        <f t="shared" si="1"/>
        <v>11.633333333333331</v>
      </c>
      <c r="G17" s="17">
        <f t="shared" si="2"/>
        <v>1.0000000000000018</v>
      </c>
      <c r="H17" s="18">
        <v>67</v>
      </c>
      <c r="I17" s="19">
        <f t="shared" si="3"/>
        <v>499.15000000000003</v>
      </c>
      <c r="J17" s="19">
        <f t="shared" si="4"/>
        <v>42.906876790830957</v>
      </c>
      <c r="K17" s="19">
        <f t="shared" si="5"/>
        <v>542.0568767908311</v>
      </c>
      <c r="L17" s="20">
        <f t="shared" si="6"/>
        <v>42.906876790831035</v>
      </c>
      <c r="M17" s="16">
        <v>0.30694444444444452</v>
      </c>
      <c r="N17" s="16">
        <v>0.83333333333333337</v>
      </c>
      <c r="O17" s="17">
        <f t="shared" si="7"/>
        <v>12</v>
      </c>
      <c r="P17" s="17">
        <f t="shared" si="8"/>
        <v>12.633333333333331</v>
      </c>
      <c r="Q17" s="17">
        <f t="shared" si="9"/>
        <v>0</v>
      </c>
      <c r="R17" s="18">
        <v>71</v>
      </c>
      <c r="S17" s="19">
        <f t="shared" si="10"/>
        <v>528.95000000000005</v>
      </c>
      <c r="T17" s="19">
        <f t="shared" si="11"/>
        <v>41.869393139841698</v>
      </c>
      <c r="U17" s="19">
        <f t="shared" si="12"/>
        <v>528.95000000000005</v>
      </c>
      <c r="V17" s="20">
        <f t="shared" si="13"/>
        <v>0</v>
      </c>
      <c r="W17" s="16">
        <v>0.30694444444444452</v>
      </c>
      <c r="X17" s="16">
        <v>0.77222222222222225</v>
      </c>
      <c r="Y17" s="17">
        <f t="shared" si="14"/>
        <v>12</v>
      </c>
      <c r="Z17" s="17">
        <f t="shared" si="15"/>
        <v>11.166666666666666</v>
      </c>
      <c r="AA17" s="17">
        <f t="shared" si="16"/>
        <v>1.4666666666666668</v>
      </c>
      <c r="AB17" s="18">
        <v>95</v>
      </c>
      <c r="AC17" s="19">
        <f t="shared" si="17"/>
        <v>707.75</v>
      </c>
      <c r="AD17" s="19">
        <f t="shared" si="18"/>
        <v>63.380597014925378</v>
      </c>
      <c r="AE17" s="19">
        <f t="shared" si="19"/>
        <v>800.70820895522388</v>
      </c>
      <c r="AF17" s="20">
        <f t="shared" si="20"/>
        <v>92.958208955223895</v>
      </c>
      <c r="AG17" s="16">
        <v>0.30694444444444452</v>
      </c>
      <c r="AH17" s="16">
        <v>0.77222222222222225</v>
      </c>
      <c r="AI17" s="17">
        <f t="shared" si="21"/>
        <v>12</v>
      </c>
      <c r="AJ17" s="17">
        <f t="shared" si="22"/>
        <v>11.166666666666666</v>
      </c>
      <c r="AK17" s="17">
        <f t="shared" si="23"/>
        <v>1.4666666666666668</v>
      </c>
      <c r="AL17" s="18">
        <v>86</v>
      </c>
      <c r="AM17" s="19">
        <f t="shared" si="24"/>
        <v>640.70000000000005</v>
      </c>
      <c r="AN17" s="19">
        <f t="shared" si="25"/>
        <v>57.376119402985083</v>
      </c>
      <c r="AO17" s="19">
        <f t="shared" si="26"/>
        <v>724.85164179104481</v>
      </c>
      <c r="AP17" s="20">
        <f t="shared" si="27"/>
        <v>84.151641791044796</v>
      </c>
      <c r="AQ17" s="17">
        <f t="shared" si="28"/>
        <v>48</v>
      </c>
      <c r="AR17" s="17">
        <f t="shared" si="29"/>
        <v>46.599999999999994</v>
      </c>
      <c r="AS17" s="21">
        <f t="shared" si="30"/>
        <v>3.9333333333333353</v>
      </c>
      <c r="AT17" s="18">
        <f t="shared" si="31"/>
        <v>319</v>
      </c>
      <c r="AU17" s="19">
        <f t="shared" si="32"/>
        <v>2376.5500000000002</v>
      </c>
      <c r="AV17" s="20">
        <f t="shared" si="33"/>
        <v>2376.5500000000002</v>
      </c>
      <c r="AW17" s="19">
        <f t="shared" si="34"/>
        <v>2596.5667275370997</v>
      </c>
      <c r="AX17" s="20">
        <f t="shared" si="35"/>
        <v>220.01672753709974</v>
      </c>
      <c r="AY17" s="22">
        <f t="shared" si="36"/>
        <v>8.4733708247810138E-2</v>
      </c>
    </row>
    <row r="18" spans="1:51" x14ac:dyDescent="0.35">
      <c r="A18" s="23">
        <v>46185</v>
      </c>
      <c r="B18" s="24" t="s">
        <v>75</v>
      </c>
      <c r="C18" s="25">
        <v>0.30694444444444452</v>
      </c>
      <c r="D18" s="25">
        <v>0.77430555555555558</v>
      </c>
      <c r="E18" s="26">
        <f t="shared" si="0"/>
        <v>12</v>
      </c>
      <c r="F18" s="26">
        <f t="shared" si="1"/>
        <v>11.216666666666665</v>
      </c>
      <c r="G18" s="26">
        <f t="shared" si="2"/>
        <v>1.416666666666667</v>
      </c>
      <c r="H18" s="27">
        <v>56</v>
      </c>
      <c r="I18" s="28">
        <f t="shared" si="3"/>
        <v>417.2</v>
      </c>
      <c r="J18" s="28">
        <f t="shared" si="4"/>
        <v>37.194650817236258</v>
      </c>
      <c r="K18" s="28">
        <f t="shared" si="5"/>
        <v>469.89242199108469</v>
      </c>
      <c r="L18" s="29">
        <f t="shared" si="6"/>
        <v>52.692421991084707</v>
      </c>
      <c r="M18" s="25">
        <v>0.30694444444444452</v>
      </c>
      <c r="N18" s="25">
        <v>0.8305555555555556</v>
      </c>
      <c r="O18" s="26">
        <f t="shared" si="7"/>
        <v>12</v>
      </c>
      <c r="P18" s="26">
        <f t="shared" si="8"/>
        <v>12.566666666666665</v>
      </c>
      <c r="Q18" s="26">
        <f t="shared" si="9"/>
        <v>6.666666666666643E-2</v>
      </c>
      <c r="R18" s="27">
        <v>76</v>
      </c>
      <c r="S18" s="28">
        <f t="shared" si="10"/>
        <v>566.20000000000005</v>
      </c>
      <c r="T18" s="28">
        <f t="shared" si="11"/>
        <v>45.055702917771896</v>
      </c>
      <c r="U18" s="28">
        <f t="shared" si="12"/>
        <v>569.20371352785151</v>
      </c>
      <c r="V18" s="29">
        <f t="shared" si="13"/>
        <v>3.0037135278514491</v>
      </c>
      <c r="W18" s="25">
        <v>0.30694444444444452</v>
      </c>
      <c r="X18" s="25">
        <v>0.77430555555555558</v>
      </c>
      <c r="Y18" s="26">
        <f t="shared" si="14"/>
        <v>12</v>
      </c>
      <c r="Z18" s="26">
        <f t="shared" si="15"/>
        <v>11.216666666666665</v>
      </c>
      <c r="AA18" s="26">
        <f t="shared" si="16"/>
        <v>1.416666666666667</v>
      </c>
      <c r="AB18" s="27">
        <v>93</v>
      </c>
      <c r="AC18" s="28">
        <f t="shared" si="17"/>
        <v>692.85</v>
      </c>
      <c r="AD18" s="28">
        <f t="shared" si="18"/>
        <v>61.769687964338793</v>
      </c>
      <c r="AE18" s="28">
        <f t="shared" si="19"/>
        <v>780.35705794948001</v>
      </c>
      <c r="AF18" s="29">
        <f t="shared" si="20"/>
        <v>87.507057949479972</v>
      </c>
      <c r="AG18" s="25">
        <v>0.30694444444444452</v>
      </c>
      <c r="AH18" s="25">
        <v>0.77430555555555558</v>
      </c>
      <c r="AI18" s="26">
        <f t="shared" si="21"/>
        <v>12</v>
      </c>
      <c r="AJ18" s="26">
        <f t="shared" si="22"/>
        <v>11.216666666666665</v>
      </c>
      <c r="AK18" s="26">
        <f t="shared" si="23"/>
        <v>1.416666666666667</v>
      </c>
      <c r="AL18" s="27">
        <v>83</v>
      </c>
      <c r="AM18" s="28">
        <f t="shared" si="24"/>
        <v>618.35</v>
      </c>
      <c r="AN18" s="28">
        <f t="shared" si="25"/>
        <v>55.127786032689457</v>
      </c>
      <c r="AO18" s="28">
        <f t="shared" si="26"/>
        <v>696.44769687964344</v>
      </c>
      <c r="AP18" s="29">
        <f t="shared" si="27"/>
        <v>78.097696879643408</v>
      </c>
      <c r="AQ18" s="26">
        <f t="shared" si="28"/>
        <v>48</v>
      </c>
      <c r="AR18" s="26">
        <f t="shared" si="29"/>
        <v>46.216666666666669</v>
      </c>
      <c r="AS18" s="30">
        <f t="shared" si="30"/>
        <v>4.3166666666666673</v>
      </c>
      <c r="AT18" s="27">
        <f t="shared" si="31"/>
        <v>308</v>
      </c>
      <c r="AU18" s="28">
        <f t="shared" si="32"/>
        <v>2294.6</v>
      </c>
      <c r="AV18" s="29">
        <f t="shared" si="33"/>
        <v>2294.6</v>
      </c>
      <c r="AW18" s="28">
        <f t="shared" si="34"/>
        <v>2515.9008903480594</v>
      </c>
      <c r="AX18" s="29">
        <f t="shared" si="35"/>
        <v>221.30089034805957</v>
      </c>
      <c r="AY18" s="31">
        <f t="shared" si="36"/>
        <v>8.7960893530048379E-2</v>
      </c>
    </row>
    <row r="19" spans="1:51" x14ac:dyDescent="0.35">
      <c r="A19" s="14">
        <v>46186</v>
      </c>
      <c r="B19" s="15" t="s">
        <v>76</v>
      </c>
      <c r="C19" s="16">
        <v>0.44722222222222219</v>
      </c>
      <c r="D19" s="16">
        <v>0.58680555555555558</v>
      </c>
      <c r="E19" s="17">
        <f t="shared" si="0"/>
        <v>6</v>
      </c>
      <c r="F19" s="17">
        <f t="shared" si="1"/>
        <v>3.3500000000000014</v>
      </c>
      <c r="G19" s="17">
        <f t="shared" si="2"/>
        <v>0</v>
      </c>
      <c r="H19" s="18">
        <v>18</v>
      </c>
      <c r="I19" s="19">
        <f t="shared" si="3"/>
        <v>134.1</v>
      </c>
      <c r="J19" s="19">
        <f t="shared" si="4"/>
        <v>40.029850746268636</v>
      </c>
      <c r="K19" s="19">
        <f t="shared" si="5"/>
        <v>134.1</v>
      </c>
      <c r="L19" s="20">
        <f t="shared" si="6"/>
        <v>0</v>
      </c>
      <c r="M19" s="16">
        <v>0.44722222222222219</v>
      </c>
      <c r="N19" s="16">
        <v>0.58680555555555558</v>
      </c>
      <c r="O19" s="17">
        <f t="shared" si="7"/>
        <v>6</v>
      </c>
      <c r="P19" s="17">
        <f t="shared" si="8"/>
        <v>3.3500000000000014</v>
      </c>
      <c r="Q19" s="17">
        <f t="shared" si="9"/>
        <v>0</v>
      </c>
      <c r="R19" s="18">
        <v>21</v>
      </c>
      <c r="S19" s="19">
        <f t="shared" si="10"/>
        <v>156.45000000000002</v>
      </c>
      <c r="T19" s="19">
        <f t="shared" si="11"/>
        <v>46.70149253731342</v>
      </c>
      <c r="U19" s="19">
        <f t="shared" si="12"/>
        <v>156.45000000000002</v>
      </c>
      <c r="V19" s="20">
        <f t="shared" si="13"/>
        <v>0</v>
      </c>
      <c r="W19" s="16">
        <v>0.33124999999999999</v>
      </c>
      <c r="X19" s="16">
        <v>0.58680555555555558</v>
      </c>
      <c r="Y19" s="17">
        <f t="shared" si="14"/>
        <v>6</v>
      </c>
      <c r="Z19" s="17">
        <f t="shared" si="15"/>
        <v>6.1333333333333346</v>
      </c>
      <c r="AA19" s="17">
        <f t="shared" si="16"/>
        <v>0</v>
      </c>
      <c r="AB19" s="18">
        <v>51</v>
      </c>
      <c r="AC19" s="19">
        <f t="shared" si="17"/>
        <v>379.95</v>
      </c>
      <c r="AD19" s="19">
        <f t="shared" si="18"/>
        <v>61.948369565217376</v>
      </c>
      <c r="AE19" s="19">
        <f t="shared" si="19"/>
        <v>379.95</v>
      </c>
      <c r="AF19" s="20">
        <f t="shared" si="20"/>
        <v>0</v>
      </c>
      <c r="AG19" s="15" t="s">
        <v>82</v>
      </c>
      <c r="AH19" s="15" t="s">
        <v>82</v>
      </c>
      <c r="AI19" s="17">
        <f t="shared" si="21"/>
        <v>6</v>
      </c>
      <c r="AJ19" s="17">
        <f t="shared" si="22"/>
        <v>0</v>
      </c>
      <c r="AK19" s="17">
        <f t="shared" si="23"/>
        <v>0</v>
      </c>
      <c r="AL19" s="18">
        <v>2</v>
      </c>
      <c r="AM19" s="19">
        <f t="shared" si="24"/>
        <v>14.9</v>
      </c>
      <c r="AN19" s="19">
        <f t="shared" si="25"/>
        <v>0</v>
      </c>
      <c r="AO19" s="19">
        <f t="shared" si="26"/>
        <v>14.9</v>
      </c>
      <c r="AP19" s="20">
        <f t="shared" si="27"/>
        <v>0</v>
      </c>
      <c r="AQ19" s="17">
        <f t="shared" si="28"/>
        <v>24</v>
      </c>
      <c r="AR19" s="17">
        <f t="shared" si="29"/>
        <v>12.833333333333337</v>
      </c>
      <c r="AS19" s="21">
        <f t="shared" si="30"/>
        <v>0</v>
      </c>
      <c r="AT19" s="18">
        <f t="shared" si="31"/>
        <v>92</v>
      </c>
      <c r="AU19" s="19">
        <f t="shared" si="32"/>
        <v>685.4</v>
      </c>
      <c r="AV19" s="20">
        <f t="shared" si="33"/>
        <v>685.4</v>
      </c>
      <c r="AW19" s="19">
        <f t="shared" si="34"/>
        <v>685.4</v>
      </c>
      <c r="AX19" s="20">
        <f t="shared" si="35"/>
        <v>0</v>
      </c>
      <c r="AY19" s="22">
        <f t="shared" si="36"/>
        <v>0</v>
      </c>
    </row>
    <row r="20" spans="1:51" x14ac:dyDescent="0.35">
      <c r="A20" s="23">
        <v>46187</v>
      </c>
      <c r="B20" s="24" t="s">
        <v>77</v>
      </c>
      <c r="C20" s="24" t="s">
        <v>82</v>
      </c>
      <c r="D20" s="24" t="s">
        <v>82</v>
      </c>
      <c r="E20" s="26">
        <f t="shared" si="0"/>
        <v>0</v>
      </c>
      <c r="F20" s="26">
        <f t="shared" si="1"/>
        <v>0</v>
      </c>
      <c r="G20" s="26">
        <f t="shared" si="2"/>
        <v>0</v>
      </c>
      <c r="H20" s="27">
        <v>0</v>
      </c>
      <c r="I20" s="28">
        <f t="shared" si="3"/>
        <v>0</v>
      </c>
      <c r="J20" s="28">
        <f t="shared" si="4"/>
        <v>0</v>
      </c>
      <c r="K20" s="28">
        <f t="shared" si="5"/>
        <v>0</v>
      </c>
      <c r="L20" s="29">
        <f t="shared" si="6"/>
        <v>0</v>
      </c>
      <c r="M20" s="24" t="s">
        <v>82</v>
      </c>
      <c r="N20" s="24" t="s">
        <v>82</v>
      </c>
      <c r="O20" s="26">
        <f t="shared" si="7"/>
        <v>0</v>
      </c>
      <c r="P20" s="26">
        <f t="shared" si="8"/>
        <v>0</v>
      </c>
      <c r="Q20" s="26">
        <f t="shared" si="9"/>
        <v>0</v>
      </c>
      <c r="R20" s="27">
        <v>0</v>
      </c>
      <c r="S20" s="28">
        <f t="shared" si="10"/>
        <v>0</v>
      </c>
      <c r="T20" s="28">
        <f t="shared" si="11"/>
        <v>0</v>
      </c>
      <c r="U20" s="28">
        <f t="shared" si="12"/>
        <v>0</v>
      </c>
      <c r="V20" s="29">
        <f t="shared" si="13"/>
        <v>0</v>
      </c>
      <c r="W20" s="24" t="s">
        <v>82</v>
      </c>
      <c r="X20" s="24" t="s">
        <v>82</v>
      </c>
      <c r="Y20" s="26">
        <f t="shared" si="14"/>
        <v>0</v>
      </c>
      <c r="Z20" s="26">
        <f t="shared" si="15"/>
        <v>0</v>
      </c>
      <c r="AA20" s="26">
        <f t="shared" si="16"/>
        <v>0</v>
      </c>
      <c r="AB20" s="27">
        <v>0</v>
      </c>
      <c r="AC20" s="28">
        <f t="shared" si="17"/>
        <v>0</v>
      </c>
      <c r="AD20" s="28">
        <f t="shared" si="18"/>
        <v>0</v>
      </c>
      <c r="AE20" s="28">
        <f t="shared" si="19"/>
        <v>0</v>
      </c>
      <c r="AF20" s="29">
        <f t="shared" si="20"/>
        <v>0</v>
      </c>
      <c r="AG20" s="24" t="s">
        <v>82</v>
      </c>
      <c r="AH20" s="24" t="s">
        <v>82</v>
      </c>
      <c r="AI20" s="26">
        <f t="shared" si="21"/>
        <v>0</v>
      </c>
      <c r="AJ20" s="26">
        <f t="shared" si="22"/>
        <v>0</v>
      </c>
      <c r="AK20" s="26">
        <f t="shared" si="23"/>
        <v>0</v>
      </c>
      <c r="AL20" s="27">
        <v>0</v>
      </c>
      <c r="AM20" s="28">
        <f t="shared" si="24"/>
        <v>0</v>
      </c>
      <c r="AN20" s="28">
        <f t="shared" si="25"/>
        <v>0</v>
      </c>
      <c r="AO20" s="28">
        <f t="shared" si="26"/>
        <v>0</v>
      </c>
      <c r="AP20" s="29">
        <f t="shared" si="27"/>
        <v>0</v>
      </c>
      <c r="AQ20" s="26">
        <f t="shared" si="28"/>
        <v>0</v>
      </c>
      <c r="AR20" s="26">
        <f t="shared" si="29"/>
        <v>0</v>
      </c>
      <c r="AS20" s="30">
        <f t="shared" si="30"/>
        <v>0</v>
      </c>
      <c r="AT20" s="27">
        <f t="shared" si="31"/>
        <v>0</v>
      </c>
      <c r="AU20" s="28">
        <f t="shared" si="32"/>
        <v>0</v>
      </c>
      <c r="AV20" s="29">
        <f t="shared" si="33"/>
        <v>0</v>
      </c>
      <c r="AW20" s="28">
        <f t="shared" si="34"/>
        <v>0</v>
      </c>
      <c r="AX20" s="29">
        <f t="shared" si="35"/>
        <v>0</v>
      </c>
      <c r="AY20" s="31">
        <f t="shared" si="36"/>
        <v>0</v>
      </c>
    </row>
    <row r="21" spans="1:51" x14ac:dyDescent="0.35">
      <c r="A21" s="14">
        <v>46188</v>
      </c>
      <c r="B21" s="15" t="s">
        <v>78</v>
      </c>
      <c r="C21" s="16">
        <v>0.25833333333333341</v>
      </c>
      <c r="D21" s="16">
        <v>0.79374999999999996</v>
      </c>
      <c r="E21" s="17">
        <f t="shared" si="0"/>
        <v>12</v>
      </c>
      <c r="F21" s="17">
        <f t="shared" si="1"/>
        <v>12.849999999999998</v>
      </c>
      <c r="G21" s="17">
        <f t="shared" si="2"/>
        <v>0.95000000000000195</v>
      </c>
      <c r="H21" s="18">
        <v>0</v>
      </c>
      <c r="I21" s="19">
        <f t="shared" si="3"/>
        <v>0</v>
      </c>
      <c r="J21" s="19">
        <f t="shared" si="4"/>
        <v>0</v>
      </c>
      <c r="K21" s="19">
        <f t="shared" si="5"/>
        <v>0</v>
      </c>
      <c r="L21" s="20">
        <f t="shared" si="6"/>
        <v>0</v>
      </c>
      <c r="M21" s="16">
        <v>0.25833333333333341</v>
      </c>
      <c r="N21" s="16">
        <v>0.83333333333333337</v>
      </c>
      <c r="O21" s="17">
        <f t="shared" si="7"/>
        <v>12</v>
      </c>
      <c r="P21" s="17">
        <f t="shared" si="8"/>
        <v>13.799999999999999</v>
      </c>
      <c r="Q21" s="17">
        <f t="shared" si="9"/>
        <v>0</v>
      </c>
      <c r="R21" s="18">
        <v>86</v>
      </c>
      <c r="S21" s="19">
        <f t="shared" si="10"/>
        <v>640.70000000000005</v>
      </c>
      <c r="T21" s="19">
        <f t="shared" si="11"/>
        <v>46.427536231884062</v>
      </c>
      <c r="U21" s="19">
        <f t="shared" si="12"/>
        <v>640.70000000000005</v>
      </c>
      <c r="V21" s="20">
        <f t="shared" si="13"/>
        <v>0</v>
      </c>
      <c r="W21" s="16">
        <v>0.25833333333333341</v>
      </c>
      <c r="X21" s="16">
        <v>0.77222222222222225</v>
      </c>
      <c r="Y21" s="17">
        <f t="shared" si="14"/>
        <v>12</v>
      </c>
      <c r="Z21" s="17">
        <f t="shared" si="15"/>
        <v>12.333333333333332</v>
      </c>
      <c r="AA21" s="17">
        <f t="shared" si="16"/>
        <v>1.4666666666666668</v>
      </c>
      <c r="AB21" s="18">
        <v>95</v>
      </c>
      <c r="AC21" s="19">
        <f t="shared" si="17"/>
        <v>707.75</v>
      </c>
      <c r="AD21" s="19">
        <f t="shared" si="18"/>
        <v>57.385135135135144</v>
      </c>
      <c r="AE21" s="19">
        <f t="shared" si="19"/>
        <v>791.91486486486485</v>
      </c>
      <c r="AF21" s="20">
        <f t="shared" si="20"/>
        <v>84.164864864864882</v>
      </c>
      <c r="AG21" s="16">
        <v>0.25833333333333341</v>
      </c>
      <c r="AH21" s="16">
        <v>0.72430555555555554</v>
      </c>
      <c r="AI21" s="17">
        <f t="shared" si="21"/>
        <v>12</v>
      </c>
      <c r="AJ21" s="17">
        <f t="shared" si="22"/>
        <v>11.18333333333333</v>
      </c>
      <c r="AK21" s="17">
        <f t="shared" si="23"/>
        <v>2.616666666666668</v>
      </c>
      <c r="AL21" s="18">
        <v>82</v>
      </c>
      <c r="AM21" s="19">
        <f t="shared" si="24"/>
        <v>610.9</v>
      </c>
      <c r="AN21" s="19">
        <f t="shared" si="25"/>
        <v>54.625931445603591</v>
      </c>
      <c r="AO21" s="19">
        <f t="shared" si="26"/>
        <v>753.83785394932943</v>
      </c>
      <c r="AP21" s="20">
        <f t="shared" si="27"/>
        <v>142.93785394932948</v>
      </c>
      <c r="AQ21" s="17">
        <f t="shared" si="28"/>
        <v>48</v>
      </c>
      <c r="AR21" s="17">
        <f t="shared" si="29"/>
        <v>50.166666666666664</v>
      </c>
      <c r="AS21" s="21">
        <f t="shared" si="30"/>
        <v>5.0333333333333368</v>
      </c>
      <c r="AT21" s="18">
        <f t="shared" si="31"/>
        <v>263</v>
      </c>
      <c r="AU21" s="19">
        <f t="shared" si="32"/>
        <v>1959.3500000000001</v>
      </c>
      <c r="AV21" s="20">
        <f t="shared" si="33"/>
        <v>1959.35</v>
      </c>
      <c r="AW21" s="19">
        <f t="shared" si="34"/>
        <v>2186.4527188141947</v>
      </c>
      <c r="AX21" s="20">
        <f t="shared" si="35"/>
        <v>227.10271881419436</v>
      </c>
      <c r="AY21" s="22">
        <f t="shared" si="36"/>
        <v>0.10386811334176105</v>
      </c>
    </row>
    <row r="22" spans="1:51" x14ac:dyDescent="0.35">
      <c r="A22" s="23">
        <v>46189</v>
      </c>
      <c r="B22" s="24" t="s">
        <v>79</v>
      </c>
      <c r="C22" s="25">
        <v>0.31180555555555561</v>
      </c>
      <c r="D22" s="25">
        <v>0.75138888888888888</v>
      </c>
      <c r="E22" s="26">
        <f t="shared" si="0"/>
        <v>12</v>
      </c>
      <c r="F22" s="26">
        <f t="shared" si="1"/>
        <v>10.549999999999999</v>
      </c>
      <c r="G22" s="26">
        <f t="shared" si="2"/>
        <v>1.9666666666666677</v>
      </c>
      <c r="H22" s="27">
        <v>56</v>
      </c>
      <c r="I22" s="28">
        <f t="shared" si="3"/>
        <v>417.2</v>
      </c>
      <c r="J22" s="28">
        <f t="shared" si="4"/>
        <v>39.54502369668247</v>
      </c>
      <c r="K22" s="28">
        <f t="shared" si="5"/>
        <v>494.97187993680888</v>
      </c>
      <c r="L22" s="29">
        <f t="shared" si="6"/>
        <v>77.771879936808901</v>
      </c>
      <c r="M22" s="25">
        <v>0.31180555555555561</v>
      </c>
      <c r="N22" s="25">
        <v>0.83125000000000004</v>
      </c>
      <c r="O22" s="26">
        <f t="shared" si="7"/>
        <v>12</v>
      </c>
      <c r="P22" s="26">
        <f t="shared" si="8"/>
        <v>12.466666666666665</v>
      </c>
      <c r="Q22" s="26">
        <f t="shared" si="9"/>
        <v>4.9999999999999822E-2</v>
      </c>
      <c r="R22" s="27">
        <v>74</v>
      </c>
      <c r="S22" s="28">
        <f t="shared" si="10"/>
        <v>551.30000000000007</v>
      </c>
      <c r="T22" s="28">
        <f t="shared" si="11"/>
        <v>44.221925133689851</v>
      </c>
      <c r="U22" s="28">
        <f t="shared" si="12"/>
        <v>553.5110962566846</v>
      </c>
      <c r="V22" s="29">
        <f t="shared" si="13"/>
        <v>2.2110962566844847</v>
      </c>
      <c r="W22" s="25">
        <v>0.31180555555555561</v>
      </c>
      <c r="X22" s="25">
        <v>0.7583333333333333</v>
      </c>
      <c r="Y22" s="26">
        <f t="shared" si="14"/>
        <v>12</v>
      </c>
      <c r="Z22" s="26">
        <f t="shared" si="15"/>
        <v>10.716666666666665</v>
      </c>
      <c r="AA22" s="26">
        <f t="shared" si="16"/>
        <v>1.8000000000000016</v>
      </c>
      <c r="AB22" s="27">
        <v>79</v>
      </c>
      <c r="AC22" s="28">
        <f t="shared" si="17"/>
        <v>588.55000000000007</v>
      </c>
      <c r="AD22" s="28">
        <f t="shared" si="18"/>
        <v>54.919129082426146</v>
      </c>
      <c r="AE22" s="28">
        <f t="shared" si="19"/>
        <v>687.40443234836721</v>
      </c>
      <c r="AF22" s="29">
        <f t="shared" si="20"/>
        <v>98.854432348367155</v>
      </c>
      <c r="AG22" s="25">
        <v>0.31180555555555561</v>
      </c>
      <c r="AH22" s="25">
        <v>0.74652777777777779</v>
      </c>
      <c r="AI22" s="26">
        <f t="shared" si="21"/>
        <v>12</v>
      </c>
      <c r="AJ22" s="26">
        <f t="shared" si="22"/>
        <v>10.433333333333332</v>
      </c>
      <c r="AK22" s="26">
        <f t="shared" si="23"/>
        <v>2.0833333333333339</v>
      </c>
      <c r="AL22" s="27">
        <v>74</v>
      </c>
      <c r="AM22" s="28">
        <f t="shared" si="24"/>
        <v>551.30000000000007</v>
      </c>
      <c r="AN22" s="28">
        <f t="shared" si="25"/>
        <v>52.84025559105433</v>
      </c>
      <c r="AO22" s="28">
        <f t="shared" si="26"/>
        <v>661.38386581469661</v>
      </c>
      <c r="AP22" s="29">
        <f t="shared" si="27"/>
        <v>110.08386581469655</v>
      </c>
      <c r="AQ22" s="26">
        <f t="shared" si="28"/>
        <v>48</v>
      </c>
      <c r="AR22" s="26">
        <f t="shared" si="29"/>
        <v>44.166666666666664</v>
      </c>
      <c r="AS22" s="30">
        <f t="shared" si="30"/>
        <v>5.900000000000003</v>
      </c>
      <c r="AT22" s="27">
        <f t="shared" si="31"/>
        <v>283</v>
      </c>
      <c r="AU22" s="28">
        <f t="shared" si="32"/>
        <v>2108.35</v>
      </c>
      <c r="AV22" s="29">
        <f t="shared" si="33"/>
        <v>2108.3500000000004</v>
      </c>
      <c r="AW22" s="28">
        <f t="shared" si="34"/>
        <v>2397.2712743565571</v>
      </c>
      <c r="AX22" s="29">
        <f t="shared" si="35"/>
        <v>288.92127435655709</v>
      </c>
      <c r="AY22" s="31">
        <f t="shared" si="36"/>
        <v>0.12052089283642103</v>
      </c>
    </row>
    <row r="23" spans="1:51" x14ac:dyDescent="0.35">
      <c r="A23" s="14">
        <v>46190</v>
      </c>
      <c r="B23" s="15" t="s">
        <v>80</v>
      </c>
      <c r="C23" s="16">
        <v>0.31736111111111109</v>
      </c>
      <c r="D23" s="16">
        <v>0.83333333333333337</v>
      </c>
      <c r="E23" s="17">
        <f t="shared" si="0"/>
        <v>12</v>
      </c>
      <c r="F23" s="17">
        <f t="shared" si="1"/>
        <v>12.383333333333335</v>
      </c>
      <c r="G23" s="17">
        <f t="shared" si="2"/>
        <v>0</v>
      </c>
      <c r="H23" s="18">
        <v>67</v>
      </c>
      <c r="I23" s="19">
        <f t="shared" si="3"/>
        <v>499.15000000000003</v>
      </c>
      <c r="J23" s="19">
        <f t="shared" si="4"/>
        <v>40.308209959623149</v>
      </c>
      <c r="K23" s="19">
        <f t="shared" si="5"/>
        <v>499.15000000000003</v>
      </c>
      <c r="L23" s="20">
        <f t="shared" si="6"/>
        <v>0</v>
      </c>
      <c r="M23" s="16">
        <v>0.31736111111111109</v>
      </c>
      <c r="N23" s="16">
        <v>0.83333333333333337</v>
      </c>
      <c r="O23" s="17">
        <f t="shared" si="7"/>
        <v>12</v>
      </c>
      <c r="P23" s="17">
        <f t="shared" si="8"/>
        <v>12.383333333333335</v>
      </c>
      <c r="Q23" s="17">
        <f t="shared" si="9"/>
        <v>0</v>
      </c>
      <c r="R23" s="18">
        <v>74</v>
      </c>
      <c r="S23" s="19">
        <f t="shared" si="10"/>
        <v>551.30000000000007</v>
      </c>
      <c r="T23" s="19">
        <f t="shared" si="11"/>
        <v>44.51951547779273</v>
      </c>
      <c r="U23" s="19">
        <f t="shared" si="12"/>
        <v>551.30000000000007</v>
      </c>
      <c r="V23" s="20">
        <f t="shared" si="13"/>
        <v>0</v>
      </c>
      <c r="W23" s="16">
        <v>0.31736111111111109</v>
      </c>
      <c r="X23" s="16">
        <v>0.75</v>
      </c>
      <c r="Y23" s="17">
        <f t="shared" si="14"/>
        <v>12</v>
      </c>
      <c r="Z23" s="17">
        <f t="shared" si="15"/>
        <v>10.383333333333333</v>
      </c>
      <c r="AA23" s="17">
        <f t="shared" si="16"/>
        <v>2.0000000000000009</v>
      </c>
      <c r="AB23" s="18">
        <v>80</v>
      </c>
      <c r="AC23" s="19">
        <f t="shared" si="17"/>
        <v>596</v>
      </c>
      <c r="AD23" s="19">
        <f t="shared" si="18"/>
        <v>57.399678972712685</v>
      </c>
      <c r="AE23" s="19">
        <f t="shared" si="19"/>
        <v>710.79935794542541</v>
      </c>
      <c r="AF23" s="20">
        <f t="shared" si="20"/>
        <v>114.79935794542543</v>
      </c>
      <c r="AG23" s="16">
        <v>0.31736111111111109</v>
      </c>
      <c r="AH23" s="16">
        <v>0.75</v>
      </c>
      <c r="AI23" s="17">
        <f t="shared" si="21"/>
        <v>12</v>
      </c>
      <c r="AJ23" s="17">
        <f t="shared" si="22"/>
        <v>10.383333333333333</v>
      </c>
      <c r="AK23" s="17">
        <f t="shared" si="23"/>
        <v>2.0000000000000009</v>
      </c>
      <c r="AL23" s="18">
        <v>73</v>
      </c>
      <c r="AM23" s="19">
        <f t="shared" si="24"/>
        <v>543.85</v>
      </c>
      <c r="AN23" s="19">
        <f t="shared" si="25"/>
        <v>52.377207062600327</v>
      </c>
      <c r="AO23" s="19">
        <f t="shared" si="26"/>
        <v>648.60441412520072</v>
      </c>
      <c r="AP23" s="20">
        <f t="shared" si="27"/>
        <v>104.7544141252007</v>
      </c>
      <c r="AQ23" s="17">
        <f t="shared" si="28"/>
        <v>48</v>
      </c>
      <c r="AR23" s="17">
        <f t="shared" si="29"/>
        <v>45.533333333333339</v>
      </c>
      <c r="AS23" s="21">
        <f t="shared" si="30"/>
        <v>4.0000000000000018</v>
      </c>
      <c r="AT23" s="18">
        <f t="shared" si="31"/>
        <v>294</v>
      </c>
      <c r="AU23" s="19">
        <f t="shared" si="32"/>
        <v>2190.3000000000002</v>
      </c>
      <c r="AV23" s="20">
        <f t="shared" si="33"/>
        <v>2190.3000000000002</v>
      </c>
      <c r="AW23" s="19">
        <f t="shared" si="34"/>
        <v>2409.8537720706263</v>
      </c>
      <c r="AX23" s="20">
        <f t="shared" si="35"/>
        <v>219.55377207062611</v>
      </c>
      <c r="AY23" s="22">
        <f t="shared" si="36"/>
        <v>9.1106678179057404E-2</v>
      </c>
    </row>
    <row r="24" spans="1:51" x14ac:dyDescent="0.35">
      <c r="A24" s="23">
        <v>46191</v>
      </c>
      <c r="B24" s="24" t="s">
        <v>81</v>
      </c>
      <c r="C24" s="25">
        <v>0.3125</v>
      </c>
      <c r="D24" s="25">
        <v>0.78125</v>
      </c>
      <c r="E24" s="26">
        <f t="shared" si="0"/>
        <v>12</v>
      </c>
      <c r="F24" s="26">
        <f t="shared" si="1"/>
        <v>11.25</v>
      </c>
      <c r="G24" s="26">
        <f t="shared" si="2"/>
        <v>1.2500000000000009</v>
      </c>
      <c r="H24" s="27">
        <v>60</v>
      </c>
      <c r="I24" s="28">
        <f t="shared" si="3"/>
        <v>447</v>
      </c>
      <c r="J24" s="28">
        <f t="shared" si="4"/>
        <v>39.733333333333334</v>
      </c>
      <c r="K24" s="28">
        <f t="shared" si="5"/>
        <v>496.66666666666669</v>
      </c>
      <c r="L24" s="29">
        <f t="shared" si="6"/>
        <v>49.6666666666667</v>
      </c>
      <c r="M24" s="25">
        <v>0.3125</v>
      </c>
      <c r="N24" s="25">
        <v>0.81597222222222221</v>
      </c>
      <c r="O24" s="26">
        <f t="shared" si="7"/>
        <v>12</v>
      </c>
      <c r="P24" s="26">
        <f t="shared" si="8"/>
        <v>12.083333333333332</v>
      </c>
      <c r="Q24" s="26">
        <f t="shared" si="9"/>
        <v>0.41666666666666785</v>
      </c>
      <c r="R24" s="27">
        <v>69</v>
      </c>
      <c r="S24" s="28">
        <f t="shared" si="10"/>
        <v>514.05000000000007</v>
      </c>
      <c r="T24" s="28">
        <f t="shared" si="11"/>
        <v>42.542068965517252</v>
      </c>
      <c r="U24" s="28">
        <f t="shared" si="12"/>
        <v>531.77586206896569</v>
      </c>
      <c r="V24" s="29">
        <f t="shared" si="13"/>
        <v>17.725862068965572</v>
      </c>
      <c r="W24" s="25">
        <v>0.3125</v>
      </c>
      <c r="X24" s="25">
        <v>0.76041666666666663</v>
      </c>
      <c r="Y24" s="26">
        <f t="shared" si="14"/>
        <v>12</v>
      </c>
      <c r="Z24" s="26">
        <f t="shared" si="15"/>
        <v>10.75</v>
      </c>
      <c r="AA24" s="26">
        <f t="shared" si="16"/>
        <v>1.7500000000000018</v>
      </c>
      <c r="AB24" s="27">
        <v>84</v>
      </c>
      <c r="AC24" s="28">
        <f t="shared" si="17"/>
        <v>625.80000000000007</v>
      </c>
      <c r="AD24" s="28">
        <f t="shared" si="18"/>
        <v>58.213953488372098</v>
      </c>
      <c r="AE24" s="28">
        <f t="shared" si="19"/>
        <v>727.67441860465135</v>
      </c>
      <c r="AF24" s="29">
        <f t="shared" si="20"/>
        <v>101.87441860465128</v>
      </c>
      <c r="AG24" s="25">
        <v>0.3125</v>
      </c>
      <c r="AH24" s="25">
        <v>0.76041666666666663</v>
      </c>
      <c r="AI24" s="26">
        <f t="shared" si="21"/>
        <v>12</v>
      </c>
      <c r="AJ24" s="26">
        <f t="shared" si="22"/>
        <v>10.75</v>
      </c>
      <c r="AK24" s="26">
        <f t="shared" si="23"/>
        <v>1.7500000000000018</v>
      </c>
      <c r="AL24" s="27">
        <v>75</v>
      </c>
      <c r="AM24" s="28">
        <f t="shared" si="24"/>
        <v>558.75</v>
      </c>
      <c r="AN24" s="28">
        <f t="shared" si="25"/>
        <v>51.97674418604651</v>
      </c>
      <c r="AO24" s="28">
        <f t="shared" si="26"/>
        <v>649.70930232558146</v>
      </c>
      <c r="AP24" s="29">
        <f t="shared" si="27"/>
        <v>90.95930232558149</v>
      </c>
      <c r="AQ24" s="26">
        <f t="shared" si="28"/>
        <v>48</v>
      </c>
      <c r="AR24" s="26">
        <f t="shared" si="29"/>
        <v>44.833333333333329</v>
      </c>
      <c r="AS24" s="30">
        <f t="shared" si="30"/>
        <v>5.1666666666666723</v>
      </c>
      <c r="AT24" s="27">
        <f t="shared" si="31"/>
        <v>288</v>
      </c>
      <c r="AU24" s="28">
        <f t="shared" si="32"/>
        <v>2145.6</v>
      </c>
      <c r="AV24" s="29">
        <f t="shared" si="33"/>
        <v>2145.6000000000004</v>
      </c>
      <c r="AW24" s="28">
        <f t="shared" si="34"/>
        <v>2405.8262496658654</v>
      </c>
      <c r="AX24" s="29">
        <f t="shared" si="35"/>
        <v>260.226249665865</v>
      </c>
      <c r="AY24" s="31">
        <f t="shared" si="36"/>
        <v>0.1081650221839614</v>
      </c>
    </row>
    <row r="25" spans="1:51" x14ac:dyDescent="0.35">
      <c r="A25" s="14">
        <v>46192</v>
      </c>
      <c r="B25" s="15" t="s">
        <v>75</v>
      </c>
      <c r="C25" s="16">
        <v>0.30972222222222218</v>
      </c>
      <c r="D25" s="16">
        <v>0.75555555555555554</v>
      </c>
      <c r="E25" s="17">
        <f t="shared" si="0"/>
        <v>12</v>
      </c>
      <c r="F25" s="17">
        <f t="shared" si="1"/>
        <v>10.700000000000001</v>
      </c>
      <c r="G25" s="17">
        <f t="shared" si="2"/>
        <v>1.866666666666668</v>
      </c>
      <c r="H25" s="18">
        <v>58</v>
      </c>
      <c r="I25" s="19">
        <f t="shared" si="3"/>
        <v>432.1</v>
      </c>
      <c r="J25" s="19">
        <f t="shared" si="4"/>
        <v>40.383177570093459</v>
      </c>
      <c r="K25" s="19">
        <f t="shared" si="5"/>
        <v>507.48193146417452</v>
      </c>
      <c r="L25" s="20">
        <f t="shared" si="6"/>
        <v>75.381931464174514</v>
      </c>
      <c r="M25" s="16">
        <v>0.30972222222222218</v>
      </c>
      <c r="N25" s="16">
        <v>0.83333333333333337</v>
      </c>
      <c r="O25" s="17">
        <f t="shared" si="7"/>
        <v>12</v>
      </c>
      <c r="P25" s="17">
        <f t="shared" si="8"/>
        <v>12.56666666666667</v>
      </c>
      <c r="Q25" s="17">
        <f t="shared" si="9"/>
        <v>0</v>
      </c>
      <c r="R25" s="18">
        <v>76</v>
      </c>
      <c r="S25" s="19">
        <f t="shared" si="10"/>
        <v>566.20000000000005</v>
      </c>
      <c r="T25" s="19">
        <f t="shared" si="11"/>
        <v>45.055702917771875</v>
      </c>
      <c r="U25" s="19">
        <f t="shared" si="12"/>
        <v>566.20000000000005</v>
      </c>
      <c r="V25" s="20">
        <f t="shared" si="13"/>
        <v>0</v>
      </c>
      <c r="W25" s="16">
        <v>0.30972222222222218</v>
      </c>
      <c r="X25" s="16">
        <v>0.73888888888888893</v>
      </c>
      <c r="Y25" s="17">
        <f t="shared" si="14"/>
        <v>12</v>
      </c>
      <c r="Z25" s="17">
        <f t="shared" si="15"/>
        <v>10.300000000000002</v>
      </c>
      <c r="AA25" s="17">
        <f t="shared" si="16"/>
        <v>2.2666666666666666</v>
      </c>
      <c r="AB25" s="18">
        <v>78</v>
      </c>
      <c r="AC25" s="19">
        <f t="shared" si="17"/>
        <v>581.1</v>
      </c>
      <c r="AD25" s="19">
        <f t="shared" si="18"/>
        <v>56.417475728155331</v>
      </c>
      <c r="AE25" s="19">
        <f t="shared" si="19"/>
        <v>708.97961165048548</v>
      </c>
      <c r="AF25" s="20">
        <f t="shared" si="20"/>
        <v>127.87961165048542</v>
      </c>
      <c r="AG25" s="16">
        <v>0.30972222222222218</v>
      </c>
      <c r="AH25" s="16">
        <v>0.73888888888888893</v>
      </c>
      <c r="AI25" s="17">
        <f t="shared" si="21"/>
        <v>12</v>
      </c>
      <c r="AJ25" s="17">
        <f t="shared" si="22"/>
        <v>10.300000000000002</v>
      </c>
      <c r="AK25" s="17">
        <f t="shared" si="23"/>
        <v>2.2666666666666666</v>
      </c>
      <c r="AL25" s="18">
        <v>68</v>
      </c>
      <c r="AM25" s="19">
        <f t="shared" si="24"/>
        <v>506.6</v>
      </c>
      <c r="AN25" s="19">
        <f t="shared" si="25"/>
        <v>49.184466019417464</v>
      </c>
      <c r="AO25" s="19">
        <f t="shared" si="26"/>
        <v>618.08478964401297</v>
      </c>
      <c r="AP25" s="20">
        <f t="shared" si="27"/>
        <v>111.48478964401292</v>
      </c>
      <c r="AQ25" s="17">
        <f t="shared" si="28"/>
        <v>48</v>
      </c>
      <c r="AR25" s="17">
        <f t="shared" si="29"/>
        <v>43.866666666666681</v>
      </c>
      <c r="AS25" s="21">
        <f t="shared" si="30"/>
        <v>6.4000000000000012</v>
      </c>
      <c r="AT25" s="18">
        <f t="shared" si="31"/>
        <v>280</v>
      </c>
      <c r="AU25" s="19">
        <f t="shared" si="32"/>
        <v>2086</v>
      </c>
      <c r="AV25" s="20">
        <f t="shared" si="33"/>
        <v>2086</v>
      </c>
      <c r="AW25" s="19">
        <f t="shared" si="34"/>
        <v>2400.7463327586729</v>
      </c>
      <c r="AX25" s="20">
        <f t="shared" si="35"/>
        <v>314.74633275867285</v>
      </c>
      <c r="AY25" s="22">
        <f t="shared" si="36"/>
        <v>0.13110353578963965</v>
      </c>
    </row>
    <row r="26" spans="1:51" x14ac:dyDescent="0.35">
      <c r="A26" s="23">
        <v>46193</v>
      </c>
      <c r="B26" s="24" t="s">
        <v>76</v>
      </c>
      <c r="C26" s="25">
        <v>0.32291666666666669</v>
      </c>
      <c r="D26" s="25">
        <v>0.58333333333333337</v>
      </c>
      <c r="E26" s="26">
        <f t="shared" si="0"/>
        <v>6</v>
      </c>
      <c r="F26" s="26">
        <f t="shared" si="1"/>
        <v>6.25</v>
      </c>
      <c r="G26" s="26">
        <f t="shared" si="2"/>
        <v>0</v>
      </c>
      <c r="H26" s="27">
        <v>33</v>
      </c>
      <c r="I26" s="28">
        <f t="shared" si="3"/>
        <v>245.85</v>
      </c>
      <c r="J26" s="28">
        <f t="shared" si="4"/>
        <v>39.335999999999999</v>
      </c>
      <c r="K26" s="28">
        <f t="shared" si="5"/>
        <v>245.85</v>
      </c>
      <c r="L26" s="29">
        <f t="shared" si="6"/>
        <v>0</v>
      </c>
      <c r="M26" s="25">
        <v>0.32291666666666669</v>
      </c>
      <c r="N26" s="25">
        <v>0.58333333333333337</v>
      </c>
      <c r="O26" s="26">
        <f t="shared" si="7"/>
        <v>6</v>
      </c>
      <c r="P26" s="26">
        <f t="shared" si="8"/>
        <v>6.25</v>
      </c>
      <c r="Q26" s="26">
        <f t="shared" si="9"/>
        <v>0</v>
      </c>
      <c r="R26" s="27">
        <v>38</v>
      </c>
      <c r="S26" s="28">
        <f t="shared" si="10"/>
        <v>283.10000000000002</v>
      </c>
      <c r="T26" s="28">
        <f t="shared" si="11"/>
        <v>45.296000000000006</v>
      </c>
      <c r="U26" s="28">
        <f t="shared" si="12"/>
        <v>283.10000000000002</v>
      </c>
      <c r="V26" s="29">
        <f t="shared" si="13"/>
        <v>0</v>
      </c>
      <c r="W26" s="25">
        <v>0.32291666666666669</v>
      </c>
      <c r="X26" s="25">
        <v>0.58333333333333337</v>
      </c>
      <c r="Y26" s="26">
        <f t="shared" si="14"/>
        <v>6</v>
      </c>
      <c r="Z26" s="26">
        <f t="shared" si="15"/>
        <v>6.25</v>
      </c>
      <c r="AA26" s="26">
        <f t="shared" si="16"/>
        <v>0</v>
      </c>
      <c r="AB26" s="27">
        <v>45</v>
      </c>
      <c r="AC26" s="28">
        <f t="shared" si="17"/>
        <v>335.25</v>
      </c>
      <c r="AD26" s="28">
        <f t="shared" si="18"/>
        <v>53.64</v>
      </c>
      <c r="AE26" s="28">
        <f t="shared" si="19"/>
        <v>335.25</v>
      </c>
      <c r="AF26" s="29">
        <f t="shared" si="20"/>
        <v>0</v>
      </c>
      <c r="AG26" s="25">
        <v>0.32291666666666669</v>
      </c>
      <c r="AH26" s="25">
        <v>0.58333333333333337</v>
      </c>
      <c r="AI26" s="26">
        <f t="shared" si="21"/>
        <v>6</v>
      </c>
      <c r="AJ26" s="26">
        <f t="shared" si="22"/>
        <v>6.25</v>
      </c>
      <c r="AK26" s="26">
        <f t="shared" si="23"/>
        <v>0</v>
      </c>
      <c r="AL26" s="27">
        <v>41</v>
      </c>
      <c r="AM26" s="28">
        <f t="shared" si="24"/>
        <v>305.45</v>
      </c>
      <c r="AN26" s="28">
        <f t="shared" si="25"/>
        <v>48.872</v>
      </c>
      <c r="AO26" s="28">
        <f t="shared" si="26"/>
        <v>305.45</v>
      </c>
      <c r="AP26" s="29">
        <f t="shared" si="27"/>
        <v>0</v>
      </c>
      <c r="AQ26" s="26">
        <f t="shared" si="28"/>
        <v>24</v>
      </c>
      <c r="AR26" s="26">
        <f t="shared" si="29"/>
        <v>25</v>
      </c>
      <c r="AS26" s="30">
        <f t="shared" si="30"/>
        <v>0</v>
      </c>
      <c r="AT26" s="27">
        <f t="shared" si="31"/>
        <v>157</v>
      </c>
      <c r="AU26" s="28">
        <f t="shared" si="32"/>
        <v>1169.6500000000001</v>
      </c>
      <c r="AV26" s="29">
        <f t="shared" si="33"/>
        <v>1169.6500000000001</v>
      </c>
      <c r="AW26" s="28">
        <f t="shared" si="34"/>
        <v>1169.6500000000001</v>
      </c>
      <c r="AX26" s="29">
        <f t="shared" si="35"/>
        <v>0</v>
      </c>
      <c r="AY26" s="31">
        <f t="shared" si="36"/>
        <v>0</v>
      </c>
    </row>
    <row r="27" spans="1:51" x14ac:dyDescent="0.35">
      <c r="A27" s="14">
        <v>46194</v>
      </c>
      <c r="B27" s="15" t="s">
        <v>77</v>
      </c>
      <c r="C27" s="15" t="s">
        <v>82</v>
      </c>
      <c r="D27" s="15" t="s">
        <v>82</v>
      </c>
      <c r="E27" s="17">
        <f t="shared" si="0"/>
        <v>0</v>
      </c>
      <c r="F27" s="17">
        <f t="shared" si="1"/>
        <v>0</v>
      </c>
      <c r="G27" s="17">
        <f t="shared" si="2"/>
        <v>0</v>
      </c>
      <c r="H27" s="18">
        <v>0</v>
      </c>
      <c r="I27" s="19">
        <f t="shared" si="3"/>
        <v>0</v>
      </c>
      <c r="J27" s="19">
        <f t="shared" si="4"/>
        <v>0</v>
      </c>
      <c r="K27" s="19">
        <f t="shared" si="5"/>
        <v>0</v>
      </c>
      <c r="L27" s="20">
        <f t="shared" si="6"/>
        <v>0</v>
      </c>
      <c r="M27" s="15" t="s">
        <v>82</v>
      </c>
      <c r="N27" s="15" t="s">
        <v>82</v>
      </c>
      <c r="O27" s="17">
        <f t="shared" si="7"/>
        <v>0</v>
      </c>
      <c r="P27" s="17">
        <f t="shared" si="8"/>
        <v>0</v>
      </c>
      <c r="Q27" s="17">
        <f t="shared" si="9"/>
        <v>0</v>
      </c>
      <c r="R27" s="18">
        <v>0</v>
      </c>
      <c r="S27" s="19">
        <f t="shared" si="10"/>
        <v>0</v>
      </c>
      <c r="T27" s="19">
        <f t="shared" si="11"/>
        <v>0</v>
      </c>
      <c r="U27" s="19">
        <f t="shared" si="12"/>
        <v>0</v>
      </c>
      <c r="V27" s="20">
        <f t="shared" si="13"/>
        <v>0</v>
      </c>
      <c r="W27" s="15" t="s">
        <v>82</v>
      </c>
      <c r="X27" s="15" t="s">
        <v>82</v>
      </c>
      <c r="Y27" s="17">
        <f t="shared" si="14"/>
        <v>0</v>
      </c>
      <c r="Z27" s="17">
        <f t="shared" si="15"/>
        <v>0</v>
      </c>
      <c r="AA27" s="17">
        <f t="shared" si="16"/>
        <v>0</v>
      </c>
      <c r="AB27" s="18">
        <v>0</v>
      </c>
      <c r="AC27" s="19">
        <f t="shared" si="17"/>
        <v>0</v>
      </c>
      <c r="AD27" s="19">
        <f t="shared" si="18"/>
        <v>0</v>
      </c>
      <c r="AE27" s="19">
        <f t="shared" si="19"/>
        <v>0</v>
      </c>
      <c r="AF27" s="20">
        <f t="shared" si="20"/>
        <v>0</v>
      </c>
      <c r="AG27" s="15" t="s">
        <v>82</v>
      </c>
      <c r="AH27" s="15" t="s">
        <v>82</v>
      </c>
      <c r="AI27" s="17">
        <f t="shared" si="21"/>
        <v>0</v>
      </c>
      <c r="AJ27" s="17">
        <f t="shared" si="22"/>
        <v>0</v>
      </c>
      <c r="AK27" s="17">
        <f t="shared" si="23"/>
        <v>0</v>
      </c>
      <c r="AL27" s="18">
        <v>0</v>
      </c>
      <c r="AM27" s="19">
        <f t="shared" si="24"/>
        <v>0</v>
      </c>
      <c r="AN27" s="19">
        <f t="shared" si="25"/>
        <v>0</v>
      </c>
      <c r="AO27" s="19">
        <f t="shared" si="26"/>
        <v>0</v>
      </c>
      <c r="AP27" s="20">
        <f t="shared" si="27"/>
        <v>0</v>
      </c>
      <c r="AQ27" s="17">
        <f t="shared" si="28"/>
        <v>0</v>
      </c>
      <c r="AR27" s="17">
        <f t="shared" si="29"/>
        <v>0</v>
      </c>
      <c r="AS27" s="21">
        <f t="shared" si="30"/>
        <v>0</v>
      </c>
      <c r="AT27" s="18">
        <f t="shared" si="31"/>
        <v>0</v>
      </c>
      <c r="AU27" s="19">
        <f t="shared" si="32"/>
        <v>0</v>
      </c>
      <c r="AV27" s="20">
        <f t="shared" si="33"/>
        <v>0</v>
      </c>
      <c r="AW27" s="19">
        <f t="shared" si="34"/>
        <v>0</v>
      </c>
      <c r="AX27" s="20">
        <f t="shared" si="35"/>
        <v>0</v>
      </c>
      <c r="AY27" s="22">
        <f t="shared" si="36"/>
        <v>0</v>
      </c>
    </row>
    <row r="28" spans="1:51" x14ac:dyDescent="0.35">
      <c r="A28" s="23">
        <v>46195</v>
      </c>
      <c r="B28" s="24" t="s">
        <v>78</v>
      </c>
      <c r="C28" s="25">
        <v>0.27430555555555558</v>
      </c>
      <c r="D28" s="25">
        <v>0.80208333333333337</v>
      </c>
      <c r="E28" s="26">
        <f t="shared" si="0"/>
        <v>12</v>
      </c>
      <c r="F28" s="26">
        <f t="shared" si="1"/>
        <v>12.666666666666668</v>
      </c>
      <c r="G28" s="26">
        <f t="shared" si="2"/>
        <v>0.75</v>
      </c>
      <c r="H28" s="27">
        <v>77</v>
      </c>
      <c r="I28" s="28">
        <f t="shared" si="3"/>
        <v>573.65</v>
      </c>
      <c r="J28" s="28">
        <f t="shared" si="4"/>
        <v>45.288157894736834</v>
      </c>
      <c r="K28" s="28">
        <f t="shared" si="5"/>
        <v>607.61611842105265</v>
      </c>
      <c r="L28" s="29">
        <f t="shared" si="6"/>
        <v>33.966118421052627</v>
      </c>
      <c r="M28" s="25">
        <v>0.27430555555555558</v>
      </c>
      <c r="N28" s="25">
        <v>0.82638888888888884</v>
      </c>
      <c r="O28" s="26">
        <f t="shared" si="7"/>
        <v>12</v>
      </c>
      <c r="P28" s="26">
        <f t="shared" si="8"/>
        <v>13.249999999999998</v>
      </c>
      <c r="Q28" s="26">
        <f t="shared" si="9"/>
        <v>0.16666666666666874</v>
      </c>
      <c r="R28" s="27">
        <v>82</v>
      </c>
      <c r="S28" s="28">
        <f t="shared" si="10"/>
        <v>610.9</v>
      </c>
      <c r="T28" s="28">
        <f t="shared" si="11"/>
        <v>46.105660377358497</v>
      </c>
      <c r="U28" s="28">
        <f t="shared" si="12"/>
        <v>618.58427672955986</v>
      </c>
      <c r="V28" s="29">
        <f t="shared" si="13"/>
        <v>7.6842767295598451</v>
      </c>
      <c r="W28" s="25">
        <v>0.27430555555555558</v>
      </c>
      <c r="X28" s="25">
        <v>0.76388888888888884</v>
      </c>
      <c r="Y28" s="26">
        <f t="shared" si="14"/>
        <v>12</v>
      </c>
      <c r="Z28" s="26">
        <f t="shared" si="15"/>
        <v>11.749999999999998</v>
      </c>
      <c r="AA28" s="26">
        <f t="shared" si="16"/>
        <v>1.6666666666666687</v>
      </c>
      <c r="AB28" s="27">
        <v>99</v>
      </c>
      <c r="AC28" s="28">
        <f t="shared" si="17"/>
        <v>737.55000000000007</v>
      </c>
      <c r="AD28" s="28">
        <f t="shared" si="18"/>
        <v>62.77021276595746</v>
      </c>
      <c r="AE28" s="28">
        <f t="shared" si="19"/>
        <v>842.16702127659596</v>
      </c>
      <c r="AF28" s="29">
        <f t="shared" si="20"/>
        <v>104.61702127659589</v>
      </c>
      <c r="AG28" s="25">
        <v>0.27430555555555558</v>
      </c>
      <c r="AH28" s="25">
        <v>0.76388888888888884</v>
      </c>
      <c r="AI28" s="26">
        <f t="shared" si="21"/>
        <v>12</v>
      </c>
      <c r="AJ28" s="26">
        <f t="shared" si="22"/>
        <v>11.749999999999998</v>
      </c>
      <c r="AK28" s="26">
        <f t="shared" si="23"/>
        <v>1.6666666666666687</v>
      </c>
      <c r="AL28" s="27">
        <v>86</v>
      </c>
      <c r="AM28" s="28">
        <f t="shared" si="24"/>
        <v>640.70000000000005</v>
      </c>
      <c r="AN28" s="28">
        <f t="shared" si="25"/>
        <v>54.527659574468096</v>
      </c>
      <c r="AO28" s="28">
        <f t="shared" si="26"/>
        <v>731.57943262411368</v>
      </c>
      <c r="AP28" s="29">
        <f t="shared" si="27"/>
        <v>90.879432624113605</v>
      </c>
      <c r="AQ28" s="26">
        <f t="shared" si="28"/>
        <v>48</v>
      </c>
      <c r="AR28" s="26">
        <f t="shared" si="29"/>
        <v>49.416666666666664</v>
      </c>
      <c r="AS28" s="30">
        <f t="shared" si="30"/>
        <v>4.2500000000000062</v>
      </c>
      <c r="AT28" s="27">
        <f t="shared" si="31"/>
        <v>344</v>
      </c>
      <c r="AU28" s="28">
        <f t="shared" si="32"/>
        <v>2562.8000000000002</v>
      </c>
      <c r="AV28" s="29">
        <f t="shared" si="33"/>
        <v>2562.8000000000002</v>
      </c>
      <c r="AW28" s="28">
        <f t="shared" si="34"/>
        <v>2799.9468490513227</v>
      </c>
      <c r="AX28" s="29">
        <f t="shared" si="35"/>
        <v>237.14684905132196</v>
      </c>
      <c r="AY28" s="31">
        <f t="shared" si="36"/>
        <v>8.46969109901754E-2</v>
      </c>
    </row>
    <row r="29" spans="1:51" x14ac:dyDescent="0.35">
      <c r="A29" s="14">
        <v>46196</v>
      </c>
      <c r="B29" s="15" t="s">
        <v>79</v>
      </c>
      <c r="C29" s="16">
        <v>0.27013888888888887</v>
      </c>
      <c r="D29" s="16">
        <v>0.78472222222222221</v>
      </c>
      <c r="E29" s="17">
        <f t="shared" si="0"/>
        <v>12</v>
      </c>
      <c r="F29" s="17">
        <f t="shared" si="1"/>
        <v>12.350000000000001</v>
      </c>
      <c r="G29" s="17">
        <f t="shared" si="2"/>
        <v>1.1666666666666679</v>
      </c>
      <c r="H29" s="18">
        <v>71</v>
      </c>
      <c r="I29" s="19">
        <f t="shared" si="3"/>
        <v>528.95000000000005</v>
      </c>
      <c r="J29" s="19">
        <f t="shared" si="4"/>
        <v>42.829959514170042</v>
      </c>
      <c r="K29" s="19">
        <f t="shared" si="5"/>
        <v>578.9182860998651</v>
      </c>
      <c r="L29" s="20">
        <f t="shared" si="6"/>
        <v>49.968286099865097</v>
      </c>
      <c r="M29" s="16">
        <v>0.27013888888888887</v>
      </c>
      <c r="N29" s="16">
        <v>0.83333333333333337</v>
      </c>
      <c r="O29" s="17">
        <f t="shared" si="7"/>
        <v>12</v>
      </c>
      <c r="P29" s="17">
        <f t="shared" si="8"/>
        <v>13.516666666666669</v>
      </c>
      <c r="Q29" s="17">
        <f t="shared" si="9"/>
        <v>0</v>
      </c>
      <c r="R29" s="18">
        <v>86</v>
      </c>
      <c r="S29" s="19">
        <f t="shared" si="10"/>
        <v>640.70000000000005</v>
      </c>
      <c r="T29" s="19">
        <f t="shared" si="11"/>
        <v>47.400739827373606</v>
      </c>
      <c r="U29" s="19">
        <f t="shared" si="12"/>
        <v>640.70000000000005</v>
      </c>
      <c r="V29" s="20">
        <f t="shared" si="13"/>
        <v>0</v>
      </c>
      <c r="W29" s="16">
        <v>0.27013888888888887</v>
      </c>
      <c r="X29" s="16">
        <v>0.78472222222222221</v>
      </c>
      <c r="Y29" s="17">
        <f t="shared" si="14"/>
        <v>12</v>
      </c>
      <c r="Z29" s="17">
        <f t="shared" si="15"/>
        <v>12.350000000000001</v>
      </c>
      <c r="AA29" s="17">
        <f t="shared" si="16"/>
        <v>1.1666666666666679</v>
      </c>
      <c r="AB29" s="18">
        <v>111</v>
      </c>
      <c r="AC29" s="19">
        <f t="shared" si="17"/>
        <v>826.95</v>
      </c>
      <c r="AD29" s="19">
        <f t="shared" si="18"/>
        <v>66.959514170040478</v>
      </c>
      <c r="AE29" s="19">
        <f t="shared" si="19"/>
        <v>905.06943319838069</v>
      </c>
      <c r="AF29" s="20">
        <f t="shared" si="20"/>
        <v>78.119433198380634</v>
      </c>
      <c r="AG29" s="16">
        <v>0.27013888888888887</v>
      </c>
      <c r="AH29" s="16">
        <v>0.83333333333333337</v>
      </c>
      <c r="AI29" s="17">
        <f t="shared" si="21"/>
        <v>12</v>
      </c>
      <c r="AJ29" s="17">
        <f t="shared" si="22"/>
        <v>13.516666666666669</v>
      </c>
      <c r="AK29" s="17">
        <f t="shared" si="23"/>
        <v>0</v>
      </c>
      <c r="AL29" s="18">
        <v>89</v>
      </c>
      <c r="AM29" s="19">
        <f t="shared" si="24"/>
        <v>663.05000000000007</v>
      </c>
      <c r="AN29" s="19">
        <f t="shared" si="25"/>
        <v>49.054254007398271</v>
      </c>
      <c r="AO29" s="19">
        <f t="shared" si="26"/>
        <v>663.05000000000007</v>
      </c>
      <c r="AP29" s="20">
        <f t="shared" si="27"/>
        <v>0</v>
      </c>
      <c r="AQ29" s="17">
        <f t="shared" si="28"/>
        <v>48</v>
      </c>
      <c r="AR29" s="17">
        <f t="shared" si="29"/>
        <v>51.733333333333334</v>
      </c>
      <c r="AS29" s="21">
        <f t="shared" si="30"/>
        <v>2.3333333333333357</v>
      </c>
      <c r="AT29" s="18">
        <f t="shared" si="31"/>
        <v>357</v>
      </c>
      <c r="AU29" s="19">
        <f t="shared" si="32"/>
        <v>2659.65</v>
      </c>
      <c r="AV29" s="20">
        <f t="shared" si="33"/>
        <v>2659.65</v>
      </c>
      <c r="AW29" s="19">
        <f t="shared" si="34"/>
        <v>2787.7377192982458</v>
      </c>
      <c r="AX29" s="20">
        <f t="shared" si="35"/>
        <v>128.08771929824573</v>
      </c>
      <c r="AY29" s="22">
        <f t="shared" si="36"/>
        <v>4.5946832950443099E-2</v>
      </c>
    </row>
    <row r="30" spans="1:51" x14ac:dyDescent="0.35">
      <c r="A30" s="23">
        <v>46197</v>
      </c>
      <c r="B30" s="24" t="s">
        <v>80</v>
      </c>
      <c r="C30" s="25">
        <v>0.3</v>
      </c>
      <c r="D30" s="25">
        <v>0.83333333333333337</v>
      </c>
      <c r="E30" s="26">
        <f t="shared" si="0"/>
        <v>12</v>
      </c>
      <c r="F30" s="26">
        <f t="shared" si="1"/>
        <v>12.800000000000002</v>
      </c>
      <c r="G30" s="26">
        <f t="shared" si="2"/>
        <v>0</v>
      </c>
      <c r="H30" s="27">
        <v>79</v>
      </c>
      <c r="I30" s="28">
        <f t="shared" si="3"/>
        <v>588.55000000000007</v>
      </c>
      <c r="J30" s="28">
        <f t="shared" si="4"/>
        <v>45.980468749999993</v>
      </c>
      <c r="K30" s="28">
        <f t="shared" si="5"/>
        <v>588.55000000000007</v>
      </c>
      <c r="L30" s="29">
        <f t="shared" si="6"/>
        <v>0</v>
      </c>
      <c r="M30" s="25">
        <v>0.3</v>
      </c>
      <c r="N30" s="25">
        <v>0.83333333333333337</v>
      </c>
      <c r="O30" s="26">
        <f t="shared" si="7"/>
        <v>12</v>
      </c>
      <c r="P30" s="26">
        <f t="shared" si="8"/>
        <v>12.800000000000002</v>
      </c>
      <c r="Q30" s="26">
        <f t="shared" si="9"/>
        <v>0</v>
      </c>
      <c r="R30" s="27">
        <v>93</v>
      </c>
      <c r="S30" s="28">
        <f t="shared" si="10"/>
        <v>692.85</v>
      </c>
      <c r="T30" s="28">
        <f t="shared" si="11"/>
        <v>54.128906249999993</v>
      </c>
      <c r="U30" s="28">
        <f t="shared" si="12"/>
        <v>692.85</v>
      </c>
      <c r="V30" s="29">
        <f t="shared" si="13"/>
        <v>0</v>
      </c>
      <c r="W30" s="25">
        <v>0.3</v>
      </c>
      <c r="X30" s="25">
        <v>0.75347222222222221</v>
      </c>
      <c r="Y30" s="26">
        <f t="shared" si="14"/>
        <v>12</v>
      </c>
      <c r="Z30" s="26">
        <f t="shared" si="15"/>
        <v>10.883333333333333</v>
      </c>
      <c r="AA30" s="26">
        <f t="shared" si="16"/>
        <v>1.9166666666666679</v>
      </c>
      <c r="AB30" s="27">
        <v>94</v>
      </c>
      <c r="AC30" s="28">
        <f t="shared" si="17"/>
        <v>700.30000000000007</v>
      </c>
      <c r="AD30" s="28">
        <f t="shared" si="18"/>
        <v>64.346094946401237</v>
      </c>
      <c r="AE30" s="28">
        <f t="shared" si="19"/>
        <v>823.63001531393581</v>
      </c>
      <c r="AF30" s="29">
        <f t="shared" si="20"/>
        <v>123.33001531393577</v>
      </c>
      <c r="AG30" s="25">
        <v>0.3</v>
      </c>
      <c r="AH30" s="25">
        <v>0.75347222222222221</v>
      </c>
      <c r="AI30" s="26">
        <f t="shared" si="21"/>
        <v>12</v>
      </c>
      <c r="AJ30" s="26">
        <f t="shared" si="22"/>
        <v>10.883333333333333</v>
      </c>
      <c r="AK30" s="26">
        <f t="shared" si="23"/>
        <v>1.9166666666666679</v>
      </c>
      <c r="AL30" s="27">
        <v>75</v>
      </c>
      <c r="AM30" s="28">
        <f t="shared" si="24"/>
        <v>558.75</v>
      </c>
      <c r="AN30" s="28">
        <f t="shared" si="25"/>
        <v>51.339969372128643</v>
      </c>
      <c r="AO30" s="28">
        <f t="shared" si="26"/>
        <v>657.15160796324665</v>
      </c>
      <c r="AP30" s="29">
        <f t="shared" si="27"/>
        <v>98.401607963246619</v>
      </c>
      <c r="AQ30" s="26">
        <f t="shared" si="28"/>
        <v>48</v>
      </c>
      <c r="AR30" s="26">
        <f t="shared" si="29"/>
        <v>47.366666666666667</v>
      </c>
      <c r="AS30" s="30">
        <f t="shared" si="30"/>
        <v>3.8333333333333357</v>
      </c>
      <c r="AT30" s="27">
        <f t="shared" si="31"/>
        <v>341</v>
      </c>
      <c r="AU30" s="28">
        <f t="shared" si="32"/>
        <v>2540.4500000000003</v>
      </c>
      <c r="AV30" s="29">
        <f t="shared" si="33"/>
        <v>2540.4500000000003</v>
      </c>
      <c r="AW30" s="28">
        <f t="shared" si="34"/>
        <v>2762.1816232771826</v>
      </c>
      <c r="AX30" s="29">
        <f t="shared" si="35"/>
        <v>221.73162327718239</v>
      </c>
      <c r="AY30" s="31">
        <f t="shared" si="36"/>
        <v>8.0274092553736395E-2</v>
      </c>
    </row>
    <row r="31" spans="1:51" x14ac:dyDescent="0.35">
      <c r="A31" s="14">
        <v>46198</v>
      </c>
      <c r="B31" s="15" t="s">
        <v>81</v>
      </c>
      <c r="C31" s="16">
        <v>0.27777777777777779</v>
      </c>
      <c r="D31" s="16">
        <v>0.8256944444444444</v>
      </c>
      <c r="E31" s="17">
        <f t="shared" si="0"/>
        <v>12</v>
      </c>
      <c r="F31" s="17">
        <f t="shared" si="1"/>
        <v>13.149999999999999</v>
      </c>
      <c r="G31" s="17">
        <f t="shared" si="2"/>
        <v>0.18333333333333535</v>
      </c>
      <c r="H31" s="18">
        <v>85</v>
      </c>
      <c r="I31" s="19">
        <f t="shared" si="3"/>
        <v>633.25</v>
      </c>
      <c r="J31" s="19">
        <f t="shared" si="4"/>
        <v>48.155893536121681</v>
      </c>
      <c r="K31" s="19">
        <f t="shared" si="5"/>
        <v>642.07858048162245</v>
      </c>
      <c r="L31" s="20">
        <f t="shared" si="6"/>
        <v>8.8285804816224047</v>
      </c>
      <c r="M31" s="16">
        <v>0.27777777777777779</v>
      </c>
      <c r="N31" s="16">
        <v>0.8256944444444444</v>
      </c>
      <c r="O31" s="17">
        <f t="shared" si="7"/>
        <v>12</v>
      </c>
      <c r="P31" s="17">
        <f t="shared" si="8"/>
        <v>13.149999999999999</v>
      </c>
      <c r="Q31" s="17">
        <f t="shared" si="9"/>
        <v>0.18333333333333535</v>
      </c>
      <c r="R31" s="18">
        <v>105</v>
      </c>
      <c r="S31" s="19">
        <f t="shared" si="10"/>
        <v>782.25</v>
      </c>
      <c r="T31" s="19">
        <f t="shared" si="11"/>
        <v>59.48669201520913</v>
      </c>
      <c r="U31" s="19">
        <f t="shared" si="12"/>
        <v>793.15589353612177</v>
      </c>
      <c r="V31" s="20">
        <f t="shared" si="13"/>
        <v>10.905893536121793</v>
      </c>
      <c r="W31" s="16">
        <v>0.27777777777777779</v>
      </c>
      <c r="X31" s="16">
        <v>0.76597222222222228</v>
      </c>
      <c r="Y31" s="17">
        <f t="shared" si="14"/>
        <v>12</v>
      </c>
      <c r="Z31" s="17">
        <f t="shared" si="15"/>
        <v>11.716666666666669</v>
      </c>
      <c r="AA31" s="17">
        <f t="shared" si="16"/>
        <v>1.6166666666666663</v>
      </c>
      <c r="AB31" s="18">
        <v>99</v>
      </c>
      <c r="AC31" s="19">
        <f t="shared" si="17"/>
        <v>737.55000000000007</v>
      </c>
      <c r="AD31" s="19">
        <f t="shared" si="18"/>
        <v>62.948790896159316</v>
      </c>
      <c r="AE31" s="19">
        <f t="shared" si="19"/>
        <v>839.31721194879094</v>
      </c>
      <c r="AF31" s="20">
        <f t="shared" si="20"/>
        <v>101.76721194879087</v>
      </c>
      <c r="AG31" s="16">
        <v>0.27777777777777779</v>
      </c>
      <c r="AH31" s="16">
        <v>0.76597222222222228</v>
      </c>
      <c r="AI31" s="17">
        <f t="shared" si="21"/>
        <v>12</v>
      </c>
      <c r="AJ31" s="17">
        <f t="shared" si="22"/>
        <v>11.716666666666669</v>
      </c>
      <c r="AK31" s="17">
        <f t="shared" si="23"/>
        <v>1.6166666666666663</v>
      </c>
      <c r="AL31" s="18">
        <v>78</v>
      </c>
      <c r="AM31" s="19">
        <f t="shared" si="24"/>
        <v>581.1</v>
      </c>
      <c r="AN31" s="19">
        <f t="shared" si="25"/>
        <v>49.596017069701276</v>
      </c>
      <c r="AO31" s="19">
        <f t="shared" si="26"/>
        <v>661.28022759601708</v>
      </c>
      <c r="AP31" s="20">
        <f t="shared" si="27"/>
        <v>80.180227596017048</v>
      </c>
      <c r="AQ31" s="17">
        <f t="shared" si="28"/>
        <v>48</v>
      </c>
      <c r="AR31" s="17">
        <f t="shared" si="29"/>
        <v>49.733333333333334</v>
      </c>
      <c r="AS31" s="21">
        <f t="shared" si="30"/>
        <v>3.6000000000000032</v>
      </c>
      <c r="AT31" s="18">
        <f t="shared" si="31"/>
        <v>367</v>
      </c>
      <c r="AU31" s="19">
        <f t="shared" si="32"/>
        <v>2734.15</v>
      </c>
      <c r="AV31" s="20">
        <f t="shared" si="33"/>
        <v>2734.15</v>
      </c>
      <c r="AW31" s="19">
        <f t="shared" si="34"/>
        <v>2935.831913562552</v>
      </c>
      <c r="AX31" s="20">
        <f t="shared" si="35"/>
        <v>201.6819135625521</v>
      </c>
      <c r="AY31" s="22">
        <f t="shared" si="36"/>
        <v>6.8696682746328147E-2</v>
      </c>
    </row>
    <row r="32" spans="1:51" x14ac:dyDescent="0.35">
      <c r="A32" s="23">
        <v>46199</v>
      </c>
      <c r="B32" s="24" t="s">
        <v>75</v>
      </c>
      <c r="C32" s="25">
        <v>0.30694444444444452</v>
      </c>
      <c r="D32" s="25">
        <v>0.78749999999999998</v>
      </c>
      <c r="E32" s="26">
        <f t="shared" si="0"/>
        <v>12</v>
      </c>
      <c r="F32" s="26">
        <f t="shared" si="1"/>
        <v>11.533333333333331</v>
      </c>
      <c r="G32" s="26">
        <f t="shared" si="2"/>
        <v>1.1000000000000014</v>
      </c>
      <c r="H32" s="27">
        <v>85</v>
      </c>
      <c r="I32" s="28">
        <f t="shared" si="3"/>
        <v>633.25</v>
      </c>
      <c r="J32" s="28">
        <f t="shared" si="4"/>
        <v>54.906069364161858</v>
      </c>
      <c r="K32" s="28">
        <f t="shared" si="5"/>
        <v>693.64667630057806</v>
      </c>
      <c r="L32" s="29">
        <f t="shared" si="6"/>
        <v>60.396676300578122</v>
      </c>
      <c r="M32" s="25">
        <v>0.30694444444444452</v>
      </c>
      <c r="N32" s="25">
        <v>0.83333333333333337</v>
      </c>
      <c r="O32" s="26">
        <f t="shared" si="7"/>
        <v>12</v>
      </c>
      <c r="P32" s="26">
        <f t="shared" si="8"/>
        <v>12.633333333333331</v>
      </c>
      <c r="Q32" s="26">
        <f t="shared" si="9"/>
        <v>0</v>
      </c>
      <c r="R32" s="27">
        <v>75</v>
      </c>
      <c r="S32" s="28">
        <f t="shared" si="10"/>
        <v>558.75</v>
      </c>
      <c r="T32" s="28">
        <f t="shared" si="11"/>
        <v>44.228232189973625</v>
      </c>
      <c r="U32" s="28">
        <f t="shared" si="12"/>
        <v>558.75</v>
      </c>
      <c r="V32" s="29">
        <f t="shared" si="13"/>
        <v>0</v>
      </c>
      <c r="W32" s="25">
        <v>0.30694444444444452</v>
      </c>
      <c r="X32" s="25">
        <v>0.78749999999999998</v>
      </c>
      <c r="Y32" s="26">
        <f t="shared" si="14"/>
        <v>12</v>
      </c>
      <c r="Z32" s="26">
        <f t="shared" si="15"/>
        <v>11.533333333333331</v>
      </c>
      <c r="AA32" s="26">
        <f t="shared" si="16"/>
        <v>1.1000000000000014</v>
      </c>
      <c r="AB32" s="27">
        <v>99</v>
      </c>
      <c r="AC32" s="28">
        <f t="shared" si="17"/>
        <v>737.55000000000007</v>
      </c>
      <c r="AD32" s="28">
        <f t="shared" si="18"/>
        <v>63.949421965317939</v>
      </c>
      <c r="AE32" s="28">
        <f t="shared" si="19"/>
        <v>807.89436416184992</v>
      </c>
      <c r="AF32" s="29">
        <f t="shared" si="20"/>
        <v>70.344364161849825</v>
      </c>
      <c r="AG32" s="25">
        <v>0.30694444444444452</v>
      </c>
      <c r="AH32" s="25">
        <v>0.73541666666666672</v>
      </c>
      <c r="AI32" s="26">
        <f t="shared" si="21"/>
        <v>12</v>
      </c>
      <c r="AJ32" s="26">
        <f t="shared" si="22"/>
        <v>10.283333333333333</v>
      </c>
      <c r="AK32" s="26">
        <f t="shared" si="23"/>
        <v>2.3499999999999996</v>
      </c>
      <c r="AL32" s="27">
        <v>73</v>
      </c>
      <c r="AM32" s="28">
        <f t="shared" si="24"/>
        <v>543.85</v>
      </c>
      <c r="AN32" s="28">
        <f t="shared" si="25"/>
        <v>52.886547811993523</v>
      </c>
      <c r="AO32" s="28">
        <f t="shared" si="26"/>
        <v>668.13338735818479</v>
      </c>
      <c r="AP32" s="29">
        <f t="shared" si="27"/>
        <v>124.28338735818475</v>
      </c>
      <c r="AQ32" s="26">
        <f t="shared" si="28"/>
        <v>48</v>
      </c>
      <c r="AR32" s="26">
        <f t="shared" si="29"/>
        <v>45.983333333333327</v>
      </c>
      <c r="AS32" s="30">
        <f t="shared" si="30"/>
        <v>4.5500000000000025</v>
      </c>
      <c r="AT32" s="27">
        <f t="shared" si="31"/>
        <v>332</v>
      </c>
      <c r="AU32" s="28">
        <f t="shared" si="32"/>
        <v>2473.4</v>
      </c>
      <c r="AV32" s="29">
        <f t="shared" si="33"/>
        <v>2473.4</v>
      </c>
      <c r="AW32" s="28">
        <f t="shared" si="34"/>
        <v>2728.4244278206129</v>
      </c>
      <c r="AX32" s="29">
        <f t="shared" si="35"/>
        <v>255.02442782061269</v>
      </c>
      <c r="AY32" s="31">
        <f t="shared" si="36"/>
        <v>9.3469485619698423E-2</v>
      </c>
    </row>
    <row r="33" spans="1:51" x14ac:dyDescent="0.35">
      <c r="A33" s="14">
        <v>46200</v>
      </c>
      <c r="B33" s="15" t="s">
        <v>76</v>
      </c>
      <c r="C33" s="16">
        <v>0.31527777777777782</v>
      </c>
      <c r="D33" s="16">
        <v>0.58333333333333337</v>
      </c>
      <c r="E33" s="17">
        <f t="shared" si="0"/>
        <v>6</v>
      </c>
      <c r="F33" s="17">
        <f t="shared" si="1"/>
        <v>6.4333333333333336</v>
      </c>
      <c r="G33" s="17">
        <f t="shared" si="2"/>
        <v>0</v>
      </c>
      <c r="H33" s="18">
        <v>36</v>
      </c>
      <c r="I33" s="19">
        <f t="shared" si="3"/>
        <v>268.2</v>
      </c>
      <c r="J33" s="19">
        <f t="shared" si="4"/>
        <v>41.689119170984455</v>
      </c>
      <c r="K33" s="19">
        <f t="shared" si="5"/>
        <v>268.2</v>
      </c>
      <c r="L33" s="20">
        <f t="shared" si="6"/>
        <v>0</v>
      </c>
      <c r="M33" s="16">
        <v>0.31527777777777782</v>
      </c>
      <c r="N33" s="16">
        <v>0.58333333333333337</v>
      </c>
      <c r="O33" s="17">
        <f t="shared" si="7"/>
        <v>6</v>
      </c>
      <c r="P33" s="17">
        <f t="shared" si="8"/>
        <v>6.4333333333333336</v>
      </c>
      <c r="Q33" s="17">
        <f t="shared" si="9"/>
        <v>0</v>
      </c>
      <c r="R33" s="18">
        <v>38</v>
      </c>
      <c r="S33" s="19">
        <f t="shared" si="10"/>
        <v>283.10000000000002</v>
      </c>
      <c r="T33" s="19">
        <f t="shared" si="11"/>
        <v>44.005181347150263</v>
      </c>
      <c r="U33" s="19">
        <f t="shared" si="12"/>
        <v>283.10000000000002</v>
      </c>
      <c r="V33" s="20">
        <f t="shared" si="13"/>
        <v>0</v>
      </c>
      <c r="W33" s="16">
        <v>0.31527777777777782</v>
      </c>
      <c r="X33" s="16">
        <v>0.58333333333333337</v>
      </c>
      <c r="Y33" s="17">
        <f t="shared" si="14"/>
        <v>6</v>
      </c>
      <c r="Z33" s="17">
        <f t="shared" si="15"/>
        <v>6.4333333333333336</v>
      </c>
      <c r="AA33" s="17">
        <f t="shared" si="16"/>
        <v>0</v>
      </c>
      <c r="AB33" s="18">
        <v>49</v>
      </c>
      <c r="AC33" s="19">
        <f t="shared" si="17"/>
        <v>365.05</v>
      </c>
      <c r="AD33" s="19">
        <f t="shared" si="18"/>
        <v>56.743523316062173</v>
      </c>
      <c r="AE33" s="19">
        <f t="shared" si="19"/>
        <v>365.05</v>
      </c>
      <c r="AF33" s="20">
        <f t="shared" si="20"/>
        <v>0</v>
      </c>
      <c r="AG33" s="16">
        <v>0.31527777777777782</v>
      </c>
      <c r="AH33" s="16">
        <v>0.58333333333333337</v>
      </c>
      <c r="AI33" s="17">
        <f t="shared" si="21"/>
        <v>6</v>
      </c>
      <c r="AJ33" s="17">
        <f t="shared" si="22"/>
        <v>6.4333333333333336</v>
      </c>
      <c r="AK33" s="17">
        <f t="shared" si="23"/>
        <v>0</v>
      </c>
      <c r="AL33" s="18">
        <v>45</v>
      </c>
      <c r="AM33" s="19">
        <f t="shared" si="24"/>
        <v>335.25</v>
      </c>
      <c r="AN33" s="19">
        <f t="shared" si="25"/>
        <v>52.111398963730565</v>
      </c>
      <c r="AO33" s="19">
        <f t="shared" si="26"/>
        <v>335.25</v>
      </c>
      <c r="AP33" s="20">
        <f t="shared" si="27"/>
        <v>0</v>
      </c>
      <c r="AQ33" s="17">
        <f t="shared" si="28"/>
        <v>24</v>
      </c>
      <c r="AR33" s="17">
        <f t="shared" si="29"/>
        <v>25.733333333333334</v>
      </c>
      <c r="AS33" s="21">
        <f t="shared" si="30"/>
        <v>0</v>
      </c>
      <c r="AT33" s="18">
        <f t="shared" si="31"/>
        <v>168</v>
      </c>
      <c r="AU33" s="19">
        <f t="shared" si="32"/>
        <v>1251.6000000000001</v>
      </c>
      <c r="AV33" s="20">
        <f t="shared" si="33"/>
        <v>1251.5999999999999</v>
      </c>
      <c r="AW33" s="19">
        <f t="shared" si="34"/>
        <v>1251.5999999999999</v>
      </c>
      <c r="AX33" s="20">
        <f t="shared" si="35"/>
        <v>0</v>
      </c>
      <c r="AY33" s="22">
        <f t="shared" si="36"/>
        <v>0</v>
      </c>
    </row>
    <row r="34" spans="1:51" x14ac:dyDescent="0.35">
      <c r="A34" s="23">
        <v>46201</v>
      </c>
      <c r="B34" s="24" t="s">
        <v>77</v>
      </c>
      <c r="C34" s="24" t="s">
        <v>82</v>
      </c>
      <c r="D34" s="24" t="s">
        <v>82</v>
      </c>
      <c r="E34" s="26">
        <f t="shared" si="0"/>
        <v>0</v>
      </c>
      <c r="F34" s="26">
        <f t="shared" si="1"/>
        <v>0</v>
      </c>
      <c r="G34" s="26">
        <f t="shared" si="2"/>
        <v>0</v>
      </c>
      <c r="H34" s="27">
        <v>0</v>
      </c>
      <c r="I34" s="28">
        <f t="shared" si="3"/>
        <v>0</v>
      </c>
      <c r="J34" s="28">
        <f t="shared" si="4"/>
        <v>0</v>
      </c>
      <c r="K34" s="28">
        <f t="shared" si="5"/>
        <v>0</v>
      </c>
      <c r="L34" s="29">
        <f t="shared" si="6"/>
        <v>0</v>
      </c>
      <c r="M34" s="24" t="s">
        <v>82</v>
      </c>
      <c r="N34" s="24" t="s">
        <v>82</v>
      </c>
      <c r="O34" s="26">
        <f t="shared" si="7"/>
        <v>0</v>
      </c>
      <c r="P34" s="26">
        <f t="shared" si="8"/>
        <v>0</v>
      </c>
      <c r="Q34" s="26">
        <f t="shared" si="9"/>
        <v>0</v>
      </c>
      <c r="R34" s="27">
        <v>0</v>
      </c>
      <c r="S34" s="28">
        <f t="shared" si="10"/>
        <v>0</v>
      </c>
      <c r="T34" s="28">
        <f t="shared" si="11"/>
        <v>0</v>
      </c>
      <c r="U34" s="28">
        <f t="shared" si="12"/>
        <v>0</v>
      </c>
      <c r="V34" s="29">
        <f t="shared" si="13"/>
        <v>0</v>
      </c>
      <c r="W34" s="24" t="s">
        <v>82</v>
      </c>
      <c r="X34" s="24" t="s">
        <v>82</v>
      </c>
      <c r="Y34" s="26">
        <f t="shared" si="14"/>
        <v>0</v>
      </c>
      <c r="Z34" s="26">
        <f t="shared" si="15"/>
        <v>0</v>
      </c>
      <c r="AA34" s="26">
        <f t="shared" si="16"/>
        <v>0</v>
      </c>
      <c r="AB34" s="27">
        <v>0</v>
      </c>
      <c r="AC34" s="28">
        <f t="shared" si="17"/>
        <v>0</v>
      </c>
      <c r="AD34" s="28">
        <f t="shared" si="18"/>
        <v>0</v>
      </c>
      <c r="AE34" s="28">
        <f t="shared" si="19"/>
        <v>0</v>
      </c>
      <c r="AF34" s="29">
        <f t="shared" si="20"/>
        <v>0</v>
      </c>
      <c r="AG34" s="24" t="s">
        <v>82</v>
      </c>
      <c r="AH34" s="24" t="s">
        <v>82</v>
      </c>
      <c r="AI34" s="26">
        <f t="shared" si="21"/>
        <v>0</v>
      </c>
      <c r="AJ34" s="26">
        <f t="shared" si="22"/>
        <v>0</v>
      </c>
      <c r="AK34" s="26">
        <f t="shared" si="23"/>
        <v>0</v>
      </c>
      <c r="AL34" s="27">
        <v>0</v>
      </c>
      <c r="AM34" s="28">
        <f t="shared" si="24"/>
        <v>0</v>
      </c>
      <c r="AN34" s="28">
        <f t="shared" si="25"/>
        <v>0</v>
      </c>
      <c r="AO34" s="28">
        <f t="shared" si="26"/>
        <v>0</v>
      </c>
      <c r="AP34" s="29">
        <f t="shared" si="27"/>
        <v>0</v>
      </c>
      <c r="AQ34" s="26">
        <f t="shared" si="28"/>
        <v>0</v>
      </c>
      <c r="AR34" s="26">
        <f t="shared" si="29"/>
        <v>0</v>
      </c>
      <c r="AS34" s="30">
        <f t="shared" si="30"/>
        <v>0</v>
      </c>
      <c r="AT34" s="27">
        <f t="shared" si="31"/>
        <v>0</v>
      </c>
      <c r="AU34" s="28">
        <f t="shared" si="32"/>
        <v>0</v>
      </c>
      <c r="AV34" s="29">
        <f t="shared" si="33"/>
        <v>0</v>
      </c>
      <c r="AW34" s="28">
        <f t="shared" si="34"/>
        <v>0</v>
      </c>
      <c r="AX34" s="29">
        <f t="shared" si="35"/>
        <v>0</v>
      </c>
      <c r="AY34" s="31">
        <f t="shared" si="36"/>
        <v>0</v>
      </c>
    </row>
    <row r="35" spans="1:51" x14ac:dyDescent="0.35">
      <c r="A35" s="14">
        <v>46202</v>
      </c>
      <c r="B35" s="15" t="s">
        <v>78</v>
      </c>
      <c r="C35" s="16">
        <v>0.28125</v>
      </c>
      <c r="D35" s="16">
        <v>0.81944444444444442</v>
      </c>
      <c r="E35" s="17">
        <f t="shared" si="0"/>
        <v>12</v>
      </c>
      <c r="F35" s="17">
        <f t="shared" si="1"/>
        <v>12.916666666666666</v>
      </c>
      <c r="G35" s="17">
        <f t="shared" si="2"/>
        <v>0.33333333333333481</v>
      </c>
      <c r="H35" s="18">
        <v>114</v>
      </c>
      <c r="I35" s="19">
        <f t="shared" si="3"/>
        <v>849.30000000000007</v>
      </c>
      <c r="J35" s="19">
        <f t="shared" si="4"/>
        <v>65.752258064516141</v>
      </c>
      <c r="K35" s="19">
        <f t="shared" si="5"/>
        <v>871.21741935483885</v>
      </c>
      <c r="L35" s="20">
        <f t="shared" si="6"/>
        <v>21.91741935483881</v>
      </c>
      <c r="M35" s="16">
        <v>0.28125</v>
      </c>
      <c r="N35" s="16">
        <v>0.83333333333333337</v>
      </c>
      <c r="O35" s="17">
        <f t="shared" si="7"/>
        <v>12</v>
      </c>
      <c r="P35" s="17">
        <f t="shared" si="8"/>
        <v>13.25</v>
      </c>
      <c r="Q35" s="17">
        <f t="shared" si="9"/>
        <v>0</v>
      </c>
      <c r="R35" s="18">
        <v>104</v>
      </c>
      <c r="S35" s="19">
        <f t="shared" si="10"/>
        <v>774.80000000000007</v>
      </c>
      <c r="T35" s="19">
        <f t="shared" si="11"/>
        <v>58.475471698113211</v>
      </c>
      <c r="U35" s="19">
        <f t="shared" si="12"/>
        <v>774.80000000000007</v>
      </c>
      <c r="V35" s="20">
        <f t="shared" si="13"/>
        <v>0</v>
      </c>
      <c r="W35" s="16">
        <v>0.28125</v>
      </c>
      <c r="X35" s="16">
        <v>0.83333333333333337</v>
      </c>
      <c r="Y35" s="17">
        <f t="shared" si="14"/>
        <v>12</v>
      </c>
      <c r="Z35" s="17">
        <f t="shared" si="15"/>
        <v>13.25</v>
      </c>
      <c r="AA35" s="17">
        <f t="shared" si="16"/>
        <v>0</v>
      </c>
      <c r="AB35" s="18">
        <v>126</v>
      </c>
      <c r="AC35" s="19">
        <f t="shared" si="17"/>
        <v>938.7</v>
      </c>
      <c r="AD35" s="19">
        <f t="shared" si="18"/>
        <v>70.845283018867931</v>
      </c>
      <c r="AE35" s="19">
        <f t="shared" si="19"/>
        <v>938.7</v>
      </c>
      <c r="AF35" s="20">
        <f t="shared" si="20"/>
        <v>0</v>
      </c>
      <c r="AG35" s="16">
        <v>0.28125</v>
      </c>
      <c r="AH35" s="16">
        <v>0.81944444444444442</v>
      </c>
      <c r="AI35" s="17">
        <f t="shared" si="21"/>
        <v>12</v>
      </c>
      <c r="AJ35" s="17">
        <f t="shared" si="22"/>
        <v>12.916666666666666</v>
      </c>
      <c r="AK35" s="17">
        <f t="shared" si="23"/>
        <v>0.33333333333333481</v>
      </c>
      <c r="AL35" s="18">
        <v>119</v>
      </c>
      <c r="AM35" s="19">
        <f t="shared" si="24"/>
        <v>886.55000000000007</v>
      </c>
      <c r="AN35" s="19">
        <f t="shared" si="25"/>
        <v>68.636129032258069</v>
      </c>
      <c r="AO35" s="19">
        <f t="shared" si="26"/>
        <v>909.42870967741953</v>
      </c>
      <c r="AP35" s="20">
        <f t="shared" si="27"/>
        <v>22.878709677419458</v>
      </c>
      <c r="AQ35" s="17">
        <f t="shared" si="28"/>
        <v>48</v>
      </c>
      <c r="AR35" s="17">
        <f t="shared" si="29"/>
        <v>52.333333333333329</v>
      </c>
      <c r="AS35" s="21">
        <f t="shared" si="30"/>
        <v>0.66666666666666963</v>
      </c>
      <c r="AT35" s="18">
        <f t="shared" si="31"/>
        <v>463</v>
      </c>
      <c r="AU35" s="19">
        <f t="shared" si="32"/>
        <v>3449.35</v>
      </c>
      <c r="AV35" s="20">
        <f t="shared" si="33"/>
        <v>3449.3500000000004</v>
      </c>
      <c r="AW35" s="19">
        <f t="shared" si="34"/>
        <v>3494.1461290322586</v>
      </c>
      <c r="AX35" s="20">
        <f t="shared" si="35"/>
        <v>44.796129032258264</v>
      </c>
      <c r="AY35" s="22">
        <f t="shared" si="36"/>
        <v>1.2820336465053634E-2</v>
      </c>
    </row>
    <row r="36" spans="1:51" x14ac:dyDescent="0.35">
      <c r="A36" s="23">
        <v>46203</v>
      </c>
      <c r="B36" s="24" t="s">
        <v>79</v>
      </c>
      <c r="C36" s="25">
        <v>0.30208333333333331</v>
      </c>
      <c r="D36" s="25">
        <v>0.83333333333333337</v>
      </c>
      <c r="E36" s="26">
        <f t="shared" si="0"/>
        <v>12</v>
      </c>
      <c r="F36" s="26">
        <f t="shared" si="1"/>
        <v>12.75</v>
      </c>
      <c r="G36" s="26">
        <f t="shared" si="2"/>
        <v>0</v>
      </c>
      <c r="H36" s="27">
        <v>94</v>
      </c>
      <c r="I36" s="28">
        <f t="shared" si="3"/>
        <v>700.30000000000007</v>
      </c>
      <c r="J36" s="28">
        <f t="shared" si="4"/>
        <v>54.925490196078435</v>
      </c>
      <c r="K36" s="28">
        <f t="shared" si="5"/>
        <v>700.30000000000007</v>
      </c>
      <c r="L36" s="29">
        <f t="shared" si="6"/>
        <v>0</v>
      </c>
      <c r="M36" s="25">
        <v>0.30208333333333331</v>
      </c>
      <c r="N36" s="25">
        <v>0.83333333333333337</v>
      </c>
      <c r="O36" s="26">
        <f t="shared" si="7"/>
        <v>12</v>
      </c>
      <c r="P36" s="26">
        <f t="shared" si="8"/>
        <v>12.75</v>
      </c>
      <c r="Q36" s="26">
        <f t="shared" si="9"/>
        <v>0</v>
      </c>
      <c r="R36" s="27">
        <v>88</v>
      </c>
      <c r="S36" s="28">
        <f t="shared" si="10"/>
        <v>655.6</v>
      </c>
      <c r="T36" s="28">
        <f t="shared" si="11"/>
        <v>51.419607843137257</v>
      </c>
      <c r="U36" s="28">
        <f t="shared" si="12"/>
        <v>655.6</v>
      </c>
      <c r="V36" s="29">
        <f t="shared" si="13"/>
        <v>0</v>
      </c>
      <c r="W36" s="25">
        <v>0.30208333333333331</v>
      </c>
      <c r="X36" s="25">
        <v>0.74305555555555558</v>
      </c>
      <c r="Y36" s="26">
        <f t="shared" si="14"/>
        <v>12</v>
      </c>
      <c r="Z36" s="26">
        <f t="shared" si="15"/>
        <v>10.583333333333334</v>
      </c>
      <c r="AA36" s="26">
        <f t="shared" si="16"/>
        <v>2.166666666666667</v>
      </c>
      <c r="AB36" s="27">
        <v>101</v>
      </c>
      <c r="AC36" s="28">
        <f t="shared" si="17"/>
        <v>752.45</v>
      </c>
      <c r="AD36" s="28">
        <f t="shared" si="18"/>
        <v>71.097637795275588</v>
      </c>
      <c r="AE36" s="28">
        <f t="shared" si="19"/>
        <v>906.49488188976386</v>
      </c>
      <c r="AF36" s="29">
        <f t="shared" si="20"/>
        <v>154.04488188976379</v>
      </c>
      <c r="AG36" s="25">
        <v>0.30208333333333331</v>
      </c>
      <c r="AH36" s="25">
        <v>0.74305555555555558</v>
      </c>
      <c r="AI36" s="26">
        <f t="shared" si="21"/>
        <v>12</v>
      </c>
      <c r="AJ36" s="26">
        <f t="shared" si="22"/>
        <v>10.583333333333334</v>
      </c>
      <c r="AK36" s="26">
        <f t="shared" si="23"/>
        <v>2.166666666666667</v>
      </c>
      <c r="AL36" s="27">
        <v>111</v>
      </c>
      <c r="AM36" s="28">
        <f t="shared" si="24"/>
        <v>826.95</v>
      </c>
      <c r="AN36" s="28">
        <f t="shared" si="25"/>
        <v>78.137007874015751</v>
      </c>
      <c r="AO36" s="28">
        <f t="shared" si="26"/>
        <v>996.24685039370092</v>
      </c>
      <c r="AP36" s="29">
        <f t="shared" si="27"/>
        <v>169.29685039370082</v>
      </c>
      <c r="AQ36" s="26">
        <f t="shared" si="28"/>
        <v>48</v>
      </c>
      <c r="AR36" s="26">
        <f t="shared" si="29"/>
        <v>46.666666666666671</v>
      </c>
      <c r="AS36" s="30">
        <f t="shared" si="30"/>
        <v>4.3333333333333339</v>
      </c>
      <c r="AT36" s="27">
        <f t="shared" si="31"/>
        <v>394</v>
      </c>
      <c r="AU36" s="28">
        <f t="shared" si="32"/>
        <v>2935.3</v>
      </c>
      <c r="AV36" s="29">
        <f t="shared" si="33"/>
        <v>2935.3</v>
      </c>
      <c r="AW36" s="28">
        <f t="shared" si="34"/>
        <v>3258.641732283465</v>
      </c>
      <c r="AX36" s="29">
        <f t="shared" si="35"/>
        <v>323.34173228346458</v>
      </c>
      <c r="AY36" s="31">
        <f t="shared" si="36"/>
        <v>9.9225922592259222E-2</v>
      </c>
    </row>
    <row r="37" spans="1:51" ht="15" x14ac:dyDescent="0.4">
      <c r="A37" s="51" t="s">
        <v>83</v>
      </c>
      <c r="B37" s="52"/>
      <c r="C37" s="32"/>
      <c r="D37" s="32"/>
      <c r="E37" s="33">
        <f>SUM(E7:E36)</f>
        <v>288</v>
      </c>
      <c r="F37" s="33">
        <f>SUM(F7:F36)</f>
        <v>286.34999999999997</v>
      </c>
      <c r="G37" s="33">
        <f>SUM(G7:G36)</f>
        <v>19.750000000000021</v>
      </c>
      <c r="H37" s="34">
        <f>SUM(H7:H36)</f>
        <v>1733</v>
      </c>
      <c r="I37" s="35">
        <f>SUM(I7:I36)</f>
        <v>12910.85</v>
      </c>
      <c r="J37" s="35">
        <f>AVERAGE(J7:J36)</f>
        <v>38.936145286104292</v>
      </c>
      <c r="K37" s="35">
        <f>SUM(K7:K36)</f>
        <v>13770.060996167236</v>
      </c>
      <c r="L37" s="35">
        <f>SUM(L7:L36)</f>
        <v>859.21099616723836</v>
      </c>
      <c r="M37" s="32"/>
      <c r="N37" s="32"/>
      <c r="O37" s="33">
        <f>SUM(O7:O36)</f>
        <v>288</v>
      </c>
      <c r="P37" s="33">
        <f>SUM(P7:P36)</f>
        <v>302.88333333333333</v>
      </c>
      <c r="Q37" s="33">
        <f>SUM(Q7:Q36)</f>
        <v>2.8500000000000085</v>
      </c>
      <c r="R37" s="34">
        <f>SUM(R7:R36)</f>
        <v>1856</v>
      </c>
      <c r="S37" s="35">
        <f>SUM(S7:S36)</f>
        <v>13827.2</v>
      </c>
      <c r="T37" s="35">
        <f>AVERAGE(T7:T36)</f>
        <v>39.49671024088601</v>
      </c>
      <c r="U37" s="35">
        <f>SUM(U7:U36)</f>
        <v>13959.467648786445</v>
      </c>
      <c r="V37" s="35">
        <f>SUM(V7:V36)</f>
        <v>132.26764878644474</v>
      </c>
      <c r="W37" s="32"/>
      <c r="X37" s="32"/>
      <c r="Y37" s="33">
        <f>SUM(Y7:Y36)</f>
        <v>288</v>
      </c>
      <c r="Z37" s="33">
        <f>SUM(Z7:Z36)</f>
        <v>275.48333333333329</v>
      </c>
      <c r="AA37" s="33">
        <f>SUM(AA7:AA36)</f>
        <v>32.983333333333348</v>
      </c>
      <c r="AB37" s="34">
        <f>SUM(AB7:AB36)</f>
        <v>2194</v>
      </c>
      <c r="AC37" s="35">
        <f>SUM(AC7:AC36)</f>
        <v>16345.299999999997</v>
      </c>
      <c r="AD37" s="35">
        <f>AVERAGE(AD7:AD36)</f>
        <v>51.249624448911128</v>
      </c>
      <c r="AE37" s="35">
        <f>SUM(AE7:AE36)</f>
        <v>18294.764945209125</v>
      </c>
      <c r="AF37" s="35">
        <f>SUM(AF7:AF36)</f>
        <v>1949.464945209121</v>
      </c>
      <c r="AG37" s="32"/>
      <c r="AH37" s="32"/>
      <c r="AI37" s="33">
        <f>SUM(AI7:AI36)</f>
        <v>288</v>
      </c>
      <c r="AJ37" s="33">
        <f>SUM(AJ7:AJ36)</f>
        <v>264.89999999999998</v>
      </c>
      <c r="AK37" s="33">
        <f>SUM(AK7:AK36)</f>
        <v>37.183333333333344</v>
      </c>
      <c r="AL37" s="34">
        <f>SUM(AL7:AL36)</f>
        <v>1830</v>
      </c>
      <c r="AM37" s="35">
        <f>SUM(AM7:AM36)</f>
        <v>13633.500000000002</v>
      </c>
      <c r="AN37" s="35">
        <f>AVERAGE(AN7:AN36)</f>
        <v>42.51000774500848</v>
      </c>
      <c r="AO37" s="35">
        <f t="shared" ref="AO37:AX37" si="37">SUM(AO7:AO36)</f>
        <v>15532.316775052832</v>
      </c>
      <c r="AP37" s="35">
        <f t="shared" si="37"/>
        <v>1898.8167750528296</v>
      </c>
      <c r="AQ37" s="33">
        <f t="shared" si="37"/>
        <v>1152</v>
      </c>
      <c r="AR37" s="33">
        <f t="shared" si="37"/>
        <v>1129.6166666666668</v>
      </c>
      <c r="AS37" s="33">
        <f t="shared" si="37"/>
        <v>92.766666666666737</v>
      </c>
      <c r="AT37" s="34">
        <f t="shared" si="37"/>
        <v>7613</v>
      </c>
      <c r="AU37" s="35">
        <f t="shared" si="37"/>
        <v>56716.85</v>
      </c>
      <c r="AV37" s="35">
        <f t="shared" si="37"/>
        <v>56716.850000000006</v>
      </c>
      <c r="AW37" s="35">
        <f t="shared" si="37"/>
        <v>61556.610365215638</v>
      </c>
      <c r="AX37" s="35">
        <f t="shared" si="37"/>
        <v>4839.7603652156349</v>
      </c>
      <c r="AY37" s="36">
        <f>AVERAGE(AY7:AY36)</f>
        <v>6.4472198316958843E-2</v>
      </c>
    </row>
  </sheetData>
  <mergeCells count="7">
    <mergeCell ref="A5:B5"/>
    <mergeCell ref="A37:B37"/>
    <mergeCell ref="C5:L5"/>
    <mergeCell ref="AG5:AP5"/>
    <mergeCell ref="W5:AF5"/>
    <mergeCell ref="M5:V5"/>
    <mergeCell ref="AQ5:AY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38"/>
  <sheetViews>
    <sheetView workbookViewId="0">
      <selection activeCell="H15" sqref="H15"/>
    </sheetView>
  </sheetViews>
  <sheetFormatPr defaultRowHeight="14.5" x14ac:dyDescent="0.35"/>
  <cols>
    <col min="1" max="1" width="9.36328125" bestFit="1" customWidth="1"/>
    <col min="2" max="2" width="4.1796875" bestFit="1" customWidth="1"/>
    <col min="3" max="3" width="7.26953125" bestFit="1" customWidth="1"/>
    <col min="4" max="4" width="7.7265625" bestFit="1" customWidth="1"/>
    <col min="5" max="5" width="8.08984375" bestFit="1" customWidth="1"/>
    <col min="6" max="6" width="11.6328125" bestFit="1" customWidth="1"/>
    <col min="7" max="7" width="8.08984375" bestFit="1" customWidth="1"/>
    <col min="8" max="8" width="15.90625" bestFit="1" customWidth="1"/>
    <col min="9" max="9" width="12.26953125" bestFit="1" customWidth="1"/>
    <col min="10" max="10" width="10.6328125" bestFit="1" customWidth="1"/>
    <col min="11" max="11" width="14.08984375" bestFit="1" customWidth="1"/>
    <col min="12" max="12" width="12" bestFit="1" customWidth="1"/>
    <col min="13" max="13" width="7.26953125" bestFit="1" customWidth="1"/>
    <col min="14" max="14" width="7.7265625" bestFit="1" customWidth="1"/>
    <col min="15" max="15" width="8.08984375" bestFit="1" customWidth="1"/>
    <col min="16" max="16" width="11.6328125" bestFit="1" customWidth="1"/>
    <col min="17" max="17" width="8.08984375" bestFit="1" customWidth="1"/>
    <col min="18" max="18" width="15.90625" bestFit="1" customWidth="1"/>
    <col min="19" max="19" width="12.26953125" bestFit="1" customWidth="1"/>
    <col min="20" max="20" width="10.6328125" bestFit="1" customWidth="1"/>
    <col min="21" max="21" width="14.08984375" bestFit="1" customWidth="1"/>
    <col min="22" max="22" width="12" bestFit="1" customWidth="1"/>
    <col min="23" max="23" width="7.26953125" bestFit="1" customWidth="1"/>
    <col min="24" max="24" width="7.7265625" bestFit="1" customWidth="1"/>
    <col min="25" max="25" width="8.08984375" bestFit="1" customWidth="1"/>
    <col min="26" max="26" width="11.6328125" bestFit="1" customWidth="1"/>
    <col min="27" max="27" width="8.08984375" bestFit="1" customWidth="1"/>
    <col min="28" max="28" width="15.90625" bestFit="1" customWidth="1"/>
    <col min="29" max="29" width="12.26953125" bestFit="1" customWidth="1"/>
    <col min="30" max="30" width="10.6328125" bestFit="1" customWidth="1"/>
    <col min="31" max="31" width="14.08984375" bestFit="1" customWidth="1"/>
    <col min="32" max="32" width="12" bestFit="1" customWidth="1"/>
    <col min="33" max="33" width="7.26953125" bestFit="1" customWidth="1"/>
    <col min="34" max="34" width="7.7265625" bestFit="1" customWidth="1"/>
    <col min="35" max="35" width="8.08984375" bestFit="1" customWidth="1"/>
    <col min="36" max="36" width="11.6328125" bestFit="1" customWidth="1"/>
    <col min="37" max="37" width="8.08984375" bestFit="1" customWidth="1"/>
    <col min="38" max="38" width="15.90625" bestFit="1" customWidth="1"/>
    <col min="39" max="39" width="12.26953125" bestFit="1" customWidth="1"/>
    <col min="40" max="40" width="10.6328125" bestFit="1" customWidth="1"/>
    <col min="41" max="41" width="14.08984375" bestFit="1" customWidth="1"/>
    <col min="42" max="42" width="12" bestFit="1" customWidth="1"/>
    <col min="43" max="43" width="11" bestFit="1" customWidth="1"/>
    <col min="44" max="44" width="14.6328125" bestFit="1" customWidth="1"/>
    <col min="45" max="45" width="11" bestFit="1" customWidth="1"/>
    <col min="46" max="46" width="18.90625" bestFit="1" customWidth="1"/>
    <col min="47" max="47" width="11.36328125" bestFit="1" customWidth="1"/>
    <col min="48" max="48" width="15.26953125" bestFit="1" customWidth="1"/>
    <col min="49" max="49" width="17.08984375" bestFit="1" customWidth="1"/>
    <col min="50" max="50" width="16.26953125" bestFit="1" customWidth="1"/>
    <col min="51" max="51" width="8.1796875" bestFit="1" customWidth="1"/>
  </cols>
  <sheetData>
    <row r="1" spans="1:51" ht="22.5" x14ac:dyDescent="0.6">
      <c r="A1" s="1" t="s">
        <v>85</v>
      </c>
    </row>
    <row r="2" spans="1:51" x14ac:dyDescent="0.35">
      <c r="A2" s="2" t="s">
        <v>51</v>
      </c>
    </row>
    <row r="3" spans="1:51" x14ac:dyDescent="0.35">
      <c r="A3" s="2" t="s">
        <v>52</v>
      </c>
    </row>
    <row r="5" spans="1:51" x14ac:dyDescent="0.35">
      <c r="A5" s="53" t="s">
        <v>53</v>
      </c>
      <c r="B5" s="54"/>
      <c r="C5" s="53" t="s">
        <v>54</v>
      </c>
      <c r="D5" s="54"/>
      <c r="E5" s="54"/>
      <c r="F5" s="54"/>
      <c r="G5" s="54"/>
      <c r="H5" s="54"/>
      <c r="I5" s="54"/>
      <c r="J5" s="54"/>
      <c r="K5" s="54"/>
      <c r="L5" s="54"/>
      <c r="M5" s="53" t="s">
        <v>55</v>
      </c>
      <c r="N5" s="54"/>
      <c r="O5" s="54"/>
      <c r="P5" s="54"/>
      <c r="Q5" s="54"/>
      <c r="R5" s="54"/>
      <c r="S5" s="54"/>
      <c r="T5" s="54"/>
      <c r="U5" s="54"/>
      <c r="V5" s="54"/>
      <c r="W5" s="53" t="s">
        <v>56</v>
      </c>
      <c r="X5" s="54"/>
      <c r="Y5" s="54"/>
      <c r="Z5" s="54"/>
      <c r="AA5" s="54"/>
      <c r="AB5" s="54"/>
      <c r="AC5" s="54"/>
      <c r="AD5" s="54"/>
      <c r="AE5" s="54"/>
      <c r="AF5" s="54"/>
      <c r="AG5" s="53" t="s">
        <v>57</v>
      </c>
      <c r="AH5" s="54"/>
      <c r="AI5" s="54"/>
      <c r="AJ5" s="54"/>
      <c r="AK5" s="54"/>
      <c r="AL5" s="54"/>
      <c r="AM5" s="54"/>
      <c r="AN5" s="54"/>
      <c r="AO5" s="54"/>
      <c r="AP5" s="54"/>
      <c r="AQ5" s="53" t="s">
        <v>58</v>
      </c>
      <c r="AR5" s="54"/>
      <c r="AS5" s="54"/>
      <c r="AT5" s="54"/>
      <c r="AU5" s="54"/>
      <c r="AV5" s="54"/>
      <c r="AW5" s="54"/>
      <c r="AX5" s="54"/>
      <c r="AY5" s="54"/>
    </row>
    <row r="6" spans="1:51" x14ac:dyDescent="0.35">
      <c r="A6" s="55" t="s">
        <v>59</v>
      </c>
      <c r="B6" s="55" t="s">
        <v>60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66</v>
      </c>
      <c r="I6" s="55" t="s">
        <v>67</v>
      </c>
      <c r="J6" s="55" t="s">
        <v>68</v>
      </c>
      <c r="K6" s="55" t="s">
        <v>47</v>
      </c>
      <c r="L6" s="55" t="s">
        <v>69</v>
      </c>
      <c r="M6" s="55" t="s">
        <v>61</v>
      </c>
      <c r="N6" s="55" t="s">
        <v>62</v>
      </c>
      <c r="O6" s="55" t="s">
        <v>63</v>
      </c>
      <c r="P6" s="55" t="s">
        <v>64</v>
      </c>
      <c r="Q6" s="55" t="s">
        <v>65</v>
      </c>
      <c r="R6" s="55" t="s">
        <v>66</v>
      </c>
      <c r="S6" s="55" t="s">
        <v>67</v>
      </c>
      <c r="T6" s="55" t="s">
        <v>68</v>
      </c>
      <c r="U6" s="55" t="s">
        <v>47</v>
      </c>
      <c r="V6" s="55" t="s">
        <v>69</v>
      </c>
      <c r="W6" s="55" t="s">
        <v>61</v>
      </c>
      <c r="X6" s="55" t="s">
        <v>62</v>
      </c>
      <c r="Y6" s="55" t="s">
        <v>63</v>
      </c>
      <c r="Z6" s="55" t="s">
        <v>64</v>
      </c>
      <c r="AA6" s="55" t="s">
        <v>65</v>
      </c>
      <c r="AB6" s="55" t="s">
        <v>66</v>
      </c>
      <c r="AC6" s="55" t="s">
        <v>67</v>
      </c>
      <c r="AD6" s="55" t="s">
        <v>68</v>
      </c>
      <c r="AE6" s="55" t="s">
        <v>47</v>
      </c>
      <c r="AF6" s="55" t="s">
        <v>69</v>
      </c>
      <c r="AG6" s="55" t="s">
        <v>61</v>
      </c>
      <c r="AH6" s="55" t="s">
        <v>62</v>
      </c>
      <c r="AI6" s="55" t="s">
        <v>63</v>
      </c>
      <c r="AJ6" s="55" t="s">
        <v>64</v>
      </c>
      <c r="AK6" s="55" t="s">
        <v>65</v>
      </c>
      <c r="AL6" s="55" t="s">
        <v>66</v>
      </c>
      <c r="AM6" s="55" t="s">
        <v>67</v>
      </c>
      <c r="AN6" s="55" t="s">
        <v>68</v>
      </c>
      <c r="AO6" s="55" t="s">
        <v>47</v>
      </c>
      <c r="AP6" s="55" t="s">
        <v>69</v>
      </c>
      <c r="AQ6" s="55" t="s">
        <v>70</v>
      </c>
      <c r="AR6" s="55" t="s">
        <v>38</v>
      </c>
      <c r="AS6" s="55" t="s">
        <v>71</v>
      </c>
      <c r="AT6" s="55" t="s">
        <v>72</v>
      </c>
      <c r="AU6" s="55" t="s">
        <v>45</v>
      </c>
      <c r="AV6" s="55" t="s">
        <v>46</v>
      </c>
      <c r="AW6" s="55" t="s">
        <v>73</v>
      </c>
      <c r="AX6" s="55" t="s">
        <v>48</v>
      </c>
      <c r="AY6" s="55" t="s">
        <v>74</v>
      </c>
    </row>
    <row r="7" spans="1:51" x14ac:dyDescent="0.35">
      <c r="A7" s="56">
        <v>46204</v>
      </c>
      <c r="B7" s="57" t="s">
        <v>80</v>
      </c>
      <c r="C7" s="58">
        <v>0.30555555555555558</v>
      </c>
      <c r="D7" s="58">
        <v>0.83333333333333337</v>
      </c>
      <c r="E7" s="59">
        <f t="shared" ref="E7:E37" si="0">IF(B7="Sun", 0, IF(B7="Sat", 6, 12))</f>
        <v>12</v>
      </c>
      <c r="F7" s="59">
        <f t="shared" ref="F7:F37" si="1">IF(OR(D7="OFF", ISBLANK(D7)), 0, (D7 - C7)*24)</f>
        <v>12.666666666666668</v>
      </c>
      <c r="G7" s="59">
        <f t="shared" ref="G7:G37" si="2">IF(OR(B7="Sun", D7="OFF", ISBLANK(D7)), 0, MAX(0, (IF(B7="Sat", 14/24, 20/24) - D7)*24))</f>
        <v>0</v>
      </c>
      <c r="H7" s="60">
        <v>107</v>
      </c>
      <c r="I7" s="61">
        <f t="shared" ref="I7:I37" si="3">H7*7.45</f>
        <v>797.15</v>
      </c>
      <c r="J7" s="61">
        <f t="shared" ref="J7:J37" si="4">IF(F7&gt;0, I7/F7, 0)</f>
        <v>62.932894736842094</v>
      </c>
      <c r="K7" s="61">
        <f t="shared" ref="K7:K37" si="5">I7 + (G7*J7)</f>
        <v>797.15</v>
      </c>
      <c r="L7" s="62">
        <f t="shared" ref="L7:L37" si="6">G7*J7</f>
        <v>0</v>
      </c>
      <c r="M7" s="58">
        <v>0.30555555555555558</v>
      </c>
      <c r="N7" s="58">
        <v>0.83333333333333337</v>
      </c>
      <c r="O7" s="59">
        <f t="shared" ref="O7:O37" si="7">IF(B7="Sun", 0, IF(B7="Sat", 6, 12))</f>
        <v>12</v>
      </c>
      <c r="P7" s="59">
        <f t="shared" ref="P7:P37" si="8">IF(OR(N7="OFF", ISBLANK(N7)), 0, (N7 - M7)*24)</f>
        <v>12.666666666666668</v>
      </c>
      <c r="Q7" s="59">
        <f t="shared" ref="Q7:Q37" si="9">IF(OR(B7="Sun", N7="OFF", ISBLANK(N7)), 0, MAX(0, (IF(B7="Sat", 14/24, 20/24) - N7)*24))</f>
        <v>0</v>
      </c>
      <c r="R7" s="60">
        <v>90</v>
      </c>
      <c r="S7" s="61">
        <f t="shared" ref="S7:S37" si="10">R7*7.45</f>
        <v>670.5</v>
      </c>
      <c r="T7" s="61">
        <f t="shared" ref="T7:T37" si="11">IF(P7&gt;0, S7/P7, 0)</f>
        <v>52.934210526315788</v>
      </c>
      <c r="U7" s="61">
        <f t="shared" ref="U7:U37" si="12">S7 + (Q7*T7)</f>
        <v>670.5</v>
      </c>
      <c r="V7" s="62">
        <f t="shared" ref="V7:V37" si="13">Q7*T7</f>
        <v>0</v>
      </c>
      <c r="W7" s="58">
        <v>0.30555555555555558</v>
      </c>
      <c r="X7" s="58">
        <v>0.77083333333333337</v>
      </c>
      <c r="Y7" s="59">
        <f t="shared" ref="Y7:Y37" si="14">IF(B7="Sun", 0, IF(B7="Sat", 6, 12))</f>
        <v>12</v>
      </c>
      <c r="Z7" s="59">
        <f t="shared" ref="Z7:Z37" si="15">IF(OR(X7="OFF", ISBLANK(X7)), 0, (X7 - W7)*24)</f>
        <v>11.166666666666668</v>
      </c>
      <c r="AA7" s="59">
        <f t="shared" ref="AA7:AA37" si="16">IF(OR(B7="Sun", X7="OFF", ISBLANK(X7)), 0, MAX(0, (IF(B7="Sat", 14/24, 20/24) - X7)*24))</f>
        <v>1.5</v>
      </c>
      <c r="AB7" s="60">
        <v>89</v>
      </c>
      <c r="AC7" s="61">
        <f t="shared" ref="AC7:AC37" si="17">AB7*7.45</f>
        <v>663.05000000000007</v>
      </c>
      <c r="AD7" s="61">
        <f t="shared" ref="AD7:AD37" si="18">IF(Z7&gt;0, AC7/Z7, 0)</f>
        <v>59.377611940298507</v>
      </c>
      <c r="AE7" s="61">
        <f t="shared" ref="AE7:AE37" si="19">AC7 + (AA7*AD7)</f>
        <v>752.11641791044781</v>
      </c>
      <c r="AF7" s="62">
        <f t="shared" ref="AF7:AF37" si="20">AA7*AD7</f>
        <v>89.066417910447768</v>
      </c>
      <c r="AG7" s="58">
        <v>0.30555555555555558</v>
      </c>
      <c r="AH7" s="58">
        <v>0.77777777777777779</v>
      </c>
      <c r="AI7" s="59">
        <f t="shared" ref="AI7:AI37" si="21">IF(B7="Sun", 0, IF(B7="Sat", 6, 12))</f>
        <v>12</v>
      </c>
      <c r="AJ7" s="59">
        <f t="shared" ref="AJ7:AJ37" si="22">IF(OR(AH7="OFF", ISBLANK(AH7)), 0, (AH7 - AG7)*24)</f>
        <v>11.333333333333332</v>
      </c>
      <c r="AK7" s="59">
        <f t="shared" ref="AK7:AK37" si="23">IF(OR(B7="Sun", AH7="OFF", ISBLANK(AH7)), 0, MAX(0, (IF(B7="Sat", 14/24, 20/24) - AH7)*24))</f>
        <v>1.3333333333333339</v>
      </c>
      <c r="AL7" s="60">
        <v>103</v>
      </c>
      <c r="AM7" s="61">
        <f t="shared" ref="AM7:AM37" si="24">AL7*7.45</f>
        <v>767.35</v>
      </c>
      <c r="AN7" s="61">
        <f t="shared" ref="AN7:AN37" si="25">IF(AJ7&gt;0, AM7/AJ7, 0)</f>
        <v>67.707352941176481</v>
      </c>
      <c r="AO7" s="61">
        <f t="shared" ref="AO7:AO37" si="26">AM7 + (AK7*AN7)</f>
        <v>857.62647058823541</v>
      </c>
      <c r="AP7" s="62">
        <f t="shared" ref="AP7:AP37" si="27">AK7*AN7</f>
        <v>90.276470588235341</v>
      </c>
      <c r="AQ7" s="59">
        <f t="shared" ref="AQ7:AQ37" si="28">E7+O7+Y7+AI7</f>
        <v>48</v>
      </c>
      <c r="AR7" s="59">
        <f t="shared" ref="AR7:AR37" si="29">F7+P7+Z7+AJ7</f>
        <v>47.833333333333329</v>
      </c>
      <c r="AS7" s="63">
        <f t="shared" ref="AS7:AS37" si="30">G7+Q7+AA7+AK7</f>
        <v>2.8333333333333339</v>
      </c>
      <c r="AT7" s="60">
        <f t="shared" ref="AT7:AT37" si="31">H7+R7+AB7+AL7</f>
        <v>389</v>
      </c>
      <c r="AU7" s="61">
        <f t="shared" ref="AU7:AU37" si="32">AT7*7.45</f>
        <v>2898.05</v>
      </c>
      <c r="AV7" s="62">
        <f t="shared" ref="AV7:AV37" si="33">I7+S7+AC7+AM7</f>
        <v>2898.05</v>
      </c>
      <c r="AW7" s="61">
        <f t="shared" ref="AW7:AW37" si="34">K7+U7+AE7+AO7</f>
        <v>3077.3928884986831</v>
      </c>
      <c r="AX7" s="62">
        <f t="shared" ref="AX7:AX37" si="35">L7+V7+AF7+AP7</f>
        <v>179.34288849868312</v>
      </c>
      <c r="AY7" s="64">
        <f t="shared" ref="AY7:AY37" si="36">IF(AW7&gt;0, AX7/AW7, 0)</f>
        <v>5.8277540436566154E-2</v>
      </c>
    </row>
    <row r="8" spans="1:51" x14ac:dyDescent="0.35">
      <c r="A8" s="65">
        <v>46205</v>
      </c>
      <c r="B8" s="66" t="s">
        <v>81</v>
      </c>
      <c r="C8" s="73">
        <v>0.27083333333333331</v>
      </c>
      <c r="D8" s="73">
        <v>0.80555555555555558</v>
      </c>
      <c r="E8" s="67">
        <f t="shared" si="0"/>
        <v>12</v>
      </c>
      <c r="F8" s="67">
        <f t="shared" si="1"/>
        <v>12.833333333333336</v>
      </c>
      <c r="G8" s="67">
        <f t="shared" si="2"/>
        <v>0.66666666666666696</v>
      </c>
      <c r="H8" s="68">
        <v>98</v>
      </c>
      <c r="I8" s="69">
        <f t="shared" si="3"/>
        <v>730.1</v>
      </c>
      <c r="J8" s="69">
        <f t="shared" si="4"/>
        <v>56.890909090909084</v>
      </c>
      <c r="K8" s="69">
        <f t="shared" si="5"/>
        <v>768.0272727272727</v>
      </c>
      <c r="L8" s="70">
        <f t="shared" si="6"/>
        <v>37.927272727272737</v>
      </c>
      <c r="M8" s="73">
        <v>0.27083333333333331</v>
      </c>
      <c r="N8" s="73">
        <v>0.80555555555555558</v>
      </c>
      <c r="O8" s="67">
        <f t="shared" si="7"/>
        <v>12</v>
      </c>
      <c r="P8" s="67">
        <f t="shared" si="8"/>
        <v>12.833333333333336</v>
      </c>
      <c r="Q8" s="67">
        <f t="shared" si="9"/>
        <v>0.66666666666666696</v>
      </c>
      <c r="R8" s="68">
        <v>75</v>
      </c>
      <c r="S8" s="69">
        <f t="shared" si="10"/>
        <v>558.75</v>
      </c>
      <c r="T8" s="69">
        <f t="shared" si="11"/>
        <v>43.538961038961034</v>
      </c>
      <c r="U8" s="69">
        <f t="shared" si="12"/>
        <v>587.77597402597405</v>
      </c>
      <c r="V8" s="70">
        <f t="shared" si="13"/>
        <v>29.025974025974037</v>
      </c>
      <c r="W8" s="73">
        <v>0.27083333333333331</v>
      </c>
      <c r="X8" s="73">
        <v>0.74305555555555558</v>
      </c>
      <c r="Y8" s="67">
        <f t="shared" si="14"/>
        <v>12</v>
      </c>
      <c r="Z8" s="67">
        <f t="shared" si="15"/>
        <v>11.333333333333334</v>
      </c>
      <c r="AA8" s="67">
        <f t="shared" si="16"/>
        <v>2.166666666666667</v>
      </c>
      <c r="AB8" s="68">
        <v>88</v>
      </c>
      <c r="AC8" s="69">
        <f t="shared" si="17"/>
        <v>655.6</v>
      </c>
      <c r="AD8" s="69">
        <f t="shared" si="18"/>
        <v>57.847058823529409</v>
      </c>
      <c r="AE8" s="69">
        <f t="shared" si="19"/>
        <v>780.93529411764712</v>
      </c>
      <c r="AF8" s="70">
        <f t="shared" si="20"/>
        <v>125.33529411764707</v>
      </c>
      <c r="AG8" s="73">
        <v>0.27083333333333331</v>
      </c>
      <c r="AH8" s="73">
        <v>0.74305555555555558</v>
      </c>
      <c r="AI8" s="67">
        <f t="shared" si="21"/>
        <v>12</v>
      </c>
      <c r="AJ8" s="67">
        <f t="shared" si="22"/>
        <v>11.333333333333334</v>
      </c>
      <c r="AK8" s="67">
        <f t="shared" si="23"/>
        <v>2.166666666666667</v>
      </c>
      <c r="AL8" s="68">
        <v>97</v>
      </c>
      <c r="AM8" s="69">
        <f t="shared" si="24"/>
        <v>722.65</v>
      </c>
      <c r="AN8" s="69">
        <f t="shared" si="25"/>
        <v>63.763235294117642</v>
      </c>
      <c r="AO8" s="69">
        <f t="shared" si="26"/>
        <v>860.80367647058824</v>
      </c>
      <c r="AP8" s="70">
        <f t="shared" si="27"/>
        <v>138.15367647058824</v>
      </c>
      <c r="AQ8" s="67">
        <f t="shared" si="28"/>
        <v>48</v>
      </c>
      <c r="AR8" s="67">
        <f t="shared" si="29"/>
        <v>48.333333333333343</v>
      </c>
      <c r="AS8" s="71">
        <f t="shared" si="30"/>
        <v>5.6666666666666679</v>
      </c>
      <c r="AT8" s="68">
        <f t="shared" si="31"/>
        <v>358</v>
      </c>
      <c r="AU8" s="69">
        <f t="shared" si="32"/>
        <v>2667.1</v>
      </c>
      <c r="AV8" s="70">
        <f t="shared" si="33"/>
        <v>2667.1</v>
      </c>
      <c r="AW8" s="69">
        <f t="shared" si="34"/>
        <v>2997.5422173414818</v>
      </c>
      <c r="AX8" s="70">
        <f t="shared" si="35"/>
        <v>330.44221734148209</v>
      </c>
      <c r="AY8" s="72">
        <f t="shared" si="36"/>
        <v>0.11023771923204173</v>
      </c>
    </row>
    <row r="9" spans="1:51" x14ac:dyDescent="0.35">
      <c r="A9" s="56">
        <v>46206</v>
      </c>
      <c r="B9" s="57" t="s">
        <v>75</v>
      </c>
      <c r="C9" s="58">
        <v>0.30694444444444452</v>
      </c>
      <c r="D9" s="58">
        <v>0.7729166666666667</v>
      </c>
      <c r="E9" s="59">
        <f t="shared" si="0"/>
        <v>12</v>
      </c>
      <c r="F9" s="59">
        <f t="shared" si="1"/>
        <v>11.183333333333332</v>
      </c>
      <c r="G9" s="59">
        <f t="shared" si="2"/>
        <v>1.4500000000000002</v>
      </c>
      <c r="H9" s="60">
        <v>87</v>
      </c>
      <c r="I9" s="61">
        <f t="shared" si="3"/>
        <v>648.15</v>
      </c>
      <c r="J9" s="61">
        <f t="shared" si="4"/>
        <v>57.956780923994046</v>
      </c>
      <c r="K9" s="61">
        <f t="shared" si="5"/>
        <v>732.1873323397914</v>
      </c>
      <c r="L9" s="62">
        <f t="shared" si="6"/>
        <v>84.037332339791377</v>
      </c>
      <c r="M9" s="58">
        <v>0.30694444444444452</v>
      </c>
      <c r="N9" s="58">
        <v>0.82499999999999996</v>
      </c>
      <c r="O9" s="59">
        <f t="shared" si="7"/>
        <v>12</v>
      </c>
      <c r="P9" s="59">
        <f t="shared" si="8"/>
        <v>12.433333333333332</v>
      </c>
      <c r="Q9" s="59">
        <f t="shared" si="9"/>
        <v>0.20000000000000195</v>
      </c>
      <c r="R9" s="60">
        <v>60</v>
      </c>
      <c r="S9" s="61">
        <f t="shared" si="10"/>
        <v>447</v>
      </c>
      <c r="T9" s="61">
        <f t="shared" si="11"/>
        <v>35.951742627345851</v>
      </c>
      <c r="U9" s="61">
        <f t="shared" si="12"/>
        <v>454.19034852546923</v>
      </c>
      <c r="V9" s="62">
        <f t="shared" si="13"/>
        <v>7.1903485254692407</v>
      </c>
      <c r="W9" s="58">
        <v>0.30694444444444452</v>
      </c>
      <c r="X9" s="58">
        <v>0.7729166666666667</v>
      </c>
      <c r="Y9" s="59">
        <f t="shared" si="14"/>
        <v>12</v>
      </c>
      <c r="Z9" s="59">
        <f t="shared" si="15"/>
        <v>11.183333333333332</v>
      </c>
      <c r="AA9" s="59">
        <f t="shared" si="16"/>
        <v>1.4500000000000002</v>
      </c>
      <c r="AB9" s="60">
        <v>102</v>
      </c>
      <c r="AC9" s="61">
        <f t="shared" si="17"/>
        <v>759.9</v>
      </c>
      <c r="AD9" s="61">
        <f t="shared" si="18"/>
        <v>67.949329359165432</v>
      </c>
      <c r="AE9" s="61">
        <f t="shared" si="19"/>
        <v>858.42652757078986</v>
      </c>
      <c r="AF9" s="62">
        <f t="shared" si="20"/>
        <v>98.526527570789895</v>
      </c>
      <c r="AG9" s="58">
        <v>0.30694444444444452</v>
      </c>
      <c r="AH9" s="58">
        <v>0.7729166666666667</v>
      </c>
      <c r="AI9" s="59">
        <f t="shared" si="21"/>
        <v>12</v>
      </c>
      <c r="AJ9" s="59">
        <f t="shared" si="22"/>
        <v>11.183333333333332</v>
      </c>
      <c r="AK9" s="59">
        <f t="shared" si="23"/>
        <v>1.4500000000000002</v>
      </c>
      <c r="AL9" s="60">
        <v>97</v>
      </c>
      <c r="AM9" s="61">
        <f t="shared" si="24"/>
        <v>722.65</v>
      </c>
      <c r="AN9" s="61">
        <f t="shared" si="25"/>
        <v>64.61847988077497</v>
      </c>
      <c r="AO9" s="61">
        <f t="shared" si="26"/>
        <v>816.34679582712374</v>
      </c>
      <c r="AP9" s="62">
        <f t="shared" si="27"/>
        <v>93.696795827123722</v>
      </c>
      <c r="AQ9" s="59">
        <f t="shared" si="28"/>
        <v>48</v>
      </c>
      <c r="AR9" s="59">
        <f t="shared" si="29"/>
        <v>45.983333333333327</v>
      </c>
      <c r="AS9" s="63">
        <f t="shared" si="30"/>
        <v>4.5500000000000025</v>
      </c>
      <c r="AT9" s="60">
        <f t="shared" si="31"/>
        <v>346</v>
      </c>
      <c r="AU9" s="61">
        <f t="shared" si="32"/>
        <v>2577.7000000000003</v>
      </c>
      <c r="AV9" s="62">
        <f t="shared" si="33"/>
        <v>2577.7000000000003</v>
      </c>
      <c r="AW9" s="61">
        <f t="shared" si="34"/>
        <v>2861.1510042631744</v>
      </c>
      <c r="AX9" s="62">
        <f t="shared" si="35"/>
        <v>283.45100426317424</v>
      </c>
      <c r="AY9" s="64">
        <f t="shared" si="36"/>
        <v>9.9068872576395434E-2</v>
      </c>
    </row>
    <row r="10" spans="1:51" x14ac:dyDescent="0.35">
      <c r="A10" s="65">
        <v>46207</v>
      </c>
      <c r="B10" s="66" t="s">
        <v>76</v>
      </c>
      <c r="C10" s="73">
        <v>0.31388888888888888</v>
      </c>
      <c r="D10" s="73">
        <v>0.58333333333333337</v>
      </c>
      <c r="E10" s="67">
        <f t="shared" si="0"/>
        <v>6</v>
      </c>
      <c r="F10" s="67">
        <f t="shared" si="1"/>
        <v>6.4666666666666677</v>
      </c>
      <c r="G10" s="67">
        <f t="shared" si="2"/>
        <v>0</v>
      </c>
      <c r="H10" s="68">
        <v>46</v>
      </c>
      <c r="I10" s="69">
        <f t="shared" si="3"/>
        <v>342.7</v>
      </c>
      <c r="J10" s="69">
        <f t="shared" si="4"/>
        <v>52.994845360824733</v>
      </c>
      <c r="K10" s="69">
        <f t="shared" si="5"/>
        <v>342.7</v>
      </c>
      <c r="L10" s="70">
        <f t="shared" si="6"/>
        <v>0</v>
      </c>
      <c r="M10" s="73">
        <v>0.31388888888888888</v>
      </c>
      <c r="N10" s="73">
        <v>0.58333333333333337</v>
      </c>
      <c r="O10" s="67">
        <f t="shared" si="7"/>
        <v>6</v>
      </c>
      <c r="P10" s="67">
        <f t="shared" si="8"/>
        <v>6.4666666666666677</v>
      </c>
      <c r="Q10" s="67">
        <f t="shared" si="9"/>
        <v>0</v>
      </c>
      <c r="R10" s="68">
        <v>29</v>
      </c>
      <c r="S10" s="69">
        <f t="shared" si="10"/>
        <v>216.05</v>
      </c>
      <c r="T10" s="69">
        <f t="shared" si="11"/>
        <v>33.409793814432987</v>
      </c>
      <c r="U10" s="69">
        <f t="shared" si="12"/>
        <v>216.05</v>
      </c>
      <c r="V10" s="70">
        <f t="shared" si="13"/>
        <v>0</v>
      </c>
      <c r="W10" s="73">
        <v>0.31388888888888888</v>
      </c>
      <c r="X10" s="73">
        <v>0.58333333333333337</v>
      </c>
      <c r="Y10" s="67">
        <f t="shared" si="14"/>
        <v>6</v>
      </c>
      <c r="Z10" s="67">
        <f t="shared" si="15"/>
        <v>6.4666666666666677</v>
      </c>
      <c r="AA10" s="67">
        <f t="shared" si="16"/>
        <v>0</v>
      </c>
      <c r="AB10" s="68">
        <v>55</v>
      </c>
      <c r="AC10" s="69">
        <f t="shared" si="17"/>
        <v>409.75</v>
      </c>
      <c r="AD10" s="69">
        <f t="shared" si="18"/>
        <v>63.363402061855659</v>
      </c>
      <c r="AE10" s="69">
        <f t="shared" si="19"/>
        <v>409.75</v>
      </c>
      <c r="AF10" s="70">
        <f t="shared" si="20"/>
        <v>0</v>
      </c>
      <c r="AG10" s="73">
        <v>0.31388888888888888</v>
      </c>
      <c r="AH10" s="73">
        <v>0.58333333333333337</v>
      </c>
      <c r="AI10" s="67">
        <f t="shared" si="21"/>
        <v>6</v>
      </c>
      <c r="AJ10" s="67">
        <f t="shared" si="22"/>
        <v>6.4666666666666677</v>
      </c>
      <c r="AK10" s="67">
        <f t="shared" si="23"/>
        <v>0</v>
      </c>
      <c r="AL10" s="68">
        <v>57</v>
      </c>
      <c r="AM10" s="69">
        <f t="shared" si="24"/>
        <v>424.65000000000003</v>
      </c>
      <c r="AN10" s="69">
        <f t="shared" si="25"/>
        <v>65.667525773195877</v>
      </c>
      <c r="AO10" s="69">
        <f t="shared" si="26"/>
        <v>424.65000000000003</v>
      </c>
      <c r="AP10" s="70">
        <f t="shared" si="27"/>
        <v>0</v>
      </c>
      <c r="AQ10" s="67">
        <f t="shared" si="28"/>
        <v>24</v>
      </c>
      <c r="AR10" s="67">
        <f t="shared" si="29"/>
        <v>25.866666666666671</v>
      </c>
      <c r="AS10" s="71">
        <f t="shared" si="30"/>
        <v>0</v>
      </c>
      <c r="AT10" s="68">
        <f t="shared" si="31"/>
        <v>187</v>
      </c>
      <c r="AU10" s="69">
        <f t="shared" si="32"/>
        <v>1393.15</v>
      </c>
      <c r="AV10" s="70">
        <f t="shared" si="33"/>
        <v>1393.15</v>
      </c>
      <c r="AW10" s="69">
        <f t="shared" si="34"/>
        <v>1393.15</v>
      </c>
      <c r="AX10" s="70">
        <f t="shared" si="35"/>
        <v>0</v>
      </c>
      <c r="AY10" s="72">
        <f t="shared" si="36"/>
        <v>0</v>
      </c>
    </row>
    <row r="11" spans="1:51" x14ac:dyDescent="0.35">
      <c r="A11" s="56">
        <v>46208</v>
      </c>
      <c r="B11" s="57" t="s">
        <v>77</v>
      </c>
      <c r="C11" s="57" t="s">
        <v>82</v>
      </c>
      <c r="D11" s="57" t="s">
        <v>82</v>
      </c>
      <c r="E11" s="59">
        <f t="shared" si="0"/>
        <v>0</v>
      </c>
      <c r="F11" s="59">
        <f t="shared" si="1"/>
        <v>0</v>
      </c>
      <c r="G11" s="59">
        <f t="shared" si="2"/>
        <v>0</v>
      </c>
      <c r="H11" s="60">
        <v>0</v>
      </c>
      <c r="I11" s="61">
        <f t="shared" si="3"/>
        <v>0</v>
      </c>
      <c r="J11" s="61">
        <f t="shared" si="4"/>
        <v>0</v>
      </c>
      <c r="K11" s="61">
        <f t="shared" si="5"/>
        <v>0</v>
      </c>
      <c r="L11" s="62">
        <f t="shared" si="6"/>
        <v>0</v>
      </c>
      <c r="M11" s="57" t="s">
        <v>82</v>
      </c>
      <c r="N11" s="57" t="s">
        <v>82</v>
      </c>
      <c r="O11" s="59">
        <f t="shared" si="7"/>
        <v>0</v>
      </c>
      <c r="P11" s="59">
        <f t="shared" si="8"/>
        <v>0</v>
      </c>
      <c r="Q11" s="59">
        <f t="shared" si="9"/>
        <v>0</v>
      </c>
      <c r="R11" s="60">
        <v>0</v>
      </c>
      <c r="S11" s="61">
        <f t="shared" si="10"/>
        <v>0</v>
      </c>
      <c r="T11" s="61">
        <f t="shared" si="11"/>
        <v>0</v>
      </c>
      <c r="U11" s="61">
        <f t="shared" si="12"/>
        <v>0</v>
      </c>
      <c r="V11" s="62">
        <f t="shared" si="13"/>
        <v>0</v>
      </c>
      <c r="W11" s="57" t="s">
        <v>82</v>
      </c>
      <c r="X11" s="57" t="s">
        <v>82</v>
      </c>
      <c r="Y11" s="59">
        <f t="shared" si="14"/>
        <v>0</v>
      </c>
      <c r="Z11" s="59">
        <f t="shared" si="15"/>
        <v>0</v>
      </c>
      <c r="AA11" s="59">
        <f t="shared" si="16"/>
        <v>0</v>
      </c>
      <c r="AB11" s="60">
        <v>0</v>
      </c>
      <c r="AC11" s="61">
        <f t="shared" si="17"/>
        <v>0</v>
      </c>
      <c r="AD11" s="61">
        <f t="shared" si="18"/>
        <v>0</v>
      </c>
      <c r="AE11" s="61">
        <f t="shared" si="19"/>
        <v>0</v>
      </c>
      <c r="AF11" s="62">
        <f t="shared" si="20"/>
        <v>0</v>
      </c>
      <c r="AG11" s="57" t="s">
        <v>82</v>
      </c>
      <c r="AH11" s="57" t="s">
        <v>82</v>
      </c>
      <c r="AI11" s="59">
        <f t="shared" si="21"/>
        <v>0</v>
      </c>
      <c r="AJ11" s="59">
        <f t="shared" si="22"/>
        <v>0</v>
      </c>
      <c r="AK11" s="59">
        <f t="shared" si="23"/>
        <v>0</v>
      </c>
      <c r="AL11" s="60">
        <v>0</v>
      </c>
      <c r="AM11" s="61">
        <f t="shared" si="24"/>
        <v>0</v>
      </c>
      <c r="AN11" s="61">
        <f t="shared" si="25"/>
        <v>0</v>
      </c>
      <c r="AO11" s="61">
        <f t="shared" si="26"/>
        <v>0</v>
      </c>
      <c r="AP11" s="62">
        <f t="shared" si="27"/>
        <v>0</v>
      </c>
      <c r="AQ11" s="59">
        <f t="shared" si="28"/>
        <v>0</v>
      </c>
      <c r="AR11" s="59">
        <f t="shared" si="29"/>
        <v>0</v>
      </c>
      <c r="AS11" s="63">
        <f t="shared" si="30"/>
        <v>0</v>
      </c>
      <c r="AT11" s="60">
        <f t="shared" si="31"/>
        <v>0</v>
      </c>
      <c r="AU11" s="61">
        <f t="shared" si="32"/>
        <v>0</v>
      </c>
      <c r="AV11" s="62">
        <f t="shared" si="33"/>
        <v>0</v>
      </c>
      <c r="AW11" s="61">
        <f t="shared" si="34"/>
        <v>0</v>
      </c>
      <c r="AX11" s="62">
        <f t="shared" si="35"/>
        <v>0</v>
      </c>
      <c r="AY11" s="64">
        <f t="shared" si="36"/>
        <v>0</v>
      </c>
    </row>
    <row r="12" spans="1:51" x14ac:dyDescent="0.35">
      <c r="A12" s="65">
        <v>46209</v>
      </c>
      <c r="B12" s="66" t="s">
        <v>78</v>
      </c>
      <c r="C12" s="73">
        <v>0.27083333333333331</v>
      </c>
      <c r="D12" s="73">
        <v>0.80069444444444449</v>
      </c>
      <c r="E12" s="67">
        <f t="shared" si="0"/>
        <v>12</v>
      </c>
      <c r="F12" s="67">
        <f t="shared" si="1"/>
        <v>12.716666666666667</v>
      </c>
      <c r="G12" s="67">
        <f t="shared" si="2"/>
        <v>0.78333333333333321</v>
      </c>
      <c r="H12" s="68">
        <v>108</v>
      </c>
      <c r="I12" s="69">
        <f t="shared" si="3"/>
        <v>804.6</v>
      </c>
      <c r="J12" s="69">
        <f t="shared" si="4"/>
        <v>63.271297509829623</v>
      </c>
      <c r="K12" s="69">
        <f t="shared" si="5"/>
        <v>854.16251638269989</v>
      </c>
      <c r="L12" s="70">
        <f t="shared" si="6"/>
        <v>49.562516382699862</v>
      </c>
      <c r="M12" s="73">
        <v>0.27083333333333331</v>
      </c>
      <c r="N12" s="73">
        <v>0.80069444444444449</v>
      </c>
      <c r="O12" s="67">
        <f t="shared" si="7"/>
        <v>12</v>
      </c>
      <c r="P12" s="67">
        <f t="shared" si="8"/>
        <v>12.716666666666667</v>
      </c>
      <c r="Q12" s="67">
        <f t="shared" si="9"/>
        <v>0.78333333333333321</v>
      </c>
      <c r="R12" s="68">
        <v>67</v>
      </c>
      <c r="S12" s="69">
        <f t="shared" si="10"/>
        <v>499.15000000000003</v>
      </c>
      <c r="T12" s="69">
        <f t="shared" si="11"/>
        <v>39.251638269986898</v>
      </c>
      <c r="U12" s="69">
        <f t="shared" si="12"/>
        <v>529.89711664482309</v>
      </c>
      <c r="V12" s="70">
        <f t="shared" si="13"/>
        <v>30.747116644823066</v>
      </c>
      <c r="W12" s="73">
        <v>0.27083333333333331</v>
      </c>
      <c r="X12" s="73">
        <v>0.77152777777777781</v>
      </c>
      <c r="Y12" s="67">
        <f t="shared" si="14"/>
        <v>12</v>
      </c>
      <c r="Z12" s="67">
        <f t="shared" si="15"/>
        <v>12.016666666666669</v>
      </c>
      <c r="AA12" s="67">
        <f t="shared" si="16"/>
        <v>1.4833333333333334</v>
      </c>
      <c r="AB12" s="68">
        <v>123</v>
      </c>
      <c r="AC12" s="69">
        <f t="shared" si="17"/>
        <v>916.35</v>
      </c>
      <c r="AD12" s="69">
        <f t="shared" si="18"/>
        <v>76.256588072122042</v>
      </c>
      <c r="AE12" s="69">
        <f t="shared" si="19"/>
        <v>1029.4639389736478</v>
      </c>
      <c r="AF12" s="70">
        <f t="shared" si="20"/>
        <v>113.11393897364771</v>
      </c>
      <c r="AG12" s="73">
        <v>0.27083333333333331</v>
      </c>
      <c r="AH12" s="73">
        <v>0.77152777777777781</v>
      </c>
      <c r="AI12" s="67">
        <f t="shared" si="21"/>
        <v>12</v>
      </c>
      <c r="AJ12" s="67">
        <f t="shared" si="22"/>
        <v>12.016666666666669</v>
      </c>
      <c r="AK12" s="67">
        <f t="shared" si="23"/>
        <v>1.4833333333333334</v>
      </c>
      <c r="AL12" s="68">
        <v>112</v>
      </c>
      <c r="AM12" s="69">
        <f t="shared" si="24"/>
        <v>834.4</v>
      </c>
      <c r="AN12" s="69">
        <f t="shared" si="25"/>
        <v>69.436893203883471</v>
      </c>
      <c r="AO12" s="69">
        <f t="shared" si="26"/>
        <v>937.39805825242718</v>
      </c>
      <c r="AP12" s="70">
        <f t="shared" si="27"/>
        <v>102.99805825242716</v>
      </c>
      <c r="AQ12" s="67">
        <f t="shared" si="28"/>
        <v>48</v>
      </c>
      <c r="AR12" s="67">
        <f t="shared" si="29"/>
        <v>49.466666666666669</v>
      </c>
      <c r="AS12" s="71">
        <f t="shared" si="30"/>
        <v>4.5333333333333332</v>
      </c>
      <c r="AT12" s="68">
        <f t="shared" si="31"/>
        <v>410</v>
      </c>
      <c r="AU12" s="69">
        <f t="shared" si="32"/>
        <v>3054.5</v>
      </c>
      <c r="AV12" s="70">
        <f t="shared" si="33"/>
        <v>3054.5</v>
      </c>
      <c r="AW12" s="69">
        <f t="shared" si="34"/>
        <v>3350.9216302535979</v>
      </c>
      <c r="AX12" s="70">
        <f t="shared" si="35"/>
        <v>296.42163025359775</v>
      </c>
      <c r="AY12" s="72">
        <f t="shared" si="36"/>
        <v>8.8459732265109572E-2</v>
      </c>
    </row>
    <row r="13" spans="1:51" x14ac:dyDescent="0.35">
      <c r="A13" s="56">
        <v>46210</v>
      </c>
      <c r="B13" s="57" t="s">
        <v>79</v>
      </c>
      <c r="C13" s="58">
        <v>0.27777777777777779</v>
      </c>
      <c r="D13" s="58">
        <v>0.81597222222222221</v>
      </c>
      <c r="E13" s="59">
        <f t="shared" si="0"/>
        <v>12</v>
      </c>
      <c r="F13" s="59">
        <f t="shared" si="1"/>
        <v>12.916666666666666</v>
      </c>
      <c r="G13" s="59">
        <f t="shared" si="2"/>
        <v>0.41666666666666785</v>
      </c>
      <c r="H13" s="60">
        <v>103</v>
      </c>
      <c r="I13" s="61">
        <f t="shared" si="3"/>
        <v>767.35</v>
      </c>
      <c r="J13" s="61">
        <f t="shared" si="4"/>
        <v>59.407741935483877</v>
      </c>
      <c r="K13" s="61">
        <f t="shared" si="5"/>
        <v>792.10322580645175</v>
      </c>
      <c r="L13" s="62">
        <f t="shared" si="6"/>
        <v>24.753225806451685</v>
      </c>
      <c r="M13" s="58">
        <v>0.27777777777777779</v>
      </c>
      <c r="N13" s="58">
        <v>0.82638888888888884</v>
      </c>
      <c r="O13" s="59">
        <f t="shared" si="7"/>
        <v>12</v>
      </c>
      <c r="P13" s="59">
        <f t="shared" si="8"/>
        <v>13.166666666666664</v>
      </c>
      <c r="Q13" s="59">
        <f t="shared" si="9"/>
        <v>0.16666666666666874</v>
      </c>
      <c r="R13" s="60">
        <v>53</v>
      </c>
      <c r="S13" s="61">
        <f t="shared" si="10"/>
        <v>394.85</v>
      </c>
      <c r="T13" s="61">
        <f t="shared" si="11"/>
        <v>29.988607594936717</v>
      </c>
      <c r="U13" s="61">
        <f t="shared" si="12"/>
        <v>399.84810126582289</v>
      </c>
      <c r="V13" s="62">
        <f t="shared" si="13"/>
        <v>4.9981012658228483</v>
      </c>
      <c r="W13" s="58">
        <v>0.27777777777777779</v>
      </c>
      <c r="X13" s="58">
        <v>0.81597222222222221</v>
      </c>
      <c r="Y13" s="59">
        <f t="shared" si="14"/>
        <v>12</v>
      </c>
      <c r="Z13" s="59">
        <f t="shared" si="15"/>
        <v>12.916666666666666</v>
      </c>
      <c r="AA13" s="59">
        <f t="shared" si="16"/>
        <v>0.41666666666666785</v>
      </c>
      <c r="AB13" s="60">
        <v>110</v>
      </c>
      <c r="AC13" s="61">
        <f t="shared" si="17"/>
        <v>819.5</v>
      </c>
      <c r="AD13" s="61">
        <f t="shared" si="18"/>
        <v>63.445161290322581</v>
      </c>
      <c r="AE13" s="61">
        <f t="shared" si="19"/>
        <v>845.9354838709678</v>
      </c>
      <c r="AF13" s="62">
        <f t="shared" si="20"/>
        <v>26.435483870967818</v>
      </c>
      <c r="AG13" s="58">
        <v>0.27777777777777779</v>
      </c>
      <c r="AH13" s="58">
        <v>0.81597222222222221</v>
      </c>
      <c r="AI13" s="59">
        <f t="shared" si="21"/>
        <v>12</v>
      </c>
      <c r="AJ13" s="59">
        <f t="shared" si="22"/>
        <v>12.916666666666666</v>
      </c>
      <c r="AK13" s="59">
        <f t="shared" si="23"/>
        <v>0.41666666666666785</v>
      </c>
      <c r="AL13" s="60">
        <v>107</v>
      </c>
      <c r="AM13" s="61">
        <f t="shared" si="24"/>
        <v>797.15</v>
      </c>
      <c r="AN13" s="61">
        <f t="shared" si="25"/>
        <v>61.714838709677423</v>
      </c>
      <c r="AO13" s="61">
        <f t="shared" si="26"/>
        <v>822.86451612903227</v>
      </c>
      <c r="AP13" s="62">
        <f t="shared" si="27"/>
        <v>25.714516129032333</v>
      </c>
      <c r="AQ13" s="59">
        <f t="shared" si="28"/>
        <v>48</v>
      </c>
      <c r="AR13" s="59">
        <f t="shared" si="29"/>
        <v>51.916666666666657</v>
      </c>
      <c r="AS13" s="63">
        <f t="shared" si="30"/>
        <v>1.4166666666666723</v>
      </c>
      <c r="AT13" s="60">
        <f t="shared" si="31"/>
        <v>373</v>
      </c>
      <c r="AU13" s="61">
        <f t="shared" si="32"/>
        <v>2778.85</v>
      </c>
      <c r="AV13" s="62">
        <f t="shared" si="33"/>
        <v>2778.85</v>
      </c>
      <c r="AW13" s="61">
        <f t="shared" si="34"/>
        <v>2860.7513270722748</v>
      </c>
      <c r="AX13" s="62">
        <f t="shared" si="35"/>
        <v>81.901327072274682</v>
      </c>
      <c r="AY13" s="64">
        <f t="shared" si="36"/>
        <v>2.8629306678009454E-2</v>
      </c>
    </row>
    <row r="14" spans="1:51" x14ac:dyDescent="0.35">
      <c r="A14" s="65">
        <v>46211</v>
      </c>
      <c r="B14" s="66" t="s">
        <v>80</v>
      </c>
      <c r="C14" s="73">
        <v>0.29166666666666669</v>
      </c>
      <c r="D14" s="73">
        <v>0.81944444444444442</v>
      </c>
      <c r="E14" s="67">
        <f t="shared" si="0"/>
        <v>12</v>
      </c>
      <c r="F14" s="67">
        <f t="shared" si="1"/>
        <v>12.666666666666664</v>
      </c>
      <c r="G14" s="67">
        <f t="shared" si="2"/>
        <v>0.33333333333333481</v>
      </c>
      <c r="H14" s="68">
        <v>92</v>
      </c>
      <c r="I14" s="69">
        <f t="shared" si="3"/>
        <v>685.4</v>
      </c>
      <c r="J14" s="69">
        <f t="shared" si="4"/>
        <v>54.110526315789485</v>
      </c>
      <c r="K14" s="69">
        <f t="shared" si="5"/>
        <v>703.43684210526317</v>
      </c>
      <c r="L14" s="70">
        <f t="shared" si="6"/>
        <v>18.036842105263243</v>
      </c>
      <c r="M14" s="73">
        <v>0.29166666666666669</v>
      </c>
      <c r="N14" s="73">
        <v>0.81944444444444442</v>
      </c>
      <c r="O14" s="67">
        <f t="shared" si="7"/>
        <v>12</v>
      </c>
      <c r="P14" s="67">
        <f t="shared" si="8"/>
        <v>12.666666666666664</v>
      </c>
      <c r="Q14" s="67">
        <f t="shared" si="9"/>
        <v>0.33333333333333481</v>
      </c>
      <c r="R14" s="68">
        <v>50</v>
      </c>
      <c r="S14" s="69">
        <f t="shared" si="10"/>
        <v>372.5</v>
      </c>
      <c r="T14" s="69">
        <f t="shared" si="11"/>
        <v>29.40789473684211</v>
      </c>
      <c r="U14" s="69">
        <f t="shared" si="12"/>
        <v>382.3026315789474</v>
      </c>
      <c r="V14" s="70">
        <f t="shared" si="13"/>
        <v>9.8026315789474143</v>
      </c>
      <c r="W14" s="73">
        <v>0.29166666666666669</v>
      </c>
      <c r="X14" s="73">
        <v>0.75</v>
      </c>
      <c r="Y14" s="67">
        <f t="shared" si="14"/>
        <v>12</v>
      </c>
      <c r="Z14" s="67">
        <f t="shared" si="15"/>
        <v>11</v>
      </c>
      <c r="AA14" s="67">
        <f t="shared" si="16"/>
        <v>2.0000000000000009</v>
      </c>
      <c r="AB14" s="68">
        <v>105</v>
      </c>
      <c r="AC14" s="69">
        <f t="shared" si="17"/>
        <v>782.25</v>
      </c>
      <c r="AD14" s="69">
        <f t="shared" si="18"/>
        <v>71.11363636363636</v>
      </c>
      <c r="AE14" s="69">
        <f t="shared" si="19"/>
        <v>924.47727272727275</v>
      </c>
      <c r="AF14" s="70">
        <f t="shared" si="20"/>
        <v>142.22727272727278</v>
      </c>
      <c r="AG14" s="73">
        <v>0.30972222222222218</v>
      </c>
      <c r="AH14" s="73">
        <v>0.75</v>
      </c>
      <c r="AI14" s="67">
        <f t="shared" si="21"/>
        <v>12</v>
      </c>
      <c r="AJ14" s="67">
        <f t="shared" si="22"/>
        <v>10.566666666666668</v>
      </c>
      <c r="AK14" s="67">
        <f t="shared" si="23"/>
        <v>2.0000000000000009</v>
      </c>
      <c r="AL14" s="68">
        <v>104</v>
      </c>
      <c r="AM14" s="69">
        <f t="shared" si="24"/>
        <v>774.80000000000007</v>
      </c>
      <c r="AN14" s="69">
        <f t="shared" si="25"/>
        <v>73.32492113564669</v>
      </c>
      <c r="AO14" s="69">
        <f t="shared" si="26"/>
        <v>921.44984227129351</v>
      </c>
      <c r="AP14" s="70">
        <f t="shared" si="27"/>
        <v>146.64984227129344</v>
      </c>
      <c r="AQ14" s="67">
        <f t="shared" si="28"/>
        <v>48</v>
      </c>
      <c r="AR14" s="67">
        <f t="shared" si="29"/>
        <v>46.9</v>
      </c>
      <c r="AS14" s="71">
        <f t="shared" si="30"/>
        <v>4.6666666666666714</v>
      </c>
      <c r="AT14" s="68">
        <f t="shared" si="31"/>
        <v>351</v>
      </c>
      <c r="AU14" s="69">
        <f t="shared" si="32"/>
        <v>2614.9500000000003</v>
      </c>
      <c r="AV14" s="70">
        <f t="shared" si="33"/>
        <v>2614.9500000000003</v>
      </c>
      <c r="AW14" s="69">
        <f t="shared" si="34"/>
        <v>2931.6665886827768</v>
      </c>
      <c r="AX14" s="70">
        <f t="shared" si="35"/>
        <v>316.71658868277689</v>
      </c>
      <c r="AY14" s="72">
        <f t="shared" si="36"/>
        <v>0.1080329495534758</v>
      </c>
    </row>
    <row r="15" spans="1:51" x14ac:dyDescent="0.35">
      <c r="A15" s="56">
        <v>46212</v>
      </c>
      <c r="B15" s="57" t="s">
        <v>81</v>
      </c>
      <c r="C15" s="58">
        <v>0.3263888888888889</v>
      </c>
      <c r="D15" s="58">
        <v>0.83333333333333337</v>
      </c>
      <c r="E15" s="59">
        <f t="shared" si="0"/>
        <v>12</v>
      </c>
      <c r="F15" s="59">
        <f t="shared" si="1"/>
        <v>12.166666666666666</v>
      </c>
      <c r="G15" s="59">
        <f t="shared" si="2"/>
        <v>0</v>
      </c>
      <c r="H15" s="60">
        <v>97</v>
      </c>
      <c r="I15" s="61">
        <f t="shared" si="3"/>
        <v>722.65</v>
      </c>
      <c r="J15" s="61">
        <f t="shared" si="4"/>
        <v>59.395890410958906</v>
      </c>
      <c r="K15" s="61">
        <f t="shared" si="5"/>
        <v>722.65</v>
      </c>
      <c r="L15" s="62">
        <f t="shared" si="6"/>
        <v>0</v>
      </c>
      <c r="M15" s="58">
        <v>0.3263888888888889</v>
      </c>
      <c r="N15" s="58">
        <v>0.83333333333333337</v>
      </c>
      <c r="O15" s="59">
        <f t="shared" si="7"/>
        <v>12</v>
      </c>
      <c r="P15" s="59">
        <f t="shared" si="8"/>
        <v>12.166666666666666</v>
      </c>
      <c r="Q15" s="59">
        <f t="shared" si="9"/>
        <v>0</v>
      </c>
      <c r="R15" s="60">
        <v>47</v>
      </c>
      <c r="S15" s="61">
        <f t="shared" si="10"/>
        <v>350.15000000000003</v>
      </c>
      <c r="T15" s="61">
        <f t="shared" si="11"/>
        <v>28.779452054794525</v>
      </c>
      <c r="U15" s="61">
        <f t="shared" si="12"/>
        <v>350.15000000000003</v>
      </c>
      <c r="V15" s="62">
        <f t="shared" si="13"/>
        <v>0</v>
      </c>
      <c r="W15" s="58">
        <v>0.3263888888888889</v>
      </c>
      <c r="X15" s="58">
        <v>0.75</v>
      </c>
      <c r="Y15" s="59">
        <f t="shared" si="14"/>
        <v>12</v>
      </c>
      <c r="Z15" s="59">
        <f t="shared" si="15"/>
        <v>10.166666666666666</v>
      </c>
      <c r="AA15" s="59">
        <f t="shared" si="16"/>
        <v>2.0000000000000009</v>
      </c>
      <c r="AB15" s="60">
        <v>79</v>
      </c>
      <c r="AC15" s="61">
        <f t="shared" si="17"/>
        <v>588.55000000000007</v>
      </c>
      <c r="AD15" s="61">
        <f t="shared" si="18"/>
        <v>57.890163934426241</v>
      </c>
      <c r="AE15" s="61">
        <f t="shared" si="19"/>
        <v>704.33032786885258</v>
      </c>
      <c r="AF15" s="62">
        <f t="shared" si="20"/>
        <v>115.78032786885254</v>
      </c>
      <c r="AG15" s="58">
        <v>0.3263888888888889</v>
      </c>
      <c r="AH15" s="58">
        <v>0.75</v>
      </c>
      <c r="AI15" s="59">
        <f t="shared" si="21"/>
        <v>12</v>
      </c>
      <c r="AJ15" s="59">
        <f t="shared" si="22"/>
        <v>10.166666666666666</v>
      </c>
      <c r="AK15" s="59">
        <f t="shared" si="23"/>
        <v>2.0000000000000009</v>
      </c>
      <c r="AL15" s="60">
        <v>87</v>
      </c>
      <c r="AM15" s="61">
        <f t="shared" si="24"/>
        <v>648.15</v>
      </c>
      <c r="AN15" s="61">
        <f t="shared" si="25"/>
        <v>63.752459016393445</v>
      </c>
      <c r="AO15" s="61">
        <f t="shared" si="26"/>
        <v>775.6549180327869</v>
      </c>
      <c r="AP15" s="62">
        <f t="shared" si="27"/>
        <v>127.50491803278695</v>
      </c>
      <c r="AQ15" s="59">
        <f t="shared" si="28"/>
        <v>48</v>
      </c>
      <c r="AR15" s="59">
        <f t="shared" si="29"/>
        <v>44.666666666666664</v>
      </c>
      <c r="AS15" s="63">
        <f t="shared" si="30"/>
        <v>4.0000000000000018</v>
      </c>
      <c r="AT15" s="60">
        <f t="shared" si="31"/>
        <v>310</v>
      </c>
      <c r="AU15" s="61">
        <f t="shared" si="32"/>
        <v>2309.5</v>
      </c>
      <c r="AV15" s="62">
        <f t="shared" si="33"/>
        <v>2309.5</v>
      </c>
      <c r="AW15" s="61">
        <f t="shared" si="34"/>
        <v>2552.7852459016394</v>
      </c>
      <c r="AX15" s="62">
        <f t="shared" si="35"/>
        <v>243.28524590163948</v>
      </c>
      <c r="AY15" s="64">
        <f t="shared" si="36"/>
        <v>9.5301884987082627E-2</v>
      </c>
    </row>
    <row r="16" spans="1:51" x14ac:dyDescent="0.35">
      <c r="A16" s="65">
        <v>46213</v>
      </c>
      <c r="B16" s="66" t="s">
        <v>75</v>
      </c>
      <c r="C16" s="73">
        <v>0.31944444444444442</v>
      </c>
      <c r="D16" s="73">
        <v>0.7416666666666667</v>
      </c>
      <c r="E16" s="67">
        <f t="shared" si="0"/>
        <v>12</v>
      </c>
      <c r="F16" s="67">
        <f t="shared" si="1"/>
        <v>10.133333333333335</v>
      </c>
      <c r="G16" s="67">
        <f t="shared" si="2"/>
        <v>2.2000000000000002</v>
      </c>
      <c r="H16" s="68">
        <v>77</v>
      </c>
      <c r="I16" s="69">
        <f t="shared" si="3"/>
        <v>573.65</v>
      </c>
      <c r="J16" s="69">
        <f t="shared" si="4"/>
        <v>56.610197368421041</v>
      </c>
      <c r="K16" s="69">
        <f t="shared" si="5"/>
        <v>698.19243421052624</v>
      </c>
      <c r="L16" s="70">
        <f t="shared" si="6"/>
        <v>124.5424342105263</v>
      </c>
      <c r="M16" s="73">
        <v>0.31944444444444442</v>
      </c>
      <c r="N16" s="73">
        <v>0.74930555555555556</v>
      </c>
      <c r="O16" s="67">
        <f t="shared" si="7"/>
        <v>12</v>
      </c>
      <c r="P16" s="67">
        <f t="shared" si="8"/>
        <v>10.316666666666666</v>
      </c>
      <c r="Q16" s="67">
        <f t="shared" si="9"/>
        <v>2.0166666666666675</v>
      </c>
      <c r="R16" s="68">
        <v>40</v>
      </c>
      <c r="S16" s="69">
        <f t="shared" si="10"/>
        <v>298</v>
      </c>
      <c r="T16" s="69">
        <f t="shared" si="11"/>
        <v>28.885298869143782</v>
      </c>
      <c r="U16" s="69">
        <f t="shared" si="12"/>
        <v>356.25201938610667</v>
      </c>
      <c r="V16" s="70">
        <f t="shared" si="13"/>
        <v>58.252019386106653</v>
      </c>
      <c r="W16" s="73">
        <v>0.31944444444444442</v>
      </c>
      <c r="X16" s="73">
        <v>0.76388888888888884</v>
      </c>
      <c r="Y16" s="67">
        <f t="shared" si="14"/>
        <v>12</v>
      </c>
      <c r="Z16" s="67">
        <f t="shared" si="15"/>
        <v>10.666666666666666</v>
      </c>
      <c r="AA16" s="67">
        <f t="shared" si="16"/>
        <v>1.6666666666666687</v>
      </c>
      <c r="AB16" s="68">
        <v>103</v>
      </c>
      <c r="AC16" s="69">
        <f t="shared" si="17"/>
        <v>767.35</v>
      </c>
      <c r="AD16" s="69">
        <f t="shared" si="18"/>
        <v>71.939062500000006</v>
      </c>
      <c r="AE16" s="69">
        <f t="shared" si="19"/>
        <v>887.24843750000014</v>
      </c>
      <c r="AF16" s="70">
        <f t="shared" si="20"/>
        <v>119.89843750000016</v>
      </c>
      <c r="AG16" s="73">
        <v>0.31944444444444442</v>
      </c>
      <c r="AH16" s="73">
        <v>0.7416666666666667</v>
      </c>
      <c r="AI16" s="67">
        <f t="shared" si="21"/>
        <v>12</v>
      </c>
      <c r="AJ16" s="67">
        <f t="shared" si="22"/>
        <v>10.133333333333335</v>
      </c>
      <c r="AK16" s="67">
        <f t="shared" si="23"/>
        <v>2.2000000000000002</v>
      </c>
      <c r="AL16" s="68">
        <v>89</v>
      </c>
      <c r="AM16" s="69">
        <f t="shared" si="24"/>
        <v>663.05000000000007</v>
      </c>
      <c r="AN16" s="69">
        <f t="shared" si="25"/>
        <v>65.432565789473685</v>
      </c>
      <c r="AO16" s="69">
        <f t="shared" si="26"/>
        <v>807.0016447368422</v>
      </c>
      <c r="AP16" s="70">
        <f t="shared" si="27"/>
        <v>143.95164473684213</v>
      </c>
      <c r="AQ16" s="67">
        <f t="shared" si="28"/>
        <v>48</v>
      </c>
      <c r="AR16" s="67">
        <f t="shared" si="29"/>
        <v>41.25</v>
      </c>
      <c r="AS16" s="71">
        <f t="shared" si="30"/>
        <v>8.0833333333333357</v>
      </c>
      <c r="AT16" s="68">
        <f t="shared" si="31"/>
        <v>309</v>
      </c>
      <c r="AU16" s="69">
        <f t="shared" si="32"/>
        <v>2302.0500000000002</v>
      </c>
      <c r="AV16" s="70">
        <f t="shared" si="33"/>
        <v>2302.0500000000002</v>
      </c>
      <c r="AW16" s="69">
        <f t="shared" si="34"/>
        <v>2748.6945358334751</v>
      </c>
      <c r="AX16" s="70">
        <f t="shared" si="35"/>
        <v>446.64453583347523</v>
      </c>
      <c r="AY16" s="72">
        <f t="shared" si="36"/>
        <v>0.16249333274788247</v>
      </c>
    </row>
    <row r="17" spans="1:51" x14ac:dyDescent="0.35">
      <c r="A17" s="56">
        <v>46214</v>
      </c>
      <c r="B17" s="57" t="s">
        <v>76</v>
      </c>
      <c r="C17" s="58">
        <v>0.33333333333333331</v>
      </c>
      <c r="D17" s="58">
        <v>0.58333333333333337</v>
      </c>
      <c r="E17" s="59">
        <f t="shared" si="0"/>
        <v>6</v>
      </c>
      <c r="F17" s="59">
        <f t="shared" si="1"/>
        <v>6.0000000000000018</v>
      </c>
      <c r="G17" s="59">
        <f t="shared" si="2"/>
        <v>0</v>
      </c>
      <c r="H17" s="60">
        <v>49</v>
      </c>
      <c r="I17" s="61">
        <f t="shared" si="3"/>
        <v>365.05</v>
      </c>
      <c r="J17" s="61">
        <f t="shared" si="4"/>
        <v>60.841666666666647</v>
      </c>
      <c r="K17" s="61">
        <f t="shared" si="5"/>
        <v>365.05</v>
      </c>
      <c r="L17" s="62">
        <f t="shared" si="6"/>
        <v>0</v>
      </c>
      <c r="M17" s="58">
        <v>0.33333333333333331</v>
      </c>
      <c r="N17" s="58">
        <v>0.58333333333333337</v>
      </c>
      <c r="O17" s="59">
        <f t="shared" si="7"/>
        <v>6</v>
      </c>
      <c r="P17" s="59">
        <f t="shared" si="8"/>
        <v>6.0000000000000018</v>
      </c>
      <c r="Q17" s="59">
        <f t="shared" si="9"/>
        <v>0</v>
      </c>
      <c r="R17" s="60">
        <v>33</v>
      </c>
      <c r="S17" s="61">
        <f t="shared" si="10"/>
        <v>245.85</v>
      </c>
      <c r="T17" s="61">
        <f t="shared" si="11"/>
        <v>40.974999999999987</v>
      </c>
      <c r="U17" s="61">
        <f t="shared" si="12"/>
        <v>245.85</v>
      </c>
      <c r="V17" s="62">
        <f t="shared" si="13"/>
        <v>0</v>
      </c>
      <c r="W17" s="58">
        <v>0.33333333333333331</v>
      </c>
      <c r="X17" s="58">
        <v>0.58333333333333337</v>
      </c>
      <c r="Y17" s="59">
        <f t="shared" si="14"/>
        <v>6</v>
      </c>
      <c r="Z17" s="59">
        <f t="shared" si="15"/>
        <v>6.0000000000000018</v>
      </c>
      <c r="AA17" s="59">
        <f t="shared" si="16"/>
        <v>0</v>
      </c>
      <c r="AB17" s="60">
        <v>56</v>
      </c>
      <c r="AC17" s="61">
        <f t="shared" si="17"/>
        <v>417.2</v>
      </c>
      <c r="AD17" s="61">
        <f t="shared" si="18"/>
        <v>69.533333333333317</v>
      </c>
      <c r="AE17" s="61">
        <f t="shared" si="19"/>
        <v>417.2</v>
      </c>
      <c r="AF17" s="62">
        <f t="shared" si="20"/>
        <v>0</v>
      </c>
      <c r="AG17" s="58">
        <v>0.33333333333333331</v>
      </c>
      <c r="AH17" s="58">
        <v>0.58333333333333337</v>
      </c>
      <c r="AI17" s="59">
        <f t="shared" si="21"/>
        <v>6</v>
      </c>
      <c r="AJ17" s="59">
        <f t="shared" si="22"/>
        <v>6.0000000000000018</v>
      </c>
      <c r="AK17" s="59">
        <f t="shared" si="23"/>
        <v>0</v>
      </c>
      <c r="AL17" s="60">
        <v>52</v>
      </c>
      <c r="AM17" s="61">
        <f t="shared" si="24"/>
        <v>387.40000000000003</v>
      </c>
      <c r="AN17" s="61">
        <f t="shared" si="25"/>
        <v>64.566666666666649</v>
      </c>
      <c r="AO17" s="61">
        <f t="shared" si="26"/>
        <v>387.40000000000003</v>
      </c>
      <c r="AP17" s="62">
        <f t="shared" si="27"/>
        <v>0</v>
      </c>
      <c r="AQ17" s="59">
        <f t="shared" si="28"/>
        <v>24</v>
      </c>
      <c r="AR17" s="59">
        <f t="shared" si="29"/>
        <v>24.000000000000007</v>
      </c>
      <c r="AS17" s="63">
        <f t="shared" si="30"/>
        <v>0</v>
      </c>
      <c r="AT17" s="60">
        <f t="shared" si="31"/>
        <v>190</v>
      </c>
      <c r="AU17" s="61">
        <f t="shared" si="32"/>
        <v>1415.5</v>
      </c>
      <c r="AV17" s="62">
        <f t="shared" si="33"/>
        <v>1415.5</v>
      </c>
      <c r="AW17" s="61">
        <f t="shared" si="34"/>
        <v>1415.5</v>
      </c>
      <c r="AX17" s="62">
        <f t="shared" si="35"/>
        <v>0</v>
      </c>
      <c r="AY17" s="64">
        <f t="shared" si="36"/>
        <v>0</v>
      </c>
    </row>
    <row r="18" spans="1:51" x14ac:dyDescent="0.35">
      <c r="A18" s="65">
        <v>46215</v>
      </c>
      <c r="B18" s="66" t="s">
        <v>77</v>
      </c>
      <c r="C18" s="66" t="s">
        <v>82</v>
      </c>
      <c r="D18" s="66" t="s">
        <v>82</v>
      </c>
      <c r="E18" s="67">
        <f t="shared" si="0"/>
        <v>0</v>
      </c>
      <c r="F18" s="67">
        <f t="shared" si="1"/>
        <v>0</v>
      </c>
      <c r="G18" s="67">
        <f t="shared" si="2"/>
        <v>0</v>
      </c>
      <c r="H18" s="68">
        <v>0</v>
      </c>
      <c r="I18" s="69">
        <f t="shared" si="3"/>
        <v>0</v>
      </c>
      <c r="J18" s="69">
        <f t="shared" si="4"/>
        <v>0</v>
      </c>
      <c r="K18" s="69">
        <f t="shared" si="5"/>
        <v>0</v>
      </c>
      <c r="L18" s="70">
        <f t="shared" si="6"/>
        <v>0</v>
      </c>
      <c r="M18" s="66" t="s">
        <v>82</v>
      </c>
      <c r="N18" s="66" t="s">
        <v>82</v>
      </c>
      <c r="O18" s="67">
        <f t="shared" si="7"/>
        <v>0</v>
      </c>
      <c r="P18" s="67">
        <f t="shared" si="8"/>
        <v>0</v>
      </c>
      <c r="Q18" s="67">
        <f t="shared" si="9"/>
        <v>0</v>
      </c>
      <c r="R18" s="68">
        <v>0</v>
      </c>
      <c r="S18" s="69">
        <f t="shared" si="10"/>
        <v>0</v>
      </c>
      <c r="T18" s="69">
        <f t="shared" si="11"/>
        <v>0</v>
      </c>
      <c r="U18" s="69">
        <f t="shared" si="12"/>
        <v>0</v>
      </c>
      <c r="V18" s="70">
        <f t="shared" si="13"/>
        <v>0</v>
      </c>
      <c r="W18" s="66" t="s">
        <v>82</v>
      </c>
      <c r="X18" s="66" t="s">
        <v>82</v>
      </c>
      <c r="Y18" s="67">
        <f t="shared" si="14"/>
        <v>0</v>
      </c>
      <c r="Z18" s="67">
        <f t="shared" si="15"/>
        <v>0</v>
      </c>
      <c r="AA18" s="67">
        <f t="shared" si="16"/>
        <v>0</v>
      </c>
      <c r="AB18" s="68">
        <v>0</v>
      </c>
      <c r="AC18" s="69">
        <f t="shared" si="17"/>
        <v>0</v>
      </c>
      <c r="AD18" s="69">
        <f t="shared" si="18"/>
        <v>0</v>
      </c>
      <c r="AE18" s="69">
        <f t="shared" si="19"/>
        <v>0</v>
      </c>
      <c r="AF18" s="70">
        <f t="shared" si="20"/>
        <v>0</v>
      </c>
      <c r="AG18" s="66" t="s">
        <v>82</v>
      </c>
      <c r="AH18" s="66" t="s">
        <v>82</v>
      </c>
      <c r="AI18" s="67">
        <f t="shared" si="21"/>
        <v>0</v>
      </c>
      <c r="AJ18" s="67">
        <f t="shared" si="22"/>
        <v>0</v>
      </c>
      <c r="AK18" s="67">
        <f t="shared" si="23"/>
        <v>0</v>
      </c>
      <c r="AL18" s="68">
        <v>0</v>
      </c>
      <c r="AM18" s="69">
        <f t="shared" si="24"/>
        <v>0</v>
      </c>
      <c r="AN18" s="69">
        <f t="shared" si="25"/>
        <v>0</v>
      </c>
      <c r="AO18" s="69">
        <f t="shared" si="26"/>
        <v>0</v>
      </c>
      <c r="AP18" s="70">
        <f t="shared" si="27"/>
        <v>0</v>
      </c>
      <c r="AQ18" s="67">
        <f t="shared" si="28"/>
        <v>0</v>
      </c>
      <c r="AR18" s="67">
        <f t="shared" si="29"/>
        <v>0</v>
      </c>
      <c r="AS18" s="71">
        <f t="shared" si="30"/>
        <v>0</v>
      </c>
      <c r="AT18" s="68">
        <f t="shared" si="31"/>
        <v>0</v>
      </c>
      <c r="AU18" s="69">
        <f t="shared" si="32"/>
        <v>0</v>
      </c>
      <c r="AV18" s="70">
        <f t="shared" si="33"/>
        <v>0</v>
      </c>
      <c r="AW18" s="69">
        <f t="shared" si="34"/>
        <v>0</v>
      </c>
      <c r="AX18" s="70">
        <f t="shared" si="35"/>
        <v>0</v>
      </c>
      <c r="AY18" s="72">
        <f t="shared" si="36"/>
        <v>0</v>
      </c>
    </row>
    <row r="19" spans="1:51" x14ac:dyDescent="0.35">
      <c r="A19" s="56">
        <v>46216</v>
      </c>
      <c r="B19" s="57" t="s">
        <v>78</v>
      </c>
      <c r="C19" s="58">
        <v>0.30555555555555558</v>
      </c>
      <c r="D19" s="58">
        <v>0.80694444444444446</v>
      </c>
      <c r="E19" s="59">
        <f t="shared" si="0"/>
        <v>12</v>
      </c>
      <c r="F19" s="59">
        <f t="shared" si="1"/>
        <v>12.033333333333333</v>
      </c>
      <c r="G19" s="59">
        <f t="shared" si="2"/>
        <v>0.63333333333333375</v>
      </c>
      <c r="H19" s="60">
        <v>98</v>
      </c>
      <c r="I19" s="61">
        <f t="shared" si="3"/>
        <v>730.1</v>
      </c>
      <c r="J19" s="61">
        <f t="shared" si="4"/>
        <v>60.67313019390582</v>
      </c>
      <c r="K19" s="61">
        <f t="shared" si="5"/>
        <v>768.52631578947376</v>
      </c>
      <c r="L19" s="62">
        <f t="shared" si="6"/>
        <v>38.426315789473712</v>
      </c>
      <c r="M19" s="58">
        <v>0.30555555555555558</v>
      </c>
      <c r="N19" s="58">
        <v>0.83402777777777781</v>
      </c>
      <c r="O19" s="59">
        <f t="shared" si="7"/>
        <v>12</v>
      </c>
      <c r="P19" s="59">
        <f t="shared" si="8"/>
        <v>12.683333333333334</v>
      </c>
      <c r="Q19" s="59">
        <f t="shared" si="9"/>
        <v>0</v>
      </c>
      <c r="R19" s="60">
        <v>60</v>
      </c>
      <c r="S19" s="61">
        <f t="shared" si="10"/>
        <v>447</v>
      </c>
      <c r="T19" s="61">
        <f t="shared" si="11"/>
        <v>35.243101182654399</v>
      </c>
      <c r="U19" s="61">
        <f t="shared" si="12"/>
        <v>447</v>
      </c>
      <c r="V19" s="62">
        <f t="shared" si="13"/>
        <v>0</v>
      </c>
      <c r="W19" s="58">
        <v>0.30555555555555558</v>
      </c>
      <c r="X19" s="58">
        <v>0.80694444444444446</v>
      </c>
      <c r="Y19" s="59">
        <f t="shared" si="14"/>
        <v>12</v>
      </c>
      <c r="Z19" s="59">
        <f t="shared" si="15"/>
        <v>12.033333333333333</v>
      </c>
      <c r="AA19" s="59">
        <f t="shared" si="16"/>
        <v>0.63333333333333375</v>
      </c>
      <c r="AB19" s="60">
        <v>104</v>
      </c>
      <c r="AC19" s="61">
        <f t="shared" si="17"/>
        <v>774.80000000000007</v>
      </c>
      <c r="AD19" s="61">
        <f t="shared" si="18"/>
        <v>64.387811634349035</v>
      </c>
      <c r="AE19" s="61">
        <f t="shared" si="19"/>
        <v>815.57894736842115</v>
      </c>
      <c r="AF19" s="62">
        <f t="shared" si="20"/>
        <v>40.778947368421079</v>
      </c>
      <c r="AG19" s="58">
        <v>0.30555555555555558</v>
      </c>
      <c r="AH19" s="58">
        <v>0.77708333333333335</v>
      </c>
      <c r="AI19" s="59">
        <f t="shared" si="21"/>
        <v>12</v>
      </c>
      <c r="AJ19" s="59">
        <f t="shared" si="22"/>
        <v>11.316666666666666</v>
      </c>
      <c r="AK19" s="59">
        <f t="shared" si="23"/>
        <v>1.3500000000000005</v>
      </c>
      <c r="AL19" s="60">
        <v>87</v>
      </c>
      <c r="AM19" s="61">
        <f t="shared" si="24"/>
        <v>648.15</v>
      </c>
      <c r="AN19" s="61">
        <f t="shared" si="25"/>
        <v>57.273932253313696</v>
      </c>
      <c r="AO19" s="61">
        <f t="shared" si="26"/>
        <v>725.46980854197352</v>
      </c>
      <c r="AP19" s="62">
        <f t="shared" si="27"/>
        <v>77.319808541973515</v>
      </c>
      <c r="AQ19" s="59">
        <f t="shared" si="28"/>
        <v>48</v>
      </c>
      <c r="AR19" s="59">
        <f t="shared" si="29"/>
        <v>48.066666666666663</v>
      </c>
      <c r="AS19" s="63">
        <f t="shared" si="30"/>
        <v>2.616666666666668</v>
      </c>
      <c r="AT19" s="60">
        <f t="shared" si="31"/>
        <v>349</v>
      </c>
      <c r="AU19" s="61">
        <f t="shared" si="32"/>
        <v>2600.0500000000002</v>
      </c>
      <c r="AV19" s="62">
        <f t="shared" si="33"/>
        <v>2600.0500000000002</v>
      </c>
      <c r="AW19" s="61">
        <f t="shared" si="34"/>
        <v>2756.5750716998687</v>
      </c>
      <c r="AX19" s="62">
        <f t="shared" si="35"/>
        <v>156.52507169986831</v>
      </c>
      <c r="AY19" s="64">
        <f t="shared" si="36"/>
        <v>5.6782444747040972E-2</v>
      </c>
    </row>
    <row r="20" spans="1:51" x14ac:dyDescent="0.35">
      <c r="A20" s="65">
        <v>46217</v>
      </c>
      <c r="B20" s="66" t="s">
        <v>79</v>
      </c>
      <c r="C20" s="73">
        <v>0.27777777777777779</v>
      </c>
      <c r="D20" s="73">
        <v>0.76180555555555551</v>
      </c>
      <c r="E20" s="67">
        <f t="shared" si="0"/>
        <v>12</v>
      </c>
      <c r="F20" s="67">
        <f t="shared" si="1"/>
        <v>11.616666666666665</v>
      </c>
      <c r="G20" s="67">
        <f t="shared" si="2"/>
        <v>1.7166666666666686</v>
      </c>
      <c r="H20" s="68">
        <v>91</v>
      </c>
      <c r="I20" s="69">
        <f t="shared" si="3"/>
        <v>677.95</v>
      </c>
      <c r="J20" s="69">
        <f t="shared" si="4"/>
        <v>58.360114777618378</v>
      </c>
      <c r="K20" s="69">
        <f t="shared" si="5"/>
        <v>778.13486370157841</v>
      </c>
      <c r="L20" s="70">
        <f t="shared" si="6"/>
        <v>100.18486370157832</v>
      </c>
      <c r="M20" s="73">
        <v>0.27777777777777779</v>
      </c>
      <c r="N20" s="73">
        <v>0.83333333333333337</v>
      </c>
      <c r="O20" s="67">
        <f t="shared" si="7"/>
        <v>12</v>
      </c>
      <c r="P20" s="67">
        <f t="shared" si="8"/>
        <v>13.333333333333334</v>
      </c>
      <c r="Q20" s="67">
        <f t="shared" si="9"/>
        <v>0</v>
      </c>
      <c r="R20" s="68">
        <v>63</v>
      </c>
      <c r="S20" s="69">
        <f t="shared" si="10"/>
        <v>469.35</v>
      </c>
      <c r="T20" s="69">
        <f t="shared" si="11"/>
        <v>35.201250000000002</v>
      </c>
      <c r="U20" s="69">
        <f t="shared" si="12"/>
        <v>469.35</v>
      </c>
      <c r="V20" s="70">
        <f t="shared" si="13"/>
        <v>0</v>
      </c>
      <c r="W20" s="73">
        <v>0.27777777777777779</v>
      </c>
      <c r="X20" s="73">
        <v>0.78819444444444442</v>
      </c>
      <c r="Y20" s="67">
        <f t="shared" si="14"/>
        <v>12</v>
      </c>
      <c r="Z20" s="67">
        <f t="shared" si="15"/>
        <v>12.25</v>
      </c>
      <c r="AA20" s="67">
        <f t="shared" si="16"/>
        <v>1.0833333333333348</v>
      </c>
      <c r="AB20" s="68">
        <v>105</v>
      </c>
      <c r="AC20" s="69">
        <f t="shared" si="17"/>
        <v>782.25</v>
      </c>
      <c r="AD20" s="69">
        <f t="shared" si="18"/>
        <v>63.857142857142854</v>
      </c>
      <c r="AE20" s="69">
        <f t="shared" si="19"/>
        <v>851.42857142857156</v>
      </c>
      <c r="AF20" s="70">
        <f t="shared" si="20"/>
        <v>69.178571428571516</v>
      </c>
      <c r="AG20" s="73">
        <v>0.27777777777777779</v>
      </c>
      <c r="AH20" s="73">
        <v>0.74375000000000002</v>
      </c>
      <c r="AI20" s="67">
        <f t="shared" si="21"/>
        <v>12</v>
      </c>
      <c r="AJ20" s="67">
        <f t="shared" si="22"/>
        <v>11.183333333333334</v>
      </c>
      <c r="AK20" s="67">
        <f t="shared" si="23"/>
        <v>2.1500000000000004</v>
      </c>
      <c r="AL20" s="68">
        <v>78</v>
      </c>
      <c r="AM20" s="69">
        <f t="shared" si="24"/>
        <v>581.1</v>
      </c>
      <c r="AN20" s="69">
        <f t="shared" si="25"/>
        <v>51.96125186289121</v>
      </c>
      <c r="AO20" s="69">
        <f t="shared" si="26"/>
        <v>692.81669150521611</v>
      </c>
      <c r="AP20" s="70">
        <f t="shared" si="27"/>
        <v>111.71669150521612</v>
      </c>
      <c r="AQ20" s="67">
        <f t="shared" si="28"/>
        <v>48</v>
      </c>
      <c r="AR20" s="67">
        <f t="shared" si="29"/>
        <v>48.38333333333334</v>
      </c>
      <c r="AS20" s="71">
        <f t="shared" si="30"/>
        <v>4.9500000000000037</v>
      </c>
      <c r="AT20" s="68">
        <f t="shared" si="31"/>
        <v>337</v>
      </c>
      <c r="AU20" s="69">
        <f t="shared" si="32"/>
        <v>2510.65</v>
      </c>
      <c r="AV20" s="70">
        <f t="shared" si="33"/>
        <v>2510.65</v>
      </c>
      <c r="AW20" s="69">
        <f t="shared" si="34"/>
        <v>2791.7301266353661</v>
      </c>
      <c r="AX20" s="70">
        <f t="shared" si="35"/>
        <v>281.08012663536596</v>
      </c>
      <c r="AY20" s="72">
        <f t="shared" si="36"/>
        <v>0.10068312977448426</v>
      </c>
    </row>
    <row r="21" spans="1:51" x14ac:dyDescent="0.35">
      <c r="A21" s="56">
        <v>46218</v>
      </c>
      <c r="B21" s="57" t="s">
        <v>80</v>
      </c>
      <c r="C21" s="58">
        <v>0.3125</v>
      </c>
      <c r="D21" s="58">
        <v>0.79513888888888884</v>
      </c>
      <c r="E21" s="59">
        <f t="shared" si="0"/>
        <v>12</v>
      </c>
      <c r="F21" s="59">
        <f t="shared" si="1"/>
        <v>11.583333333333332</v>
      </c>
      <c r="G21" s="59">
        <f t="shared" si="2"/>
        <v>0.91666666666666874</v>
      </c>
      <c r="H21" s="60">
        <v>81</v>
      </c>
      <c r="I21" s="61">
        <f t="shared" si="3"/>
        <v>603.45000000000005</v>
      </c>
      <c r="J21" s="61">
        <f t="shared" si="4"/>
        <v>52.096402877697848</v>
      </c>
      <c r="K21" s="61">
        <f t="shared" si="5"/>
        <v>651.2050359712232</v>
      </c>
      <c r="L21" s="62">
        <f t="shared" si="6"/>
        <v>47.755035971223137</v>
      </c>
      <c r="M21" s="58">
        <v>0.3125</v>
      </c>
      <c r="N21" s="58">
        <v>0.79513888888888884</v>
      </c>
      <c r="O21" s="59">
        <f t="shared" si="7"/>
        <v>12</v>
      </c>
      <c r="P21" s="59">
        <f t="shared" si="8"/>
        <v>11.583333333333332</v>
      </c>
      <c r="Q21" s="59">
        <f t="shared" si="9"/>
        <v>0.91666666666666874</v>
      </c>
      <c r="R21" s="60">
        <v>50</v>
      </c>
      <c r="S21" s="61">
        <f t="shared" si="10"/>
        <v>372.5</v>
      </c>
      <c r="T21" s="61">
        <f t="shared" si="11"/>
        <v>32.158273381294968</v>
      </c>
      <c r="U21" s="61">
        <f t="shared" si="12"/>
        <v>401.97841726618714</v>
      </c>
      <c r="V21" s="62">
        <f t="shared" si="13"/>
        <v>29.478417266187122</v>
      </c>
      <c r="W21" s="58">
        <v>0.3125</v>
      </c>
      <c r="X21" s="58">
        <v>0.79513888888888884</v>
      </c>
      <c r="Y21" s="59">
        <f t="shared" si="14"/>
        <v>12</v>
      </c>
      <c r="Z21" s="59">
        <f t="shared" si="15"/>
        <v>11.583333333333332</v>
      </c>
      <c r="AA21" s="59">
        <f t="shared" si="16"/>
        <v>0.91666666666666874</v>
      </c>
      <c r="AB21" s="60">
        <v>94</v>
      </c>
      <c r="AC21" s="61">
        <f t="shared" si="17"/>
        <v>700.30000000000007</v>
      </c>
      <c r="AD21" s="61">
        <f t="shared" si="18"/>
        <v>60.457553956834545</v>
      </c>
      <c r="AE21" s="61">
        <f t="shared" si="19"/>
        <v>755.71942446043181</v>
      </c>
      <c r="AF21" s="62">
        <f t="shared" si="20"/>
        <v>55.419424460431792</v>
      </c>
      <c r="AG21" s="58">
        <v>0.3125</v>
      </c>
      <c r="AH21" s="58">
        <v>0.80138888888888893</v>
      </c>
      <c r="AI21" s="59">
        <f t="shared" si="21"/>
        <v>12</v>
      </c>
      <c r="AJ21" s="59">
        <f t="shared" si="22"/>
        <v>11.733333333333334</v>
      </c>
      <c r="AK21" s="59">
        <f t="shared" si="23"/>
        <v>0.76666666666666661</v>
      </c>
      <c r="AL21" s="60">
        <v>85</v>
      </c>
      <c r="AM21" s="61">
        <f t="shared" si="24"/>
        <v>633.25</v>
      </c>
      <c r="AN21" s="61">
        <f t="shared" si="25"/>
        <v>53.970170454545453</v>
      </c>
      <c r="AO21" s="61">
        <f t="shared" si="26"/>
        <v>674.62713068181813</v>
      </c>
      <c r="AP21" s="62">
        <f t="shared" si="27"/>
        <v>41.37713068181818</v>
      </c>
      <c r="AQ21" s="59">
        <f t="shared" si="28"/>
        <v>48</v>
      </c>
      <c r="AR21" s="59">
        <f t="shared" si="29"/>
        <v>46.483333333333334</v>
      </c>
      <c r="AS21" s="63">
        <f t="shared" si="30"/>
        <v>3.5166666666666728</v>
      </c>
      <c r="AT21" s="60">
        <f t="shared" si="31"/>
        <v>310</v>
      </c>
      <c r="AU21" s="61">
        <f t="shared" si="32"/>
        <v>2309.5</v>
      </c>
      <c r="AV21" s="62">
        <f t="shared" si="33"/>
        <v>2309.5</v>
      </c>
      <c r="AW21" s="61">
        <f t="shared" si="34"/>
        <v>2483.5300083796601</v>
      </c>
      <c r="AX21" s="62">
        <f t="shared" si="35"/>
        <v>174.03000837966025</v>
      </c>
      <c r="AY21" s="64">
        <f t="shared" si="36"/>
        <v>7.0073648312066653E-2</v>
      </c>
    </row>
    <row r="22" spans="1:51" x14ac:dyDescent="0.35">
      <c r="A22" s="65">
        <v>46219</v>
      </c>
      <c r="B22" s="66" t="s">
        <v>81</v>
      </c>
      <c r="C22" s="73">
        <v>0.29722222222222222</v>
      </c>
      <c r="D22" s="73">
        <v>0.80277777777777781</v>
      </c>
      <c r="E22" s="67">
        <f t="shared" si="0"/>
        <v>12</v>
      </c>
      <c r="F22" s="67">
        <f t="shared" si="1"/>
        <v>12.133333333333333</v>
      </c>
      <c r="G22" s="67">
        <f t="shared" si="2"/>
        <v>0.73333333333333339</v>
      </c>
      <c r="H22" s="68">
        <v>81</v>
      </c>
      <c r="I22" s="69">
        <f t="shared" si="3"/>
        <v>603.45000000000005</v>
      </c>
      <c r="J22" s="69">
        <f t="shared" si="4"/>
        <v>49.734890109890117</v>
      </c>
      <c r="K22" s="69">
        <f t="shared" si="5"/>
        <v>639.92225274725274</v>
      </c>
      <c r="L22" s="70">
        <f t="shared" si="6"/>
        <v>36.472252747252753</v>
      </c>
      <c r="M22" s="73">
        <v>0.29722222222222222</v>
      </c>
      <c r="N22" s="73">
        <v>0.83402777777777781</v>
      </c>
      <c r="O22" s="67">
        <f t="shared" si="7"/>
        <v>12</v>
      </c>
      <c r="P22" s="67">
        <f t="shared" si="8"/>
        <v>12.883333333333333</v>
      </c>
      <c r="Q22" s="67">
        <f t="shared" si="9"/>
        <v>0</v>
      </c>
      <c r="R22" s="68">
        <v>54</v>
      </c>
      <c r="S22" s="69">
        <f t="shared" si="10"/>
        <v>402.3</v>
      </c>
      <c r="T22" s="69">
        <f t="shared" si="11"/>
        <v>31.226390685640364</v>
      </c>
      <c r="U22" s="69">
        <f t="shared" si="12"/>
        <v>402.3</v>
      </c>
      <c r="V22" s="70">
        <f t="shared" si="13"/>
        <v>0</v>
      </c>
      <c r="W22" s="73">
        <v>0.29722222222222222</v>
      </c>
      <c r="X22" s="73">
        <v>0.83402777777777781</v>
      </c>
      <c r="Y22" s="67">
        <f t="shared" si="14"/>
        <v>12</v>
      </c>
      <c r="Z22" s="67">
        <f t="shared" si="15"/>
        <v>12.883333333333333</v>
      </c>
      <c r="AA22" s="67">
        <f t="shared" si="16"/>
        <v>0</v>
      </c>
      <c r="AB22" s="68">
        <v>109</v>
      </c>
      <c r="AC22" s="69">
        <f t="shared" si="17"/>
        <v>812.05000000000007</v>
      </c>
      <c r="AD22" s="69">
        <f t="shared" si="18"/>
        <v>63.031047865459257</v>
      </c>
      <c r="AE22" s="69">
        <f t="shared" si="19"/>
        <v>812.05000000000007</v>
      </c>
      <c r="AF22" s="70">
        <f t="shared" si="20"/>
        <v>0</v>
      </c>
      <c r="AG22" s="73">
        <v>0.29722222222222222</v>
      </c>
      <c r="AH22" s="73">
        <v>0.77708333333333335</v>
      </c>
      <c r="AI22" s="67">
        <f t="shared" si="21"/>
        <v>12</v>
      </c>
      <c r="AJ22" s="67">
        <f t="shared" si="22"/>
        <v>11.516666666666667</v>
      </c>
      <c r="AK22" s="67">
        <f t="shared" si="23"/>
        <v>1.3500000000000005</v>
      </c>
      <c r="AL22" s="68">
        <v>76</v>
      </c>
      <c r="AM22" s="69">
        <f t="shared" si="24"/>
        <v>566.20000000000005</v>
      </c>
      <c r="AN22" s="69">
        <f t="shared" si="25"/>
        <v>49.163531114327064</v>
      </c>
      <c r="AO22" s="69">
        <f t="shared" si="26"/>
        <v>632.57076700434163</v>
      </c>
      <c r="AP22" s="70">
        <f t="shared" si="27"/>
        <v>66.370767004341559</v>
      </c>
      <c r="AQ22" s="67">
        <f t="shared" si="28"/>
        <v>48</v>
      </c>
      <c r="AR22" s="67">
        <f t="shared" si="29"/>
        <v>49.416666666666664</v>
      </c>
      <c r="AS22" s="71">
        <f t="shared" si="30"/>
        <v>2.0833333333333339</v>
      </c>
      <c r="AT22" s="68">
        <f t="shared" si="31"/>
        <v>320</v>
      </c>
      <c r="AU22" s="69">
        <f t="shared" si="32"/>
        <v>2384</v>
      </c>
      <c r="AV22" s="70">
        <f t="shared" si="33"/>
        <v>2384</v>
      </c>
      <c r="AW22" s="69">
        <f t="shared" si="34"/>
        <v>2486.8430197515945</v>
      </c>
      <c r="AX22" s="70">
        <f t="shared" si="35"/>
        <v>102.84301975159431</v>
      </c>
      <c r="AY22" s="72">
        <f t="shared" si="36"/>
        <v>4.1354849877845157E-2</v>
      </c>
    </row>
    <row r="23" spans="1:51" x14ac:dyDescent="0.35">
      <c r="A23" s="56">
        <v>46220</v>
      </c>
      <c r="B23" s="57" t="s">
        <v>75</v>
      </c>
      <c r="C23" s="58">
        <v>0.29166666666666669</v>
      </c>
      <c r="D23" s="58">
        <v>0.83333333333333337</v>
      </c>
      <c r="E23" s="59">
        <f t="shared" si="0"/>
        <v>12</v>
      </c>
      <c r="F23" s="59">
        <f t="shared" si="1"/>
        <v>13.000000000000002</v>
      </c>
      <c r="G23" s="59">
        <f t="shared" si="2"/>
        <v>0</v>
      </c>
      <c r="H23" s="60">
        <v>82</v>
      </c>
      <c r="I23" s="61">
        <f t="shared" si="3"/>
        <v>610.9</v>
      </c>
      <c r="J23" s="61">
        <f t="shared" si="4"/>
        <v>46.992307692307683</v>
      </c>
      <c r="K23" s="61">
        <f t="shared" si="5"/>
        <v>610.9</v>
      </c>
      <c r="L23" s="62">
        <f t="shared" si="6"/>
        <v>0</v>
      </c>
      <c r="M23" s="58">
        <v>0.29166666666666669</v>
      </c>
      <c r="N23" s="58">
        <v>0.83333333333333337</v>
      </c>
      <c r="O23" s="59">
        <f t="shared" si="7"/>
        <v>12</v>
      </c>
      <c r="P23" s="59">
        <f t="shared" si="8"/>
        <v>13.000000000000002</v>
      </c>
      <c r="Q23" s="59">
        <f t="shared" si="9"/>
        <v>0</v>
      </c>
      <c r="R23" s="60">
        <v>50</v>
      </c>
      <c r="S23" s="61">
        <f t="shared" si="10"/>
        <v>372.5</v>
      </c>
      <c r="T23" s="61">
        <f t="shared" si="11"/>
        <v>28.65384615384615</v>
      </c>
      <c r="U23" s="61">
        <f t="shared" si="12"/>
        <v>372.5</v>
      </c>
      <c r="V23" s="62">
        <f t="shared" si="13"/>
        <v>0</v>
      </c>
      <c r="W23" s="58">
        <v>0.29166666666666669</v>
      </c>
      <c r="X23" s="58">
        <v>0.74652777777777779</v>
      </c>
      <c r="Y23" s="59">
        <f t="shared" si="14"/>
        <v>12</v>
      </c>
      <c r="Z23" s="59">
        <f t="shared" si="15"/>
        <v>10.916666666666666</v>
      </c>
      <c r="AA23" s="59">
        <f t="shared" si="16"/>
        <v>2.0833333333333339</v>
      </c>
      <c r="AB23" s="60">
        <v>89</v>
      </c>
      <c r="AC23" s="61">
        <f t="shared" si="17"/>
        <v>663.05000000000007</v>
      </c>
      <c r="AD23" s="61">
        <f t="shared" si="18"/>
        <v>60.737404580152685</v>
      </c>
      <c r="AE23" s="61">
        <f t="shared" si="19"/>
        <v>789.58625954198487</v>
      </c>
      <c r="AF23" s="62">
        <f t="shared" si="20"/>
        <v>126.53625954198479</v>
      </c>
      <c r="AG23" s="58">
        <v>0.29166666666666669</v>
      </c>
      <c r="AH23" s="58">
        <v>0.74652777777777779</v>
      </c>
      <c r="AI23" s="59">
        <f t="shared" si="21"/>
        <v>12</v>
      </c>
      <c r="AJ23" s="59">
        <f t="shared" si="22"/>
        <v>10.916666666666666</v>
      </c>
      <c r="AK23" s="59">
        <f t="shared" si="23"/>
        <v>2.0833333333333339</v>
      </c>
      <c r="AL23" s="60">
        <v>74</v>
      </c>
      <c r="AM23" s="61">
        <f t="shared" si="24"/>
        <v>551.30000000000007</v>
      </c>
      <c r="AN23" s="61">
        <f t="shared" si="25"/>
        <v>50.500763358778634</v>
      </c>
      <c r="AO23" s="61">
        <f t="shared" si="26"/>
        <v>656.5099236641222</v>
      </c>
      <c r="AP23" s="62">
        <f t="shared" si="27"/>
        <v>105.20992366412219</v>
      </c>
      <c r="AQ23" s="59">
        <f t="shared" si="28"/>
        <v>48</v>
      </c>
      <c r="AR23" s="59">
        <f t="shared" si="29"/>
        <v>47.833333333333336</v>
      </c>
      <c r="AS23" s="63">
        <f t="shared" si="30"/>
        <v>4.1666666666666679</v>
      </c>
      <c r="AT23" s="60">
        <f t="shared" si="31"/>
        <v>295</v>
      </c>
      <c r="AU23" s="61">
        <f t="shared" si="32"/>
        <v>2197.75</v>
      </c>
      <c r="AV23" s="62">
        <f t="shared" si="33"/>
        <v>2197.75</v>
      </c>
      <c r="AW23" s="61">
        <f t="shared" si="34"/>
        <v>2429.4961832061072</v>
      </c>
      <c r="AX23" s="62">
        <f t="shared" si="35"/>
        <v>231.74618320610699</v>
      </c>
      <c r="AY23" s="64">
        <f t="shared" si="36"/>
        <v>9.5388576779026249E-2</v>
      </c>
    </row>
    <row r="24" spans="1:51" x14ac:dyDescent="0.35">
      <c r="A24" s="65">
        <v>46221</v>
      </c>
      <c r="B24" s="66" t="s">
        <v>76</v>
      </c>
      <c r="C24" s="73">
        <v>0.3125</v>
      </c>
      <c r="D24" s="73">
        <v>0.58333333333333337</v>
      </c>
      <c r="E24" s="67">
        <f t="shared" si="0"/>
        <v>6</v>
      </c>
      <c r="F24" s="67">
        <f t="shared" si="1"/>
        <v>6.5000000000000009</v>
      </c>
      <c r="G24" s="67">
        <f t="shared" si="2"/>
        <v>0</v>
      </c>
      <c r="H24" s="68">
        <v>44</v>
      </c>
      <c r="I24" s="69">
        <f t="shared" si="3"/>
        <v>327.8</v>
      </c>
      <c r="J24" s="69">
        <f t="shared" si="4"/>
        <v>50.430769230769222</v>
      </c>
      <c r="K24" s="69">
        <f t="shared" si="5"/>
        <v>327.8</v>
      </c>
      <c r="L24" s="70">
        <f t="shared" si="6"/>
        <v>0</v>
      </c>
      <c r="M24" s="73">
        <v>0.3125</v>
      </c>
      <c r="N24" s="73">
        <v>0.58333333333333337</v>
      </c>
      <c r="O24" s="67">
        <f t="shared" si="7"/>
        <v>6</v>
      </c>
      <c r="P24" s="67">
        <f t="shared" si="8"/>
        <v>6.5000000000000009</v>
      </c>
      <c r="Q24" s="67">
        <f t="shared" si="9"/>
        <v>0</v>
      </c>
      <c r="R24" s="68">
        <v>29</v>
      </c>
      <c r="S24" s="69">
        <f t="shared" si="10"/>
        <v>216.05</v>
      </c>
      <c r="T24" s="69">
        <f t="shared" si="11"/>
        <v>33.238461538461536</v>
      </c>
      <c r="U24" s="69">
        <f t="shared" si="12"/>
        <v>216.05</v>
      </c>
      <c r="V24" s="70">
        <f t="shared" si="13"/>
        <v>0</v>
      </c>
      <c r="W24" s="73">
        <v>0.3125</v>
      </c>
      <c r="X24" s="73">
        <v>0.58333333333333337</v>
      </c>
      <c r="Y24" s="67">
        <f t="shared" si="14"/>
        <v>6</v>
      </c>
      <c r="Z24" s="67">
        <f t="shared" si="15"/>
        <v>6.5000000000000009</v>
      </c>
      <c r="AA24" s="67">
        <f t="shared" si="16"/>
        <v>0</v>
      </c>
      <c r="AB24" s="68">
        <v>52</v>
      </c>
      <c r="AC24" s="69">
        <f t="shared" si="17"/>
        <v>387.40000000000003</v>
      </c>
      <c r="AD24" s="69">
        <f t="shared" si="18"/>
        <v>59.599999999999994</v>
      </c>
      <c r="AE24" s="69">
        <f t="shared" si="19"/>
        <v>387.40000000000003</v>
      </c>
      <c r="AF24" s="70">
        <f t="shared" si="20"/>
        <v>0</v>
      </c>
      <c r="AG24" s="73">
        <v>0.3125</v>
      </c>
      <c r="AH24" s="73">
        <v>0.4861111111111111</v>
      </c>
      <c r="AI24" s="67">
        <f t="shared" si="21"/>
        <v>6</v>
      </c>
      <c r="AJ24" s="67">
        <f t="shared" si="22"/>
        <v>4.1666666666666661</v>
      </c>
      <c r="AK24" s="67">
        <f t="shared" si="23"/>
        <v>2.3333333333333344</v>
      </c>
      <c r="AL24" s="68">
        <v>30</v>
      </c>
      <c r="AM24" s="69">
        <f t="shared" si="24"/>
        <v>223.5</v>
      </c>
      <c r="AN24" s="69">
        <f t="shared" si="25"/>
        <v>53.640000000000008</v>
      </c>
      <c r="AO24" s="69">
        <f t="shared" si="26"/>
        <v>348.66000000000008</v>
      </c>
      <c r="AP24" s="70">
        <f t="shared" si="27"/>
        <v>125.16000000000007</v>
      </c>
      <c r="AQ24" s="67">
        <f t="shared" si="28"/>
        <v>24</v>
      </c>
      <c r="AR24" s="67">
        <f t="shared" si="29"/>
        <v>23.666666666666671</v>
      </c>
      <c r="AS24" s="71">
        <f t="shared" si="30"/>
        <v>2.3333333333333344</v>
      </c>
      <c r="AT24" s="68">
        <f t="shared" si="31"/>
        <v>155</v>
      </c>
      <c r="AU24" s="69">
        <f t="shared" si="32"/>
        <v>1154.75</v>
      </c>
      <c r="AV24" s="70">
        <f t="shared" si="33"/>
        <v>1154.75</v>
      </c>
      <c r="AW24" s="69">
        <f t="shared" si="34"/>
        <v>1279.9100000000001</v>
      </c>
      <c r="AX24" s="70">
        <f t="shared" si="35"/>
        <v>125.16000000000007</v>
      </c>
      <c r="AY24" s="72">
        <f t="shared" si="36"/>
        <v>9.7788125727590269E-2</v>
      </c>
    </row>
    <row r="25" spans="1:51" x14ac:dyDescent="0.35">
      <c r="A25" s="56">
        <v>46222</v>
      </c>
      <c r="B25" s="57" t="s">
        <v>77</v>
      </c>
      <c r="C25" s="57" t="s">
        <v>82</v>
      </c>
      <c r="D25" s="57" t="s">
        <v>82</v>
      </c>
      <c r="E25" s="59">
        <f t="shared" si="0"/>
        <v>0</v>
      </c>
      <c r="F25" s="59">
        <f t="shared" si="1"/>
        <v>0</v>
      </c>
      <c r="G25" s="59">
        <f t="shared" si="2"/>
        <v>0</v>
      </c>
      <c r="H25" s="60">
        <v>0</v>
      </c>
      <c r="I25" s="61">
        <f t="shared" si="3"/>
        <v>0</v>
      </c>
      <c r="J25" s="61">
        <f t="shared" si="4"/>
        <v>0</v>
      </c>
      <c r="K25" s="61">
        <f t="shared" si="5"/>
        <v>0</v>
      </c>
      <c r="L25" s="62">
        <f t="shared" si="6"/>
        <v>0</v>
      </c>
      <c r="M25" s="57" t="s">
        <v>82</v>
      </c>
      <c r="N25" s="57" t="s">
        <v>82</v>
      </c>
      <c r="O25" s="59">
        <f t="shared" si="7"/>
        <v>0</v>
      </c>
      <c r="P25" s="59">
        <f t="shared" si="8"/>
        <v>0</v>
      </c>
      <c r="Q25" s="59">
        <f t="shared" si="9"/>
        <v>0</v>
      </c>
      <c r="R25" s="60">
        <v>0</v>
      </c>
      <c r="S25" s="61">
        <f t="shared" si="10"/>
        <v>0</v>
      </c>
      <c r="T25" s="61">
        <f t="shared" si="11"/>
        <v>0</v>
      </c>
      <c r="U25" s="61">
        <f t="shared" si="12"/>
        <v>0</v>
      </c>
      <c r="V25" s="62">
        <f t="shared" si="13"/>
        <v>0</v>
      </c>
      <c r="W25" s="57" t="s">
        <v>82</v>
      </c>
      <c r="X25" s="57" t="s">
        <v>82</v>
      </c>
      <c r="Y25" s="59">
        <f t="shared" si="14"/>
        <v>0</v>
      </c>
      <c r="Z25" s="59">
        <f t="shared" si="15"/>
        <v>0</v>
      </c>
      <c r="AA25" s="59">
        <f t="shared" si="16"/>
        <v>0</v>
      </c>
      <c r="AB25" s="60">
        <v>0</v>
      </c>
      <c r="AC25" s="61">
        <f t="shared" si="17"/>
        <v>0</v>
      </c>
      <c r="AD25" s="61">
        <f t="shared" si="18"/>
        <v>0</v>
      </c>
      <c r="AE25" s="61">
        <f t="shared" si="19"/>
        <v>0</v>
      </c>
      <c r="AF25" s="62">
        <f t="shared" si="20"/>
        <v>0</v>
      </c>
      <c r="AG25" s="57" t="s">
        <v>82</v>
      </c>
      <c r="AH25" s="57" t="s">
        <v>82</v>
      </c>
      <c r="AI25" s="59">
        <f t="shared" si="21"/>
        <v>0</v>
      </c>
      <c r="AJ25" s="59">
        <f t="shared" si="22"/>
        <v>0</v>
      </c>
      <c r="AK25" s="59">
        <f t="shared" si="23"/>
        <v>0</v>
      </c>
      <c r="AL25" s="60">
        <v>0</v>
      </c>
      <c r="AM25" s="61">
        <f t="shared" si="24"/>
        <v>0</v>
      </c>
      <c r="AN25" s="61">
        <f t="shared" si="25"/>
        <v>0</v>
      </c>
      <c r="AO25" s="61">
        <f t="shared" si="26"/>
        <v>0</v>
      </c>
      <c r="AP25" s="62">
        <f t="shared" si="27"/>
        <v>0</v>
      </c>
      <c r="AQ25" s="59">
        <f t="shared" si="28"/>
        <v>0</v>
      </c>
      <c r="AR25" s="59">
        <f t="shared" si="29"/>
        <v>0</v>
      </c>
      <c r="AS25" s="63">
        <f t="shared" si="30"/>
        <v>0</v>
      </c>
      <c r="AT25" s="60">
        <f t="shared" si="31"/>
        <v>0</v>
      </c>
      <c r="AU25" s="61">
        <f t="shared" si="32"/>
        <v>0</v>
      </c>
      <c r="AV25" s="62">
        <f t="shared" si="33"/>
        <v>0</v>
      </c>
      <c r="AW25" s="61">
        <f t="shared" si="34"/>
        <v>0</v>
      </c>
      <c r="AX25" s="62">
        <f t="shared" si="35"/>
        <v>0</v>
      </c>
      <c r="AY25" s="64">
        <f t="shared" si="36"/>
        <v>0</v>
      </c>
    </row>
    <row r="26" spans="1:51" x14ac:dyDescent="0.35">
      <c r="A26" s="65">
        <v>46223</v>
      </c>
      <c r="B26" s="66" t="s">
        <v>78</v>
      </c>
      <c r="C26" s="73">
        <v>0.29166666666666669</v>
      </c>
      <c r="D26" s="73">
        <v>0.83333333333333337</v>
      </c>
      <c r="E26" s="67">
        <f t="shared" si="0"/>
        <v>12</v>
      </c>
      <c r="F26" s="67">
        <f t="shared" si="1"/>
        <v>13.000000000000002</v>
      </c>
      <c r="G26" s="67">
        <f t="shared" si="2"/>
        <v>0</v>
      </c>
      <c r="H26" s="68">
        <v>106</v>
      </c>
      <c r="I26" s="69">
        <f t="shared" si="3"/>
        <v>789.7</v>
      </c>
      <c r="J26" s="69">
        <f t="shared" si="4"/>
        <v>60.746153846153838</v>
      </c>
      <c r="K26" s="69">
        <f t="shared" si="5"/>
        <v>789.7</v>
      </c>
      <c r="L26" s="70">
        <f t="shared" si="6"/>
        <v>0</v>
      </c>
      <c r="M26" s="73">
        <v>0.29166666666666669</v>
      </c>
      <c r="N26" s="73">
        <v>0.83333333333333337</v>
      </c>
      <c r="O26" s="67">
        <f t="shared" si="7"/>
        <v>12</v>
      </c>
      <c r="P26" s="67">
        <f t="shared" si="8"/>
        <v>13.000000000000002</v>
      </c>
      <c r="Q26" s="67">
        <f t="shared" si="9"/>
        <v>0</v>
      </c>
      <c r="R26" s="68">
        <v>65</v>
      </c>
      <c r="S26" s="69">
        <f t="shared" si="10"/>
        <v>484.25</v>
      </c>
      <c r="T26" s="69">
        <f t="shared" si="11"/>
        <v>37.249999999999993</v>
      </c>
      <c r="U26" s="69">
        <f t="shared" si="12"/>
        <v>484.25</v>
      </c>
      <c r="V26" s="70">
        <f t="shared" si="13"/>
        <v>0</v>
      </c>
      <c r="W26" s="73">
        <v>0.29166666666666669</v>
      </c>
      <c r="X26" s="73">
        <v>0.78819444444444442</v>
      </c>
      <c r="Y26" s="67">
        <f t="shared" si="14"/>
        <v>12</v>
      </c>
      <c r="Z26" s="67">
        <f t="shared" si="15"/>
        <v>11.916666666666666</v>
      </c>
      <c r="AA26" s="67">
        <f t="shared" si="16"/>
        <v>1.0833333333333348</v>
      </c>
      <c r="AB26" s="68">
        <v>100</v>
      </c>
      <c r="AC26" s="69">
        <f t="shared" si="17"/>
        <v>745</v>
      </c>
      <c r="AD26" s="69">
        <f t="shared" si="18"/>
        <v>62.51748251748252</v>
      </c>
      <c r="AE26" s="69">
        <f t="shared" si="19"/>
        <v>812.72727272727286</v>
      </c>
      <c r="AF26" s="70">
        <f t="shared" si="20"/>
        <v>67.727272727272819</v>
      </c>
      <c r="AG26" s="73">
        <v>0.29166666666666669</v>
      </c>
      <c r="AH26" s="73">
        <v>0.78819444444444442</v>
      </c>
      <c r="AI26" s="67">
        <f t="shared" si="21"/>
        <v>12</v>
      </c>
      <c r="AJ26" s="67">
        <f t="shared" si="22"/>
        <v>11.916666666666666</v>
      </c>
      <c r="AK26" s="67">
        <f t="shared" si="23"/>
        <v>1.0833333333333348</v>
      </c>
      <c r="AL26" s="68">
        <v>83</v>
      </c>
      <c r="AM26" s="69">
        <f t="shared" si="24"/>
        <v>618.35</v>
      </c>
      <c r="AN26" s="69">
        <f t="shared" si="25"/>
        <v>51.889510489510492</v>
      </c>
      <c r="AO26" s="69">
        <f t="shared" si="26"/>
        <v>674.56363636363642</v>
      </c>
      <c r="AP26" s="70">
        <f t="shared" si="27"/>
        <v>56.213636363636446</v>
      </c>
      <c r="AQ26" s="67">
        <f t="shared" si="28"/>
        <v>48</v>
      </c>
      <c r="AR26" s="67">
        <f t="shared" si="29"/>
        <v>49.833333333333336</v>
      </c>
      <c r="AS26" s="71">
        <f t="shared" si="30"/>
        <v>2.1666666666666696</v>
      </c>
      <c r="AT26" s="68">
        <f t="shared" si="31"/>
        <v>354</v>
      </c>
      <c r="AU26" s="69">
        <f t="shared" si="32"/>
        <v>2637.3</v>
      </c>
      <c r="AV26" s="70">
        <f t="shared" si="33"/>
        <v>2637.3</v>
      </c>
      <c r="AW26" s="69">
        <f t="shared" si="34"/>
        <v>2761.2409090909091</v>
      </c>
      <c r="AX26" s="70">
        <f t="shared" si="35"/>
        <v>123.94090909090926</v>
      </c>
      <c r="AY26" s="72">
        <f t="shared" si="36"/>
        <v>4.4885945548197262E-2</v>
      </c>
    </row>
    <row r="27" spans="1:51" x14ac:dyDescent="0.35">
      <c r="A27" s="56">
        <v>46224</v>
      </c>
      <c r="B27" s="57" t="s">
        <v>79</v>
      </c>
      <c r="C27" s="58">
        <v>0.29305555555555562</v>
      </c>
      <c r="D27" s="58">
        <v>0.79305555555555551</v>
      </c>
      <c r="E27" s="59">
        <f t="shared" si="0"/>
        <v>12</v>
      </c>
      <c r="F27" s="59">
        <f t="shared" si="1"/>
        <v>11.999999999999996</v>
      </c>
      <c r="G27" s="59">
        <f t="shared" si="2"/>
        <v>0.96666666666666856</v>
      </c>
      <c r="H27" s="60">
        <v>98</v>
      </c>
      <c r="I27" s="61">
        <f t="shared" si="3"/>
        <v>730.1</v>
      </c>
      <c r="J27" s="61">
        <f t="shared" si="4"/>
        <v>60.84166666666669</v>
      </c>
      <c r="K27" s="61">
        <f t="shared" si="5"/>
        <v>788.91361111111132</v>
      </c>
      <c r="L27" s="62">
        <f t="shared" si="6"/>
        <v>58.81361111111125</v>
      </c>
      <c r="M27" s="58">
        <v>0.29305555555555562</v>
      </c>
      <c r="N27" s="58">
        <v>0.79305555555555551</v>
      </c>
      <c r="O27" s="59">
        <f t="shared" si="7"/>
        <v>12</v>
      </c>
      <c r="P27" s="59">
        <f t="shared" si="8"/>
        <v>11.999999999999996</v>
      </c>
      <c r="Q27" s="59">
        <f t="shared" si="9"/>
        <v>0.96666666666666856</v>
      </c>
      <c r="R27" s="60">
        <v>50</v>
      </c>
      <c r="S27" s="61">
        <f t="shared" si="10"/>
        <v>372.5</v>
      </c>
      <c r="T27" s="61">
        <f t="shared" si="11"/>
        <v>31.041666666666675</v>
      </c>
      <c r="U27" s="61">
        <f t="shared" si="12"/>
        <v>402.50694444444451</v>
      </c>
      <c r="V27" s="62">
        <f t="shared" si="13"/>
        <v>30.00694444444451</v>
      </c>
      <c r="W27" s="58">
        <v>0.29305555555555562</v>
      </c>
      <c r="X27" s="58">
        <v>0.79305555555555551</v>
      </c>
      <c r="Y27" s="59">
        <f t="shared" si="14"/>
        <v>12</v>
      </c>
      <c r="Z27" s="59">
        <f t="shared" si="15"/>
        <v>11.999999999999996</v>
      </c>
      <c r="AA27" s="59">
        <f t="shared" si="16"/>
        <v>0.96666666666666856</v>
      </c>
      <c r="AB27" s="60">
        <v>105</v>
      </c>
      <c r="AC27" s="61">
        <f t="shared" si="17"/>
        <v>782.25</v>
      </c>
      <c r="AD27" s="61">
        <f t="shared" si="18"/>
        <v>65.187500000000014</v>
      </c>
      <c r="AE27" s="61">
        <f t="shared" si="19"/>
        <v>845.26458333333346</v>
      </c>
      <c r="AF27" s="62">
        <f t="shared" si="20"/>
        <v>63.014583333333469</v>
      </c>
      <c r="AG27" s="58">
        <v>0.29305555555555562</v>
      </c>
      <c r="AH27" s="58">
        <v>0.83333333333333337</v>
      </c>
      <c r="AI27" s="59">
        <f t="shared" si="21"/>
        <v>12</v>
      </c>
      <c r="AJ27" s="59">
        <f t="shared" si="22"/>
        <v>12.966666666666665</v>
      </c>
      <c r="AK27" s="59">
        <f t="shared" si="23"/>
        <v>0</v>
      </c>
      <c r="AL27" s="60">
        <v>74</v>
      </c>
      <c r="AM27" s="61">
        <f t="shared" si="24"/>
        <v>551.30000000000007</v>
      </c>
      <c r="AN27" s="61">
        <f t="shared" si="25"/>
        <v>42.516709511568131</v>
      </c>
      <c r="AO27" s="61">
        <f t="shared" si="26"/>
        <v>551.30000000000007</v>
      </c>
      <c r="AP27" s="62">
        <f t="shared" si="27"/>
        <v>0</v>
      </c>
      <c r="AQ27" s="59">
        <f t="shared" si="28"/>
        <v>48</v>
      </c>
      <c r="AR27" s="59">
        <f t="shared" si="29"/>
        <v>48.966666666666654</v>
      </c>
      <c r="AS27" s="63">
        <f t="shared" si="30"/>
        <v>2.9000000000000057</v>
      </c>
      <c r="AT27" s="60">
        <f t="shared" si="31"/>
        <v>327</v>
      </c>
      <c r="AU27" s="61">
        <f t="shared" si="32"/>
        <v>2436.15</v>
      </c>
      <c r="AV27" s="62">
        <f t="shared" si="33"/>
        <v>2436.15</v>
      </c>
      <c r="AW27" s="61">
        <f t="shared" si="34"/>
        <v>2587.9851388888897</v>
      </c>
      <c r="AX27" s="62">
        <f t="shared" si="35"/>
        <v>151.83513888888922</v>
      </c>
      <c r="AY27" s="64">
        <f t="shared" si="36"/>
        <v>5.8669246823448616E-2</v>
      </c>
    </row>
    <row r="28" spans="1:51" x14ac:dyDescent="0.35">
      <c r="A28" s="65">
        <v>46225</v>
      </c>
      <c r="B28" s="66" t="s">
        <v>80</v>
      </c>
      <c r="C28" s="73">
        <v>0.29305555555555562</v>
      </c>
      <c r="D28" s="73">
        <v>0.75069444444444444</v>
      </c>
      <c r="E28" s="67">
        <f t="shared" si="0"/>
        <v>12</v>
      </c>
      <c r="F28" s="67">
        <f t="shared" si="1"/>
        <v>10.983333333333331</v>
      </c>
      <c r="G28" s="67">
        <f t="shared" si="2"/>
        <v>1.9833333333333343</v>
      </c>
      <c r="H28" s="68">
        <v>87</v>
      </c>
      <c r="I28" s="69">
        <f t="shared" si="3"/>
        <v>648.15</v>
      </c>
      <c r="J28" s="69">
        <f t="shared" si="4"/>
        <v>59.012139605462835</v>
      </c>
      <c r="K28" s="69">
        <f t="shared" si="5"/>
        <v>765.19074355083467</v>
      </c>
      <c r="L28" s="70">
        <f t="shared" si="6"/>
        <v>117.04074355083468</v>
      </c>
      <c r="M28" s="73">
        <v>0.29305555555555562</v>
      </c>
      <c r="N28" s="73">
        <v>0.82986111111111116</v>
      </c>
      <c r="O28" s="67">
        <f t="shared" si="7"/>
        <v>12</v>
      </c>
      <c r="P28" s="67">
        <f t="shared" si="8"/>
        <v>12.883333333333333</v>
      </c>
      <c r="Q28" s="67">
        <f t="shared" si="9"/>
        <v>8.3333333333333037E-2</v>
      </c>
      <c r="R28" s="68">
        <v>63</v>
      </c>
      <c r="S28" s="69">
        <f t="shared" si="10"/>
        <v>469.35</v>
      </c>
      <c r="T28" s="69">
        <f t="shared" si="11"/>
        <v>36.430789133247096</v>
      </c>
      <c r="U28" s="69">
        <f t="shared" si="12"/>
        <v>472.38589909443726</v>
      </c>
      <c r="V28" s="70">
        <f t="shared" si="13"/>
        <v>3.035899094437247</v>
      </c>
      <c r="W28" s="73">
        <v>0.29305555555555562</v>
      </c>
      <c r="X28" s="73">
        <v>0.82986111111111116</v>
      </c>
      <c r="Y28" s="67">
        <f t="shared" si="14"/>
        <v>12</v>
      </c>
      <c r="Z28" s="67">
        <f t="shared" si="15"/>
        <v>12.883333333333333</v>
      </c>
      <c r="AA28" s="67">
        <f t="shared" si="16"/>
        <v>8.3333333333333037E-2</v>
      </c>
      <c r="AB28" s="68">
        <v>115</v>
      </c>
      <c r="AC28" s="69">
        <f t="shared" si="17"/>
        <v>856.75</v>
      </c>
      <c r="AD28" s="69">
        <f t="shared" si="18"/>
        <v>66.5006468305304</v>
      </c>
      <c r="AE28" s="69">
        <f t="shared" si="19"/>
        <v>862.29172056921084</v>
      </c>
      <c r="AF28" s="70">
        <f t="shared" si="20"/>
        <v>5.5417205692108471</v>
      </c>
      <c r="AG28" s="73">
        <v>0.29305555555555562</v>
      </c>
      <c r="AH28" s="73">
        <v>0.77916666666666667</v>
      </c>
      <c r="AI28" s="67">
        <f t="shared" si="21"/>
        <v>12</v>
      </c>
      <c r="AJ28" s="67">
        <f t="shared" si="22"/>
        <v>11.666666666666664</v>
      </c>
      <c r="AK28" s="67">
        <f t="shared" si="23"/>
        <v>1.3000000000000007</v>
      </c>
      <c r="AL28" s="68">
        <v>80</v>
      </c>
      <c r="AM28" s="69">
        <f t="shared" si="24"/>
        <v>596</v>
      </c>
      <c r="AN28" s="69">
        <f t="shared" si="25"/>
        <v>51.085714285714296</v>
      </c>
      <c r="AO28" s="69">
        <f t="shared" si="26"/>
        <v>662.41142857142859</v>
      </c>
      <c r="AP28" s="70">
        <f t="shared" si="27"/>
        <v>66.411428571428615</v>
      </c>
      <c r="AQ28" s="67">
        <f t="shared" si="28"/>
        <v>48</v>
      </c>
      <c r="AR28" s="67">
        <f t="shared" si="29"/>
        <v>48.416666666666664</v>
      </c>
      <c r="AS28" s="71">
        <f t="shared" si="30"/>
        <v>3.4500000000000011</v>
      </c>
      <c r="AT28" s="68">
        <f t="shared" si="31"/>
        <v>345</v>
      </c>
      <c r="AU28" s="69">
        <f t="shared" si="32"/>
        <v>2570.25</v>
      </c>
      <c r="AV28" s="70">
        <f t="shared" si="33"/>
        <v>2570.25</v>
      </c>
      <c r="AW28" s="69">
        <f t="shared" si="34"/>
        <v>2762.2797917859116</v>
      </c>
      <c r="AX28" s="70">
        <f t="shared" si="35"/>
        <v>192.02979178591139</v>
      </c>
      <c r="AY28" s="72">
        <f t="shared" si="36"/>
        <v>6.9518588362027345E-2</v>
      </c>
    </row>
    <row r="29" spans="1:51" x14ac:dyDescent="0.35">
      <c r="A29" s="56">
        <v>46226</v>
      </c>
      <c r="B29" s="57" t="s">
        <v>81</v>
      </c>
      <c r="C29" s="58">
        <v>0.31736111111111109</v>
      </c>
      <c r="D29" s="58">
        <v>0.79236111111111107</v>
      </c>
      <c r="E29" s="59">
        <f t="shared" si="0"/>
        <v>12</v>
      </c>
      <c r="F29" s="59">
        <f t="shared" si="1"/>
        <v>11.399999999999999</v>
      </c>
      <c r="G29" s="59">
        <f t="shared" si="2"/>
        <v>0.98333333333333517</v>
      </c>
      <c r="H29" s="60">
        <v>89</v>
      </c>
      <c r="I29" s="61">
        <f t="shared" si="3"/>
        <v>663.05000000000007</v>
      </c>
      <c r="J29" s="61">
        <f t="shared" si="4"/>
        <v>58.162280701754398</v>
      </c>
      <c r="K29" s="61">
        <f t="shared" si="5"/>
        <v>720.24290935672536</v>
      </c>
      <c r="L29" s="62">
        <f t="shared" si="6"/>
        <v>57.192909356725266</v>
      </c>
      <c r="M29" s="58">
        <v>0.31736111111111109</v>
      </c>
      <c r="N29" s="58">
        <v>0.81666666666666665</v>
      </c>
      <c r="O29" s="59">
        <f t="shared" si="7"/>
        <v>12</v>
      </c>
      <c r="P29" s="59">
        <f t="shared" si="8"/>
        <v>11.983333333333334</v>
      </c>
      <c r="Q29" s="59">
        <f t="shared" si="9"/>
        <v>0.40000000000000124</v>
      </c>
      <c r="R29" s="60">
        <v>55</v>
      </c>
      <c r="S29" s="61">
        <f t="shared" si="10"/>
        <v>409.75</v>
      </c>
      <c r="T29" s="61">
        <f t="shared" si="11"/>
        <v>34.193324061196101</v>
      </c>
      <c r="U29" s="61">
        <f t="shared" si="12"/>
        <v>423.42732962447849</v>
      </c>
      <c r="V29" s="62">
        <f t="shared" si="13"/>
        <v>13.677329624478483</v>
      </c>
      <c r="W29" s="58">
        <v>0.31736111111111109</v>
      </c>
      <c r="X29" s="58">
        <v>0.79236111111111107</v>
      </c>
      <c r="Y29" s="59">
        <f t="shared" si="14"/>
        <v>12</v>
      </c>
      <c r="Z29" s="59">
        <f t="shared" si="15"/>
        <v>11.399999999999999</v>
      </c>
      <c r="AA29" s="59">
        <f t="shared" si="16"/>
        <v>0.98333333333333517</v>
      </c>
      <c r="AB29" s="60">
        <v>106</v>
      </c>
      <c r="AC29" s="61">
        <f t="shared" si="17"/>
        <v>789.7</v>
      </c>
      <c r="AD29" s="61">
        <f t="shared" si="18"/>
        <v>69.271929824561411</v>
      </c>
      <c r="AE29" s="61">
        <f t="shared" si="19"/>
        <v>857.81739766081887</v>
      </c>
      <c r="AF29" s="62">
        <f t="shared" si="20"/>
        <v>68.117397660818853</v>
      </c>
      <c r="AG29" s="58">
        <v>0.31736111111111109</v>
      </c>
      <c r="AH29" s="58">
        <v>0.79236111111111107</v>
      </c>
      <c r="AI29" s="59">
        <f t="shared" si="21"/>
        <v>12</v>
      </c>
      <c r="AJ29" s="59">
        <f t="shared" si="22"/>
        <v>11.399999999999999</v>
      </c>
      <c r="AK29" s="59">
        <f t="shared" si="23"/>
        <v>0.98333333333333517</v>
      </c>
      <c r="AL29" s="60">
        <v>80</v>
      </c>
      <c r="AM29" s="61">
        <f t="shared" si="24"/>
        <v>596</v>
      </c>
      <c r="AN29" s="61">
        <f t="shared" si="25"/>
        <v>52.280701754385973</v>
      </c>
      <c r="AO29" s="61">
        <f t="shared" si="26"/>
        <v>647.40935672514627</v>
      </c>
      <c r="AP29" s="62">
        <f t="shared" si="27"/>
        <v>51.409356725146303</v>
      </c>
      <c r="AQ29" s="59">
        <f t="shared" si="28"/>
        <v>48</v>
      </c>
      <c r="AR29" s="59">
        <f t="shared" si="29"/>
        <v>46.18333333333333</v>
      </c>
      <c r="AS29" s="63">
        <f t="shared" si="30"/>
        <v>3.3500000000000068</v>
      </c>
      <c r="AT29" s="60">
        <f t="shared" si="31"/>
        <v>330</v>
      </c>
      <c r="AU29" s="61">
        <f t="shared" si="32"/>
        <v>2458.5</v>
      </c>
      <c r="AV29" s="62">
        <f t="shared" si="33"/>
        <v>2458.5</v>
      </c>
      <c r="AW29" s="61">
        <f t="shared" si="34"/>
        <v>2648.8969933671692</v>
      </c>
      <c r="AX29" s="62">
        <f t="shared" si="35"/>
        <v>190.3969933671689</v>
      </c>
      <c r="AY29" s="64">
        <f t="shared" si="36"/>
        <v>7.1877839660780485E-2</v>
      </c>
    </row>
    <row r="30" spans="1:51" x14ac:dyDescent="0.35">
      <c r="A30" s="65">
        <v>46227</v>
      </c>
      <c r="B30" s="66" t="s">
        <v>75</v>
      </c>
      <c r="C30" s="73">
        <v>0.3215277777777778</v>
      </c>
      <c r="D30" s="73">
        <v>0.77569444444444446</v>
      </c>
      <c r="E30" s="67">
        <f t="shared" si="0"/>
        <v>12</v>
      </c>
      <c r="F30" s="67">
        <f t="shared" si="1"/>
        <v>10.9</v>
      </c>
      <c r="G30" s="67">
        <f t="shared" si="2"/>
        <v>1.3833333333333337</v>
      </c>
      <c r="H30" s="68">
        <v>83</v>
      </c>
      <c r="I30" s="69">
        <f t="shared" si="3"/>
        <v>618.35</v>
      </c>
      <c r="J30" s="69">
        <f t="shared" si="4"/>
        <v>56.72935779816514</v>
      </c>
      <c r="K30" s="69">
        <f t="shared" si="5"/>
        <v>696.82561162079514</v>
      </c>
      <c r="L30" s="70">
        <f t="shared" si="6"/>
        <v>78.475611620795135</v>
      </c>
      <c r="M30" s="73">
        <v>0.3215277777777778</v>
      </c>
      <c r="N30" s="73">
        <v>0.83194444444444449</v>
      </c>
      <c r="O30" s="67">
        <f t="shared" si="7"/>
        <v>12</v>
      </c>
      <c r="P30" s="67">
        <f t="shared" si="8"/>
        <v>12.250000000000002</v>
      </c>
      <c r="Q30" s="67">
        <f t="shared" si="9"/>
        <v>3.3333333333333215E-2</v>
      </c>
      <c r="R30" s="68">
        <v>64</v>
      </c>
      <c r="S30" s="69">
        <f t="shared" si="10"/>
        <v>476.8</v>
      </c>
      <c r="T30" s="69">
        <f t="shared" si="11"/>
        <v>38.922448979591834</v>
      </c>
      <c r="U30" s="69">
        <f t="shared" si="12"/>
        <v>478.09741496598639</v>
      </c>
      <c r="V30" s="70">
        <f t="shared" si="13"/>
        <v>1.2974149659863898</v>
      </c>
      <c r="W30" s="73">
        <v>0.3215277777777778</v>
      </c>
      <c r="X30" s="73">
        <v>0.77569444444444446</v>
      </c>
      <c r="Y30" s="67">
        <f t="shared" si="14"/>
        <v>12</v>
      </c>
      <c r="Z30" s="67">
        <f t="shared" si="15"/>
        <v>10.9</v>
      </c>
      <c r="AA30" s="67">
        <f t="shared" si="16"/>
        <v>1.3833333333333337</v>
      </c>
      <c r="AB30" s="68">
        <v>102</v>
      </c>
      <c r="AC30" s="69">
        <f t="shared" si="17"/>
        <v>759.9</v>
      </c>
      <c r="AD30" s="69">
        <f t="shared" si="18"/>
        <v>69.715596330275218</v>
      </c>
      <c r="AE30" s="69">
        <f t="shared" si="19"/>
        <v>856.33990825688068</v>
      </c>
      <c r="AF30" s="70">
        <f t="shared" si="20"/>
        <v>96.439908256880742</v>
      </c>
      <c r="AG30" s="73">
        <v>0.3215277777777778</v>
      </c>
      <c r="AH30" s="73">
        <v>0.77569444444444446</v>
      </c>
      <c r="AI30" s="67">
        <f t="shared" si="21"/>
        <v>12</v>
      </c>
      <c r="AJ30" s="67">
        <f t="shared" si="22"/>
        <v>10.9</v>
      </c>
      <c r="AK30" s="67">
        <f t="shared" si="23"/>
        <v>1.3833333333333337</v>
      </c>
      <c r="AL30" s="68">
        <v>71</v>
      </c>
      <c r="AM30" s="69">
        <f t="shared" si="24"/>
        <v>528.95000000000005</v>
      </c>
      <c r="AN30" s="69">
        <f t="shared" si="25"/>
        <v>48.527522935779821</v>
      </c>
      <c r="AO30" s="69">
        <f t="shared" si="26"/>
        <v>596.07974006116217</v>
      </c>
      <c r="AP30" s="70">
        <f t="shared" si="27"/>
        <v>67.12974006116211</v>
      </c>
      <c r="AQ30" s="67">
        <f t="shared" si="28"/>
        <v>48</v>
      </c>
      <c r="AR30" s="67">
        <f t="shared" si="29"/>
        <v>44.95</v>
      </c>
      <c r="AS30" s="71">
        <f t="shared" si="30"/>
        <v>4.1833333333333345</v>
      </c>
      <c r="AT30" s="68">
        <f t="shared" si="31"/>
        <v>320</v>
      </c>
      <c r="AU30" s="69">
        <f t="shared" si="32"/>
        <v>2384</v>
      </c>
      <c r="AV30" s="70">
        <f t="shared" si="33"/>
        <v>2384</v>
      </c>
      <c r="AW30" s="69">
        <f t="shared" si="34"/>
        <v>2627.3426749048244</v>
      </c>
      <c r="AX30" s="70">
        <f t="shared" si="35"/>
        <v>243.34267490482438</v>
      </c>
      <c r="AY30" s="72">
        <f t="shared" si="36"/>
        <v>9.2619313509852488E-2</v>
      </c>
    </row>
    <row r="31" spans="1:51" x14ac:dyDescent="0.35">
      <c r="A31" s="56">
        <v>46228</v>
      </c>
      <c r="B31" s="57" t="s">
        <v>76</v>
      </c>
      <c r="C31" s="58">
        <v>0.3263888888888889</v>
      </c>
      <c r="D31" s="58">
        <v>0.34375</v>
      </c>
      <c r="E31" s="59">
        <f t="shared" si="0"/>
        <v>6</v>
      </c>
      <c r="F31" s="59">
        <f t="shared" si="1"/>
        <v>0.41666666666666652</v>
      </c>
      <c r="G31" s="59">
        <f t="shared" si="2"/>
        <v>5.7500000000000009</v>
      </c>
      <c r="H31" s="60">
        <v>5</v>
      </c>
      <c r="I31" s="61">
        <f t="shared" si="3"/>
        <v>37.25</v>
      </c>
      <c r="J31" s="61">
        <f t="shared" si="4"/>
        <v>89.400000000000034</v>
      </c>
      <c r="K31" s="61">
        <f t="shared" si="5"/>
        <v>551.3000000000003</v>
      </c>
      <c r="L31" s="62">
        <f t="shared" si="6"/>
        <v>514.0500000000003</v>
      </c>
      <c r="M31" s="58">
        <v>0.3263888888888889</v>
      </c>
      <c r="N31" s="58">
        <v>0.34375</v>
      </c>
      <c r="O31" s="59">
        <f t="shared" si="7"/>
        <v>6</v>
      </c>
      <c r="P31" s="59">
        <f t="shared" si="8"/>
        <v>0.41666666666666652</v>
      </c>
      <c r="Q31" s="59">
        <f t="shared" si="9"/>
        <v>5.7500000000000009</v>
      </c>
      <c r="R31" s="60">
        <v>13</v>
      </c>
      <c r="S31" s="61">
        <f t="shared" si="10"/>
        <v>96.850000000000009</v>
      </c>
      <c r="T31" s="61">
        <f t="shared" si="11"/>
        <v>232.44000000000011</v>
      </c>
      <c r="U31" s="61">
        <f t="shared" si="12"/>
        <v>1433.3800000000008</v>
      </c>
      <c r="V31" s="62">
        <f t="shared" si="13"/>
        <v>1336.5300000000009</v>
      </c>
      <c r="W31" s="58">
        <v>0.3263888888888889</v>
      </c>
      <c r="X31" s="58">
        <v>0.57916666666666672</v>
      </c>
      <c r="Y31" s="59">
        <f t="shared" si="14"/>
        <v>6</v>
      </c>
      <c r="Z31" s="59">
        <f t="shared" si="15"/>
        <v>6.0666666666666682</v>
      </c>
      <c r="AA31" s="59">
        <f t="shared" si="16"/>
        <v>9.9999999999999645E-2</v>
      </c>
      <c r="AB31" s="60">
        <v>58</v>
      </c>
      <c r="AC31" s="61">
        <f t="shared" si="17"/>
        <v>432.1</v>
      </c>
      <c r="AD31" s="61">
        <f t="shared" si="18"/>
        <v>71.225274725274716</v>
      </c>
      <c r="AE31" s="61">
        <f t="shared" si="19"/>
        <v>439.22252747252747</v>
      </c>
      <c r="AF31" s="62">
        <f t="shared" si="20"/>
        <v>7.1225274725274463</v>
      </c>
      <c r="AG31" s="58">
        <v>0.3263888888888889</v>
      </c>
      <c r="AH31" s="58">
        <v>0.34375</v>
      </c>
      <c r="AI31" s="59">
        <f t="shared" si="21"/>
        <v>6</v>
      </c>
      <c r="AJ31" s="59">
        <f t="shared" si="22"/>
        <v>0.41666666666666652</v>
      </c>
      <c r="AK31" s="59">
        <f t="shared" si="23"/>
        <v>5.7500000000000009</v>
      </c>
      <c r="AL31" s="60">
        <v>5</v>
      </c>
      <c r="AM31" s="61">
        <f t="shared" si="24"/>
        <v>37.25</v>
      </c>
      <c r="AN31" s="61">
        <f t="shared" si="25"/>
        <v>89.400000000000034</v>
      </c>
      <c r="AO31" s="61">
        <f t="shared" si="26"/>
        <v>551.3000000000003</v>
      </c>
      <c r="AP31" s="62">
        <f t="shared" si="27"/>
        <v>514.0500000000003</v>
      </c>
      <c r="AQ31" s="59">
        <f t="shared" si="28"/>
        <v>24</v>
      </c>
      <c r="AR31" s="59">
        <f t="shared" si="29"/>
        <v>7.3166666666666682</v>
      </c>
      <c r="AS31" s="63">
        <f t="shared" si="30"/>
        <v>17.350000000000001</v>
      </c>
      <c r="AT31" s="60">
        <f t="shared" si="31"/>
        <v>81</v>
      </c>
      <c r="AU31" s="61">
        <f t="shared" si="32"/>
        <v>603.45000000000005</v>
      </c>
      <c r="AV31" s="62">
        <f t="shared" si="33"/>
        <v>603.45000000000005</v>
      </c>
      <c r="AW31" s="61">
        <f t="shared" si="34"/>
        <v>2975.2025274725288</v>
      </c>
      <c r="AX31" s="62">
        <f t="shared" si="35"/>
        <v>2371.752527472529</v>
      </c>
      <c r="AY31" s="64">
        <f t="shared" si="36"/>
        <v>0.79717347157787</v>
      </c>
    </row>
    <row r="32" spans="1:51" x14ac:dyDescent="0.35">
      <c r="A32" s="65">
        <v>46229</v>
      </c>
      <c r="B32" s="66" t="s">
        <v>77</v>
      </c>
      <c r="C32" s="66" t="s">
        <v>82</v>
      </c>
      <c r="D32" s="66" t="s">
        <v>82</v>
      </c>
      <c r="E32" s="67">
        <f t="shared" si="0"/>
        <v>0</v>
      </c>
      <c r="F32" s="67">
        <f t="shared" si="1"/>
        <v>0</v>
      </c>
      <c r="G32" s="67">
        <f t="shared" si="2"/>
        <v>0</v>
      </c>
      <c r="H32" s="68">
        <v>0</v>
      </c>
      <c r="I32" s="69">
        <f t="shared" si="3"/>
        <v>0</v>
      </c>
      <c r="J32" s="69">
        <f t="shared" si="4"/>
        <v>0</v>
      </c>
      <c r="K32" s="69">
        <f t="shared" si="5"/>
        <v>0</v>
      </c>
      <c r="L32" s="70">
        <f t="shared" si="6"/>
        <v>0</v>
      </c>
      <c r="M32" s="66" t="s">
        <v>82</v>
      </c>
      <c r="N32" s="66" t="s">
        <v>82</v>
      </c>
      <c r="O32" s="67">
        <f t="shared" si="7"/>
        <v>0</v>
      </c>
      <c r="P32" s="67">
        <f t="shared" si="8"/>
        <v>0</v>
      </c>
      <c r="Q32" s="67">
        <f t="shared" si="9"/>
        <v>0</v>
      </c>
      <c r="R32" s="68">
        <v>0</v>
      </c>
      <c r="S32" s="69">
        <f t="shared" si="10"/>
        <v>0</v>
      </c>
      <c r="T32" s="69">
        <f t="shared" si="11"/>
        <v>0</v>
      </c>
      <c r="U32" s="69">
        <f t="shared" si="12"/>
        <v>0</v>
      </c>
      <c r="V32" s="70">
        <f t="shared" si="13"/>
        <v>0</v>
      </c>
      <c r="W32" s="66" t="s">
        <v>82</v>
      </c>
      <c r="X32" s="66" t="s">
        <v>82</v>
      </c>
      <c r="Y32" s="67">
        <f t="shared" si="14"/>
        <v>0</v>
      </c>
      <c r="Z32" s="67">
        <f t="shared" si="15"/>
        <v>0</v>
      </c>
      <c r="AA32" s="67">
        <f t="shared" si="16"/>
        <v>0</v>
      </c>
      <c r="AB32" s="68">
        <v>0</v>
      </c>
      <c r="AC32" s="69">
        <f t="shared" si="17"/>
        <v>0</v>
      </c>
      <c r="AD32" s="69">
        <f t="shared" si="18"/>
        <v>0</v>
      </c>
      <c r="AE32" s="69">
        <f t="shared" si="19"/>
        <v>0</v>
      </c>
      <c r="AF32" s="70">
        <f t="shared" si="20"/>
        <v>0</v>
      </c>
      <c r="AG32" s="66" t="s">
        <v>82</v>
      </c>
      <c r="AH32" s="66" t="s">
        <v>82</v>
      </c>
      <c r="AI32" s="67">
        <f t="shared" si="21"/>
        <v>0</v>
      </c>
      <c r="AJ32" s="67">
        <f t="shared" si="22"/>
        <v>0</v>
      </c>
      <c r="AK32" s="67">
        <f t="shared" si="23"/>
        <v>0</v>
      </c>
      <c r="AL32" s="68">
        <v>0</v>
      </c>
      <c r="AM32" s="69">
        <f t="shared" si="24"/>
        <v>0</v>
      </c>
      <c r="AN32" s="69">
        <f t="shared" si="25"/>
        <v>0</v>
      </c>
      <c r="AO32" s="69">
        <f t="shared" si="26"/>
        <v>0</v>
      </c>
      <c r="AP32" s="70">
        <f t="shared" si="27"/>
        <v>0</v>
      </c>
      <c r="AQ32" s="67">
        <f t="shared" si="28"/>
        <v>0</v>
      </c>
      <c r="AR32" s="67">
        <f t="shared" si="29"/>
        <v>0</v>
      </c>
      <c r="AS32" s="71">
        <f t="shared" si="30"/>
        <v>0</v>
      </c>
      <c r="AT32" s="68">
        <f t="shared" si="31"/>
        <v>0</v>
      </c>
      <c r="AU32" s="69">
        <f t="shared" si="32"/>
        <v>0</v>
      </c>
      <c r="AV32" s="70">
        <f t="shared" si="33"/>
        <v>0</v>
      </c>
      <c r="AW32" s="69">
        <f t="shared" si="34"/>
        <v>0</v>
      </c>
      <c r="AX32" s="70">
        <f t="shared" si="35"/>
        <v>0</v>
      </c>
      <c r="AY32" s="72">
        <f t="shared" si="36"/>
        <v>0</v>
      </c>
    </row>
    <row r="33" spans="1:51" x14ac:dyDescent="0.35">
      <c r="A33" s="56">
        <v>46230</v>
      </c>
      <c r="B33" s="57" t="s">
        <v>78</v>
      </c>
      <c r="C33" s="58">
        <v>0.2986111111111111</v>
      </c>
      <c r="D33" s="58">
        <v>0.83333333333333337</v>
      </c>
      <c r="E33" s="59">
        <f t="shared" si="0"/>
        <v>12</v>
      </c>
      <c r="F33" s="59">
        <f t="shared" si="1"/>
        <v>12.833333333333336</v>
      </c>
      <c r="G33" s="59">
        <f t="shared" si="2"/>
        <v>0</v>
      </c>
      <c r="H33" s="60">
        <v>98</v>
      </c>
      <c r="I33" s="61">
        <f t="shared" si="3"/>
        <v>730.1</v>
      </c>
      <c r="J33" s="61">
        <f t="shared" si="4"/>
        <v>56.890909090909084</v>
      </c>
      <c r="K33" s="61">
        <f t="shared" si="5"/>
        <v>730.1</v>
      </c>
      <c r="L33" s="62">
        <f t="shared" si="6"/>
        <v>0</v>
      </c>
      <c r="M33" s="58">
        <v>0.2986111111111111</v>
      </c>
      <c r="N33" s="58">
        <v>0.83333333333333337</v>
      </c>
      <c r="O33" s="59">
        <f t="shared" si="7"/>
        <v>12</v>
      </c>
      <c r="P33" s="59">
        <f t="shared" si="8"/>
        <v>12.833333333333336</v>
      </c>
      <c r="Q33" s="59">
        <f t="shared" si="9"/>
        <v>0</v>
      </c>
      <c r="R33" s="60">
        <v>82</v>
      </c>
      <c r="S33" s="61">
        <f t="shared" si="10"/>
        <v>610.9</v>
      </c>
      <c r="T33" s="61">
        <f t="shared" si="11"/>
        <v>47.602597402597389</v>
      </c>
      <c r="U33" s="61">
        <f t="shared" si="12"/>
        <v>610.9</v>
      </c>
      <c r="V33" s="62">
        <f t="shared" si="13"/>
        <v>0</v>
      </c>
      <c r="W33" s="58">
        <v>0.2986111111111111</v>
      </c>
      <c r="X33" s="58">
        <v>0.77777777777777779</v>
      </c>
      <c r="Y33" s="59">
        <f t="shared" si="14"/>
        <v>12</v>
      </c>
      <c r="Z33" s="59">
        <f t="shared" si="15"/>
        <v>11.5</v>
      </c>
      <c r="AA33" s="59">
        <f t="shared" si="16"/>
        <v>1.3333333333333339</v>
      </c>
      <c r="AB33" s="60">
        <v>98</v>
      </c>
      <c r="AC33" s="61">
        <f t="shared" si="17"/>
        <v>730.1</v>
      </c>
      <c r="AD33" s="61">
        <f t="shared" si="18"/>
        <v>63.486956521739131</v>
      </c>
      <c r="AE33" s="61">
        <f t="shared" si="19"/>
        <v>814.74927536231894</v>
      </c>
      <c r="AF33" s="62">
        <f t="shared" si="20"/>
        <v>84.649275362318875</v>
      </c>
      <c r="AG33" s="58">
        <v>0.2986111111111111</v>
      </c>
      <c r="AH33" s="58">
        <v>0.77777777777777779</v>
      </c>
      <c r="AI33" s="59">
        <f t="shared" si="21"/>
        <v>12</v>
      </c>
      <c r="AJ33" s="59">
        <f t="shared" si="22"/>
        <v>11.5</v>
      </c>
      <c r="AK33" s="59">
        <f t="shared" si="23"/>
        <v>1.3333333333333339</v>
      </c>
      <c r="AL33" s="60">
        <v>87</v>
      </c>
      <c r="AM33" s="61">
        <f t="shared" si="24"/>
        <v>648.15</v>
      </c>
      <c r="AN33" s="61">
        <f t="shared" si="25"/>
        <v>56.360869565217392</v>
      </c>
      <c r="AO33" s="61">
        <f t="shared" si="26"/>
        <v>723.29782608695655</v>
      </c>
      <c r="AP33" s="62">
        <f t="shared" si="27"/>
        <v>75.147826086956556</v>
      </c>
      <c r="AQ33" s="59">
        <f t="shared" si="28"/>
        <v>48</v>
      </c>
      <c r="AR33" s="59">
        <f t="shared" si="29"/>
        <v>48.666666666666671</v>
      </c>
      <c r="AS33" s="63">
        <f t="shared" si="30"/>
        <v>2.6666666666666679</v>
      </c>
      <c r="AT33" s="60">
        <f t="shared" si="31"/>
        <v>365</v>
      </c>
      <c r="AU33" s="61">
        <f t="shared" si="32"/>
        <v>2719.25</v>
      </c>
      <c r="AV33" s="62">
        <f t="shared" si="33"/>
        <v>2719.25</v>
      </c>
      <c r="AW33" s="61">
        <f t="shared" si="34"/>
        <v>2879.0471014492759</v>
      </c>
      <c r="AX33" s="62">
        <f t="shared" si="35"/>
        <v>159.79710144927543</v>
      </c>
      <c r="AY33" s="64">
        <f t="shared" si="36"/>
        <v>5.5503468966810438E-2</v>
      </c>
    </row>
    <row r="34" spans="1:51" x14ac:dyDescent="0.35">
      <c r="A34" s="65">
        <v>46231</v>
      </c>
      <c r="B34" s="66" t="s">
        <v>79</v>
      </c>
      <c r="C34" s="73">
        <v>0.3125</v>
      </c>
      <c r="D34" s="73">
        <v>0.76111111111111107</v>
      </c>
      <c r="E34" s="67">
        <f t="shared" si="0"/>
        <v>12</v>
      </c>
      <c r="F34" s="67">
        <f t="shared" si="1"/>
        <v>10.766666666666666</v>
      </c>
      <c r="G34" s="67">
        <f t="shared" si="2"/>
        <v>1.7333333333333352</v>
      </c>
      <c r="H34" s="68">
        <v>74</v>
      </c>
      <c r="I34" s="69">
        <f t="shared" si="3"/>
        <v>551.30000000000007</v>
      </c>
      <c r="J34" s="69">
        <f t="shared" si="4"/>
        <v>51.204334365325089</v>
      </c>
      <c r="K34" s="69">
        <f t="shared" si="5"/>
        <v>640.05417956656368</v>
      </c>
      <c r="L34" s="70">
        <f t="shared" si="6"/>
        <v>88.754179566563579</v>
      </c>
      <c r="M34" s="73">
        <v>0.3125</v>
      </c>
      <c r="N34" s="73">
        <v>0.8354166666666667</v>
      </c>
      <c r="O34" s="67">
        <f t="shared" si="7"/>
        <v>12</v>
      </c>
      <c r="P34" s="67">
        <f t="shared" si="8"/>
        <v>12.55</v>
      </c>
      <c r="Q34" s="67">
        <f t="shared" si="9"/>
        <v>0</v>
      </c>
      <c r="R34" s="68">
        <v>82</v>
      </c>
      <c r="S34" s="69">
        <f t="shared" si="10"/>
        <v>610.9</v>
      </c>
      <c r="T34" s="69">
        <f t="shared" si="11"/>
        <v>48.677290836653384</v>
      </c>
      <c r="U34" s="69">
        <f t="shared" si="12"/>
        <v>610.9</v>
      </c>
      <c r="V34" s="70">
        <f t="shared" si="13"/>
        <v>0</v>
      </c>
      <c r="W34" s="73">
        <v>0.3125</v>
      </c>
      <c r="X34" s="73">
        <v>0.8354166666666667</v>
      </c>
      <c r="Y34" s="67">
        <f t="shared" si="14"/>
        <v>12</v>
      </c>
      <c r="Z34" s="67">
        <f t="shared" si="15"/>
        <v>12.55</v>
      </c>
      <c r="AA34" s="67">
        <f t="shared" si="16"/>
        <v>0</v>
      </c>
      <c r="AB34" s="68">
        <v>111</v>
      </c>
      <c r="AC34" s="69">
        <f t="shared" si="17"/>
        <v>826.95</v>
      </c>
      <c r="AD34" s="69">
        <f t="shared" si="18"/>
        <v>65.892430278884461</v>
      </c>
      <c r="AE34" s="69">
        <f t="shared" si="19"/>
        <v>826.95</v>
      </c>
      <c r="AF34" s="70">
        <f t="shared" si="20"/>
        <v>0</v>
      </c>
      <c r="AG34" s="73">
        <v>0.3125</v>
      </c>
      <c r="AH34" s="73">
        <v>0.76111111111111107</v>
      </c>
      <c r="AI34" s="67">
        <f t="shared" si="21"/>
        <v>12</v>
      </c>
      <c r="AJ34" s="67">
        <f t="shared" si="22"/>
        <v>10.766666666666666</v>
      </c>
      <c r="AK34" s="67">
        <f t="shared" si="23"/>
        <v>1.7333333333333352</v>
      </c>
      <c r="AL34" s="68">
        <v>94</v>
      </c>
      <c r="AM34" s="69">
        <f t="shared" si="24"/>
        <v>700.30000000000007</v>
      </c>
      <c r="AN34" s="69">
        <f t="shared" si="25"/>
        <v>65.043343653250787</v>
      </c>
      <c r="AO34" s="69">
        <f t="shared" si="26"/>
        <v>813.04179566563494</v>
      </c>
      <c r="AP34" s="70">
        <f t="shared" si="27"/>
        <v>112.74179566563481</v>
      </c>
      <c r="AQ34" s="67">
        <f t="shared" si="28"/>
        <v>48</v>
      </c>
      <c r="AR34" s="67">
        <f t="shared" si="29"/>
        <v>46.633333333333333</v>
      </c>
      <c r="AS34" s="71">
        <f t="shared" si="30"/>
        <v>3.4666666666666703</v>
      </c>
      <c r="AT34" s="68">
        <f t="shared" si="31"/>
        <v>361</v>
      </c>
      <c r="AU34" s="69">
        <f t="shared" si="32"/>
        <v>2689.4500000000003</v>
      </c>
      <c r="AV34" s="70">
        <f t="shared" si="33"/>
        <v>2689.4500000000003</v>
      </c>
      <c r="AW34" s="69">
        <f t="shared" si="34"/>
        <v>2890.9459752321982</v>
      </c>
      <c r="AX34" s="70">
        <f t="shared" si="35"/>
        <v>201.49597523219839</v>
      </c>
      <c r="AY34" s="72">
        <f t="shared" si="36"/>
        <v>6.9698976376068186E-2</v>
      </c>
    </row>
    <row r="35" spans="1:51" x14ac:dyDescent="0.35">
      <c r="A35" s="56">
        <v>46232</v>
      </c>
      <c r="B35" s="57" t="s">
        <v>80</v>
      </c>
      <c r="C35" s="58">
        <v>0.31319444444444439</v>
      </c>
      <c r="D35" s="58">
        <v>0.83333333333333337</v>
      </c>
      <c r="E35" s="59">
        <f t="shared" si="0"/>
        <v>12</v>
      </c>
      <c r="F35" s="59">
        <f t="shared" si="1"/>
        <v>12.483333333333334</v>
      </c>
      <c r="G35" s="59">
        <f t="shared" si="2"/>
        <v>0</v>
      </c>
      <c r="H35" s="60">
        <v>79</v>
      </c>
      <c r="I35" s="61">
        <f t="shared" si="3"/>
        <v>588.55000000000007</v>
      </c>
      <c r="J35" s="61">
        <f t="shared" si="4"/>
        <v>47.146862483311082</v>
      </c>
      <c r="K35" s="61">
        <f t="shared" si="5"/>
        <v>588.55000000000007</v>
      </c>
      <c r="L35" s="62">
        <f t="shared" si="6"/>
        <v>0</v>
      </c>
      <c r="M35" s="58">
        <v>0.31319444444444439</v>
      </c>
      <c r="N35" s="58">
        <v>0.80694444444444446</v>
      </c>
      <c r="O35" s="59">
        <f t="shared" si="7"/>
        <v>12</v>
      </c>
      <c r="P35" s="59">
        <f t="shared" si="8"/>
        <v>11.850000000000001</v>
      </c>
      <c r="Q35" s="59">
        <f t="shared" si="9"/>
        <v>0.63333333333333375</v>
      </c>
      <c r="R35" s="60">
        <v>79</v>
      </c>
      <c r="S35" s="61">
        <f t="shared" si="10"/>
        <v>588.55000000000007</v>
      </c>
      <c r="T35" s="61">
        <f t="shared" si="11"/>
        <v>49.666666666666664</v>
      </c>
      <c r="U35" s="61">
        <f t="shared" si="12"/>
        <v>620.00555555555559</v>
      </c>
      <c r="V35" s="62">
        <f t="shared" si="13"/>
        <v>31.455555555555573</v>
      </c>
      <c r="W35" s="58">
        <v>0.31319444444444439</v>
      </c>
      <c r="X35" s="58">
        <v>0.80694444444444446</v>
      </c>
      <c r="Y35" s="59">
        <f t="shared" si="14"/>
        <v>12</v>
      </c>
      <c r="Z35" s="59">
        <f t="shared" si="15"/>
        <v>11.850000000000001</v>
      </c>
      <c r="AA35" s="59">
        <f t="shared" si="16"/>
        <v>0.63333333333333375</v>
      </c>
      <c r="AB35" s="60">
        <v>104</v>
      </c>
      <c r="AC35" s="61">
        <f t="shared" si="17"/>
        <v>774.80000000000007</v>
      </c>
      <c r="AD35" s="61">
        <f t="shared" si="18"/>
        <v>65.383966244725741</v>
      </c>
      <c r="AE35" s="61">
        <f t="shared" si="19"/>
        <v>816.20984528832639</v>
      </c>
      <c r="AF35" s="62">
        <f t="shared" si="20"/>
        <v>41.409845288326331</v>
      </c>
      <c r="AG35" s="58">
        <v>0.31319444444444439</v>
      </c>
      <c r="AH35" s="58">
        <v>0.83333333333333337</v>
      </c>
      <c r="AI35" s="59">
        <f t="shared" si="21"/>
        <v>12</v>
      </c>
      <c r="AJ35" s="59">
        <f t="shared" si="22"/>
        <v>12.483333333333334</v>
      </c>
      <c r="AK35" s="59">
        <f t="shared" si="23"/>
        <v>0</v>
      </c>
      <c r="AL35" s="60">
        <v>97</v>
      </c>
      <c r="AM35" s="61">
        <f t="shared" si="24"/>
        <v>722.65</v>
      </c>
      <c r="AN35" s="61">
        <f t="shared" si="25"/>
        <v>57.88918558077436</v>
      </c>
      <c r="AO35" s="61">
        <f t="shared" si="26"/>
        <v>722.65</v>
      </c>
      <c r="AP35" s="62">
        <f t="shared" si="27"/>
        <v>0</v>
      </c>
      <c r="AQ35" s="59">
        <f t="shared" si="28"/>
        <v>48</v>
      </c>
      <c r="AR35" s="59">
        <f t="shared" si="29"/>
        <v>48.666666666666671</v>
      </c>
      <c r="AS35" s="63">
        <f t="shared" si="30"/>
        <v>1.2666666666666675</v>
      </c>
      <c r="AT35" s="60">
        <f t="shared" si="31"/>
        <v>359</v>
      </c>
      <c r="AU35" s="61">
        <f t="shared" si="32"/>
        <v>2674.55</v>
      </c>
      <c r="AV35" s="62">
        <f t="shared" si="33"/>
        <v>2674.55</v>
      </c>
      <c r="AW35" s="61">
        <f t="shared" si="34"/>
        <v>2747.4154008438823</v>
      </c>
      <c r="AX35" s="62">
        <f t="shared" si="35"/>
        <v>72.865400843881901</v>
      </c>
      <c r="AY35" s="64">
        <f t="shared" si="36"/>
        <v>2.6521435681513952E-2</v>
      </c>
    </row>
    <row r="36" spans="1:51" x14ac:dyDescent="0.35">
      <c r="A36" s="65">
        <v>46233</v>
      </c>
      <c r="B36" s="66" t="s">
        <v>81</v>
      </c>
      <c r="C36" s="73">
        <v>0.3125</v>
      </c>
      <c r="D36" s="73">
        <v>0.76597222222222228</v>
      </c>
      <c r="E36" s="67">
        <f t="shared" si="0"/>
        <v>12</v>
      </c>
      <c r="F36" s="67">
        <f t="shared" si="1"/>
        <v>10.883333333333335</v>
      </c>
      <c r="G36" s="67">
        <f t="shared" si="2"/>
        <v>1.6166666666666663</v>
      </c>
      <c r="H36" s="68">
        <v>76</v>
      </c>
      <c r="I36" s="69">
        <f t="shared" si="3"/>
        <v>566.20000000000005</v>
      </c>
      <c r="J36" s="69">
        <f t="shared" si="4"/>
        <v>52.024502297090351</v>
      </c>
      <c r="K36" s="69">
        <f t="shared" si="5"/>
        <v>650.30627871362947</v>
      </c>
      <c r="L36" s="70">
        <f t="shared" si="6"/>
        <v>84.106278713629379</v>
      </c>
      <c r="M36" s="73">
        <v>0.3125</v>
      </c>
      <c r="N36" s="73">
        <v>0.83333333333333337</v>
      </c>
      <c r="O36" s="67">
        <f t="shared" si="7"/>
        <v>12</v>
      </c>
      <c r="P36" s="67">
        <f t="shared" si="8"/>
        <v>12.5</v>
      </c>
      <c r="Q36" s="67">
        <f t="shared" si="9"/>
        <v>0</v>
      </c>
      <c r="R36" s="68">
        <v>80</v>
      </c>
      <c r="S36" s="69">
        <f t="shared" si="10"/>
        <v>596</v>
      </c>
      <c r="T36" s="69">
        <f t="shared" si="11"/>
        <v>47.68</v>
      </c>
      <c r="U36" s="69">
        <f t="shared" si="12"/>
        <v>596</v>
      </c>
      <c r="V36" s="70">
        <f t="shared" si="13"/>
        <v>0</v>
      </c>
      <c r="W36" s="73">
        <v>0.3125</v>
      </c>
      <c r="X36" s="73">
        <v>0.79652777777777772</v>
      </c>
      <c r="Y36" s="67">
        <f t="shared" si="14"/>
        <v>12</v>
      </c>
      <c r="Z36" s="67">
        <f t="shared" si="15"/>
        <v>11.616666666666665</v>
      </c>
      <c r="AA36" s="67">
        <f t="shared" si="16"/>
        <v>0.88333333333333552</v>
      </c>
      <c r="AB36" s="68">
        <v>102</v>
      </c>
      <c r="AC36" s="69">
        <f t="shared" si="17"/>
        <v>759.9</v>
      </c>
      <c r="AD36" s="69">
        <f t="shared" si="18"/>
        <v>65.41463414634147</v>
      </c>
      <c r="AE36" s="69">
        <f t="shared" si="19"/>
        <v>817.68292682926847</v>
      </c>
      <c r="AF36" s="70">
        <f t="shared" si="20"/>
        <v>57.78292682926844</v>
      </c>
      <c r="AG36" s="73">
        <v>0.3125</v>
      </c>
      <c r="AH36" s="73">
        <v>0.76597222222222228</v>
      </c>
      <c r="AI36" s="67">
        <f t="shared" si="21"/>
        <v>12</v>
      </c>
      <c r="AJ36" s="67">
        <f t="shared" si="22"/>
        <v>10.883333333333335</v>
      </c>
      <c r="AK36" s="67">
        <f t="shared" si="23"/>
        <v>1.6166666666666663</v>
      </c>
      <c r="AL36" s="68">
        <v>91</v>
      </c>
      <c r="AM36" s="69">
        <f t="shared" si="24"/>
        <v>677.95</v>
      </c>
      <c r="AN36" s="69">
        <f t="shared" si="25"/>
        <v>62.292496171516078</v>
      </c>
      <c r="AO36" s="69">
        <f t="shared" si="26"/>
        <v>778.65620214395096</v>
      </c>
      <c r="AP36" s="70">
        <f t="shared" si="27"/>
        <v>100.70620214395096</v>
      </c>
      <c r="AQ36" s="67">
        <f t="shared" si="28"/>
        <v>48</v>
      </c>
      <c r="AR36" s="67">
        <f t="shared" si="29"/>
        <v>45.883333333333333</v>
      </c>
      <c r="AS36" s="71">
        <f t="shared" si="30"/>
        <v>4.116666666666668</v>
      </c>
      <c r="AT36" s="68">
        <f t="shared" si="31"/>
        <v>349</v>
      </c>
      <c r="AU36" s="69">
        <f t="shared" si="32"/>
        <v>2600.0500000000002</v>
      </c>
      <c r="AV36" s="70">
        <f t="shared" si="33"/>
        <v>2600.0500000000002</v>
      </c>
      <c r="AW36" s="69">
        <f t="shared" si="34"/>
        <v>2842.645407686849</v>
      </c>
      <c r="AX36" s="70">
        <f t="shared" si="35"/>
        <v>242.59540768684877</v>
      </c>
      <c r="AY36" s="72">
        <f t="shared" si="36"/>
        <v>8.5341424234919389E-2</v>
      </c>
    </row>
    <row r="37" spans="1:51" x14ac:dyDescent="0.35">
      <c r="A37" s="56">
        <v>46234</v>
      </c>
      <c r="B37" s="57" t="s">
        <v>75</v>
      </c>
      <c r="C37" s="58">
        <v>0.31597222222222221</v>
      </c>
      <c r="D37" s="58">
        <v>0.83333333333333337</v>
      </c>
      <c r="E37" s="59">
        <f t="shared" si="0"/>
        <v>12</v>
      </c>
      <c r="F37" s="59">
        <f t="shared" si="1"/>
        <v>12.416666666666668</v>
      </c>
      <c r="G37" s="59">
        <f t="shared" si="2"/>
        <v>0</v>
      </c>
      <c r="H37" s="60">
        <v>30</v>
      </c>
      <c r="I37" s="61">
        <f t="shared" si="3"/>
        <v>223.5</v>
      </c>
      <c r="J37" s="61">
        <f t="shared" si="4"/>
        <v>18</v>
      </c>
      <c r="K37" s="61">
        <f t="shared" si="5"/>
        <v>223.5</v>
      </c>
      <c r="L37" s="62">
        <f t="shared" si="6"/>
        <v>0</v>
      </c>
      <c r="M37" s="58">
        <v>0.31597222222222221</v>
      </c>
      <c r="N37" s="58">
        <v>0.7895833333333333</v>
      </c>
      <c r="O37" s="59">
        <f t="shared" si="7"/>
        <v>12</v>
      </c>
      <c r="P37" s="59">
        <f t="shared" si="8"/>
        <v>11.366666666666667</v>
      </c>
      <c r="Q37" s="59">
        <f t="shared" si="9"/>
        <v>1.0500000000000016</v>
      </c>
      <c r="R37" s="60">
        <v>27</v>
      </c>
      <c r="S37" s="61">
        <f t="shared" si="10"/>
        <v>201.15</v>
      </c>
      <c r="T37" s="61">
        <f t="shared" si="11"/>
        <v>17.696480938416421</v>
      </c>
      <c r="U37" s="61">
        <f t="shared" si="12"/>
        <v>219.73130498533726</v>
      </c>
      <c r="V37" s="62">
        <f t="shared" si="13"/>
        <v>18.581304985337269</v>
      </c>
      <c r="W37" s="58">
        <v>0.31597222222222221</v>
      </c>
      <c r="X37" s="58">
        <v>0.77361111111111114</v>
      </c>
      <c r="Y37" s="59">
        <f t="shared" si="14"/>
        <v>12</v>
      </c>
      <c r="Z37" s="59">
        <f t="shared" si="15"/>
        <v>10.983333333333334</v>
      </c>
      <c r="AA37" s="59">
        <f t="shared" si="16"/>
        <v>1.4333333333333336</v>
      </c>
      <c r="AB37" s="60">
        <v>32</v>
      </c>
      <c r="AC37" s="61">
        <f t="shared" si="17"/>
        <v>238.4</v>
      </c>
      <c r="AD37" s="61">
        <f t="shared" si="18"/>
        <v>21.705614567526553</v>
      </c>
      <c r="AE37" s="61">
        <f t="shared" si="19"/>
        <v>269.51138088012141</v>
      </c>
      <c r="AF37" s="62">
        <f t="shared" si="20"/>
        <v>31.111380880121398</v>
      </c>
      <c r="AG37" s="58">
        <v>0.31597222222222221</v>
      </c>
      <c r="AH37" s="58">
        <v>0.77361111111111114</v>
      </c>
      <c r="AI37" s="59">
        <f t="shared" si="21"/>
        <v>12</v>
      </c>
      <c r="AJ37" s="59">
        <f t="shared" si="22"/>
        <v>10.983333333333334</v>
      </c>
      <c r="AK37" s="59">
        <f t="shared" si="23"/>
        <v>1.4333333333333336</v>
      </c>
      <c r="AL37" s="60">
        <v>34</v>
      </c>
      <c r="AM37" s="61">
        <f t="shared" si="24"/>
        <v>253.3</v>
      </c>
      <c r="AN37" s="61">
        <f t="shared" si="25"/>
        <v>23.062215477996965</v>
      </c>
      <c r="AO37" s="61">
        <f t="shared" si="26"/>
        <v>286.35584218512901</v>
      </c>
      <c r="AP37" s="62">
        <f t="shared" si="27"/>
        <v>33.055842185128988</v>
      </c>
      <c r="AQ37" s="59">
        <f t="shared" si="28"/>
        <v>48</v>
      </c>
      <c r="AR37" s="59">
        <f t="shared" si="29"/>
        <v>45.75</v>
      </c>
      <c r="AS37" s="63">
        <f t="shared" si="30"/>
        <v>3.9166666666666687</v>
      </c>
      <c r="AT37" s="60">
        <f t="shared" si="31"/>
        <v>123</v>
      </c>
      <c r="AU37" s="61">
        <f t="shared" si="32"/>
        <v>916.35</v>
      </c>
      <c r="AV37" s="62">
        <f t="shared" si="33"/>
        <v>916.34999999999991</v>
      </c>
      <c r="AW37" s="61">
        <f t="shared" si="34"/>
        <v>999.09852805058767</v>
      </c>
      <c r="AX37" s="62">
        <f t="shared" si="35"/>
        <v>82.748528050587652</v>
      </c>
      <c r="AY37" s="64">
        <f t="shared" si="36"/>
        <v>8.282319083388523E-2</v>
      </c>
    </row>
    <row r="38" spans="1:51" ht="15" x14ac:dyDescent="0.4">
      <c r="A38" s="74" t="s">
        <v>83</v>
      </c>
      <c r="B38" s="75"/>
      <c r="C38" s="76"/>
      <c r="D38" s="76"/>
      <c r="E38" s="77">
        <f>SUM(E7:E37)</f>
        <v>300</v>
      </c>
      <c r="F38" s="77">
        <f>SUM(F7:F37)</f>
        <v>294.70000000000005</v>
      </c>
      <c r="G38" s="77">
        <f>SUM(G7:G37)</f>
        <v>24.26666666666668</v>
      </c>
      <c r="H38" s="78">
        <f>SUM(H7:H37)</f>
        <v>2166</v>
      </c>
      <c r="I38" s="79">
        <f>SUM(I7:I37)</f>
        <v>16136.699999999999</v>
      </c>
      <c r="J38" s="79">
        <f>AVERAGE(J7:J37)</f>
        <v>48.801889421185393</v>
      </c>
      <c r="K38" s="79">
        <f>SUM(K7:K37)</f>
        <v>17696.831425701195</v>
      </c>
      <c r="L38" s="79">
        <f>SUM(L7:L37)</f>
        <v>1560.1314257011927</v>
      </c>
      <c r="M38" s="76"/>
      <c r="N38" s="76"/>
      <c r="O38" s="77">
        <f>SUM(O7:O37)</f>
        <v>300</v>
      </c>
      <c r="P38" s="77">
        <f>SUM(P7:P37)</f>
        <v>305.05</v>
      </c>
      <c r="Q38" s="77">
        <f>SUM(Q7:Q37)</f>
        <v>14.000000000000014</v>
      </c>
      <c r="R38" s="78">
        <f>SUM(R7:R37)</f>
        <v>1510</v>
      </c>
      <c r="S38" s="79">
        <f>SUM(S7:S37)</f>
        <v>11249.499999999998</v>
      </c>
      <c r="T38" s="79">
        <f>AVERAGE(T7:T37)</f>
        <v>38.078877005151384</v>
      </c>
      <c r="U38" s="79">
        <f>SUM(U7:U37)</f>
        <v>12853.579057363571</v>
      </c>
      <c r="V38" s="79">
        <f>SUM(V7:V37)</f>
        <v>1604.0790573635707</v>
      </c>
      <c r="W38" s="76"/>
      <c r="X38" s="76"/>
      <c r="Y38" s="77">
        <f>SUM(Y7:Y37)</f>
        <v>300</v>
      </c>
      <c r="Z38" s="77">
        <f>SUM(Z7:Z37)</f>
        <v>292.75000000000006</v>
      </c>
      <c r="AA38" s="77">
        <f>SUM(AA7:AA37)</f>
        <v>26.283333333333346</v>
      </c>
      <c r="AB38" s="78">
        <f>SUM(AB7:AB37)</f>
        <v>2496</v>
      </c>
      <c r="AC38" s="79">
        <f>SUM(AC7:AC37)</f>
        <v>18595.2</v>
      </c>
      <c r="AD38" s="79">
        <f>AVERAGE(AD7:AD37)</f>
        <v>55.389946469676431</v>
      </c>
      <c r="AE38" s="79">
        <f>SUM(AE7:AE37)</f>
        <v>20240.413741719116</v>
      </c>
      <c r="AF38" s="79">
        <f>SUM(AF7:AF37)</f>
        <v>1645.2137417191141</v>
      </c>
      <c r="AG38" s="76"/>
      <c r="AH38" s="76"/>
      <c r="AI38" s="77">
        <f>SUM(AI7:AI37)</f>
        <v>300</v>
      </c>
      <c r="AJ38" s="77">
        <f>SUM(AJ7:AJ37)</f>
        <v>278.83333333333337</v>
      </c>
      <c r="AK38" s="77">
        <f>SUM(AK7:AK37)</f>
        <v>39.700000000000017</v>
      </c>
      <c r="AL38" s="78">
        <f>SUM(AL7:AL37)</f>
        <v>2131</v>
      </c>
      <c r="AM38" s="79">
        <f>SUM(AM7:AM37)</f>
        <v>15875.949999999999</v>
      </c>
      <c r="AN38" s="79">
        <f>AVERAGE(AN7:AN37)</f>
        <v>50.865898609050866</v>
      </c>
      <c r="AO38" s="79">
        <f t="shared" ref="AO38:AX38" si="37">SUM(AO7:AO37)</f>
        <v>18348.916071508847</v>
      </c>
      <c r="AP38" s="79">
        <f t="shared" si="37"/>
        <v>2472.9660715088462</v>
      </c>
      <c r="AQ38" s="77">
        <f t="shared" si="37"/>
        <v>1200</v>
      </c>
      <c r="AR38" s="77">
        <f t="shared" si="37"/>
        <v>1171.3333333333335</v>
      </c>
      <c r="AS38" s="77">
        <f t="shared" si="37"/>
        <v>104.25000000000007</v>
      </c>
      <c r="AT38" s="78">
        <f t="shared" si="37"/>
        <v>8303</v>
      </c>
      <c r="AU38" s="79">
        <f t="shared" si="37"/>
        <v>61857.350000000006</v>
      </c>
      <c r="AV38" s="79">
        <f t="shared" si="37"/>
        <v>61857.350000000006</v>
      </c>
      <c r="AW38" s="79">
        <f t="shared" si="37"/>
        <v>69139.74029629273</v>
      </c>
      <c r="AX38" s="79">
        <f t="shared" si="37"/>
        <v>7282.3902962927223</v>
      </c>
      <c r="AY38" s="80">
        <f>AVERAGE(AY7:AY37)</f>
        <v>8.6038871460322283E-2</v>
      </c>
    </row>
  </sheetData>
  <mergeCells count="7">
    <mergeCell ref="AQ5:AY5"/>
    <mergeCell ref="A5:B5"/>
    <mergeCell ref="C5:L5"/>
    <mergeCell ref="AG5:AP5"/>
    <mergeCell ref="A38:B38"/>
    <mergeCell ref="W5:AF5"/>
    <mergeCell ref="M5:V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Y38"/>
  <sheetViews>
    <sheetView topLeftCell="A3" workbookViewId="0">
      <selection activeCell="H9" sqref="H9"/>
    </sheetView>
  </sheetViews>
  <sheetFormatPr defaultRowHeight="14.5" x14ac:dyDescent="0.35"/>
  <cols>
    <col min="1" max="1" width="9.36328125" bestFit="1" customWidth="1"/>
    <col min="2" max="2" width="4.1796875" bestFit="1" customWidth="1"/>
    <col min="3" max="3" width="7.26953125" bestFit="1" customWidth="1"/>
    <col min="4" max="4" width="7.7265625" bestFit="1" customWidth="1"/>
    <col min="5" max="5" width="8.08984375" bestFit="1" customWidth="1"/>
    <col min="6" max="6" width="11.6328125" bestFit="1" customWidth="1"/>
    <col min="7" max="7" width="8.08984375" bestFit="1" customWidth="1"/>
    <col min="8" max="8" width="15.90625" bestFit="1" customWidth="1"/>
    <col min="9" max="9" width="12.26953125" bestFit="1" customWidth="1"/>
    <col min="10" max="10" width="10.6328125" bestFit="1" customWidth="1"/>
    <col min="11" max="11" width="14.08984375" bestFit="1" customWidth="1"/>
    <col min="12" max="12" width="12" bestFit="1" customWidth="1"/>
    <col min="13" max="13" width="7.26953125" bestFit="1" customWidth="1"/>
    <col min="14" max="14" width="7.7265625" bestFit="1" customWidth="1"/>
    <col min="15" max="15" width="8.08984375" bestFit="1" customWidth="1"/>
    <col min="16" max="16" width="11.6328125" bestFit="1" customWidth="1"/>
    <col min="17" max="17" width="8.08984375" bestFit="1" customWidth="1"/>
    <col min="18" max="18" width="15.90625" bestFit="1" customWidth="1"/>
    <col min="19" max="19" width="12.26953125" bestFit="1" customWidth="1"/>
    <col min="20" max="20" width="10.6328125" bestFit="1" customWidth="1"/>
    <col min="21" max="21" width="14.08984375" bestFit="1" customWidth="1"/>
    <col min="22" max="22" width="12" bestFit="1" customWidth="1"/>
    <col min="23" max="23" width="7.26953125" bestFit="1" customWidth="1"/>
    <col min="24" max="24" width="7.7265625" bestFit="1" customWidth="1"/>
    <col min="25" max="25" width="8.08984375" bestFit="1" customWidth="1"/>
    <col min="26" max="26" width="11.6328125" bestFit="1" customWidth="1"/>
    <col min="27" max="27" width="8.08984375" bestFit="1" customWidth="1"/>
    <col min="28" max="28" width="15.90625" bestFit="1" customWidth="1"/>
    <col min="29" max="29" width="12.26953125" bestFit="1" customWidth="1"/>
    <col min="30" max="30" width="10.6328125" bestFit="1" customWidth="1"/>
    <col min="31" max="31" width="14.08984375" bestFit="1" customWidth="1"/>
    <col min="32" max="32" width="12" bestFit="1" customWidth="1"/>
    <col min="33" max="33" width="7.26953125" bestFit="1" customWidth="1"/>
    <col min="34" max="34" width="7.7265625" bestFit="1" customWidth="1"/>
    <col min="35" max="35" width="8.08984375" bestFit="1" customWidth="1"/>
    <col min="36" max="36" width="11.6328125" bestFit="1" customWidth="1"/>
    <col min="37" max="37" width="8.08984375" bestFit="1" customWidth="1"/>
    <col min="38" max="38" width="15.90625" bestFit="1" customWidth="1"/>
    <col min="39" max="39" width="12.26953125" bestFit="1" customWidth="1"/>
    <col min="40" max="40" width="10.6328125" bestFit="1" customWidth="1"/>
    <col min="41" max="41" width="14.08984375" bestFit="1" customWidth="1"/>
    <col min="42" max="42" width="12" bestFit="1" customWidth="1"/>
    <col min="43" max="43" width="11" bestFit="1" customWidth="1"/>
    <col min="44" max="44" width="14.6328125" bestFit="1" customWidth="1"/>
    <col min="45" max="45" width="11" bestFit="1" customWidth="1"/>
    <col min="46" max="46" width="18.90625" bestFit="1" customWidth="1"/>
    <col min="47" max="47" width="11.36328125" bestFit="1" customWidth="1"/>
    <col min="48" max="48" width="15.26953125" bestFit="1" customWidth="1"/>
    <col min="49" max="49" width="17.08984375" bestFit="1" customWidth="1"/>
    <col min="50" max="50" width="16.26953125" bestFit="1" customWidth="1"/>
    <col min="51" max="51" width="8.1796875" bestFit="1" customWidth="1"/>
  </cols>
  <sheetData>
    <row r="1" spans="1:51" ht="22.5" x14ac:dyDescent="0.6">
      <c r="A1" s="1" t="s">
        <v>86</v>
      </c>
    </row>
    <row r="2" spans="1:51" x14ac:dyDescent="0.35">
      <c r="A2" s="2" t="s">
        <v>51</v>
      </c>
    </row>
    <row r="3" spans="1:51" x14ac:dyDescent="0.35">
      <c r="A3" s="2" t="s">
        <v>52</v>
      </c>
    </row>
    <row r="5" spans="1:51" x14ac:dyDescent="0.35">
      <c r="A5" s="53" t="s">
        <v>53</v>
      </c>
      <c r="B5" s="54"/>
      <c r="C5" s="53" t="s">
        <v>54</v>
      </c>
      <c r="D5" s="54"/>
      <c r="E5" s="54"/>
      <c r="F5" s="54"/>
      <c r="G5" s="54"/>
      <c r="H5" s="54"/>
      <c r="I5" s="54"/>
      <c r="J5" s="54"/>
      <c r="K5" s="54"/>
      <c r="L5" s="54"/>
      <c r="M5" s="53" t="s">
        <v>55</v>
      </c>
      <c r="N5" s="54"/>
      <c r="O5" s="54"/>
      <c r="P5" s="54"/>
      <c r="Q5" s="54"/>
      <c r="R5" s="54"/>
      <c r="S5" s="54"/>
      <c r="T5" s="54"/>
      <c r="U5" s="54"/>
      <c r="V5" s="54"/>
      <c r="W5" s="53" t="s">
        <v>56</v>
      </c>
      <c r="X5" s="54"/>
      <c r="Y5" s="54"/>
      <c r="Z5" s="54"/>
      <c r="AA5" s="54"/>
      <c r="AB5" s="54"/>
      <c r="AC5" s="54"/>
      <c r="AD5" s="54"/>
      <c r="AE5" s="54"/>
      <c r="AF5" s="54"/>
      <c r="AG5" s="53" t="s">
        <v>57</v>
      </c>
      <c r="AH5" s="54"/>
      <c r="AI5" s="54"/>
      <c r="AJ5" s="54"/>
      <c r="AK5" s="54"/>
      <c r="AL5" s="54"/>
      <c r="AM5" s="54"/>
      <c r="AN5" s="54"/>
      <c r="AO5" s="54"/>
      <c r="AP5" s="54"/>
      <c r="AQ5" s="53" t="s">
        <v>58</v>
      </c>
      <c r="AR5" s="54"/>
      <c r="AS5" s="54"/>
      <c r="AT5" s="54"/>
      <c r="AU5" s="54"/>
      <c r="AV5" s="54"/>
      <c r="AW5" s="54"/>
      <c r="AX5" s="54"/>
      <c r="AY5" s="54"/>
    </row>
    <row r="6" spans="1:51" x14ac:dyDescent="0.35">
      <c r="A6" s="55" t="s">
        <v>59</v>
      </c>
      <c r="B6" s="55" t="s">
        <v>60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66</v>
      </c>
      <c r="I6" s="55" t="s">
        <v>67</v>
      </c>
      <c r="J6" s="55" t="s">
        <v>68</v>
      </c>
      <c r="K6" s="55" t="s">
        <v>47</v>
      </c>
      <c r="L6" s="55" t="s">
        <v>69</v>
      </c>
      <c r="M6" s="55" t="s">
        <v>61</v>
      </c>
      <c r="N6" s="55" t="s">
        <v>62</v>
      </c>
      <c r="O6" s="55" t="s">
        <v>63</v>
      </c>
      <c r="P6" s="55" t="s">
        <v>64</v>
      </c>
      <c r="Q6" s="55" t="s">
        <v>65</v>
      </c>
      <c r="R6" s="55" t="s">
        <v>66</v>
      </c>
      <c r="S6" s="55" t="s">
        <v>67</v>
      </c>
      <c r="T6" s="55" t="s">
        <v>68</v>
      </c>
      <c r="U6" s="55" t="s">
        <v>47</v>
      </c>
      <c r="V6" s="55" t="s">
        <v>69</v>
      </c>
      <c r="W6" s="55" t="s">
        <v>61</v>
      </c>
      <c r="X6" s="55" t="s">
        <v>62</v>
      </c>
      <c r="Y6" s="55" t="s">
        <v>63</v>
      </c>
      <c r="Z6" s="55" t="s">
        <v>64</v>
      </c>
      <c r="AA6" s="55" t="s">
        <v>65</v>
      </c>
      <c r="AB6" s="55" t="s">
        <v>66</v>
      </c>
      <c r="AC6" s="55" t="s">
        <v>67</v>
      </c>
      <c r="AD6" s="55" t="s">
        <v>68</v>
      </c>
      <c r="AE6" s="55" t="s">
        <v>47</v>
      </c>
      <c r="AF6" s="55" t="s">
        <v>69</v>
      </c>
      <c r="AG6" s="55" t="s">
        <v>61</v>
      </c>
      <c r="AH6" s="55" t="s">
        <v>62</v>
      </c>
      <c r="AI6" s="55" t="s">
        <v>63</v>
      </c>
      <c r="AJ6" s="55" t="s">
        <v>64</v>
      </c>
      <c r="AK6" s="55" t="s">
        <v>65</v>
      </c>
      <c r="AL6" s="55" t="s">
        <v>66</v>
      </c>
      <c r="AM6" s="55" t="s">
        <v>67</v>
      </c>
      <c r="AN6" s="55" t="s">
        <v>68</v>
      </c>
      <c r="AO6" s="55" t="s">
        <v>47</v>
      </c>
      <c r="AP6" s="55" t="s">
        <v>69</v>
      </c>
      <c r="AQ6" s="55" t="s">
        <v>70</v>
      </c>
      <c r="AR6" s="55" t="s">
        <v>38</v>
      </c>
      <c r="AS6" s="55" t="s">
        <v>71</v>
      </c>
      <c r="AT6" s="55" t="s">
        <v>72</v>
      </c>
      <c r="AU6" s="55" t="s">
        <v>45</v>
      </c>
      <c r="AV6" s="55" t="s">
        <v>46</v>
      </c>
      <c r="AW6" s="55" t="s">
        <v>73</v>
      </c>
      <c r="AX6" s="55" t="s">
        <v>48</v>
      </c>
      <c r="AY6" s="55" t="s">
        <v>74</v>
      </c>
    </row>
    <row r="7" spans="1:51" x14ac:dyDescent="0.35">
      <c r="A7" s="56">
        <v>46235</v>
      </c>
      <c r="B7" s="57" t="s">
        <v>76</v>
      </c>
      <c r="C7" s="58">
        <v>0.33333333333333331</v>
      </c>
      <c r="D7" s="58">
        <v>0.59375</v>
      </c>
      <c r="E7" s="59">
        <f t="shared" ref="E7:E37" si="0">IF(B7="Sun", 0, IF(B7="Sat", 6, 12))</f>
        <v>6</v>
      </c>
      <c r="F7" s="59">
        <f t="shared" ref="F7:F37" si="1">IF(OR(D7="OFF", ISBLANK(D7)), 0, (D7 - C7)*24)</f>
        <v>6.25</v>
      </c>
      <c r="G7" s="59">
        <f t="shared" ref="G7:G37" si="2">IF(OR(B7="Sun", D7="OFF", ISBLANK(D7)), 0, MAX(0, (IF(B7="Sat", 14/24, 20/24) - D7)*24))</f>
        <v>0</v>
      </c>
      <c r="H7" s="60">
        <v>90</v>
      </c>
      <c r="I7" s="61">
        <f t="shared" ref="I7:I37" si="3">H7*7.45</f>
        <v>670.5</v>
      </c>
      <c r="J7" s="61">
        <f t="shared" ref="J7:J37" si="4">IF(F7&gt;0, I7/F7, 0)</f>
        <v>107.28</v>
      </c>
      <c r="K7" s="61">
        <f t="shared" ref="K7:K37" si="5">I7 + (G7*J7)</f>
        <v>670.5</v>
      </c>
      <c r="L7" s="62">
        <f t="shared" ref="L7:L37" si="6">G7*J7</f>
        <v>0</v>
      </c>
      <c r="M7" s="58">
        <v>0.33333333333333331</v>
      </c>
      <c r="N7" s="58">
        <v>0.59375</v>
      </c>
      <c r="O7" s="59">
        <f t="shared" ref="O7:O37" si="7">IF(B7="Sun", 0, IF(B7="Sat", 6, 12))</f>
        <v>6</v>
      </c>
      <c r="P7" s="59">
        <f t="shared" ref="P7:P37" si="8">IF(OR(N7="OFF", ISBLANK(N7)), 0, (N7 - M7)*24)</f>
        <v>6.25</v>
      </c>
      <c r="Q7" s="59">
        <f t="shared" ref="Q7:Q37" si="9">IF(OR(B7="Sun", N7="OFF", ISBLANK(N7)), 0, MAX(0, (IF(B7="Sat", 14/24, 20/24) - N7)*24))</f>
        <v>0</v>
      </c>
      <c r="R7" s="60">
        <v>71</v>
      </c>
      <c r="S7" s="61">
        <f t="shared" ref="S7:S37" si="10">R7*7.45</f>
        <v>528.95000000000005</v>
      </c>
      <c r="T7" s="61">
        <f t="shared" ref="T7:T37" si="11">IF(P7&gt;0, S7/P7, 0)</f>
        <v>84.632000000000005</v>
      </c>
      <c r="U7" s="61">
        <f t="shared" ref="U7:U37" si="12">S7 + (Q7*T7)</f>
        <v>528.95000000000005</v>
      </c>
      <c r="V7" s="62">
        <f t="shared" ref="V7:V37" si="13">Q7*T7</f>
        <v>0</v>
      </c>
      <c r="W7" s="58">
        <v>0.33333333333333331</v>
      </c>
      <c r="X7" s="58">
        <v>0.59375</v>
      </c>
      <c r="Y7" s="59">
        <f t="shared" ref="Y7:Y37" si="14">IF(B7="Sun", 0, IF(B7="Sat", 6, 12))</f>
        <v>6</v>
      </c>
      <c r="Z7" s="59">
        <f t="shared" ref="Z7:Z37" si="15">IF(OR(X7="OFF", ISBLANK(X7)), 0, (X7 - W7)*24)</f>
        <v>6.25</v>
      </c>
      <c r="AA7" s="59">
        <f t="shared" ref="AA7:AA37" si="16">IF(OR(B7="Sun", X7="OFF", ISBLANK(X7)), 0, MAX(0, (IF(B7="Sat", 14/24, 20/24) - X7)*24))</f>
        <v>0</v>
      </c>
      <c r="AB7" s="60">
        <v>84</v>
      </c>
      <c r="AC7" s="61">
        <f t="shared" ref="AC7:AC37" si="17">AB7*7.45</f>
        <v>625.80000000000007</v>
      </c>
      <c r="AD7" s="61">
        <f t="shared" ref="AD7:AD37" si="18">IF(Z7&gt;0, AC7/Z7, 0)</f>
        <v>100.12800000000001</v>
      </c>
      <c r="AE7" s="61">
        <f t="shared" ref="AE7:AE37" si="19">AC7 + (AA7*AD7)</f>
        <v>625.80000000000007</v>
      </c>
      <c r="AF7" s="62">
        <f t="shared" ref="AF7:AF37" si="20">AA7*AD7</f>
        <v>0</v>
      </c>
      <c r="AG7" s="58">
        <v>0.33333333333333331</v>
      </c>
      <c r="AH7" s="58">
        <v>0.59375</v>
      </c>
      <c r="AI7" s="59">
        <f t="shared" ref="AI7:AI37" si="21">IF(B7="Sun", 0, IF(B7="Sat", 6, 12))</f>
        <v>6</v>
      </c>
      <c r="AJ7" s="59">
        <f t="shared" ref="AJ7:AJ37" si="22">IF(OR(AH7="OFF", ISBLANK(AH7)), 0, (AH7 - AG7)*24)</f>
        <v>6.25</v>
      </c>
      <c r="AK7" s="59">
        <f t="shared" ref="AK7:AK37" si="23">IF(OR(B7="Sun", AH7="OFF", ISBLANK(AH7)), 0, MAX(0, (IF(B7="Sat", 14/24, 20/24) - AH7)*24))</f>
        <v>0</v>
      </c>
      <c r="AL7" s="60">
        <v>78</v>
      </c>
      <c r="AM7" s="61">
        <f t="shared" ref="AM7:AM37" si="24">AL7*7.45</f>
        <v>581.1</v>
      </c>
      <c r="AN7" s="61">
        <f t="shared" ref="AN7:AN37" si="25">IF(AJ7&gt;0, AM7/AJ7, 0)</f>
        <v>92.975999999999999</v>
      </c>
      <c r="AO7" s="61">
        <f t="shared" ref="AO7:AO37" si="26">AM7 + (AK7*AN7)</f>
        <v>581.1</v>
      </c>
      <c r="AP7" s="62">
        <f t="shared" ref="AP7:AP37" si="27">AK7*AN7</f>
        <v>0</v>
      </c>
      <c r="AQ7" s="59">
        <f t="shared" ref="AQ7:AQ37" si="28">E7+O7+Y7+AI7</f>
        <v>24</v>
      </c>
      <c r="AR7" s="59">
        <f t="shared" ref="AR7:AR37" si="29">F7+P7+Z7+AJ7</f>
        <v>25</v>
      </c>
      <c r="AS7" s="63">
        <f t="shared" ref="AS7:AS37" si="30">G7+Q7+AA7+AK7</f>
        <v>0</v>
      </c>
      <c r="AT7" s="60">
        <f t="shared" ref="AT7:AT37" si="31">H7+R7+AB7+AL7</f>
        <v>323</v>
      </c>
      <c r="AU7" s="61">
        <f t="shared" ref="AU7:AU37" si="32">AT7*7.45</f>
        <v>2406.35</v>
      </c>
      <c r="AV7" s="62">
        <f t="shared" ref="AV7:AV37" si="33">I7+S7+AC7+AM7</f>
        <v>2406.35</v>
      </c>
      <c r="AW7" s="61">
        <f t="shared" ref="AW7:AW37" si="34">K7+U7+AE7+AO7</f>
        <v>2406.35</v>
      </c>
      <c r="AX7" s="62">
        <f t="shared" ref="AX7:AX37" si="35">L7+V7+AF7+AP7</f>
        <v>0</v>
      </c>
      <c r="AY7" s="64">
        <f t="shared" ref="AY7:AY37" si="36">IF(AW7&gt;0, AX7/AW7, 0)</f>
        <v>0</v>
      </c>
    </row>
    <row r="8" spans="1:51" x14ac:dyDescent="0.35">
      <c r="A8" s="65">
        <v>46236</v>
      </c>
      <c r="B8" s="66" t="s">
        <v>77</v>
      </c>
      <c r="C8" s="66" t="s">
        <v>82</v>
      </c>
      <c r="D8" s="66" t="s">
        <v>82</v>
      </c>
      <c r="E8" s="67">
        <f t="shared" si="0"/>
        <v>0</v>
      </c>
      <c r="F8" s="67">
        <f t="shared" si="1"/>
        <v>0</v>
      </c>
      <c r="G8" s="67">
        <f t="shared" si="2"/>
        <v>0</v>
      </c>
      <c r="H8" s="68">
        <v>0</v>
      </c>
      <c r="I8" s="69">
        <f t="shared" si="3"/>
        <v>0</v>
      </c>
      <c r="J8" s="69">
        <f t="shared" si="4"/>
        <v>0</v>
      </c>
      <c r="K8" s="69">
        <f t="shared" si="5"/>
        <v>0</v>
      </c>
      <c r="L8" s="70">
        <f t="shared" si="6"/>
        <v>0</v>
      </c>
      <c r="M8" s="66" t="s">
        <v>82</v>
      </c>
      <c r="N8" s="66" t="s">
        <v>82</v>
      </c>
      <c r="O8" s="67">
        <f t="shared" si="7"/>
        <v>0</v>
      </c>
      <c r="P8" s="67">
        <f t="shared" si="8"/>
        <v>0</v>
      </c>
      <c r="Q8" s="67">
        <f t="shared" si="9"/>
        <v>0</v>
      </c>
      <c r="R8" s="68">
        <v>0</v>
      </c>
      <c r="S8" s="69">
        <f t="shared" si="10"/>
        <v>0</v>
      </c>
      <c r="T8" s="69">
        <f t="shared" si="11"/>
        <v>0</v>
      </c>
      <c r="U8" s="69">
        <f t="shared" si="12"/>
        <v>0</v>
      </c>
      <c r="V8" s="70">
        <f t="shared" si="13"/>
        <v>0</v>
      </c>
      <c r="W8" s="66" t="s">
        <v>82</v>
      </c>
      <c r="X8" s="66" t="s">
        <v>82</v>
      </c>
      <c r="Y8" s="67">
        <f t="shared" si="14"/>
        <v>0</v>
      </c>
      <c r="Z8" s="67">
        <f t="shared" si="15"/>
        <v>0</v>
      </c>
      <c r="AA8" s="67">
        <f t="shared" si="16"/>
        <v>0</v>
      </c>
      <c r="AB8" s="68">
        <v>0</v>
      </c>
      <c r="AC8" s="69">
        <f t="shared" si="17"/>
        <v>0</v>
      </c>
      <c r="AD8" s="69">
        <f t="shared" si="18"/>
        <v>0</v>
      </c>
      <c r="AE8" s="69">
        <f t="shared" si="19"/>
        <v>0</v>
      </c>
      <c r="AF8" s="70">
        <f t="shared" si="20"/>
        <v>0</v>
      </c>
      <c r="AG8" s="66" t="s">
        <v>82</v>
      </c>
      <c r="AH8" s="66" t="s">
        <v>82</v>
      </c>
      <c r="AI8" s="67">
        <f t="shared" si="21"/>
        <v>0</v>
      </c>
      <c r="AJ8" s="67">
        <f t="shared" si="22"/>
        <v>0</v>
      </c>
      <c r="AK8" s="67">
        <f t="shared" si="23"/>
        <v>0</v>
      </c>
      <c r="AL8" s="68">
        <v>0</v>
      </c>
      <c r="AM8" s="69">
        <f t="shared" si="24"/>
        <v>0</v>
      </c>
      <c r="AN8" s="69">
        <f t="shared" si="25"/>
        <v>0</v>
      </c>
      <c r="AO8" s="69">
        <f t="shared" si="26"/>
        <v>0</v>
      </c>
      <c r="AP8" s="70">
        <f t="shared" si="27"/>
        <v>0</v>
      </c>
      <c r="AQ8" s="67">
        <f t="shared" si="28"/>
        <v>0</v>
      </c>
      <c r="AR8" s="67">
        <f t="shared" si="29"/>
        <v>0</v>
      </c>
      <c r="AS8" s="71">
        <f t="shared" si="30"/>
        <v>0</v>
      </c>
      <c r="AT8" s="68">
        <f t="shared" si="31"/>
        <v>0</v>
      </c>
      <c r="AU8" s="69">
        <f t="shared" si="32"/>
        <v>0</v>
      </c>
      <c r="AV8" s="70">
        <f t="shared" si="33"/>
        <v>0</v>
      </c>
      <c r="AW8" s="69">
        <f t="shared" si="34"/>
        <v>0</v>
      </c>
      <c r="AX8" s="70">
        <f t="shared" si="35"/>
        <v>0</v>
      </c>
      <c r="AY8" s="72">
        <f t="shared" si="36"/>
        <v>0</v>
      </c>
    </row>
    <row r="9" spans="1:51" x14ac:dyDescent="0.35">
      <c r="A9" s="56">
        <v>46237</v>
      </c>
      <c r="B9" s="57" t="s">
        <v>78</v>
      </c>
      <c r="C9" s="58">
        <v>0.3</v>
      </c>
      <c r="D9" s="58">
        <v>0.83333333333333337</v>
      </c>
      <c r="E9" s="59">
        <f t="shared" si="0"/>
        <v>12</v>
      </c>
      <c r="F9" s="59">
        <f t="shared" si="1"/>
        <v>12.800000000000002</v>
      </c>
      <c r="G9" s="59">
        <f t="shared" si="2"/>
        <v>0</v>
      </c>
      <c r="H9" s="60">
        <v>98</v>
      </c>
      <c r="I9" s="61">
        <f t="shared" si="3"/>
        <v>730.1</v>
      </c>
      <c r="J9" s="61">
        <f t="shared" si="4"/>
        <v>57.039062499999993</v>
      </c>
      <c r="K9" s="61">
        <f t="shared" si="5"/>
        <v>730.1</v>
      </c>
      <c r="L9" s="62">
        <f t="shared" si="6"/>
        <v>0</v>
      </c>
      <c r="M9" s="58">
        <v>0.3</v>
      </c>
      <c r="N9" s="58">
        <v>0.83333333333333337</v>
      </c>
      <c r="O9" s="59">
        <f t="shared" si="7"/>
        <v>12</v>
      </c>
      <c r="P9" s="59">
        <f t="shared" si="8"/>
        <v>12.800000000000002</v>
      </c>
      <c r="Q9" s="59">
        <f t="shared" si="9"/>
        <v>0</v>
      </c>
      <c r="R9" s="60">
        <v>81</v>
      </c>
      <c r="S9" s="61">
        <f t="shared" si="10"/>
        <v>603.45000000000005</v>
      </c>
      <c r="T9" s="61">
        <f t="shared" si="11"/>
        <v>47.144531249999993</v>
      </c>
      <c r="U9" s="61">
        <f t="shared" si="12"/>
        <v>603.45000000000005</v>
      </c>
      <c r="V9" s="62">
        <f t="shared" si="13"/>
        <v>0</v>
      </c>
      <c r="W9" s="58">
        <v>0.3</v>
      </c>
      <c r="X9" s="58">
        <v>0.7729166666666667</v>
      </c>
      <c r="Y9" s="59">
        <f t="shared" si="14"/>
        <v>12</v>
      </c>
      <c r="Z9" s="59">
        <f t="shared" si="15"/>
        <v>11.350000000000001</v>
      </c>
      <c r="AA9" s="59">
        <f t="shared" si="16"/>
        <v>1.4500000000000002</v>
      </c>
      <c r="AB9" s="60">
        <v>87</v>
      </c>
      <c r="AC9" s="61">
        <f t="shared" si="17"/>
        <v>648.15</v>
      </c>
      <c r="AD9" s="61">
        <f t="shared" si="18"/>
        <v>57.105726872246684</v>
      </c>
      <c r="AE9" s="61">
        <f t="shared" si="19"/>
        <v>730.95330396475765</v>
      </c>
      <c r="AF9" s="62">
        <f t="shared" si="20"/>
        <v>82.803303964757703</v>
      </c>
      <c r="AG9" s="58">
        <v>0.3</v>
      </c>
      <c r="AH9" s="58">
        <v>0.75208333333333333</v>
      </c>
      <c r="AI9" s="59">
        <f t="shared" si="21"/>
        <v>12</v>
      </c>
      <c r="AJ9" s="59">
        <f t="shared" si="22"/>
        <v>10.85</v>
      </c>
      <c r="AK9" s="59">
        <f t="shared" si="23"/>
        <v>1.9500000000000011</v>
      </c>
      <c r="AL9" s="60">
        <v>90</v>
      </c>
      <c r="AM9" s="61">
        <f t="shared" si="24"/>
        <v>670.5</v>
      </c>
      <c r="AN9" s="61">
        <f t="shared" si="25"/>
        <v>61.797235023041473</v>
      </c>
      <c r="AO9" s="61">
        <f t="shared" si="26"/>
        <v>791.0046082949309</v>
      </c>
      <c r="AP9" s="62">
        <f t="shared" si="27"/>
        <v>120.50460829493093</v>
      </c>
      <c r="AQ9" s="59">
        <f t="shared" si="28"/>
        <v>48</v>
      </c>
      <c r="AR9" s="59">
        <f t="shared" si="29"/>
        <v>47.800000000000004</v>
      </c>
      <c r="AS9" s="63">
        <f t="shared" si="30"/>
        <v>3.4000000000000012</v>
      </c>
      <c r="AT9" s="60">
        <f t="shared" si="31"/>
        <v>356</v>
      </c>
      <c r="AU9" s="61">
        <f t="shared" si="32"/>
        <v>2652.2000000000003</v>
      </c>
      <c r="AV9" s="62">
        <f t="shared" si="33"/>
        <v>2652.2000000000003</v>
      </c>
      <c r="AW9" s="61">
        <f t="shared" si="34"/>
        <v>2855.507912259689</v>
      </c>
      <c r="AX9" s="62">
        <f t="shared" si="35"/>
        <v>203.30791225968864</v>
      </c>
      <c r="AY9" s="64">
        <f t="shared" si="36"/>
        <v>7.1198511265479963E-2</v>
      </c>
    </row>
    <row r="10" spans="1:51" x14ac:dyDescent="0.35">
      <c r="A10" s="65">
        <v>46238</v>
      </c>
      <c r="B10" s="66" t="s">
        <v>79</v>
      </c>
      <c r="C10" s="73">
        <v>0.30069444444444438</v>
      </c>
      <c r="D10" s="66" t="s">
        <v>82</v>
      </c>
      <c r="E10" s="67">
        <f t="shared" si="0"/>
        <v>12</v>
      </c>
      <c r="F10" s="67">
        <f t="shared" si="1"/>
        <v>0</v>
      </c>
      <c r="G10" s="67">
        <f t="shared" si="2"/>
        <v>0</v>
      </c>
      <c r="H10" s="68">
        <v>0</v>
      </c>
      <c r="I10" s="69">
        <f t="shared" si="3"/>
        <v>0</v>
      </c>
      <c r="J10" s="69">
        <f t="shared" si="4"/>
        <v>0</v>
      </c>
      <c r="K10" s="69">
        <f t="shared" si="5"/>
        <v>0</v>
      </c>
      <c r="L10" s="70">
        <f t="shared" si="6"/>
        <v>0</v>
      </c>
      <c r="M10" s="73">
        <v>0.30069444444444438</v>
      </c>
      <c r="N10" s="66" t="s">
        <v>82</v>
      </c>
      <c r="O10" s="67">
        <f t="shared" si="7"/>
        <v>12</v>
      </c>
      <c r="P10" s="67">
        <f t="shared" si="8"/>
        <v>0</v>
      </c>
      <c r="Q10" s="67">
        <f t="shared" si="9"/>
        <v>0</v>
      </c>
      <c r="R10" s="68">
        <v>0</v>
      </c>
      <c r="S10" s="69">
        <f t="shared" si="10"/>
        <v>0</v>
      </c>
      <c r="T10" s="69">
        <f t="shared" si="11"/>
        <v>0</v>
      </c>
      <c r="U10" s="69">
        <f t="shared" si="12"/>
        <v>0</v>
      </c>
      <c r="V10" s="70">
        <f t="shared" si="13"/>
        <v>0</v>
      </c>
      <c r="W10" s="73">
        <v>0.30069444444444438</v>
      </c>
      <c r="X10" s="66" t="s">
        <v>82</v>
      </c>
      <c r="Y10" s="67">
        <f t="shared" si="14"/>
        <v>12</v>
      </c>
      <c r="Z10" s="67">
        <f t="shared" si="15"/>
        <v>0</v>
      </c>
      <c r="AA10" s="67">
        <f t="shared" si="16"/>
        <v>0</v>
      </c>
      <c r="AB10" s="68">
        <v>0</v>
      </c>
      <c r="AC10" s="69">
        <f t="shared" si="17"/>
        <v>0</v>
      </c>
      <c r="AD10" s="69">
        <f t="shared" si="18"/>
        <v>0</v>
      </c>
      <c r="AE10" s="69">
        <f t="shared" si="19"/>
        <v>0</v>
      </c>
      <c r="AF10" s="70">
        <f t="shared" si="20"/>
        <v>0</v>
      </c>
      <c r="AG10" s="73">
        <v>0.30069444444444438</v>
      </c>
      <c r="AH10" s="66" t="s">
        <v>82</v>
      </c>
      <c r="AI10" s="67">
        <f t="shared" si="21"/>
        <v>12</v>
      </c>
      <c r="AJ10" s="67">
        <f t="shared" si="22"/>
        <v>0</v>
      </c>
      <c r="AK10" s="67">
        <f t="shared" si="23"/>
        <v>0</v>
      </c>
      <c r="AL10" s="68">
        <v>0</v>
      </c>
      <c r="AM10" s="69">
        <f t="shared" si="24"/>
        <v>0</v>
      </c>
      <c r="AN10" s="69">
        <f t="shared" si="25"/>
        <v>0</v>
      </c>
      <c r="AO10" s="69">
        <f t="shared" si="26"/>
        <v>0</v>
      </c>
      <c r="AP10" s="70">
        <f t="shared" si="27"/>
        <v>0</v>
      </c>
      <c r="AQ10" s="67">
        <f t="shared" si="28"/>
        <v>48</v>
      </c>
      <c r="AR10" s="67">
        <f t="shared" si="29"/>
        <v>0</v>
      </c>
      <c r="AS10" s="71">
        <f t="shared" si="30"/>
        <v>0</v>
      </c>
      <c r="AT10" s="68">
        <f t="shared" si="31"/>
        <v>0</v>
      </c>
      <c r="AU10" s="69">
        <f t="shared" si="32"/>
        <v>0</v>
      </c>
      <c r="AV10" s="70">
        <f t="shared" si="33"/>
        <v>0</v>
      </c>
      <c r="AW10" s="69">
        <f t="shared" si="34"/>
        <v>0</v>
      </c>
      <c r="AX10" s="70">
        <f t="shared" si="35"/>
        <v>0</v>
      </c>
      <c r="AY10" s="72">
        <f t="shared" si="36"/>
        <v>0</v>
      </c>
    </row>
    <row r="11" spans="1:51" x14ac:dyDescent="0.35">
      <c r="A11" s="56">
        <v>46239</v>
      </c>
      <c r="B11" s="57" t="s">
        <v>80</v>
      </c>
      <c r="C11" s="57" t="s">
        <v>82</v>
      </c>
      <c r="D11" s="57" t="s">
        <v>82</v>
      </c>
      <c r="E11" s="59">
        <f t="shared" si="0"/>
        <v>12</v>
      </c>
      <c r="F11" s="59">
        <f t="shared" si="1"/>
        <v>0</v>
      </c>
      <c r="G11" s="59">
        <f t="shared" si="2"/>
        <v>0</v>
      </c>
      <c r="H11" s="60">
        <v>0</v>
      </c>
      <c r="I11" s="61">
        <f t="shared" si="3"/>
        <v>0</v>
      </c>
      <c r="J11" s="61">
        <f t="shared" si="4"/>
        <v>0</v>
      </c>
      <c r="K11" s="61">
        <f t="shared" si="5"/>
        <v>0</v>
      </c>
      <c r="L11" s="62">
        <f t="shared" si="6"/>
        <v>0</v>
      </c>
      <c r="M11" s="57" t="s">
        <v>82</v>
      </c>
      <c r="N11" s="57" t="s">
        <v>82</v>
      </c>
      <c r="O11" s="59">
        <f t="shared" si="7"/>
        <v>12</v>
      </c>
      <c r="P11" s="59">
        <f t="shared" si="8"/>
        <v>0</v>
      </c>
      <c r="Q11" s="59">
        <f t="shared" si="9"/>
        <v>0</v>
      </c>
      <c r="R11" s="60">
        <v>0</v>
      </c>
      <c r="S11" s="61">
        <f t="shared" si="10"/>
        <v>0</v>
      </c>
      <c r="T11" s="61">
        <f t="shared" si="11"/>
        <v>0</v>
      </c>
      <c r="U11" s="61">
        <f t="shared" si="12"/>
        <v>0</v>
      </c>
      <c r="V11" s="62">
        <f t="shared" si="13"/>
        <v>0</v>
      </c>
      <c r="W11" s="57" t="s">
        <v>82</v>
      </c>
      <c r="X11" s="57" t="s">
        <v>82</v>
      </c>
      <c r="Y11" s="59">
        <f t="shared" si="14"/>
        <v>12</v>
      </c>
      <c r="Z11" s="59">
        <f t="shared" si="15"/>
        <v>0</v>
      </c>
      <c r="AA11" s="59">
        <f t="shared" si="16"/>
        <v>0</v>
      </c>
      <c r="AB11" s="60">
        <v>0</v>
      </c>
      <c r="AC11" s="61">
        <f t="shared" si="17"/>
        <v>0</v>
      </c>
      <c r="AD11" s="61">
        <f t="shared" si="18"/>
        <v>0</v>
      </c>
      <c r="AE11" s="61">
        <f t="shared" si="19"/>
        <v>0</v>
      </c>
      <c r="AF11" s="62">
        <f t="shared" si="20"/>
        <v>0</v>
      </c>
      <c r="AG11" s="57" t="s">
        <v>82</v>
      </c>
      <c r="AH11" s="57" t="s">
        <v>82</v>
      </c>
      <c r="AI11" s="59">
        <f t="shared" si="21"/>
        <v>12</v>
      </c>
      <c r="AJ11" s="59">
        <f t="shared" si="22"/>
        <v>0</v>
      </c>
      <c r="AK11" s="59">
        <f t="shared" si="23"/>
        <v>0</v>
      </c>
      <c r="AL11" s="60">
        <v>0</v>
      </c>
      <c r="AM11" s="61">
        <f t="shared" si="24"/>
        <v>0</v>
      </c>
      <c r="AN11" s="61">
        <f t="shared" si="25"/>
        <v>0</v>
      </c>
      <c r="AO11" s="61">
        <f t="shared" si="26"/>
        <v>0</v>
      </c>
      <c r="AP11" s="62">
        <f t="shared" si="27"/>
        <v>0</v>
      </c>
      <c r="AQ11" s="59">
        <f t="shared" si="28"/>
        <v>48</v>
      </c>
      <c r="AR11" s="59">
        <f t="shared" si="29"/>
        <v>0</v>
      </c>
      <c r="AS11" s="63">
        <f t="shared" si="30"/>
        <v>0</v>
      </c>
      <c r="AT11" s="60">
        <f t="shared" si="31"/>
        <v>0</v>
      </c>
      <c r="AU11" s="61">
        <f t="shared" si="32"/>
        <v>0</v>
      </c>
      <c r="AV11" s="62">
        <f t="shared" si="33"/>
        <v>0</v>
      </c>
      <c r="AW11" s="61">
        <f t="shared" si="34"/>
        <v>0</v>
      </c>
      <c r="AX11" s="62">
        <f t="shared" si="35"/>
        <v>0</v>
      </c>
      <c r="AY11" s="64">
        <f t="shared" si="36"/>
        <v>0</v>
      </c>
    </row>
    <row r="12" spans="1:51" x14ac:dyDescent="0.35">
      <c r="A12" s="65">
        <v>46240</v>
      </c>
      <c r="B12" s="66" t="s">
        <v>81</v>
      </c>
      <c r="C12" s="66" t="s">
        <v>82</v>
      </c>
      <c r="D12" s="66" t="s">
        <v>82</v>
      </c>
      <c r="E12" s="67">
        <f t="shared" si="0"/>
        <v>12</v>
      </c>
      <c r="F12" s="67">
        <f t="shared" si="1"/>
        <v>0</v>
      </c>
      <c r="G12" s="67">
        <f t="shared" si="2"/>
        <v>0</v>
      </c>
      <c r="H12" s="68">
        <v>0</v>
      </c>
      <c r="I12" s="69">
        <f t="shared" si="3"/>
        <v>0</v>
      </c>
      <c r="J12" s="69">
        <f t="shared" si="4"/>
        <v>0</v>
      </c>
      <c r="K12" s="69">
        <f t="shared" si="5"/>
        <v>0</v>
      </c>
      <c r="L12" s="70">
        <f t="shared" si="6"/>
        <v>0</v>
      </c>
      <c r="M12" s="66" t="s">
        <v>82</v>
      </c>
      <c r="N12" s="66" t="s">
        <v>82</v>
      </c>
      <c r="O12" s="67">
        <f t="shared" si="7"/>
        <v>12</v>
      </c>
      <c r="P12" s="67">
        <f t="shared" si="8"/>
        <v>0</v>
      </c>
      <c r="Q12" s="67">
        <f t="shared" si="9"/>
        <v>0</v>
      </c>
      <c r="R12" s="68">
        <v>0</v>
      </c>
      <c r="S12" s="69">
        <f t="shared" si="10"/>
        <v>0</v>
      </c>
      <c r="T12" s="69">
        <f t="shared" si="11"/>
        <v>0</v>
      </c>
      <c r="U12" s="69">
        <f t="shared" si="12"/>
        <v>0</v>
      </c>
      <c r="V12" s="70">
        <f t="shared" si="13"/>
        <v>0</v>
      </c>
      <c r="W12" s="66" t="s">
        <v>82</v>
      </c>
      <c r="X12" s="66" t="s">
        <v>82</v>
      </c>
      <c r="Y12" s="67">
        <f t="shared" si="14"/>
        <v>12</v>
      </c>
      <c r="Z12" s="67">
        <f t="shared" si="15"/>
        <v>0</v>
      </c>
      <c r="AA12" s="67">
        <f t="shared" si="16"/>
        <v>0</v>
      </c>
      <c r="AB12" s="68">
        <v>0</v>
      </c>
      <c r="AC12" s="69">
        <f t="shared" si="17"/>
        <v>0</v>
      </c>
      <c r="AD12" s="69">
        <f t="shared" si="18"/>
        <v>0</v>
      </c>
      <c r="AE12" s="69">
        <f t="shared" si="19"/>
        <v>0</v>
      </c>
      <c r="AF12" s="70">
        <f t="shared" si="20"/>
        <v>0</v>
      </c>
      <c r="AG12" s="66" t="s">
        <v>82</v>
      </c>
      <c r="AH12" s="66" t="s">
        <v>82</v>
      </c>
      <c r="AI12" s="67">
        <f t="shared" si="21"/>
        <v>12</v>
      </c>
      <c r="AJ12" s="67">
        <f t="shared" si="22"/>
        <v>0</v>
      </c>
      <c r="AK12" s="67">
        <f t="shared" si="23"/>
        <v>0</v>
      </c>
      <c r="AL12" s="68">
        <v>0</v>
      </c>
      <c r="AM12" s="69">
        <f t="shared" si="24"/>
        <v>0</v>
      </c>
      <c r="AN12" s="69">
        <f t="shared" si="25"/>
        <v>0</v>
      </c>
      <c r="AO12" s="69">
        <f t="shared" si="26"/>
        <v>0</v>
      </c>
      <c r="AP12" s="70">
        <f t="shared" si="27"/>
        <v>0</v>
      </c>
      <c r="AQ12" s="67">
        <f t="shared" si="28"/>
        <v>48</v>
      </c>
      <c r="AR12" s="67">
        <f t="shared" si="29"/>
        <v>0</v>
      </c>
      <c r="AS12" s="71">
        <f t="shared" si="30"/>
        <v>0</v>
      </c>
      <c r="AT12" s="68">
        <f t="shared" si="31"/>
        <v>0</v>
      </c>
      <c r="AU12" s="69">
        <f t="shared" si="32"/>
        <v>0</v>
      </c>
      <c r="AV12" s="70">
        <f t="shared" si="33"/>
        <v>0</v>
      </c>
      <c r="AW12" s="69">
        <f t="shared" si="34"/>
        <v>0</v>
      </c>
      <c r="AX12" s="70">
        <f t="shared" si="35"/>
        <v>0</v>
      </c>
      <c r="AY12" s="72">
        <f t="shared" si="36"/>
        <v>0</v>
      </c>
    </row>
    <row r="13" spans="1:51" x14ac:dyDescent="0.35">
      <c r="A13" s="56">
        <v>46241</v>
      </c>
      <c r="B13" s="57" t="s">
        <v>75</v>
      </c>
      <c r="C13" s="57" t="s">
        <v>82</v>
      </c>
      <c r="D13" s="57" t="s">
        <v>82</v>
      </c>
      <c r="E13" s="59">
        <f t="shared" si="0"/>
        <v>12</v>
      </c>
      <c r="F13" s="59">
        <f t="shared" si="1"/>
        <v>0</v>
      </c>
      <c r="G13" s="59">
        <f t="shared" si="2"/>
        <v>0</v>
      </c>
      <c r="H13" s="60">
        <v>0</v>
      </c>
      <c r="I13" s="61">
        <f t="shared" si="3"/>
        <v>0</v>
      </c>
      <c r="J13" s="61">
        <f t="shared" si="4"/>
        <v>0</v>
      </c>
      <c r="K13" s="61">
        <f t="shared" si="5"/>
        <v>0</v>
      </c>
      <c r="L13" s="62">
        <f t="shared" si="6"/>
        <v>0</v>
      </c>
      <c r="M13" s="57" t="s">
        <v>82</v>
      </c>
      <c r="N13" s="57" t="s">
        <v>82</v>
      </c>
      <c r="O13" s="59">
        <f t="shared" si="7"/>
        <v>12</v>
      </c>
      <c r="P13" s="59">
        <f t="shared" si="8"/>
        <v>0</v>
      </c>
      <c r="Q13" s="59">
        <f t="shared" si="9"/>
        <v>0</v>
      </c>
      <c r="R13" s="60">
        <v>0</v>
      </c>
      <c r="S13" s="61">
        <f t="shared" si="10"/>
        <v>0</v>
      </c>
      <c r="T13" s="61">
        <f t="shared" si="11"/>
        <v>0</v>
      </c>
      <c r="U13" s="61">
        <f t="shared" si="12"/>
        <v>0</v>
      </c>
      <c r="V13" s="62">
        <f t="shared" si="13"/>
        <v>0</v>
      </c>
      <c r="W13" s="57" t="s">
        <v>82</v>
      </c>
      <c r="X13" s="57" t="s">
        <v>82</v>
      </c>
      <c r="Y13" s="59">
        <f t="shared" si="14"/>
        <v>12</v>
      </c>
      <c r="Z13" s="59">
        <f t="shared" si="15"/>
        <v>0</v>
      </c>
      <c r="AA13" s="59">
        <f t="shared" si="16"/>
        <v>0</v>
      </c>
      <c r="AB13" s="60">
        <v>0</v>
      </c>
      <c r="AC13" s="61">
        <f t="shared" si="17"/>
        <v>0</v>
      </c>
      <c r="AD13" s="61">
        <f t="shared" si="18"/>
        <v>0</v>
      </c>
      <c r="AE13" s="61">
        <f t="shared" si="19"/>
        <v>0</v>
      </c>
      <c r="AF13" s="62">
        <f t="shared" si="20"/>
        <v>0</v>
      </c>
      <c r="AG13" s="57" t="s">
        <v>82</v>
      </c>
      <c r="AH13" s="57" t="s">
        <v>82</v>
      </c>
      <c r="AI13" s="59">
        <f t="shared" si="21"/>
        <v>12</v>
      </c>
      <c r="AJ13" s="59">
        <f t="shared" si="22"/>
        <v>0</v>
      </c>
      <c r="AK13" s="59">
        <f t="shared" si="23"/>
        <v>0</v>
      </c>
      <c r="AL13" s="60">
        <v>0</v>
      </c>
      <c r="AM13" s="61">
        <f t="shared" si="24"/>
        <v>0</v>
      </c>
      <c r="AN13" s="61">
        <f t="shared" si="25"/>
        <v>0</v>
      </c>
      <c r="AO13" s="61">
        <f t="shared" si="26"/>
        <v>0</v>
      </c>
      <c r="AP13" s="62">
        <f t="shared" si="27"/>
        <v>0</v>
      </c>
      <c r="AQ13" s="59">
        <f t="shared" si="28"/>
        <v>48</v>
      </c>
      <c r="AR13" s="59">
        <f t="shared" si="29"/>
        <v>0</v>
      </c>
      <c r="AS13" s="63">
        <f t="shared" si="30"/>
        <v>0</v>
      </c>
      <c r="AT13" s="60">
        <f t="shared" si="31"/>
        <v>0</v>
      </c>
      <c r="AU13" s="61">
        <f t="shared" si="32"/>
        <v>0</v>
      </c>
      <c r="AV13" s="62">
        <f t="shared" si="33"/>
        <v>0</v>
      </c>
      <c r="AW13" s="61">
        <f t="shared" si="34"/>
        <v>0</v>
      </c>
      <c r="AX13" s="62">
        <f t="shared" si="35"/>
        <v>0</v>
      </c>
      <c r="AY13" s="64">
        <f t="shared" si="36"/>
        <v>0</v>
      </c>
    </row>
    <row r="14" spans="1:51" x14ac:dyDescent="0.35">
      <c r="A14" s="65">
        <v>46242</v>
      </c>
      <c r="B14" s="66" t="s">
        <v>76</v>
      </c>
      <c r="C14" s="66" t="s">
        <v>82</v>
      </c>
      <c r="D14" s="66" t="s">
        <v>82</v>
      </c>
      <c r="E14" s="67">
        <f t="shared" si="0"/>
        <v>6</v>
      </c>
      <c r="F14" s="67">
        <f t="shared" si="1"/>
        <v>0</v>
      </c>
      <c r="G14" s="67">
        <f t="shared" si="2"/>
        <v>0</v>
      </c>
      <c r="H14" s="68">
        <v>0</v>
      </c>
      <c r="I14" s="69">
        <f t="shared" si="3"/>
        <v>0</v>
      </c>
      <c r="J14" s="69">
        <f t="shared" si="4"/>
        <v>0</v>
      </c>
      <c r="K14" s="69">
        <f t="shared" si="5"/>
        <v>0</v>
      </c>
      <c r="L14" s="70">
        <f t="shared" si="6"/>
        <v>0</v>
      </c>
      <c r="M14" s="66" t="s">
        <v>82</v>
      </c>
      <c r="N14" s="66" t="s">
        <v>82</v>
      </c>
      <c r="O14" s="67">
        <f t="shared" si="7"/>
        <v>6</v>
      </c>
      <c r="P14" s="67">
        <f t="shared" si="8"/>
        <v>0</v>
      </c>
      <c r="Q14" s="67">
        <f t="shared" si="9"/>
        <v>0</v>
      </c>
      <c r="R14" s="68">
        <v>0</v>
      </c>
      <c r="S14" s="69">
        <f t="shared" si="10"/>
        <v>0</v>
      </c>
      <c r="T14" s="69">
        <f t="shared" si="11"/>
        <v>0</v>
      </c>
      <c r="U14" s="69">
        <f t="shared" si="12"/>
        <v>0</v>
      </c>
      <c r="V14" s="70">
        <f t="shared" si="13"/>
        <v>0</v>
      </c>
      <c r="W14" s="66" t="s">
        <v>82</v>
      </c>
      <c r="X14" s="66" t="s">
        <v>82</v>
      </c>
      <c r="Y14" s="67">
        <f t="shared" si="14"/>
        <v>6</v>
      </c>
      <c r="Z14" s="67">
        <f t="shared" si="15"/>
        <v>0</v>
      </c>
      <c r="AA14" s="67">
        <f t="shared" si="16"/>
        <v>0</v>
      </c>
      <c r="AB14" s="68">
        <v>0</v>
      </c>
      <c r="AC14" s="69">
        <f t="shared" si="17"/>
        <v>0</v>
      </c>
      <c r="AD14" s="69">
        <f t="shared" si="18"/>
        <v>0</v>
      </c>
      <c r="AE14" s="69">
        <f t="shared" si="19"/>
        <v>0</v>
      </c>
      <c r="AF14" s="70">
        <f t="shared" si="20"/>
        <v>0</v>
      </c>
      <c r="AG14" s="66" t="s">
        <v>82</v>
      </c>
      <c r="AH14" s="66" t="s">
        <v>82</v>
      </c>
      <c r="AI14" s="67">
        <f t="shared" si="21"/>
        <v>6</v>
      </c>
      <c r="AJ14" s="67">
        <f t="shared" si="22"/>
        <v>0</v>
      </c>
      <c r="AK14" s="67">
        <f t="shared" si="23"/>
        <v>0</v>
      </c>
      <c r="AL14" s="68">
        <v>0</v>
      </c>
      <c r="AM14" s="69">
        <f t="shared" si="24"/>
        <v>0</v>
      </c>
      <c r="AN14" s="69">
        <f t="shared" si="25"/>
        <v>0</v>
      </c>
      <c r="AO14" s="69">
        <f t="shared" si="26"/>
        <v>0</v>
      </c>
      <c r="AP14" s="70">
        <f t="shared" si="27"/>
        <v>0</v>
      </c>
      <c r="AQ14" s="67">
        <f t="shared" si="28"/>
        <v>24</v>
      </c>
      <c r="AR14" s="67">
        <f t="shared" si="29"/>
        <v>0</v>
      </c>
      <c r="AS14" s="71">
        <f t="shared" si="30"/>
        <v>0</v>
      </c>
      <c r="AT14" s="68">
        <f t="shared" si="31"/>
        <v>0</v>
      </c>
      <c r="AU14" s="69">
        <f t="shared" si="32"/>
        <v>0</v>
      </c>
      <c r="AV14" s="70">
        <f t="shared" si="33"/>
        <v>0</v>
      </c>
      <c r="AW14" s="69">
        <f t="shared" si="34"/>
        <v>0</v>
      </c>
      <c r="AX14" s="70">
        <f t="shared" si="35"/>
        <v>0</v>
      </c>
      <c r="AY14" s="72">
        <f t="shared" si="36"/>
        <v>0</v>
      </c>
    </row>
    <row r="15" spans="1:51" x14ac:dyDescent="0.35">
      <c r="A15" s="56">
        <v>46243</v>
      </c>
      <c r="B15" s="57" t="s">
        <v>77</v>
      </c>
      <c r="C15" s="57" t="s">
        <v>82</v>
      </c>
      <c r="D15" s="57" t="s">
        <v>82</v>
      </c>
      <c r="E15" s="59">
        <f t="shared" si="0"/>
        <v>0</v>
      </c>
      <c r="F15" s="59">
        <f t="shared" si="1"/>
        <v>0</v>
      </c>
      <c r="G15" s="59">
        <f t="shared" si="2"/>
        <v>0</v>
      </c>
      <c r="H15" s="60">
        <v>0</v>
      </c>
      <c r="I15" s="61">
        <f t="shared" si="3"/>
        <v>0</v>
      </c>
      <c r="J15" s="61">
        <f t="shared" si="4"/>
        <v>0</v>
      </c>
      <c r="K15" s="61">
        <f t="shared" si="5"/>
        <v>0</v>
      </c>
      <c r="L15" s="62">
        <f t="shared" si="6"/>
        <v>0</v>
      </c>
      <c r="M15" s="57" t="s">
        <v>82</v>
      </c>
      <c r="N15" s="57" t="s">
        <v>82</v>
      </c>
      <c r="O15" s="59">
        <f t="shared" si="7"/>
        <v>0</v>
      </c>
      <c r="P15" s="59">
        <f t="shared" si="8"/>
        <v>0</v>
      </c>
      <c r="Q15" s="59">
        <f t="shared" si="9"/>
        <v>0</v>
      </c>
      <c r="R15" s="60">
        <v>0</v>
      </c>
      <c r="S15" s="61">
        <f t="shared" si="10"/>
        <v>0</v>
      </c>
      <c r="T15" s="61">
        <f t="shared" si="11"/>
        <v>0</v>
      </c>
      <c r="U15" s="61">
        <f t="shared" si="12"/>
        <v>0</v>
      </c>
      <c r="V15" s="62">
        <f t="shared" si="13"/>
        <v>0</v>
      </c>
      <c r="W15" s="57" t="s">
        <v>82</v>
      </c>
      <c r="X15" s="57" t="s">
        <v>82</v>
      </c>
      <c r="Y15" s="59">
        <f t="shared" si="14"/>
        <v>0</v>
      </c>
      <c r="Z15" s="59">
        <f t="shared" si="15"/>
        <v>0</v>
      </c>
      <c r="AA15" s="59">
        <f t="shared" si="16"/>
        <v>0</v>
      </c>
      <c r="AB15" s="60">
        <v>0</v>
      </c>
      <c r="AC15" s="61">
        <f t="shared" si="17"/>
        <v>0</v>
      </c>
      <c r="AD15" s="61">
        <f t="shared" si="18"/>
        <v>0</v>
      </c>
      <c r="AE15" s="61">
        <f t="shared" si="19"/>
        <v>0</v>
      </c>
      <c r="AF15" s="62">
        <f t="shared" si="20"/>
        <v>0</v>
      </c>
      <c r="AG15" s="57" t="s">
        <v>82</v>
      </c>
      <c r="AH15" s="57" t="s">
        <v>82</v>
      </c>
      <c r="AI15" s="59">
        <f t="shared" si="21"/>
        <v>0</v>
      </c>
      <c r="AJ15" s="59">
        <f t="shared" si="22"/>
        <v>0</v>
      </c>
      <c r="AK15" s="59">
        <f t="shared" si="23"/>
        <v>0</v>
      </c>
      <c r="AL15" s="60">
        <v>0</v>
      </c>
      <c r="AM15" s="61">
        <f t="shared" si="24"/>
        <v>0</v>
      </c>
      <c r="AN15" s="61">
        <f t="shared" si="25"/>
        <v>0</v>
      </c>
      <c r="AO15" s="61">
        <f t="shared" si="26"/>
        <v>0</v>
      </c>
      <c r="AP15" s="62">
        <f t="shared" si="27"/>
        <v>0</v>
      </c>
      <c r="AQ15" s="59">
        <f t="shared" si="28"/>
        <v>0</v>
      </c>
      <c r="AR15" s="59">
        <f t="shared" si="29"/>
        <v>0</v>
      </c>
      <c r="AS15" s="63">
        <f t="shared" si="30"/>
        <v>0</v>
      </c>
      <c r="AT15" s="60">
        <f t="shared" si="31"/>
        <v>0</v>
      </c>
      <c r="AU15" s="61">
        <f t="shared" si="32"/>
        <v>0</v>
      </c>
      <c r="AV15" s="62">
        <f t="shared" si="33"/>
        <v>0</v>
      </c>
      <c r="AW15" s="61">
        <f t="shared" si="34"/>
        <v>0</v>
      </c>
      <c r="AX15" s="62">
        <f t="shared" si="35"/>
        <v>0</v>
      </c>
      <c r="AY15" s="64">
        <f t="shared" si="36"/>
        <v>0</v>
      </c>
    </row>
    <row r="16" spans="1:51" x14ac:dyDescent="0.35">
      <c r="A16" s="65">
        <v>46244</v>
      </c>
      <c r="B16" s="66" t="s">
        <v>78</v>
      </c>
      <c r="C16" s="66" t="s">
        <v>82</v>
      </c>
      <c r="D16" s="66" t="s">
        <v>82</v>
      </c>
      <c r="E16" s="67">
        <f t="shared" si="0"/>
        <v>12</v>
      </c>
      <c r="F16" s="67">
        <f t="shared" si="1"/>
        <v>0</v>
      </c>
      <c r="G16" s="67">
        <f t="shared" si="2"/>
        <v>0</v>
      </c>
      <c r="H16" s="68">
        <v>0</v>
      </c>
      <c r="I16" s="69">
        <f t="shared" si="3"/>
        <v>0</v>
      </c>
      <c r="J16" s="69">
        <f t="shared" si="4"/>
        <v>0</v>
      </c>
      <c r="K16" s="69">
        <f t="shared" si="5"/>
        <v>0</v>
      </c>
      <c r="L16" s="70">
        <f t="shared" si="6"/>
        <v>0</v>
      </c>
      <c r="M16" s="66" t="s">
        <v>82</v>
      </c>
      <c r="N16" s="66" t="s">
        <v>82</v>
      </c>
      <c r="O16" s="67">
        <f t="shared" si="7"/>
        <v>12</v>
      </c>
      <c r="P16" s="67">
        <f t="shared" si="8"/>
        <v>0</v>
      </c>
      <c r="Q16" s="67">
        <f t="shared" si="9"/>
        <v>0</v>
      </c>
      <c r="R16" s="68">
        <v>0</v>
      </c>
      <c r="S16" s="69">
        <f t="shared" si="10"/>
        <v>0</v>
      </c>
      <c r="T16" s="69">
        <f t="shared" si="11"/>
        <v>0</v>
      </c>
      <c r="U16" s="69">
        <f t="shared" si="12"/>
        <v>0</v>
      </c>
      <c r="V16" s="70">
        <f t="shared" si="13"/>
        <v>0</v>
      </c>
      <c r="W16" s="66" t="s">
        <v>82</v>
      </c>
      <c r="X16" s="66" t="s">
        <v>82</v>
      </c>
      <c r="Y16" s="67">
        <f t="shared" si="14"/>
        <v>12</v>
      </c>
      <c r="Z16" s="67">
        <f t="shared" si="15"/>
        <v>0</v>
      </c>
      <c r="AA16" s="67">
        <f t="shared" si="16"/>
        <v>0</v>
      </c>
      <c r="AB16" s="68">
        <v>0</v>
      </c>
      <c r="AC16" s="69">
        <f t="shared" si="17"/>
        <v>0</v>
      </c>
      <c r="AD16" s="69">
        <f t="shared" si="18"/>
        <v>0</v>
      </c>
      <c r="AE16" s="69">
        <f t="shared" si="19"/>
        <v>0</v>
      </c>
      <c r="AF16" s="70">
        <f t="shared" si="20"/>
        <v>0</v>
      </c>
      <c r="AG16" s="66" t="s">
        <v>82</v>
      </c>
      <c r="AH16" s="66" t="s">
        <v>82</v>
      </c>
      <c r="AI16" s="67">
        <f t="shared" si="21"/>
        <v>12</v>
      </c>
      <c r="AJ16" s="67">
        <f t="shared" si="22"/>
        <v>0</v>
      </c>
      <c r="AK16" s="67">
        <f t="shared" si="23"/>
        <v>0</v>
      </c>
      <c r="AL16" s="68">
        <v>0</v>
      </c>
      <c r="AM16" s="69">
        <f t="shared" si="24"/>
        <v>0</v>
      </c>
      <c r="AN16" s="69">
        <f t="shared" si="25"/>
        <v>0</v>
      </c>
      <c r="AO16" s="69">
        <f t="shared" si="26"/>
        <v>0</v>
      </c>
      <c r="AP16" s="70">
        <f t="shared" si="27"/>
        <v>0</v>
      </c>
      <c r="AQ16" s="67">
        <f t="shared" si="28"/>
        <v>48</v>
      </c>
      <c r="AR16" s="67">
        <f t="shared" si="29"/>
        <v>0</v>
      </c>
      <c r="AS16" s="71">
        <f t="shared" si="30"/>
        <v>0</v>
      </c>
      <c r="AT16" s="68">
        <f t="shared" si="31"/>
        <v>0</v>
      </c>
      <c r="AU16" s="69">
        <f t="shared" si="32"/>
        <v>0</v>
      </c>
      <c r="AV16" s="70">
        <f t="shared" si="33"/>
        <v>0</v>
      </c>
      <c r="AW16" s="69">
        <f t="shared" si="34"/>
        <v>0</v>
      </c>
      <c r="AX16" s="70">
        <f t="shared" si="35"/>
        <v>0</v>
      </c>
      <c r="AY16" s="72">
        <f t="shared" si="36"/>
        <v>0</v>
      </c>
    </row>
    <row r="17" spans="1:51" x14ac:dyDescent="0.35">
      <c r="A17" s="56">
        <v>46245</v>
      </c>
      <c r="B17" s="57" t="s">
        <v>79</v>
      </c>
      <c r="C17" s="57" t="s">
        <v>82</v>
      </c>
      <c r="D17" s="57" t="s">
        <v>82</v>
      </c>
      <c r="E17" s="59">
        <f t="shared" si="0"/>
        <v>12</v>
      </c>
      <c r="F17" s="59">
        <f t="shared" si="1"/>
        <v>0</v>
      </c>
      <c r="G17" s="59">
        <f t="shared" si="2"/>
        <v>0</v>
      </c>
      <c r="H17" s="60">
        <v>0</v>
      </c>
      <c r="I17" s="61">
        <f t="shared" si="3"/>
        <v>0</v>
      </c>
      <c r="J17" s="61">
        <f t="shared" si="4"/>
        <v>0</v>
      </c>
      <c r="K17" s="61">
        <f t="shared" si="5"/>
        <v>0</v>
      </c>
      <c r="L17" s="62">
        <f t="shared" si="6"/>
        <v>0</v>
      </c>
      <c r="M17" s="57" t="s">
        <v>82</v>
      </c>
      <c r="N17" s="57" t="s">
        <v>82</v>
      </c>
      <c r="O17" s="59">
        <f t="shared" si="7"/>
        <v>12</v>
      </c>
      <c r="P17" s="59">
        <f t="shared" si="8"/>
        <v>0</v>
      </c>
      <c r="Q17" s="59">
        <f t="shared" si="9"/>
        <v>0</v>
      </c>
      <c r="R17" s="60">
        <v>0</v>
      </c>
      <c r="S17" s="61">
        <f t="shared" si="10"/>
        <v>0</v>
      </c>
      <c r="T17" s="61">
        <f t="shared" si="11"/>
        <v>0</v>
      </c>
      <c r="U17" s="61">
        <f t="shared" si="12"/>
        <v>0</v>
      </c>
      <c r="V17" s="62">
        <f t="shared" si="13"/>
        <v>0</v>
      </c>
      <c r="W17" s="57" t="s">
        <v>82</v>
      </c>
      <c r="X17" s="57" t="s">
        <v>82</v>
      </c>
      <c r="Y17" s="59">
        <f t="shared" si="14"/>
        <v>12</v>
      </c>
      <c r="Z17" s="59">
        <f t="shared" si="15"/>
        <v>0</v>
      </c>
      <c r="AA17" s="59">
        <f t="shared" si="16"/>
        <v>0</v>
      </c>
      <c r="AB17" s="60">
        <v>0</v>
      </c>
      <c r="AC17" s="61">
        <f t="shared" si="17"/>
        <v>0</v>
      </c>
      <c r="AD17" s="61">
        <f t="shared" si="18"/>
        <v>0</v>
      </c>
      <c r="AE17" s="61">
        <f t="shared" si="19"/>
        <v>0</v>
      </c>
      <c r="AF17" s="62">
        <f t="shared" si="20"/>
        <v>0</v>
      </c>
      <c r="AG17" s="57" t="s">
        <v>82</v>
      </c>
      <c r="AH17" s="57" t="s">
        <v>82</v>
      </c>
      <c r="AI17" s="59">
        <f t="shared" si="21"/>
        <v>12</v>
      </c>
      <c r="AJ17" s="59">
        <f t="shared" si="22"/>
        <v>0</v>
      </c>
      <c r="AK17" s="59">
        <f t="shared" si="23"/>
        <v>0</v>
      </c>
      <c r="AL17" s="60">
        <v>0</v>
      </c>
      <c r="AM17" s="61">
        <f t="shared" si="24"/>
        <v>0</v>
      </c>
      <c r="AN17" s="61">
        <f t="shared" si="25"/>
        <v>0</v>
      </c>
      <c r="AO17" s="61">
        <f t="shared" si="26"/>
        <v>0</v>
      </c>
      <c r="AP17" s="62">
        <f t="shared" si="27"/>
        <v>0</v>
      </c>
      <c r="AQ17" s="59">
        <f t="shared" si="28"/>
        <v>48</v>
      </c>
      <c r="AR17" s="59">
        <f t="shared" si="29"/>
        <v>0</v>
      </c>
      <c r="AS17" s="63">
        <f t="shared" si="30"/>
        <v>0</v>
      </c>
      <c r="AT17" s="60">
        <f t="shared" si="31"/>
        <v>0</v>
      </c>
      <c r="AU17" s="61">
        <f t="shared" si="32"/>
        <v>0</v>
      </c>
      <c r="AV17" s="62">
        <f t="shared" si="33"/>
        <v>0</v>
      </c>
      <c r="AW17" s="61">
        <f t="shared" si="34"/>
        <v>0</v>
      </c>
      <c r="AX17" s="62">
        <f t="shared" si="35"/>
        <v>0</v>
      </c>
      <c r="AY17" s="64">
        <f t="shared" si="36"/>
        <v>0</v>
      </c>
    </row>
    <row r="18" spans="1:51" x14ac:dyDescent="0.35">
      <c r="A18" s="65">
        <v>46246</v>
      </c>
      <c r="B18" s="66" t="s">
        <v>80</v>
      </c>
      <c r="C18" s="66" t="s">
        <v>82</v>
      </c>
      <c r="D18" s="66" t="s">
        <v>82</v>
      </c>
      <c r="E18" s="67">
        <f t="shared" si="0"/>
        <v>12</v>
      </c>
      <c r="F18" s="67">
        <f t="shared" si="1"/>
        <v>0</v>
      </c>
      <c r="G18" s="67">
        <f t="shared" si="2"/>
        <v>0</v>
      </c>
      <c r="H18" s="68">
        <v>0</v>
      </c>
      <c r="I18" s="69">
        <f t="shared" si="3"/>
        <v>0</v>
      </c>
      <c r="J18" s="69">
        <f t="shared" si="4"/>
        <v>0</v>
      </c>
      <c r="K18" s="69">
        <f t="shared" si="5"/>
        <v>0</v>
      </c>
      <c r="L18" s="70">
        <f t="shared" si="6"/>
        <v>0</v>
      </c>
      <c r="M18" s="66" t="s">
        <v>82</v>
      </c>
      <c r="N18" s="66" t="s">
        <v>82</v>
      </c>
      <c r="O18" s="67">
        <f t="shared" si="7"/>
        <v>12</v>
      </c>
      <c r="P18" s="67">
        <f t="shared" si="8"/>
        <v>0</v>
      </c>
      <c r="Q18" s="67">
        <f t="shared" si="9"/>
        <v>0</v>
      </c>
      <c r="R18" s="68">
        <v>0</v>
      </c>
      <c r="S18" s="69">
        <f t="shared" si="10"/>
        <v>0</v>
      </c>
      <c r="T18" s="69">
        <f t="shared" si="11"/>
        <v>0</v>
      </c>
      <c r="U18" s="69">
        <f t="shared" si="12"/>
        <v>0</v>
      </c>
      <c r="V18" s="70">
        <f t="shared" si="13"/>
        <v>0</v>
      </c>
      <c r="W18" s="66" t="s">
        <v>82</v>
      </c>
      <c r="X18" s="66" t="s">
        <v>82</v>
      </c>
      <c r="Y18" s="67">
        <f t="shared" si="14"/>
        <v>12</v>
      </c>
      <c r="Z18" s="67">
        <f t="shared" si="15"/>
        <v>0</v>
      </c>
      <c r="AA18" s="67">
        <f t="shared" si="16"/>
        <v>0</v>
      </c>
      <c r="AB18" s="68">
        <v>0</v>
      </c>
      <c r="AC18" s="69">
        <f t="shared" si="17"/>
        <v>0</v>
      </c>
      <c r="AD18" s="69">
        <f t="shared" si="18"/>
        <v>0</v>
      </c>
      <c r="AE18" s="69">
        <f t="shared" si="19"/>
        <v>0</v>
      </c>
      <c r="AF18" s="70">
        <f t="shared" si="20"/>
        <v>0</v>
      </c>
      <c r="AG18" s="66" t="s">
        <v>82</v>
      </c>
      <c r="AH18" s="66" t="s">
        <v>82</v>
      </c>
      <c r="AI18" s="67">
        <f t="shared" si="21"/>
        <v>12</v>
      </c>
      <c r="AJ18" s="67">
        <f t="shared" si="22"/>
        <v>0</v>
      </c>
      <c r="AK18" s="67">
        <f t="shared" si="23"/>
        <v>0</v>
      </c>
      <c r="AL18" s="68">
        <v>0</v>
      </c>
      <c r="AM18" s="69">
        <f t="shared" si="24"/>
        <v>0</v>
      </c>
      <c r="AN18" s="69">
        <f t="shared" si="25"/>
        <v>0</v>
      </c>
      <c r="AO18" s="69">
        <f t="shared" si="26"/>
        <v>0</v>
      </c>
      <c r="AP18" s="70">
        <f t="shared" si="27"/>
        <v>0</v>
      </c>
      <c r="AQ18" s="67">
        <f t="shared" si="28"/>
        <v>48</v>
      </c>
      <c r="AR18" s="67">
        <f t="shared" si="29"/>
        <v>0</v>
      </c>
      <c r="AS18" s="71">
        <f t="shared" si="30"/>
        <v>0</v>
      </c>
      <c r="AT18" s="68">
        <f t="shared" si="31"/>
        <v>0</v>
      </c>
      <c r="AU18" s="69">
        <f t="shared" si="32"/>
        <v>0</v>
      </c>
      <c r="AV18" s="70">
        <f t="shared" si="33"/>
        <v>0</v>
      </c>
      <c r="AW18" s="69">
        <f t="shared" si="34"/>
        <v>0</v>
      </c>
      <c r="AX18" s="70">
        <f t="shared" si="35"/>
        <v>0</v>
      </c>
      <c r="AY18" s="72">
        <f t="shared" si="36"/>
        <v>0</v>
      </c>
    </row>
    <row r="19" spans="1:51" x14ac:dyDescent="0.35">
      <c r="A19" s="56">
        <v>46247</v>
      </c>
      <c r="B19" s="57" t="s">
        <v>81</v>
      </c>
      <c r="C19" s="57" t="s">
        <v>82</v>
      </c>
      <c r="D19" s="57" t="s">
        <v>82</v>
      </c>
      <c r="E19" s="59">
        <f t="shared" si="0"/>
        <v>12</v>
      </c>
      <c r="F19" s="59">
        <f t="shared" si="1"/>
        <v>0</v>
      </c>
      <c r="G19" s="59">
        <f t="shared" si="2"/>
        <v>0</v>
      </c>
      <c r="H19" s="60">
        <v>0</v>
      </c>
      <c r="I19" s="61">
        <f t="shared" si="3"/>
        <v>0</v>
      </c>
      <c r="J19" s="61">
        <f t="shared" si="4"/>
        <v>0</v>
      </c>
      <c r="K19" s="61">
        <f t="shared" si="5"/>
        <v>0</v>
      </c>
      <c r="L19" s="62">
        <f t="shared" si="6"/>
        <v>0</v>
      </c>
      <c r="M19" s="57" t="s">
        <v>82</v>
      </c>
      <c r="N19" s="57" t="s">
        <v>82</v>
      </c>
      <c r="O19" s="59">
        <f t="shared" si="7"/>
        <v>12</v>
      </c>
      <c r="P19" s="59">
        <f t="shared" si="8"/>
        <v>0</v>
      </c>
      <c r="Q19" s="59">
        <f t="shared" si="9"/>
        <v>0</v>
      </c>
      <c r="R19" s="60">
        <v>0</v>
      </c>
      <c r="S19" s="61">
        <f t="shared" si="10"/>
        <v>0</v>
      </c>
      <c r="T19" s="61">
        <f t="shared" si="11"/>
        <v>0</v>
      </c>
      <c r="U19" s="61">
        <f t="shared" si="12"/>
        <v>0</v>
      </c>
      <c r="V19" s="62">
        <f t="shared" si="13"/>
        <v>0</v>
      </c>
      <c r="W19" s="57" t="s">
        <v>82</v>
      </c>
      <c r="X19" s="57" t="s">
        <v>82</v>
      </c>
      <c r="Y19" s="59">
        <f t="shared" si="14"/>
        <v>12</v>
      </c>
      <c r="Z19" s="59">
        <f t="shared" si="15"/>
        <v>0</v>
      </c>
      <c r="AA19" s="59">
        <f t="shared" si="16"/>
        <v>0</v>
      </c>
      <c r="AB19" s="60">
        <v>0</v>
      </c>
      <c r="AC19" s="61">
        <f t="shared" si="17"/>
        <v>0</v>
      </c>
      <c r="AD19" s="61">
        <f t="shared" si="18"/>
        <v>0</v>
      </c>
      <c r="AE19" s="61">
        <f t="shared" si="19"/>
        <v>0</v>
      </c>
      <c r="AF19" s="62">
        <f t="shared" si="20"/>
        <v>0</v>
      </c>
      <c r="AG19" s="57" t="s">
        <v>82</v>
      </c>
      <c r="AH19" s="57" t="s">
        <v>82</v>
      </c>
      <c r="AI19" s="59">
        <f t="shared" si="21"/>
        <v>12</v>
      </c>
      <c r="AJ19" s="59">
        <f t="shared" si="22"/>
        <v>0</v>
      </c>
      <c r="AK19" s="59">
        <f t="shared" si="23"/>
        <v>0</v>
      </c>
      <c r="AL19" s="60">
        <v>0</v>
      </c>
      <c r="AM19" s="61">
        <f t="shared" si="24"/>
        <v>0</v>
      </c>
      <c r="AN19" s="61">
        <f t="shared" si="25"/>
        <v>0</v>
      </c>
      <c r="AO19" s="61">
        <f t="shared" si="26"/>
        <v>0</v>
      </c>
      <c r="AP19" s="62">
        <f t="shared" si="27"/>
        <v>0</v>
      </c>
      <c r="AQ19" s="59">
        <f t="shared" si="28"/>
        <v>48</v>
      </c>
      <c r="AR19" s="59">
        <f t="shared" si="29"/>
        <v>0</v>
      </c>
      <c r="AS19" s="63">
        <f t="shared" si="30"/>
        <v>0</v>
      </c>
      <c r="AT19" s="60">
        <f t="shared" si="31"/>
        <v>0</v>
      </c>
      <c r="AU19" s="61">
        <f t="shared" si="32"/>
        <v>0</v>
      </c>
      <c r="AV19" s="62">
        <f t="shared" si="33"/>
        <v>0</v>
      </c>
      <c r="AW19" s="61">
        <f t="shared" si="34"/>
        <v>0</v>
      </c>
      <c r="AX19" s="62">
        <f t="shared" si="35"/>
        <v>0</v>
      </c>
      <c r="AY19" s="64">
        <f t="shared" si="36"/>
        <v>0</v>
      </c>
    </row>
    <row r="20" spans="1:51" x14ac:dyDescent="0.35">
      <c r="A20" s="65">
        <v>46248</v>
      </c>
      <c r="B20" s="66" t="s">
        <v>75</v>
      </c>
      <c r="C20" s="66" t="s">
        <v>82</v>
      </c>
      <c r="D20" s="66" t="s">
        <v>82</v>
      </c>
      <c r="E20" s="67">
        <f t="shared" si="0"/>
        <v>12</v>
      </c>
      <c r="F20" s="67">
        <f t="shared" si="1"/>
        <v>0</v>
      </c>
      <c r="G20" s="67">
        <f t="shared" si="2"/>
        <v>0</v>
      </c>
      <c r="H20" s="68">
        <v>0</v>
      </c>
      <c r="I20" s="69">
        <f t="shared" si="3"/>
        <v>0</v>
      </c>
      <c r="J20" s="69">
        <f t="shared" si="4"/>
        <v>0</v>
      </c>
      <c r="K20" s="69">
        <f t="shared" si="5"/>
        <v>0</v>
      </c>
      <c r="L20" s="70">
        <f t="shared" si="6"/>
        <v>0</v>
      </c>
      <c r="M20" s="66" t="s">
        <v>82</v>
      </c>
      <c r="N20" s="66" t="s">
        <v>82</v>
      </c>
      <c r="O20" s="67">
        <f t="shared" si="7"/>
        <v>12</v>
      </c>
      <c r="P20" s="67">
        <f t="shared" si="8"/>
        <v>0</v>
      </c>
      <c r="Q20" s="67">
        <f t="shared" si="9"/>
        <v>0</v>
      </c>
      <c r="R20" s="68">
        <v>63</v>
      </c>
      <c r="S20" s="69">
        <f t="shared" si="10"/>
        <v>469.35</v>
      </c>
      <c r="T20" s="69">
        <f t="shared" si="11"/>
        <v>0</v>
      </c>
      <c r="U20" s="69">
        <f t="shared" si="12"/>
        <v>469.35</v>
      </c>
      <c r="V20" s="70">
        <f t="shared" si="13"/>
        <v>0</v>
      </c>
      <c r="W20" s="66" t="s">
        <v>82</v>
      </c>
      <c r="X20" s="66" t="s">
        <v>82</v>
      </c>
      <c r="Y20" s="67">
        <f t="shared" si="14"/>
        <v>12</v>
      </c>
      <c r="Z20" s="67">
        <f t="shared" si="15"/>
        <v>0</v>
      </c>
      <c r="AA20" s="67">
        <f t="shared" si="16"/>
        <v>0</v>
      </c>
      <c r="AB20" s="68">
        <v>0</v>
      </c>
      <c r="AC20" s="69">
        <f t="shared" si="17"/>
        <v>0</v>
      </c>
      <c r="AD20" s="69">
        <f t="shared" si="18"/>
        <v>0</v>
      </c>
      <c r="AE20" s="69">
        <f t="shared" si="19"/>
        <v>0</v>
      </c>
      <c r="AF20" s="70">
        <f t="shared" si="20"/>
        <v>0</v>
      </c>
      <c r="AG20" s="66" t="s">
        <v>82</v>
      </c>
      <c r="AH20" s="66" t="s">
        <v>82</v>
      </c>
      <c r="AI20" s="67">
        <f t="shared" si="21"/>
        <v>12</v>
      </c>
      <c r="AJ20" s="67">
        <f t="shared" si="22"/>
        <v>0</v>
      </c>
      <c r="AK20" s="67">
        <f t="shared" si="23"/>
        <v>0</v>
      </c>
      <c r="AL20" s="68">
        <v>0</v>
      </c>
      <c r="AM20" s="69">
        <f t="shared" si="24"/>
        <v>0</v>
      </c>
      <c r="AN20" s="69">
        <f t="shared" si="25"/>
        <v>0</v>
      </c>
      <c r="AO20" s="69">
        <f t="shared" si="26"/>
        <v>0</v>
      </c>
      <c r="AP20" s="70">
        <f t="shared" si="27"/>
        <v>0</v>
      </c>
      <c r="AQ20" s="67">
        <f t="shared" si="28"/>
        <v>48</v>
      </c>
      <c r="AR20" s="67">
        <f t="shared" si="29"/>
        <v>0</v>
      </c>
      <c r="AS20" s="71">
        <f t="shared" si="30"/>
        <v>0</v>
      </c>
      <c r="AT20" s="68">
        <f t="shared" si="31"/>
        <v>63</v>
      </c>
      <c r="AU20" s="69">
        <f t="shared" si="32"/>
        <v>469.35</v>
      </c>
      <c r="AV20" s="70">
        <f t="shared" si="33"/>
        <v>469.35</v>
      </c>
      <c r="AW20" s="69">
        <f t="shared" si="34"/>
        <v>469.35</v>
      </c>
      <c r="AX20" s="70">
        <f t="shared" si="35"/>
        <v>0</v>
      </c>
      <c r="AY20" s="72">
        <f t="shared" si="36"/>
        <v>0</v>
      </c>
    </row>
    <row r="21" spans="1:51" x14ac:dyDescent="0.35">
      <c r="A21" s="56">
        <v>46249</v>
      </c>
      <c r="B21" s="57" t="s">
        <v>76</v>
      </c>
      <c r="C21" s="57" t="s">
        <v>82</v>
      </c>
      <c r="D21" s="57" t="s">
        <v>82</v>
      </c>
      <c r="E21" s="59">
        <f t="shared" si="0"/>
        <v>6</v>
      </c>
      <c r="F21" s="59">
        <f t="shared" si="1"/>
        <v>0</v>
      </c>
      <c r="G21" s="59">
        <f t="shared" si="2"/>
        <v>0</v>
      </c>
      <c r="H21" s="60">
        <v>0</v>
      </c>
      <c r="I21" s="61">
        <f t="shared" si="3"/>
        <v>0</v>
      </c>
      <c r="J21" s="61">
        <f t="shared" si="4"/>
        <v>0</v>
      </c>
      <c r="K21" s="61">
        <f t="shared" si="5"/>
        <v>0</v>
      </c>
      <c r="L21" s="62">
        <f t="shared" si="6"/>
        <v>0</v>
      </c>
      <c r="M21" s="57" t="s">
        <v>82</v>
      </c>
      <c r="N21" s="57" t="s">
        <v>82</v>
      </c>
      <c r="O21" s="59">
        <f t="shared" si="7"/>
        <v>6</v>
      </c>
      <c r="P21" s="59">
        <f t="shared" si="8"/>
        <v>0</v>
      </c>
      <c r="Q21" s="59">
        <f t="shared" si="9"/>
        <v>0</v>
      </c>
      <c r="R21" s="60">
        <v>0</v>
      </c>
      <c r="S21" s="61">
        <f t="shared" si="10"/>
        <v>0</v>
      </c>
      <c r="T21" s="61">
        <f t="shared" si="11"/>
        <v>0</v>
      </c>
      <c r="U21" s="61">
        <f t="shared" si="12"/>
        <v>0</v>
      </c>
      <c r="V21" s="62">
        <f t="shared" si="13"/>
        <v>0</v>
      </c>
      <c r="W21" s="57" t="s">
        <v>82</v>
      </c>
      <c r="X21" s="57" t="s">
        <v>82</v>
      </c>
      <c r="Y21" s="59">
        <f t="shared" si="14"/>
        <v>6</v>
      </c>
      <c r="Z21" s="59">
        <f t="shared" si="15"/>
        <v>0</v>
      </c>
      <c r="AA21" s="59">
        <f t="shared" si="16"/>
        <v>0</v>
      </c>
      <c r="AB21" s="60">
        <v>0</v>
      </c>
      <c r="AC21" s="61">
        <f t="shared" si="17"/>
        <v>0</v>
      </c>
      <c r="AD21" s="61">
        <f t="shared" si="18"/>
        <v>0</v>
      </c>
      <c r="AE21" s="61">
        <f t="shared" si="19"/>
        <v>0</v>
      </c>
      <c r="AF21" s="62">
        <f t="shared" si="20"/>
        <v>0</v>
      </c>
      <c r="AG21" s="57" t="s">
        <v>82</v>
      </c>
      <c r="AH21" s="57" t="s">
        <v>82</v>
      </c>
      <c r="AI21" s="59">
        <f t="shared" si="21"/>
        <v>6</v>
      </c>
      <c r="AJ21" s="59">
        <f t="shared" si="22"/>
        <v>0</v>
      </c>
      <c r="AK21" s="59">
        <f t="shared" si="23"/>
        <v>0</v>
      </c>
      <c r="AL21" s="60">
        <v>0</v>
      </c>
      <c r="AM21" s="61">
        <f t="shared" si="24"/>
        <v>0</v>
      </c>
      <c r="AN21" s="61">
        <f t="shared" si="25"/>
        <v>0</v>
      </c>
      <c r="AO21" s="61">
        <f t="shared" si="26"/>
        <v>0</v>
      </c>
      <c r="AP21" s="62">
        <f t="shared" si="27"/>
        <v>0</v>
      </c>
      <c r="AQ21" s="59">
        <f t="shared" si="28"/>
        <v>24</v>
      </c>
      <c r="AR21" s="59">
        <f t="shared" si="29"/>
        <v>0</v>
      </c>
      <c r="AS21" s="63">
        <f t="shared" si="30"/>
        <v>0</v>
      </c>
      <c r="AT21" s="60">
        <f t="shared" si="31"/>
        <v>0</v>
      </c>
      <c r="AU21" s="61">
        <f t="shared" si="32"/>
        <v>0</v>
      </c>
      <c r="AV21" s="62">
        <f t="shared" si="33"/>
        <v>0</v>
      </c>
      <c r="AW21" s="61">
        <f t="shared" si="34"/>
        <v>0</v>
      </c>
      <c r="AX21" s="62">
        <f t="shared" si="35"/>
        <v>0</v>
      </c>
      <c r="AY21" s="64">
        <f t="shared" si="36"/>
        <v>0</v>
      </c>
    </row>
    <row r="22" spans="1:51" x14ac:dyDescent="0.35">
      <c r="A22" s="65">
        <v>46250</v>
      </c>
      <c r="B22" s="66" t="s">
        <v>77</v>
      </c>
      <c r="C22" s="66" t="s">
        <v>82</v>
      </c>
      <c r="D22" s="66" t="s">
        <v>82</v>
      </c>
      <c r="E22" s="67">
        <f t="shared" si="0"/>
        <v>0</v>
      </c>
      <c r="F22" s="67">
        <f t="shared" si="1"/>
        <v>0</v>
      </c>
      <c r="G22" s="67">
        <f t="shared" si="2"/>
        <v>0</v>
      </c>
      <c r="H22" s="68">
        <v>0</v>
      </c>
      <c r="I22" s="69">
        <f t="shared" si="3"/>
        <v>0</v>
      </c>
      <c r="J22" s="69">
        <f t="shared" si="4"/>
        <v>0</v>
      </c>
      <c r="K22" s="69">
        <f t="shared" si="5"/>
        <v>0</v>
      </c>
      <c r="L22" s="70">
        <f t="shared" si="6"/>
        <v>0</v>
      </c>
      <c r="M22" s="66" t="s">
        <v>82</v>
      </c>
      <c r="N22" s="66" t="s">
        <v>82</v>
      </c>
      <c r="O22" s="67">
        <f t="shared" si="7"/>
        <v>0</v>
      </c>
      <c r="P22" s="67">
        <f t="shared" si="8"/>
        <v>0</v>
      </c>
      <c r="Q22" s="67">
        <f t="shared" si="9"/>
        <v>0</v>
      </c>
      <c r="R22" s="68">
        <v>0</v>
      </c>
      <c r="S22" s="69">
        <f t="shared" si="10"/>
        <v>0</v>
      </c>
      <c r="T22" s="69">
        <f t="shared" si="11"/>
        <v>0</v>
      </c>
      <c r="U22" s="69">
        <f t="shared" si="12"/>
        <v>0</v>
      </c>
      <c r="V22" s="70">
        <f t="shared" si="13"/>
        <v>0</v>
      </c>
      <c r="W22" s="66" t="s">
        <v>82</v>
      </c>
      <c r="X22" s="66" t="s">
        <v>82</v>
      </c>
      <c r="Y22" s="67">
        <f t="shared" si="14"/>
        <v>0</v>
      </c>
      <c r="Z22" s="67">
        <f t="shared" si="15"/>
        <v>0</v>
      </c>
      <c r="AA22" s="67">
        <f t="shared" si="16"/>
        <v>0</v>
      </c>
      <c r="AB22" s="68">
        <v>0</v>
      </c>
      <c r="AC22" s="69">
        <f t="shared" si="17"/>
        <v>0</v>
      </c>
      <c r="AD22" s="69">
        <f t="shared" si="18"/>
        <v>0</v>
      </c>
      <c r="AE22" s="69">
        <f t="shared" si="19"/>
        <v>0</v>
      </c>
      <c r="AF22" s="70">
        <f t="shared" si="20"/>
        <v>0</v>
      </c>
      <c r="AG22" s="66" t="s">
        <v>82</v>
      </c>
      <c r="AH22" s="66" t="s">
        <v>82</v>
      </c>
      <c r="AI22" s="67">
        <f t="shared" si="21"/>
        <v>0</v>
      </c>
      <c r="AJ22" s="67">
        <f t="shared" si="22"/>
        <v>0</v>
      </c>
      <c r="AK22" s="67">
        <f t="shared" si="23"/>
        <v>0</v>
      </c>
      <c r="AL22" s="68">
        <v>0</v>
      </c>
      <c r="AM22" s="69">
        <f t="shared" si="24"/>
        <v>0</v>
      </c>
      <c r="AN22" s="69">
        <f t="shared" si="25"/>
        <v>0</v>
      </c>
      <c r="AO22" s="69">
        <f t="shared" si="26"/>
        <v>0</v>
      </c>
      <c r="AP22" s="70">
        <f t="shared" si="27"/>
        <v>0</v>
      </c>
      <c r="AQ22" s="67">
        <f t="shared" si="28"/>
        <v>0</v>
      </c>
      <c r="AR22" s="67">
        <f t="shared" si="29"/>
        <v>0</v>
      </c>
      <c r="AS22" s="71">
        <f t="shared" si="30"/>
        <v>0</v>
      </c>
      <c r="AT22" s="68">
        <f t="shared" si="31"/>
        <v>0</v>
      </c>
      <c r="AU22" s="69">
        <f t="shared" si="32"/>
        <v>0</v>
      </c>
      <c r="AV22" s="70">
        <f t="shared" si="33"/>
        <v>0</v>
      </c>
      <c r="AW22" s="69">
        <f t="shared" si="34"/>
        <v>0</v>
      </c>
      <c r="AX22" s="70">
        <f t="shared" si="35"/>
        <v>0</v>
      </c>
      <c r="AY22" s="72">
        <f t="shared" si="36"/>
        <v>0</v>
      </c>
    </row>
    <row r="23" spans="1:51" x14ac:dyDescent="0.35">
      <c r="A23" s="56">
        <v>46251</v>
      </c>
      <c r="B23" s="57" t="s">
        <v>78</v>
      </c>
      <c r="C23" s="57" t="s">
        <v>82</v>
      </c>
      <c r="D23" s="57" t="s">
        <v>82</v>
      </c>
      <c r="E23" s="59">
        <f t="shared" si="0"/>
        <v>12</v>
      </c>
      <c r="F23" s="59">
        <f t="shared" si="1"/>
        <v>0</v>
      </c>
      <c r="G23" s="59">
        <f t="shared" si="2"/>
        <v>0</v>
      </c>
      <c r="H23" s="60">
        <v>0</v>
      </c>
      <c r="I23" s="61">
        <f t="shared" si="3"/>
        <v>0</v>
      </c>
      <c r="J23" s="61">
        <f t="shared" si="4"/>
        <v>0</v>
      </c>
      <c r="K23" s="61">
        <f t="shared" si="5"/>
        <v>0</v>
      </c>
      <c r="L23" s="62">
        <f t="shared" si="6"/>
        <v>0</v>
      </c>
      <c r="M23" s="57" t="s">
        <v>82</v>
      </c>
      <c r="N23" s="57" t="s">
        <v>82</v>
      </c>
      <c r="O23" s="59">
        <f t="shared" si="7"/>
        <v>12</v>
      </c>
      <c r="P23" s="59">
        <f t="shared" si="8"/>
        <v>0</v>
      </c>
      <c r="Q23" s="59">
        <f t="shared" si="9"/>
        <v>0</v>
      </c>
      <c r="R23" s="60">
        <v>0</v>
      </c>
      <c r="S23" s="61">
        <f t="shared" si="10"/>
        <v>0</v>
      </c>
      <c r="T23" s="61">
        <f t="shared" si="11"/>
        <v>0</v>
      </c>
      <c r="U23" s="61">
        <f t="shared" si="12"/>
        <v>0</v>
      </c>
      <c r="V23" s="62">
        <f t="shared" si="13"/>
        <v>0</v>
      </c>
      <c r="W23" s="57" t="s">
        <v>82</v>
      </c>
      <c r="X23" s="57" t="s">
        <v>82</v>
      </c>
      <c r="Y23" s="59">
        <f t="shared" si="14"/>
        <v>12</v>
      </c>
      <c r="Z23" s="59">
        <f t="shared" si="15"/>
        <v>0</v>
      </c>
      <c r="AA23" s="59">
        <f t="shared" si="16"/>
        <v>0</v>
      </c>
      <c r="AB23" s="60">
        <v>0</v>
      </c>
      <c r="AC23" s="61">
        <f t="shared" si="17"/>
        <v>0</v>
      </c>
      <c r="AD23" s="61">
        <f t="shared" si="18"/>
        <v>0</v>
      </c>
      <c r="AE23" s="61">
        <f t="shared" si="19"/>
        <v>0</v>
      </c>
      <c r="AF23" s="62">
        <f t="shared" si="20"/>
        <v>0</v>
      </c>
      <c r="AG23" s="57" t="s">
        <v>82</v>
      </c>
      <c r="AH23" s="57" t="s">
        <v>82</v>
      </c>
      <c r="AI23" s="59">
        <f t="shared" si="21"/>
        <v>12</v>
      </c>
      <c r="AJ23" s="59">
        <f t="shared" si="22"/>
        <v>0</v>
      </c>
      <c r="AK23" s="59">
        <f t="shared" si="23"/>
        <v>0</v>
      </c>
      <c r="AL23" s="60">
        <v>0</v>
      </c>
      <c r="AM23" s="61">
        <f t="shared" si="24"/>
        <v>0</v>
      </c>
      <c r="AN23" s="61">
        <f t="shared" si="25"/>
        <v>0</v>
      </c>
      <c r="AO23" s="61">
        <f t="shared" si="26"/>
        <v>0</v>
      </c>
      <c r="AP23" s="62">
        <f t="shared" si="27"/>
        <v>0</v>
      </c>
      <c r="AQ23" s="59">
        <f t="shared" si="28"/>
        <v>48</v>
      </c>
      <c r="AR23" s="59">
        <f t="shared" si="29"/>
        <v>0</v>
      </c>
      <c r="AS23" s="63">
        <f t="shared" si="30"/>
        <v>0</v>
      </c>
      <c r="AT23" s="60">
        <f t="shared" si="31"/>
        <v>0</v>
      </c>
      <c r="AU23" s="61">
        <f t="shared" si="32"/>
        <v>0</v>
      </c>
      <c r="AV23" s="62">
        <f t="shared" si="33"/>
        <v>0</v>
      </c>
      <c r="AW23" s="61">
        <f t="shared" si="34"/>
        <v>0</v>
      </c>
      <c r="AX23" s="62">
        <f t="shared" si="35"/>
        <v>0</v>
      </c>
      <c r="AY23" s="64">
        <f t="shared" si="36"/>
        <v>0</v>
      </c>
    </row>
    <row r="24" spans="1:51" x14ac:dyDescent="0.35">
      <c r="A24" s="65">
        <v>46252</v>
      </c>
      <c r="B24" s="66" t="s">
        <v>79</v>
      </c>
      <c r="C24" s="66" t="s">
        <v>82</v>
      </c>
      <c r="D24" s="66" t="s">
        <v>82</v>
      </c>
      <c r="E24" s="67">
        <f t="shared" si="0"/>
        <v>12</v>
      </c>
      <c r="F24" s="67">
        <f t="shared" si="1"/>
        <v>0</v>
      </c>
      <c r="G24" s="67">
        <f t="shared" si="2"/>
        <v>0</v>
      </c>
      <c r="H24" s="68">
        <v>0</v>
      </c>
      <c r="I24" s="69">
        <f t="shared" si="3"/>
        <v>0</v>
      </c>
      <c r="J24" s="69">
        <f t="shared" si="4"/>
        <v>0</v>
      </c>
      <c r="K24" s="69">
        <f t="shared" si="5"/>
        <v>0</v>
      </c>
      <c r="L24" s="70">
        <f t="shared" si="6"/>
        <v>0</v>
      </c>
      <c r="M24" s="66" t="s">
        <v>82</v>
      </c>
      <c r="N24" s="66" t="s">
        <v>82</v>
      </c>
      <c r="O24" s="67">
        <f t="shared" si="7"/>
        <v>12</v>
      </c>
      <c r="P24" s="67">
        <f t="shared" si="8"/>
        <v>0</v>
      </c>
      <c r="Q24" s="67">
        <f t="shared" si="9"/>
        <v>0</v>
      </c>
      <c r="R24" s="68">
        <v>0</v>
      </c>
      <c r="S24" s="69">
        <f t="shared" si="10"/>
        <v>0</v>
      </c>
      <c r="T24" s="69">
        <f t="shared" si="11"/>
        <v>0</v>
      </c>
      <c r="U24" s="69">
        <f t="shared" si="12"/>
        <v>0</v>
      </c>
      <c r="V24" s="70">
        <f t="shared" si="13"/>
        <v>0</v>
      </c>
      <c r="W24" s="66" t="s">
        <v>82</v>
      </c>
      <c r="X24" s="66" t="s">
        <v>82</v>
      </c>
      <c r="Y24" s="67">
        <f t="shared" si="14"/>
        <v>12</v>
      </c>
      <c r="Z24" s="67">
        <f t="shared" si="15"/>
        <v>0</v>
      </c>
      <c r="AA24" s="67">
        <f t="shared" si="16"/>
        <v>0</v>
      </c>
      <c r="AB24" s="68">
        <v>0</v>
      </c>
      <c r="AC24" s="69">
        <f t="shared" si="17"/>
        <v>0</v>
      </c>
      <c r="AD24" s="69">
        <f t="shared" si="18"/>
        <v>0</v>
      </c>
      <c r="AE24" s="69">
        <f t="shared" si="19"/>
        <v>0</v>
      </c>
      <c r="AF24" s="70">
        <f t="shared" si="20"/>
        <v>0</v>
      </c>
      <c r="AG24" s="66" t="s">
        <v>82</v>
      </c>
      <c r="AH24" s="66" t="s">
        <v>82</v>
      </c>
      <c r="AI24" s="67">
        <f t="shared" si="21"/>
        <v>12</v>
      </c>
      <c r="AJ24" s="67">
        <f t="shared" si="22"/>
        <v>0</v>
      </c>
      <c r="AK24" s="67">
        <f t="shared" si="23"/>
        <v>0</v>
      </c>
      <c r="AL24" s="68">
        <v>0</v>
      </c>
      <c r="AM24" s="69">
        <f t="shared" si="24"/>
        <v>0</v>
      </c>
      <c r="AN24" s="69">
        <f t="shared" si="25"/>
        <v>0</v>
      </c>
      <c r="AO24" s="69">
        <f t="shared" si="26"/>
        <v>0</v>
      </c>
      <c r="AP24" s="70">
        <f t="shared" si="27"/>
        <v>0</v>
      </c>
      <c r="AQ24" s="67">
        <f t="shared" si="28"/>
        <v>48</v>
      </c>
      <c r="AR24" s="67">
        <f t="shared" si="29"/>
        <v>0</v>
      </c>
      <c r="AS24" s="71">
        <f t="shared" si="30"/>
        <v>0</v>
      </c>
      <c r="AT24" s="68">
        <f t="shared" si="31"/>
        <v>0</v>
      </c>
      <c r="AU24" s="69">
        <f t="shared" si="32"/>
        <v>0</v>
      </c>
      <c r="AV24" s="70">
        <f t="shared" si="33"/>
        <v>0</v>
      </c>
      <c r="AW24" s="69">
        <f t="shared" si="34"/>
        <v>0</v>
      </c>
      <c r="AX24" s="70">
        <f t="shared" si="35"/>
        <v>0</v>
      </c>
      <c r="AY24" s="72">
        <f t="shared" si="36"/>
        <v>0</v>
      </c>
    </row>
    <row r="25" spans="1:51" x14ac:dyDescent="0.35">
      <c r="A25" s="56">
        <v>46253</v>
      </c>
      <c r="B25" s="57" t="s">
        <v>80</v>
      </c>
      <c r="C25" s="57" t="s">
        <v>82</v>
      </c>
      <c r="D25" s="57" t="s">
        <v>82</v>
      </c>
      <c r="E25" s="59">
        <f t="shared" si="0"/>
        <v>12</v>
      </c>
      <c r="F25" s="59">
        <f t="shared" si="1"/>
        <v>0</v>
      </c>
      <c r="G25" s="59">
        <f t="shared" si="2"/>
        <v>0</v>
      </c>
      <c r="H25" s="60">
        <v>0</v>
      </c>
      <c r="I25" s="61">
        <f t="shared" si="3"/>
        <v>0</v>
      </c>
      <c r="J25" s="61">
        <f t="shared" si="4"/>
        <v>0</v>
      </c>
      <c r="K25" s="61">
        <f t="shared" si="5"/>
        <v>0</v>
      </c>
      <c r="L25" s="62">
        <f t="shared" si="6"/>
        <v>0</v>
      </c>
      <c r="M25" s="57" t="s">
        <v>82</v>
      </c>
      <c r="N25" s="57" t="s">
        <v>82</v>
      </c>
      <c r="O25" s="59">
        <f t="shared" si="7"/>
        <v>12</v>
      </c>
      <c r="P25" s="59">
        <f t="shared" si="8"/>
        <v>0</v>
      </c>
      <c r="Q25" s="59">
        <f t="shared" si="9"/>
        <v>0</v>
      </c>
      <c r="R25" s="60">
        <v>0</v>
      </c>
      <c r="S25" s="61">
        <f t="shared" si="10"/>
        <v>0</v>
      </c>
      <c r="T25" s="61">
        <f t="shared" si="11"/>
        <v>0</v>
      </c>
      <c r="U25" s="61">
        <f t="shared" si="12"/>
        <v>0</v>
      </c>
      <c r="V25" s="62">
        <f t="shared" si="13"/>
        <v>0</v>
      </c>
      <c r="W25" s="57" t="s">
        <v>82</v>
      </c>
      <c r="X25" s="57" t="s">
        <v>82</v>
      </c>
      <c r="Y25" s="59">
        <f t="shared" si="14"/>
        <v>12</v>
      </c>
      <c r="Z25" s="59">
        <f t="shared" si="15"/>
        <v>0</v>
      </c>
      <c r="AA25" s="59">
        <f t="shared" si="16"/>
        <v>0</v>
      </c>
      <c r="AB25" s="60">
        <v>0</v>
      </c>
      <c r="AC25" s="61">
        <f t="shared" si="17"/>
        <v>0</v>
      </c>
      <c r="AD25" s="61">
        <f t="shared" si="18"/>
        <v>0</v>
      </c>
      <c r="AE25" s="61">
        <f t="shared" si="19"/>
        <v>0</v>
      </c>
      <c r="AF25" s="62">
        <f t="shared" si="20"/>
        <v>0</v>
      </c>
      <c r="AG25" s="57" t="s">
        <v>82</v>
      </c>
      <c r="AH25" s="57" t="s">
        <v>82</v>
      </c>
      <c r="AI25" s="59">
        <f t="shared" si="21"/>
        <v>12</v>
      </c>
      <c r="AJ25" s="59">
        <f t="shared" si="22"/>
        <v>0</v>
      </c>
      <c r="AK25" s="59">
        <f t="shared" si="23"/>
        <v>0</v>
      </c>
      <c r="AL25" s="60">
        <v>0</v>
      </c>
      <c r="AM25" s="61">
        <f t="shared" si="24"/>
        <v>0</v>
      </c>
      <c r="AN25" s="61">
        <f t="shared" si="25"/>
        <v>0</v>
      </c>
      <c r="AO25" s="61">
        <f t="shared" si="26"/>
        <v>0</v>
      </c>
      <c r="AP25" s="62">
        <f t="shared" si="27"/>
        <v>0</v>
      </c>
      <c r="AQ25" s="59">
        <f t="shared" si="28"/>
        <v>48</v>
      </c>
      <c r="AR25" s="59">
        <f t="shared" si="29"/>
        <v>0</v>
      </c>
      <c r="AS25" s="63">
        <f t="shared" si="30"/>
        <v>0</v>
      </c>
      <c r="AT25" s="60">
        <f t="shared" si="31"/>
        <v>0</v>
      </c>
      <c r="AU25" s="61">
        <f t="shared" si="32"/>
        <v>0</v>
      </c>
      <c r="AV25" s="62">
        <f t="shared" si="33"/>
        <v>0</v>
      </c>
      <c r="AW25" s="61">
        <f t="shared" si="34"/>
        <v>0</v>
      </c>
      <c r="AX25" s="62">
        <f t="shared" si="35"/>
        <v>0</v>
      </c>
      <c r="AY25" s="64">
        <f t="shared" si="36"/>
        <v>0</v>
      </c>
    </row>
    <row r="26" spans="1:51" x14ac:dyDescent="0.35">
      <c r="A26" s="65">
        <v>46254</v>
      </c>
      <c r="B26" s="66" t="s">
        <v>81</v>
      </c>
      <c r="C26" s="66" t="s">
        <v>82</v>
      </c>
      <c r="D26" s="66" t="s">
        <v>82</v>
      </c>
      <c r="E26" s="67">
        <f t="shared" si="0"/>
        <v>12</v>
      </c>
      <c r="F26" s="67">
        <f t="shared" si="1"/>
        <v>0</v>
      </c>
      <c r="G26" s="67">
        <f t="shared" si="2"/>
        <v>0</v>
      </c>
      <c r="H26" s="68">
        <v>0</v>
      </c>
      <c r="I26" s="69">
        <f t="shared" si="3"/>
        <v>0</v>
      </c>
      <c r="J26" s="69">
        <f t="shared" si="4"/>
        <v>0</v>
      </c>
      <c r="K26" s="69">
        <f t="shared" si="5"/>
        <v>0</v>
      </c>
      <c r="L26" s="70">
        <f t="shared" si="6"/>
        <v>0</v>
      </c>
      <c r="M26" s="66" t="s">
        <v>82</v>
      </c>
      <c r="N26" s="66" t="s">
        <v>82</v>
      </c>
      <c r="O26" s="67">
        <f t="shared" si="7"/>
        <v>12</v>
      </c>
      <c r="P26" s="67">
        <f t="shared" si="8"/>
        <v>0</v>
      </c>
      <c r="Q26" s="67">
        <f t="shared" si="9"/>
        <v>0</v>
      </c>
      <c r="R26" s="68">
        <v>0</v>
      </c>
      <c r="S26" s="69">
        <f t="shared" si="10"/>
        <v>0</v>
      </c>
      <c r="T26" s="69">
        <f t="shared" si="11"/>
        <v>0</v>
      </c>
      <c r="U26" s="69">
        <f t="shared" si="12"/>
        <v>0</v>
      </c>
      <c r="V26" s="70">
        <f t="shared" si="13"/>
        <v>0</v>
      </c>
      <c r="W26" s="66" t="s">
        <v>82</v>
      </c>
      <c r="X26" s="66" t="s">
        <v>82</v>
      </c>
      <c r="Y26" s="67">
        <f t="shared" si="14"/>
        <v>12</v>
      </c>
      <c r="Z26" s="67">
        <f t="shared" si="15"/>
        <v>0</v>
      </c>
      <c r="AA26" s="67">
        <f t="shared" si="16"/>
        <v>0</v>
      </c>
      <c r="AB26" s="68">
        <v>0</v>
      </c>
      <c r="AC26" s="69">
        <f t="shared" si="17"/>
        <v>0</v>
      </c>
      <c r="AD26" s="69">
        <f t="shared" si="18"/>
        <v>0</v>
      </c>
      <c r="AE26" s="69">
        <f t="shared" si="19"/>
        <v>0</v>
      </c>
      <c r="AF26" s="70">
        <f t="shared" si="20"/>
        <v>0</v>
      </c>
      <c r="AG26" s="66" t="s">
        <v>82</v>
      </c>
      <c r="AH26" s="66" t="s">
        <v>82</v>
      </c>
      <c r="AI26" s="67">
        <f t="shared" si="21"/>
        <v>12</v>
      </c>
      <c r="AJ26" s="67">
        <f t="shared" si="22"/>
        <v>0</v>
      </c>
      <c r="AK26" s="67">
        <f t="shared" si="23"/>
        <v>0</v>
      </c>
      <c r="AL26" s="68">
        <v>0</v>
      </c>
      <c r="AM26" s="69">
        <f t="shared" si="24"/>
        <v>0</v>
      </c>
      <c r="AN26" s="69">
        <f t="shared" si="25"/>
        <v>0</v>
      </c>
      <c r="AO26" s="69">
        <f t="shared" si="26"/>
        <v>0</v>
      </c>
      <c r="AP26" s="70">
        <f t="shared" si="27"/>
        <v>0</v>
      </c>
      <c r="AQ26" s="67">
        <f t="shared" si="28"/>
        <v>48</v>
      </c>
      <c r="AR26" s="67">
        <f t="shared" si="29"/>
        <v>0</v>
      </c>
      <c r="AS26" s="71">
        <f t="shared" si="30"/>
        <v>0</v>
      </c>
      <c r="AT26" s="68">
        <f t="shared" si="31"/>
        <v>0</v>
      </c>
      <c r="AU26" s="69">
        <f t="shared" si="32"/>
        <v>0</v>
      </c>
      <c r="AV26" s="70">
        <f t="shared" si="33"/>
        <v>0</v>
      </c>
      <c r="AW26" s="69">
        <f t="shared" si="34"/>
        <v>0</v>
      </c>
      <c r="AX26" s="70">
        <f t="shared" si="35"/>
        <v>0</v>
      </c>
      <c r="AY26" s="72">
        <f t="shared" si="36"/>
        <v>0</v>
      </c>
    </row>
    <row r="27" spans="1:51" x14ac:dyDescent="0.35">
      <c r="A27" s="56">
        <v>46255</v>
      </c>
      <c r="B27" s="57" t="s">
        <v>75</v>
      </c>
      <c r="C27" s="57" t="s">
        <v>82</v>
      </c>
      <c r="D27" s="57" t="s">
        <v>82</v>
      </c>
      <c r="E27" s="59">
        <f t="shared" si="0"/>
        <v>12</v>
      </c>
      <c r="F27" s="59">
        <f t="shared" si="1"/>
        <v>0</v>
      </c>
      <c r="G27" s="59">
        <f t="shared" si="2"/>
        <v>0</v>
      </c>
      <c r="H27" s="60">
        <v>0</v>
      </c>
      <c r="I27" s="61">
        <f t="shared" si="3"/>
        <v>0</v>
      </c>
      <c r="J27" s="61">
        <f t="shared" si="4"/>
        <v>0</v>
      </c>
      <c r="K27" s="61">
        <f t="shared" si="5"/>
        <v>0</v>
      </c>
      <c r="L27" s="62">
        <f t="shared" si="6"/>
        <v>0</v>
      </c>
      <c r="M27" s="57" t="s">
        <v>82</v>
      </c>
      <c r="N27" s="57" t="s">
        <v>82</v>
      </c>
      <c r="O27" s="59">
        <f t="shared" si="7"/>
        <v>12</v>
      </c>
      <c r="P27" s="59">
        <f t="shared" si="8"/>
        <v>0</v>
      </c>
      <c r="Q27" s="59">
        <f t="shared" si="9"/>
        <v>0</v>
      </c>
      <c r="R27" s="60">
        <v>0</v>
      </c>
      <c r="S27" s="61">
        <f t="shared" si="10"/>
        <v>0</v>
      </c>
      <c r="T27" s="61">
        <f t="shared" si="11"/>
        <v>0</v>
      </c>
      <c r="U27" s="61">
        <f t="shared" si="12"/>
        <v>0</v>
      </c>
      <c r="V27" s="62">
        <f t="shared" si="13"/>
        <v>0</v>
      </c>
      <c r="W27" s="57" t="s">
        <v>82</v>
      </c>
      <c r="X27" s="57" t="s">
        <v>82</v>
      </c>
      <c r="Y27" s="59">
        <f t="shared" si="14"/>
        <v>12</v>
      </c>
      <c r="Z27" s="59">
        <f t="shared" si="15"/>
        <v>0</v>
      </c>
      <c r="AA27" s="59">
        <f t="shared" si="16"/>
        <v>0</v>
      </c>
      <c r="AB27" s="60">
        <v>0</v>
      </c>
      <c r="AC27" s="61">
        <f t="shared" si="17"/>
        <v>0</v>
      </c>
      <c r="AD27" s="61">
        <f t="shared" si="18"/>
        <v>0</v>
      </c>
      <c r="AE27" s="61">
        <f t="shared" si="19"/>
        <v>0</v>
      </c>
      <c r="AF27" s="62">
        <f t="shared" si="20"/>
        <v>0</v>
      </c>
      <c r="AG27" s="57" t="s">
        <v>82</v>
      </c>
      <c r="AH27" s="57" t="s">
        <v>82</v>
      </c>
      <c r="AI27" s="59">
        <f t="shared" si="21"/>
        <v>12</v>
      </c>
      <c r="AJ27" s="59">
        <f t="shared" si="22"/>
        <v>0</v>
      </c>
      <c r="AK27" s="59">
        <f t="shared" si="23"/>
        <v>0</v>
      </c>
      <c r="AL27" s="60">
        <v>0</v>
      </c>
      <c r="AM27" s="61">
        <f t="shared" si="24"/>
        <v>0</v>
      </c>
      <c r="AN27" s="61">
        <f t="shared" si="25"/>
        <v>0</v>
      </c>
      <c r="AO27" s="61">
        <f t="shared" si="26"/>
        <v>0</v>
      </c>
      <c r="AP27" s="62">
        <f t="shared" si="27"/>
        <v>0</v>
      </c>
      <c r="AQ27" s="59">
        <f t="shared" si="28"/>
        <v>48</v>
      </c>
      <c r="AR27" s="59">
        <f t="shared" si="29"/>
        <v>0</v>
      </c>
      <c r="AS27" s="63">
        <f t="shared" si="30"/>
        <v>0</v>
      </c>
      <c r="AT27" s="60">
        <f t="shared" si="31"/>
        <v>0</v>
      </c>
      <c r="AU27" s="61">
        <f t="shared" si="32"/>
        <v>0</v>
      </c>
      <c r="AV27" s="62">
        <f t="shared" si="33"/>
        <v>0</v>
      </c>
      <c r="AW27" s="61">
        <f t="shared" si="34"/>
        <v>0</v>
      </c>
      <c r="AX27" s="62">
        <f t="shared" si="35"/>
        <v>0</v>
      </c>
      <c r="AY27" s="64">
        <f t="shared" si="36"/>
        <v>0</v>
      </c>
    </row>
    <row r="28" spans="1:51" x14ac:dyDescent="0.35">
      <c r="A28" s="65">
        <v>46256</v>
      </c>
      <c r="B28" s="66" t="s">
        <v>76</v>
      </c>
      <c r="C28" s="66" t="s">
        <v>82</v>
      </c>
      <c r="D28" s="66" t="s">
        <v>82</v>
      </c>
      <c r="E28" s="67">
        <f t="shared" si="0"/>
        <v>6</v>
      </c>
      <c r="F28" s="67">
        <f t="shared" si="1"/>
        <v>0</v>
      </c>
      <c r="G28" s="67">
        <f t="shared" si="2"/>
        <v>0</v>
      </c>
      <c r="H28" s="68">
        <v>0</v>
      </c>
      <c r="I28" s="69">
        <f t="shared" si="3"/>
        <v>0</v>
      </c>
      <c r="J28" s="69">
        <f t="shared" si="4"/>
        <v>0</v>
      </c>
      <c r="K28" s="69">
        <f t="shared" si="5"/>
        <v>0</v>
      </c>
      <c r="L28" s="70">
        <f t="shared" si="6"/>
        <v>0</v>
      </c>
      <c r="M28" s="66" t="s">
        <v>82</v>
      </c>
      <c r="N28" s="66" t="s">
        <v>82</v>
      </c>
      <c r="O28" s="67">
        <f t="shared" si="7"/>
        <v>6</v>
      </c>
      <c r="P28" s="67">
        <f t="shared" si="8"/>
        <v>0</v>
      </c>
      <c r="Q28" s="67">
        <f t="shared" si="9"/>
        <v>0</v>
      </c>
      <c r="R28" s="68">
        <v>0</v>
      </c>
      <c r="S28" s="69">
        <f t="shared" si="10"/>
        <v>0</v>
      </c>
      <c r="T28" s="69">
        <f t="shared" si="11"/>
        <v>0</v>
      </c>
      <c r="U28" s="69">
        <f t="shared" si="12"/>
        <v>0</v>
      </c>
      <c r="V28" s="70">
        <f t="shared" si="13"/>
        <v>0</v>
      </c>
      <c r="W28" s="66" t="s">
        <v>82</v>
      </c>
      <c r="X28" s="66" t="s">
        <v>82</v>
      </c>
      <c r="Y28" s="67">
        <f t="shared" si="14"/>
        <v>6</v>
      </c>
      <c r="Z28" s="67">
        <f t="shared" si="15"/>
        <v>0</v>
      </c>
      <c r="AA28" s="67">
        <f t="shared" si="16"/>
        <v>0</v>
      </c>
      <c r="AB28" s="68">
        <v>0</v>
      </c>
      <c r="AC28" s="69">
        <f t="shared" si="17"/>
        <v>0</v>
      </c>
      <c r="AD28" s="69">
        <f t="shared" si="18"/>
        <v>0</v>
      </c>
      <c r="AE28" s="69">
        <f t="shared" si="19"/>
        <v>0</v>
      </c>
      <c r="AF28" s="70">
        <f t="shared" si="20"/>
        <v>0</v>
      </c>
      <c r="AG28" s="66" t="s">
        <v>82</v>
      </c>
      <c r="AH28" s="66" t="s">
        <v>82</v>
      </c>
      <c r="AI28" s="67">
        <f t="shared" si="21"/>
        <v>6</v>
      </c>
      <c r="AJ28" s="67">
        <f t="shared" si="22"/>
        <v>0</v>
      </c>
      <c r="AK28" s="67">
        <f t="shared" si="23"/>
        <v>0</v>
      </c>
      <c r="AL28" s="68">
        <v>0</v>
      </c>
      <c r="AM28" s="69">
        <f t="shared" si="24"/>
        <v>0</v>
      </c>
      <c r="AN28" s="69">
        <f t="shared" si="25"/>
        <v>0</v>
      </c>
      <c r="AO28" s="69">
        <f t="shared" si="26"/>
        <v>0</v>
      </c>
      <c r="AP28" s="70">
        <f t="shared" si="27"/>
        <v>0</v>
      </c>
      <c r="AQ28" s="67">
        <f t="shared" si="28"/>
        <v>24</v>
      </c>
      <c r="AR28" s="67">
        <f t="shared" si="29"/>
        <v>0</v>
      </c>
      <c r="AS28" s="71">
        <f t="shared" si="30"/>
        <v>0</v>
      </c>
      <c r="AT28" s="68">
        <f t="shared" si="31"/>
        <v>0</v>
      </c>
      <c r="AU28" s="69">
        <f t="shared" si="32"/>
        <v>0</v>
      </c>
      <c r="AV28" s="70">
        <f t="shared" si="33"/>
        <v>0</v>
      </c>
      <c r="AW28" s="69">
        <f t="shared" si="34"/>
        <v>0</v>
      </c>
      <c r="AX28" s="70">
        <f t="shared" si="35"/>
        <v>0</v>
      </c>
      <c r="AY28" s="72">
        <f t="shared" si="36"/>
        <v>0</v>
      </c>
    </row>
    <row r="29" spans="1:51" x14ac:dyDescent="0.35">
      <c r="A29" s="56">
        <v>46257</v>
      </c>
      <c r="B29" s="57" t="s">
        <v>77</v>
      </c>
      <c r="C29" s="57" t="s">
        <v>82</v>
      </c>
      <c r="D29" s="57" t="s">
        <v>82</v>
      </c>
      <c r="E29" s="59">
        <f t="shared" si="0"/>
        <v>0</v>
      </c>
      <c r="F29" s="59">
        <f t="shared" si="1"/>
        <v>0</v>
      </c>
      <c r="G29" s="59">
        <f t="shared" si="2"/>
        <v>0</v>
      </c>
      <c r="H29" s="60">
        <v>0</v>
      </c>
      <c r="I29" s="61">
        <f t="shared" si="3"/>
        <v>0</v>
      </c>
      <c r="J29" s="61">
        <f t="shared" si="4"/>
        <v>0</v>
      </c>
      <c r="K29" s="61">
        <f t="shared" si="5"/>
        <v>0</v>
      </c>
      <c r="L29" s="62">
        <f t="shared" si="6"/>
        <v>0</v>
      </c>
      <c r="M29" s="57" t="s">
        <v>82</v>
      </c>
      <c r="N29" s="57" t="s">
        <v>82</v>
      </c>
      <c r="O29" s="59">
        <f t="shared" si="7"/>
        <v>0</v>
      </c>
      <c r="P29" s="59">
        <f t="shared" si="8"/>
        <v>0</v>
      </c>
      <c r="Q29" s="59">
        <f t="shared" si="9"/>
        <v>0</v>
      </c>
      <c r="R29" s="60">
        <v>0</v>
      </c>
      <c r="S29" s="61">
        <f t="shared" si="10"/>
        <v>0</v>
      </c>
      <c r="T29" s="61">
        <f t="shared" si="11"/>
        <v>0</v>
      </c>
      <c r="U29" s="61">
        <f t="shared" si="12"/>
        <v>0</v>
      </c>
      <c r="V29" s="62">
        <f t="shared" si="13"/>
        <v>0</v>
      </c>
      <c r="W29" s="57" t="s">
        <v>82</v>
      </c>
      <c r="X29" s="57" t="s">
        <v>82</v>
      </c>
      <c r="Y29" s="59">
        <f t="shared" si="14"/>
        <v>0</v>
      </c>
      <c r="Z29" s="59">
        <f t="shared" si="15"/>
        <v>0</v>
      </c>
      <c r="AA29" s="59">
        <f t="shared" si="16"/>
        <v>0</v>
      </c>
      <c r="AB29" s="60">
        <v>0</v>
      </c>
      <c r="AC29" s="61">
        <f t="shared" si="17"/>
        <v>0</v>
      </c>
      <c r="AD29" s="61">
        <f t="shared" si="18"/>
        <v>0</v>
      </c>
      <c r="AE29" s="61">
        <f t="shared" si="19"/>
        <v>0</v>
      </c>
      <c r="AF29" s="62">
        <f t="shared" si="20"/>
        <v>0</v>
      </c>
      <c r="AG29" s="57" t="s">
        <v>82</v>
      </c>
      <c r="AH29" s="57" t="s">
        <v>82</v>
      </c>
      <c r="AI29" s="59">
        <f t="shared" si="21"/>
        <v>0</v>
      </c>
      <c r="AJ29" s="59">
        <f t="shared" si="22"/>
        <v>0</v>
      </c>
      <c r="AK29" s="59">
        <f t="shared" si="23"/>
        <v>0</v>
      </c>
      <c r="AL29" s="60">
        <v>0</v>
      </c>
      <c r="AM29" s="61">
        <f t="shared" si="24"/>
        <v>0</v>
      </c>
      <c r="AN29" s="61">
        <f t="shared" si="25"/>
        <v>0</v>
      </c>
      <c r="AO29" s="61">
        <f t="shared" si="26"/>
        <v>0</v>
      </c>
      <c r="AP29" s="62">
        <f t="shared" si="27"/>
        <v>0</v>
      </c>
      <c r="AQ29" s="59">
        <f t="shared" si="28"/>
        <v>0</v>
      </c>
      <c r="AR29" s="59">
        <f t="shared" si="29"/>
        <v>0</v>
      </c>
      <c r="AS29" s="63">
        <f t="shared" si="30"/>
        <v>0</v>
      </c>
      <c r="AT29" s="60">
        <f t="shared" si="31"/>
        <v>0</v>
      </c>
      <c r="AU29" s="61">
        <f t="shared" si="32"/>
        <v>0</v>
      </c>
      <c r="AV29" s="62">
        <f t="shared" si="33"/>
        <v>0</v>
      </c>
      <c r="AW29" s="61">
        <f t="shared" si="34"/>
        <v>0</v>
      </c>
      <c r="AX29" s="62">
        <f t="shared" si="35"/>
        <v>0</v>
      </c>
      <c r="AY29" s="64">
        <f t="shared" si="36"/>
        <v>0</v>
      </c>
    </row>
    <row r="30" spans="1:51" x14ac:dyDescent="0.35">
      <c r="A30" s="65">
        <v>46258</v>
      </c>
      <c r="B30" s="66" t="s">
        <v>78</v>
      </c>
      <c r="C30" s="66" t="s">
        <v>82</v>
      </c>
      <c r="D30" s="66" t="s">
        <v>82</v>
      </c>
      <c r="E30" s="67">
        <f t="shared" si="0"/>
        <v>12</v>
      </c>
      <c r="F30" s="67">
        <f t="shared" si="1"/>
        <v>0</v>
      </c>
      <c r="G30" s="67">
        <f t="shared" si="2"/>
        <v>0</v>
      </c>
      <c r="H30" s="68">
        <v>0</v>
      </c>
      <c r="I30" s="69">
        <f t="shared" si="3"/>
        <v>0</v>
      </c>
      <c r="J30" s="69">
        <f t="shared" si="4"/>
        <v>0</v>
      </c>
      <c r="K30" s="69">
        <f t="shared" si="5"/>
        <v>0</v>
      </c>
      <c r="L30" s="70">
        <f t="shared" si="6"/>
        <v>0</v>
      </c>
      <c r="M30" s="66" t="s">
        <v>82</v>
      </c>
      <c r="N30" s="66" t="s">
        <v>82</v>
      </c>
      <c r="O30" s="67">
        <f t="shared" si="7"/>
        <v>12</v>
      </c>
      <c r="P30" s="67">
        <f t="shared" si="8"/>
        <v>0</v>
      </c>
      <c r="Q30" s="67">
        <f t="shared" si="9"/>
        <v>0</v>
      </c>
      <c r="R30" s="68">
        <v>0</v>
      </c>
      <c r="S30" s="69">
        <f t="shared" si="10"/>
        <v>0</v>
      </c>
      <c r="T30" s="69">
        <f t="shared" si="11"/>
        <v>0</v>
      </c>
      <c r="U30" s="69">
        <f t="shared" si="12"/>
        <v>0</v>
      </c>
      <c r="V30" s="70">
        <f t="shared" si="13"/>
        <v>0</v>
      </c>
      <c r="W30" s="66" t="s">
        <v>82</v>
      </c>
      <c r="X30" s="66" t="s">
        <v>82</v>
      </c>
      <c r="Y30" s="67">
        <f t="shared" si="14"/>
        <v>12</v>
      </c>
      <c r="Z30" s="67">
        <f t="shared" si="15"/>
        <v>0</v>
      </c>
      <c r="AA30" s="67">
        <f t="shared" si="16"/>
        <v>0</v>
      </c>
      <c r="AB30" s="68">
        <v>0</v>
      </c>
      <c r="AC30" s="69">
        <f t="shared" si="17"/>
        <v>0</v>
      </c>
      <c r="AD30" s="69">
        <f t="shared" si="18"/>
        <v>0</v>
      </c>
      <c r="AE30" s="69">
        <f t="shared" si="19"/>
        <v>0</v>
      </c>
      <c r="AF30" s="70">
        <f t="shared" si="20"/>
        <v>0</v>
      </c>
      <c r="AG30" s="66" t="s">
        <v>82</v>
      </c>
      <c r="AH30" s="66" t="s">
        <v>82</v>
      </c>
      <c r="AI30" s="67">
        <f t="shared" si="21"/>
        <v>12</v>
      </c>
      <c r="AJ30" s="67">
        <f t="shared" si="22"/>
        <v>0</v>
      </c>
      <c r="AK30" s="67">
        <f t="shared" si="23"/>
        <v>0</v>
      </c>
      <c r="AL30" s="68">
        <v>0</v>
      </c>
      <c r="AM30" s="69">
        <f t="shared" si="24"/>
        <v>0</v>
      </c>
      <c r="AN30" s="69">
        <f t="shared" si="25"/>
        <v>0</v>
      </c>
      <c r="AO30" s="69">
        <f t="shared" si="26"/>
        <v>0</v>
      </c>
      <c r="AP30" s="70">
        <f t="shared" si="27"/>
        <v>0</v>
      </c>
      <c r="AQ30" s="67">
        <f t="shared" si="28"/>
        <v>48</v>
      </c>
      <c r="AR30" s="67">
        <f t="shared" si="29"/>
        <v>0</v>
      </c>
      <c r="AS30" s="71">
        <f t="shared" si="30"/>
        <v>0</v>
      </c>
      <c r="AT30" s="68">
        <f t="shared" si="31"/>
        <v>0</v>
      </c>
      <c r="AU30" s="69">
        <f t="shared" si="32"/>
        <v>0</v>
      </c>
      <c r="AV30" s="70">
        <f t="shared" si="33"/>
        <v>0</v>
      </c>
      <c r="AW30" s="69">
        <f t="shared" si="34"/>
        <v>0</v>
      </c>
      <c r="AX30" s="70">
        <f t="shared" si="35"/>
        <v>0</v>
      </c>
      <c r="AY30" s="72">
        <f t="shared" si="36"/>
        <v>0</v>
      </c>
    </row>
    <row r="31" spans="1:51" x14ac:dyDescent="0.35">
      <c r="A31" s="56">
        <v>46259</v>
      </c>
      <c r="B31" s="57" t="s">
        <v>79</v>
      </c>
      <c r="C31" s="57" t="s">
        <v>82</v>
      </c>
      <c r="D31" s="57" t="s">
        <v>82</v>
      </c>
      <c r="E31" s="59">
        <f t="shared" si="0"/>
        <v>12</v>
      </c>
      <c r="F31" s="59">
        <f t="shared" si="1"/>
        <v>0</v>
      </c>
      <c r="G31" s="59">
        <f t="shared" si="2"/>
        <v>0</v>
      </c>
      <c r="H31" s="60">
        <v>0</v>
      </c>
      <c r="I31" s="61">
        <f t="shared" si="3"/>
        <v>0</v>
      </c>
      <c r="J31" s="61">
        <f t="shared" si="4"/>
        <v>0</v>
      </c>
      <c r="K31" s="61">
        <f t="shared" si="5"/>
        <v>0</v>
      </c>
      <c r="L31" s="62">
        <f t="shared" si="6"/>
        <v>0</v>
      </c>
      <c r="M31" s="57" t="s">
        <v>82</v>
      </c>
      <c r="N31" s="57" t="s">
        <v>82</v>
      </c>
      <c r="O31" s="59">
        <f t="shared" si="7"/>
        <v>12</v>
      </c>
      <c r="P31" s="59">
        <f t="shared" si="8"/>
        <v>0</v>
      </c>
      <c r="Q31" s="59">
        <f t="shared" si="9"/>
        <v>0</v>
      </c>
      <c r="R31" s="60">
        <v>0</v>
      </c>
      <c r="S31" s="61">
        <f t="shared" si="10"/>
        <v>0</v>
      </c>
      <c r="T31" s="61">
        <f t="shared" si="11"/>
        <v>0</v>
      </c>
      <c r="U31" s="61">
        <f t="shared" si="12"/>
        <v>0</v>
      </c>
      <c r="V31" s="62">
        <f t="shared" si="13"/>
        <v>0</v>
      </c>
      <c r="W31" s="57" t="s">
        <v>82</v>
      </c>
      <c r="X31" s="57" t="s">
        <v>82</v>
      </c>
      <c r="Y31" s="59">
        <f t="shared" si="14"/>
        <v>12</v>
      </c>
      <c r="Z31" s="59">
        <f t="shared" si="15"/>
        <v>0</v>
      </c>
      <c r="AA31" s="59">
        <f t="shared" si="16"/>
        <v>0</v>
      </c>
      <c r="AB31" s="60">
        <v>0</v>
      </c>
      <c r="AC31" s="61">
        <f t="shared" si="17"/>
        <v>0</v>
      </c>
      <c r="AD31" s="61">
        <f t="shared" si="18"/>
        <v>0</v>
      </c>
      <c r="AE31" s="61">
        <f t="shared" si="19"/>
        <v>0</v>
      </c>
      <c r="AF31" s="62">
        <f t="shared" si="20"/>
        <v>0</v>
      </c>
      <c r="AG31" s="57" t="s">
        <v>82</v>
      </c>
      <c r="AH31" s="57" t="s">
        <v>82</v>
      </c>
      <c r="AI31" s="59">
        <f t="shared" si="21"/>
        <v>12</v>
      </c>
      <c r="AJ31" s="59">
        <f t="shared" si="22"/>
        <v>0</v>
      </c>
      <c r="AK31" s="59">
        <f t="shared" si="23"/>
        <v>0</v>
      </c>
      <c r="AL31" s="60">
        <v>0</v>
      </c>
      <c r="AM31" s="61">
        <f t="shared" si="24"/>
        <v>0</v>
      </c>
      <c r="AN31" s="61">
        <f t="shared" si="25"/>
        <v>0</v>
      </c>
      <c r="AO31" s="61">
        <f t="shared" si="26"/>
        <v>0</v>
      </c>
      <c r="AP31" s="62">
        <f t="shared" si="27"/>
        <v>0</v>
      </c>
      <c r="AQ31" s="59">
        <f t="shared" si="28"/>
        <v>48</v>
      </c>
      <c r="AR31" s="59">
        <f t="shared" si="29"/>
        <v>0</v>
      </c>
      <c r="AS31" s="63">
        <f t="shared" si="30"/>
        <v>0</v>
      </c>
      <c r="AT31" s="60">
        <f t="shared" si="31"/>
        <v>0</v>
      </c>
      <c r="AU31" s="61">
        <f t="shared" si="32"/>
        <v>0</v>
      </c>
      <c r="AV31" s="62">
        <f t="shared" si="33"/>
        <v>0</v>
      </c>
      <c r="AW31" s="61">
        <f t="shared" si="34"/>
        <v>0</v>
      </c>
      <c r="AX31" s="62">
        <f t="shared" si="35"/>
        <v>0</v>
      </c>
      <c r="AY31" s="64">
        <f t="shared" si="36"/>
        <v>0</v>
      </c>
    </row>
    <row r="32" spans="1:51" x14ac:dyDescent="0.35">
      <c r="A32" s="65">
        <v>46260</v>
      </c>
      <c r="B32" s="66" t="s">
        <v>80</v>
      </c>
      <c r="C32" s="66" t="s">
        <v>82</v>
      </c>
      <c r="D32" s="66" t="s">
        <v>82</v>
      </c>
      <c r="E32" s="67">
        <f t="shared" si="0"/>
        <v>12</v>
      </c>
      <c r="F32" s="67">
        <f t="shared" si="1"/>
        <v>0</v>
      </c>
      <c r="G32" s="67">
        <f t="shared" si="2"/>
        <v>0</v>
      </c>
      <c r="H32" s="68">
        <v>0</v>
      </c>
      <c r="I32" s="69">
        <f t="shared" si="3"/>
        <v>0</v>
      </c>
      <c r="J32" s="69">
        <f t="shared" si="4"/>
        <v>0</v>
      </c>
      <c r="K32" s="69">
        <f t="shared" si="5"/>
        <v>0</v>
      </c>
      <c r="L32" s="70">
        <f t="shared" si="6"/>
        <v>0</v>
      </c>
      <c r="M32" s="66" t="s">
        <v>82</v>
      </c>
      <c r="N32" s="66" t="s">
        <v>82</v>
      </c>
      <c r="O32" s="67">
        <f t="shared" si="7"/>
        <v>12</v>
      </c>
      <c r="P32" s="67">
        <f t="shared" si="8"/>
        <v>0</v>
      </c>
      <c r="Q32" s="67">
        <f t="shared" si="9"/>
        <v>0</v>
      </c>
      <c r="R32" s="68">
        <v>0</v>
      </c>
      <c r="S32" s="69">
        <f t="shared" si="10"/>
        <v>0</v>
      </c>
      <c r="T32" s="69">
        <f t="shared" si="11"/>
        <v>0</v>
      </c>
      <c r="U32" s="69">
        <f t="shared" si="12"/>
        <v>0</v>
      </c>
      <c r="V32" s="70">
        <f t="shared" si="13"/>
        <v>0</v>
      </c>
      <c r="W32" s="66" t="s">
        <v>82</v>
      </c>
      <c r="X32" s="66" t="s">
        <v>82</v>
      </c>
      <c r="Y32" s="67">
        <f t="shared" si="14"/>
        <v>12</v>
      </c>
      <c r="Z32" s="67">
        <f t="shared" si="15"/>
        <v>0</v>
      </c>
      <c r="AA32" s="67">
        <f t="shared" si="16"/>
        <v>0</v>
      </c>
      <c r="AB32" s="68">
        <v>0</v>
      </c>
      <c r="AC32" s="69">
        <f t="shared" si="17"/>
        <v>0</v>
      </c>
      <c r="AD32" s="69">
        <f t="shared" si="18"/>
        <v>0</v>
      </c>
      <c r="AE32" s="69">
        <f t="shared" si="19"/>
        <v>0</v>
      </c>
      <c r="AF32" s="70">
        <f t="shared" si="20"/>
        <v>0</v>
      </c>
      <c r="AG32" s="66" t="s">
        <v>82</v>
      </c>
      <c r="AH32" s="66" t="s">
        <v>82</v>
      </c>
      <c r="AI32" s="67">
        <f t="shared" si="21"/>
        <v>12</v>
      </c>
      <c r="AJ32" s="67">
        <f t="shared" si="22"/>
        <v>0</v>
      </c>
      <c r="AK32" s="67">
        <f t="shared" si="23"/>
        <v>0</v>
      </c>
      <c r="AL32" s="68">
        <v>0</v>
      </c>
      <c r="AM32" s="69">
        <f t="shared" si="24"/>
        <v>0</v>
      </c>
      <c r="AN32" s="69">
        <f t="shared" si="25"/>
        <v>0</v>
      </c>
      <c r="AO32" s="69">
        <f t="shared" si="26"/>
        <v>0</v>
      </c>
      <c r="AP32" s="70">
        <f t="shared" si="27"/>
        <v>0</v>
      </c>
      <c r="AQ32" s="67">
        <f t="shared" si="28"/>
        <v>48</v>
      </c>
      <c r="AR32" s="67">
        <f t="shared" si="29"/>
        <v>0</v>
      </c>
      <c r="AS32" s="71">
        <f t="shared" si="30"/>
        <v>0</v>
      </c>
      <c r="AT32" s="68">
        <f t="shared" si="31"/>
        <v>0</v>
      </c>
      <c r="AU32" s="69">
        <f t="shared" si="32"/>
        <v>0</v>
      </c>
      <c r="AV32" s="70">
        <f t="shared" si="33"/>
        <v>0</v>
      </c>
      <c r="AW32" s="69">
        <f t="shared" si="34"/>
        <v>0</v>
      </c>
      <c r="AX32" s="70">
        <f t="shared" si="35"/>
        <v>0</v>
      </c>
      <c r="AY32" s="72">
        <f t="shared" si="36"/>
        <v>0</v>
      </c>
    </row>
    <row r="33" spans="1:51" x14ac:dyDescent="0.35">
      <c r="A33" s="56">
        <v>46261</v>
      </c>
      <c r="B33" s="57" t="s">
        <v>81</v>
      </c>
      <c r="C33" s="57" t="s">
        <v>82</v>
      </c>
      <c r="D33" s="57" t="s">
        <v>82</v>
      </c>
      <c r="E33" s="59">
        <f t="shared" si="0"/>
        <v>12</v>
      </c>
      <c r="F33" s="59">
        <f t="shared" si="1"/>
        <v>0</v>
      </c>
      <c r="G33" s="59">
        <f t="shared" si="2"/>
        <v>0</v>
      </c>
      <c r="H33" s="60">
        <v>0</v>
      </c>
      <c r="I33" s="61">
        <f t="shared" si="3"/>
        <v>0</v>
      </c>
      <c r="J33" s="61">
        <f t="shared" si="4"/>
        <v>0</v>
      </c>
      <c r="K33" s="61">
        <f t="shared" si="5"/>
        <v>0</v>
      </c>
      <c r="L33" s="62">
        <f t="shared" si="6"/>
        <v>0</v>
      </c>
      <c r="M33" s="57" t="s">
        <v>82</v>
      </c>
      <c r="N33" s="57" t="s">
        <v>82</v>
      </c>
      <c r="O33" s="59">
        <f t="shared" si="7"/>
        <v>12</v>
      </c>
      <c r="P33" s="59">
        <f t="shared" si="8"/>
        <v>0</v>
      </c>
      <c r="Q33" s="59">
        <f t="shared" si="9"/>
        <v>0</v>
      </c>
      <c r="R33" s="60">
        <v>0</v>
      </c>
      <c r="S33" s="61">
        <f t="shared" si="10"/>
        <v>0</v>
      </c>
      <c r="T33" s="61">
        <f t="shared" si="11"/>
        <v>0</v>
      </c>
      <c r="U33" s="61">
        <f t="shared" si="12"/>
        <v>0</v>
      </c>
      <c r="V33" s="62">
        <f t="shared" si="13"/>
        <v>0</v>
      </c>
      <c r="W33" s="57" t="s">
        <v>82</v>
      </c>
      <c r="X33" s="57" t="s">
        <v>82</v>
      </c>
      <c r="Y33" s="59">
        <f t="shared" si="14"/>
        <v>12</v>
      </c>
      <c r="Z33" s="59">
        <f t="shared" si="15"/>
        <v>0</v>
      </c>
      <c r="AA33" s="59">
        <f t="shared" si="16"/>
        <v>0</v>
      </c>
      <c r="AB33" s="60">
        <v>0</v>
      </c>
      <c r="AC33" s="61">
        <f t="shared" si="17"/>
        <v>0</v>
      </c>
      <c r="AD33" s="61">
        <f t="shared" si="18"/>
        <v>0</v>
      </c>
      <c r="AE33" s="61">
        <f t="shared" si="19"/>
        <v>0</v>
      </c>
      <c r="AF33" s="62">
        <f t="shared" si="20"/>
        <v>0</v>
      </c>
      <c r="AG33" s="57" t="s">
        <v>82</v>
      </c>
      <c r="AH33" s="57" t="s">
        <v>82</v>
      </c>
      <c r="AI33" s="59">
        <f t="shared" si="21"/>
        <v>12</v>
      </c>
      <c r="AJ33" s="59">
        <f t="shared" si="22"/>
        <v>0</v>
      </c>
      <c r="AK33" s="59">
        <f t="shared" si="23"/>
        <v>0</v>
      </c>
      <c r="AL33" s="60">
        <v>0</v>
      </c>
      <c r="AM33" s="61">
        <f t="shared" si="24"/>
        <v>0</v>
      </c>
      <c r="AN33" s="61">
        <f t="shared" si="25"/>
        <v>0</v>
      </c>
      <c r="AO33" s="61">
        <f t="shared" si="26"/>
        <v>0</v>
      </c>
      <c r="AP33" s="62">
        <f t="shared" si="27"/>
        <v>0</v>
      </c>
      <c r="AQ33" s="59">
        <f t="shared" si="28"/>
        <v>48</v>
      </c>
      <c r="AR33" s="59">
        <f t="shared" si="29"/>
        <v>0</v>
      </c>
      <c r="AS33" s="63">
        <f t="shared" si="30"/>
        <v>0</v>
      </c>
      <c r="AT33" s="60">
        <f t="shared" si="31"/>
        <v>0</v>
      </c>
      <c r="AU33" s="61">
        <f t="shared" si="32"/>
        <v>0</v>
      </c>
      <c r="AV33" s="62">
        <f t="shared" si="33"/>
        <v>0</v>
      </c>
      <c r="AW33" s="61">
        <f t="shared" si="34"/>
        <v>0</v>
      </c>
      <c r="AX33" s="62">
        <f t="shared" si="35"/>
        <v>0</v>
      </c>
      <c r="AY33" s="64">
        <f t="shared" si="36"/>
        <v>0</v>
      </c>
    </row>
    <row r="34" spans="1:51" x14ac:dyDescent="0.35">
      <c r="A34" s="65">
        <v>46262</v>
      </c>
      <c r="B34" s="66" t="s">
        <v>75</v>
      </c>
      <c r="C34" s="66" t="s">
        <v>82</v>
      </c>
      <c r="D34" s="66" t="s">
        <v>82</v>
      </c>
      <c r="E34" s="67">
        <f t="shared" si="0"/>
        <v>12</v>
      </c>
      <c r="F34" s="67">
        <f t="shared" si="1"/>
        <v>0</v>
      </c>
      <c r="G34" s="67">
        <f t="shared" si="2"/>
        <v>0</v>
      </c>
      <c r="H34" s="68">
        <v>0</v>
      </c>
      <c r="I34" s="69">
        <f t="shared" si="3"/>
        <v>0</v>
      </c>
      <c r="J34" s="69">
        <f t="shared" si="4"/>
        <v>0</v>
      </c>
      <c r="K34" s="69">
        <f t="shared" si="5"/>
        <v>0</v>
      </c>
      <c r="L34" s="70">
        <f t="shared" si="6"/>
        <v>0</v>
      </c>
      <c r="M34" s="66" t="s">
        <v>82</v>
      </c>
      <c r="N34" s="66" t="s">
        <v>82</v>
      </c>
      <c r="O34" s="67">
        <f t="shared" si="7"/>
        <v>12</v>
      </c>
      <c r="P34" s="67">
        <f t="shared" si="8"/>
        <v>0</v>
      </c>
      <c r="Q34" s="67">
        <f t="shared" si="9"/>
        <v>0</v>
      </c>
      <c r="R34" s="68">
        <v>0</v>
      </c>
      <c r="S34" s="69">
        <f t="shared" si="10"/>
        <v>0</v>
      </c>
      <c r="T34" s="69">
        <f t="shared" si="11"/>
        <v>0</v>
      </c>
      <c r="U34" s="69">
        <f t="shared" si="12"/>
        <v>0</v>
      </c>
      <c r="V34" s="70">
        <f t="shared" si="13"/>
        <v>0</v>
      </c>
      <c r="W34" s="66" t="s">
        <v>82</v>
      </c>
      <c r="X34" s="66" t="s">
        <v>82</v>
      </c>
      <c r="Y34" s="67">
        <f t="shared" si="14"/>
        <v>12</v>
      </c>
      <c r="Z34" s="67">
        <f t="shared" si="15"/>
        <v>0</v>
      </c>
      <c r="AA34" s="67">
        <f t="shared" si="16"/>
        <v>0</v>
      </c>
      <c r="AB34" s="68">
        <v>0</v>
      </c>
      <c r="AC34" s="69">
        <f t="shared" si="17"/>
        <v>0</v>
      </c>
      <c r="AD34" s="69">
        <f t="shared" si="18"/>
        <v>0</v>
      </c>
      <c r="AE34" s="69">
        <f t="shared" si="19"/>
        <v>0</v>
      </c>
      <c r="AF34" s="70">
        <f t="shared" si="20"/>
        <v>0</v>
      </c>
      <c r="AG34" s="66" t="s">
        <v>82</v>
      </c>
      <c r="AH34" s="66" t="s">
        <v>82</v>
      </c>
      <c r="AI34" s="67">
        <f t="shared" si="21"/>
        <v>12</v>
      </c>
      <c r="AJ34" s="67">
        <f t="shared" si="22"/>
        <v>0</v>
      </c>
      <c r="AK34" s="67">
        <f t="shared" si="23"/>
        <v>0</v>
      </c>
      <c r="AL34" s="68">
        <v>0</v>
      </c>
      <c r="AM34" s="69">
        <f t="shared" si="24"/>
        <v>0</v>
      </c>
      <c r="AN34" s="69">
        <f t="shared" si="25"/>
        <v>0</v>
      </c>
      <c r="AO34" s="69">
        <f t="shared" si="26"/>
        <v>0</v>
      </c>
      <c r="AP34" s="70">
        <f t="shared" si="27"/>
        <v>0</v>
      </c>
      <c r="AQ34" s="67">
        <f t="shared" si="28"/>
        <v>48</v>
      </c>
      <c r="AR34" s="67">
        <f t="shared" si="29"/>
        <v>0</v>
      </c>
      <c r="AS34" s="71">
        <f t="shared" si="30"/>
        <v>0</v>
      </c>
      <c r="AT34" s="68">
        <f t="shared" si="31"/>
        <v>0</v>
      </c>
      <c r="AU34" s="69">
        <f t="shared" si="32"/>
        <v>0</v>
      </c>
      <c r="AV34" s="70">
        <f t="shared" si="33"/>
        <v>0</v>
      </c>
      <c r="AW34" s="69">
        <f t="shared" si="34"/>
        <v>0</v>
      </c>
      <c r="AX34" s="70">
        <f t="shared" si="35"/>
        <v>0</v>
      </c>
      <c r="AY34" s="72">
        <f t="shared" si="36"/>
        <v>0</v>
      </c>
    </row>
    <row r="35" spans="1:51" x14ac:dyDescent="0.35">
      <c r="A35" s="56">
        <v>46263</v>
      </c>
      <c r="B35" s="57" t="s">
        <v>76</v>
      </c>
      <c r="C35" s="57" t="s">
        <v>82</v>
      </c>
      <c r="D35" s="57" t="s">
        <v>82</v>
      </c>
      <c r="E35" s="59">
        <f t="shared" si="0"/>
        <v>6</v>
      </c>
      <c r="F35" s="59">
        <f t="shared" si="1"/>
        <v>0</v>
      </c>
      <c r="G35" s="59">
        <f t="shared" si="2"/>
        <v>0</v>
      </c>
      <c r="H35" s="60">
        <v>0</v>
      </c>
      <c r="I35" s="61">
        <f t="shared" si="3"/>
        <v>0</v>
      </c>
      <c r="J35" s="61">
        <f t="shared" si="4"/>
        <v>0</v>
      </c>
      <c r="K35" s="61">
        <f t="shared" si="5"/>
        <v>0</v>
      </c>
      <c r="L35" s="62">
        <f t="shared" si="6"/>
        <v>0</v>
      </c>
      <c r="M35" s="57" t="s">
        <v>82</v>
      </c>
      <c r="N35" s="57" t="s">
        <v>82</v>
      </c>
      <c r="O35" s="59">
        <f t="shared" si="7"/>
        <v>6</v>
      </c>
      <c r="P35" s="59">
        <f t="shared" si="8"/>
        <v>0</v>
      </c>
      <c r="Q35" s="59">
        <f t="shared" si="9"/>
        <v>0</v>
      </c>
      <c r="R35" s="60">
        <v>0</v>
      </c>
      <c r="S35" s="61">
        <f t="shared" si="10"/>
        <v>0</v>
      </c>
      <c r="T35" s="61">
        <f t="shared" si="11"/>
        <v>0</v>
      </c>
      <c r="U35" s="61">
        <f t="shared" si="12"/>
        <v>0</v>
      </c>
      <c r="V35" s="62">
        <f t="shared" si="13"/>
        <v>0</v>
      </c>
      <c r="W35" s="57" t="s">
        <v>82</v>
      </c>
      <c r="X35" s="57" t="s">
        <v>82</v>
      </c>
      <c r="Y35" s="59">
        <f t="shared" si="14"/>
        <v>6</v>
      </c>
      <c r="Z35" s="59">
        <f t="shared" si="15"/>
        <v>0</v>
      </c>
      <c r="AA35" s="59">
        <f t="shared" si="16"/>
        <v>0</v>
      </c>
      <c r="AB35" s="60">
        <v>0</v>
      </c>
      <c r="AC35" s="61">
        <f t="shared" si="17"/>
        <v>0</v>
      </c>
      <c r="AD35" s="61">
        <f t="shared" si="18"/>
        <v>0</v>
      </c>
      <c r="AE35" s="61">
        <f t="shared" si="19"/>
        <v>0</v>
      </c>
      <c r="AF35" s="62">
        <f t="shared" si="20"/>
        <v>0</v>
      </c>
      <c r="AG35" s="57" t="s">
        <v>82</v>
      </c>
      <c r="AH35" s="57" t="s">
        <v>82</v>
      </c>
      <c r="AI35" s="59">
        <f t="shared" si="21"/>
        <v>6</v>
      </c>
      <c r="AJ35" s="59">
        <f t="shared" si="22"/>
        <v>0</v>
      </c>
      <c r="AK35" s="59">
        <f t="shared" si="23"/>
        <v>0</v>
      </c>
      <c r="AL35" s="60">
        <v>0</v>
      </c>
      <c r="AM35" s="61">
        <f t="shared" si="24"/>
        <v>0</v>
      </c>
      <c r="AN35" s="61">
        <f t="shared" si="25"/>
        <v>0</v>
      </c>
      <c r="AO35" s="61">
        <f t="shared" si="26"/>
        <v>0</v>
      </c>
      <c r="AP35" s="62">
        <f t="shared" si="27"/>
        <v>0</v>
      </c>
      <c r="AQ35" s="59">
        <f t="shared" si="28"/>
        <v>24</v>
      </c>
      <c r="AR35" s="59">
        <f t="shared" si="29"/>
        <v>0</v>
      </c>
      <c r="AS35" s="63">
        <f t="shared" si="30"/>
        <v>0</v>
      </c>
      <c r="AT35" s="60">
        <f t="shared" si="31"/>
        <v>0</v>
      </c>
      <c r="AU35" s="61">
        <f t="shared" si="32"/>
        <v>0</v>
      </c>
      <c r="AV35" s="62">
        <f t="shared" si="33"/>
        <v>0</v>
      </c>
      <c r="AW35" s="61">
        <f t="shared" si="34"/>
        <v>0</v>
      </c>
      <c r="AX35" s="62">
        <f t="shared" si="35"/>
        <v>0</v>
      </c>
      <c r="AY35" s="64">
        <f t="shared" si="36"/>
        <v>0</v>
      </c>
    </row>
    <row r="36" spans="1:51" x14ac:dyDescent="0.35">
      <c r="A36" s="65">
        <v>46264</v>
      </c>
      <c r="B36" s="66" t="s">
        <v>77</v>
      </c>
      <c r="C36" s="66" t="s">
        <v>82</v>
      </c>
      <c r="D36" s="66" t="s">
        <v>82</v>
      </c>
      <c r="E36" s="67">
        <f t="shared" si="0"/>
        <v>0</v>
      </c>
      <c r="F36" s="67">
        <f t="shared" si="1"/>
        <v>0</v>
      </c>
      <c r="G36" s="67">
        <f t="shared" si="2"/>
        <v>0</v>
      </c>
      <c r="H36" s="68">
        <v>0</v>
      </c>
      <c r="I36" s="69">
        <f t="shared" si="3"/>
        <v>0</v>
      </c>
      <c r="J36" s="69">
        <f t="shared" si="4"/>
        <v>0</v>
      </c>
      <c r="K36" s="69">
        <f t="shared" si="5"/>
        <v>0</v>
      </c>
      <c r="L36" s="70">
        <f t="shared" si="6"/>
        <v>0</v>
      </c>
      <c r="M36" s="66" t="s">
        <v>82</v>
      </c>
      <c r="N36" s="66" t="s">
        <v>82</v>
      </c>
      <c r="O36" s="67">
        <f t="shared" si="7"/>
        <v>0</v>
      </c>
      <c r="P36" s="67">
        <f t="shared" si="8"/>
        <v>0</v>
      </c>
      <c r="Q36" s="67">
        <f t="shared" si="9"/>
        <v>0</v>
      </c>
      <c r="R36" s="68">
        <v>0</v>
      </c>
      <c r="S36" s="69">
        <f t="shared" si="10"/>
        <v>0</v>
      </c>
      <c r="T36" s="69">
        <f t="shared" si="11"/>
        <v>0</v>
      </c>
      <c r="U36" s="69">
        <f t="shared" si="12"/>
        <v>0</v>
      </c>
      <c r="V36" s="70">
        <f t="shared" si="13"/>
        <v>0</v>
      </c>
      <c r="W36" s="66" t="s">
        <v>82</v>
      </c>
      <c r="X36" s="66" t="s">
        <v>82</v>
      </c>
      <c r="Y36" s="67">
        <f t="shared" si="14"/>
        <v>0</v>
      </c>
      <c r="Z36" s="67">
        <f t="shared" si="15"/>
        <v>0</v>
      </c>
      <c r="AA36" s="67">
        <f t="shared" si="16"/>
        <v>0</v>
      </c>
      <c r="AB36" s="68">
        <v>0</v>
      </c>
      <c r="AC36" s="69">
        <f t="shared" si="17"/>
        <v>0</v>
      </c>
      <c r="AD36" s="69">
        <f t="shared" si="18"/>
        <v>0</v>
      </c>
      <c r="AE36" s="69">
        <f t="shared" si="19"/>
        <v>0</v>
      </c>
      <c r="AF36" s="70">
        <f t="shared" si="20"/>
        <v>0</v>
      </c>
      <c r="AG36" s="66" t="s">
        <v>82</v>
      </c>
      <c r="AH36" s="66" t="s">
        <v>82</v>
      </c>
      <c r="AI36" s="67">
        <f t="shared" si="21"/>
        <v>0</v>
      </c>
      <c r="AJ36" s="67">
        <f t="shared" si="22"/>
        <v>0</v>
      </c>
      <c r="AK36" s="67">
        <f t="shared" si="23"/>
        <v>0</v>
      </c>
      <c r="AL36" s="68">
        <v>0</v>
      </c>
      <c r="AM36" s="69">
        <f t="shared" si="24"/>
        <v>0</v>
      </c>
      <c r="AN36" s="69">
        <f t="shared" si="25"/>
        <v>0</v>
      </c>
      <c r="AO36" s="69">
        <f t="shared" si="26"/>
        <v>0</v>
      </c>
      <c r="AP36" s="70">
        <f t="shared" si="27"/>
        <v>0</v>
      </c>
      <c r="AQ36" s="67">
        <f t="shared" si="28"/>
        <v>0</v>
      </c>
      <c r="AR36" s="67">
        <f t="shared" si="29"/>
        <v>0</v>
      </c>
      <c r="AS36" s="71">
        <f t="shared" si="30"/>
        <v>0</v>
      </c>
      <c r="AT36" s="68">
        <f t="shared" si="31"/>
        <v>0</v>
      </c>
      <c r="AU36" s="69">
        <f t="shared" si="32"/>
        <v>0</v>
      </c>
      <c r="AV36" s="70">
        <f t="shared" si="33"/>
        <v>0</v>
      </c>
      <c r="AW36" s="69">
        <f t="shared" si="34"/>
        <v>0</v>
      </c>
      <c r="AX36" s="70">
        <f t="shared" si="35"/>
        <v>0</v>
      </c>
      <c r="AY36" s="72">
        <f t="shared" si="36"/>
        <v>0</v>
      </c>
    </row>
    <row r="37" spans="1:51" x14ac:dyDescent="0.35">
      <c r="A37" s="56">
        <v>46265</v>
      </c>
      <c r="B37" s="57" t="s">
        <v>78</v>
      </c>
      <c r="C37" s="57" t="s">
        <v>82</v>
      </c>
      <c r="D37" s="57" t="s">
        <v>82</v>
      </c>
      <c r="E37" s="59">
        <f t="shared" si="0"/>
        <v>12</v>
      </c>
      <c r="F37" s="59">
        <f t="shared" si="1"/>
        <v>0</v>
      </c>
      <c r="G37" s="59">
        <f t="shared" si="2"/>
        <v>0</v>
      </c>
      <c r="H37" s="60">
        <v>0</v>
      </c>
      <c r="I37" s="61">
        <f t="shared" si="3"/>
        <v>0</v>
      </c>
      <c r="J37" s="61">
        <f t="shared" si="4"/>
        <v>0</v>
      </c>
      <c r="K37" s="61">
        <f t="shared" si="5"/>
        <v>0</v>
      </c>
      <c r="L37" s="62">
        <f t="shared" si="6"/>
        <v>0</v>
      </c>
      <c r="M37" s="57" t="s">
        <v>82</v>
      </c>
      <c r="N37" s="57" t="s">
        <v>82</v>
      </c>
      <c r="O37" s="59">
        <f t="shared" si="7"/>
        <v>12</v>
      </c>
      <c r="P37" s="59">
        <f t="shared" si="8"/>
        <v>0</v>
      </c>
      <c r="Q37" s="59">
        <f t="shared" si="9"/>
        <v>0</v>
      </c>
      <c r="R37" s="60">
        <v>0</v>
      </c>
      <c r="S37" s="61">
        <f t="shared" si="10"/>
        <v>0</v>
      </c>
      <c r="T37" s="61">
        <f t="shared" si="11"/>
        <v>0</v>
      </c>
      <c r="U37" s="61">
        <f t="shared" si="12"/>
        <v>0</v>
      </c>
      <c r="V37" s="62">
        <f t="shared" si="13"/>
        <v>0</v>
      </c>
      <c r="W37" s="57" t="s">
        <v>82</v>
      </c>
      <c r="X37" s="57" t="s">
        <v>82</v>
      </c>
      <c r="Y37" s="59">
        <f t="shared" si="14"/>
        <v>12</v>
      </c>
      <c r="Z37" s="59">
        <f t="shared" si="15"/>
        <v>0</v>
      </c>
      <c r="AA37" s="59">
        <f t="shared" si="16"/>
        <v>0</v>
      </c>
      <c r="AB37" s="60">
        <v>0</v>
      </c>
      <c r="AC37" s="61">
        <f t="shared" si="17"/>
        <v>0</v>
      </c>
      <c r="AD37" s="61">
        <f t="shared" si="18"/>
        <v>0</v>
      </c>
      <c r="AE37" s="61">
        <f t="shared" si="19"/>
        <v>0</v>
      </c>
      <c r="AF37" s="62">
        <f t="shared" si="20"/>
        <v>0</v>
      </c>
      <c r="AG37" s="57" t="s">
        <v>82</v>
      </c>
      <c r="AH37" s="57" t="s">
        <v>82</v>
      </c>
      <c r="AI37" s="59">
        <f t="shared" si="21"/>
        <v>12</v>
      </c>
      <c r="AJ37" s="59">
        <f t="shared" si="22"/>
        <v>0</v>
      </c>
      <c r="AK37" s="59">
        <f t="shared" si="23"/>
        <v>0</v>
      </c>
      <c r="AL37" s="60">
        <v>0</v>
      </c>
      <c r="AM37" s="61">
        <f t="shared" si="24"/>
        <v>0</v>
      </c>
      <c r="AN37" s="61">
        <f t="shared" si="25"/>
        <v>0</v>
      </c>
      <c r="AO37" s="61">
        <f t="shared" si="26"/>
        <v>0</v>
      </c>
      <c r="AP37" s="62">
        <f t="shared" si="27"/>
        <v>0</v>
      </c>
      <c r="AQ37" s="59">
        <f t="shared" si="28"/>
        <v>48</v>
      </c>
      <c r="AR37" s="59">
        <f t="shared" si="29"/>
        <v>0</v>
      </c>
      <c r="AS37" s="63">
        <f t="shared" si="30"/>
        <v>0</v>
      </c>
      <c r="AT37" s="60">
        <f t="shared" si="31"/>
        <v>0</v>
      </c>
      <c r="AU37" s="61">
        <f t="shared" si="32"/>
        <v>0</v>
      </c>
      <c r="AV37" s="62">
        <f t="shared" si="33"/>
        <v>0</v>
      </c>
      <c r="AW37" s="61">
        <f t="shared" si="34"/>
        <v>0</v>
      </c>
      <c r="AX37" s="62">
        <f t="shared" si="35"/>
        <v>0</v>
      </c>
      <c r="AY37" s="64">
        <f t="shared" si="36"/>
        <v>0</v>
      </c>
    </row>
    <row r="38" spans="1:51" ht="15" x14ac:dyDescent="0.4">
      <c r="A38" s="74" t="s">
        <v>83</v>
      </c>
      <c r="B38" s="75"/>
      <c r="C38" s="76"/>
      <c r="D38" s="76"/>
      <c r="E38" s="77">
        <f>SUM(E7:E37)</f>
        <v>282</v>
      </c>
      <c r="F38" s="77">
        <f>SUM(F7:F37)</f>
        <v>19.050000000000004</v>
      </c>
      <c r="G38" s="77">
        <f>SUM(G7:G37)</f>
        <v>0</v>
      </c>
      <c r="H38" s="78">
        <f>SUM(H7:H37)</f>
        <v>188</v>
      </c>
      <c r="I38" s="79">
        <f>SUM(I7:I37)</f>
        <v>1400.6</v>
      </c>
      <c r="J38" s="79">
        <f>AVERAGE(J7:J37)</f>
        <v>5.3006149193548389</v>
      </c>
      <c r="K38" s="79">
        <f>SUM(K7:K37)</f>
        <v>1400.6</v>
      </c>
      <c r="L38" s="79">
        <f>SUM(L7:L37)</f>
        <v>0</v>
      </c>
      <c r="M38" s="76"/>
      <c r="N38" s="76"/>
      <c r="O38" s="77">
        <f>SUM(O7:O37)</f>
        <v>282</v>
      </c>
      <c r="P38" s="77">
        <f>SUM(P7:P37)</f>
        <v>19.050000000000004</v>
      </c>
      <c r="Q38" s="77">
        <f>SUM(Q7:Q37)</f>
        <v>0</v>
      </c>
      <c r="R38" s="78">
        <f>SUM(R7:R37)</f>
        <v>215</v>
      </c>
      <c r="S38" s="79">
        <f>SUM(S7:S37)</f>
        <v>1601.75</v>
      </c>
      <c r="T38" s="79">
        <f>AVERAGE(T7:T37)</f>
        <v>4.2508558467741935</v>
      </c>
      <c r="U38" s="79">
        <f>SUM(U7:U37)</f>
        <v>1601.75</v>
      </c>
      <c r="V38" s="79">
        <f>SUM(V7:V37)</f>
        <v>0</v>
      </c>
      <c r="W38" s="76"/>
      <c r="X38" s="76"/>
      <c r="Y38" s="77">
        <f>SUM(Y7:Y37)</f>
        <v>282</v>
      </c>
      <c r="Z38" s="77">
        <f>SUM(Z7:Z37)</f>
        <v>17.600000000000001</v>
      </c>
      <c r="AA38" s="77">
        <f>SUM(AA7:AA37)</f>
        <v>1.4500000000000002</v>
      </c>
      <c r="AB38" s="78">
        <f>SUM(AB7:AB37)</f>
        <v>171</v>
      </c>
      <c r="AC38" s="79">
        <f>SUM(AC7:AC37)</f>
        <v>1273.95</v>
      </c>
      <c r="AD38" s="79">
        <f>AVERAGE(AD7:AD37)</f>
        <v>5.0720557055563456</v>
      </c>
      <c r="AE38" s="79">
        <f>SUM(AE7:AE37)</f>
        <v>1356.7533039647578</v>
      </c>
      <c r="AF38" s="79">
        <f>SUM(AF7:AF37)</f>
        <v>82.803303964757703</v>
      </c>
      <c r="AG38" s="76"/>
      <c r="AH38" s="76"/>
      <c r="AI38" s="77">
        <f>SUM(AI7:AI37)</f>
        <v>282</v>
      </c>
      <c r="AJ38" s="77">
        <f>SUM(AJ7:AJ37)</f>
        <v>17.100000000000001</v>
      </c>
      <c r="AK38" s="77">
        <f>SUM(AK7:AK37)</f>
        <v>1.9500000000000011</v>
      </c>
      <c r="AL38" s="78">
        <f>SUM(AL7:AL37)</f>
        <v>168</v>
      </c>
      <c r="AM38" s="79">
        <f>SUM(AM7:AM37)</f>
        <v>1251.5999999999999</v>
      </c>
      <c r="AN38" s="79">
        <f>AVERAGE(AN7:AN37)</f>
        <v>4.9926850007432737</v>
      </c>
      <c r="AO38" s="79">
        <f t="shared" ref="AO38:AX38" si="37">SUM(AO7:AO37)</f>
        <v>1372.104608294931</v>
      </c>
      <c r="AP38" s="79">
        <f t="shared" si="37"/>
        <v>120.50460829493093</v>
      </c>
      <c r="AQ38" s="77">
        <f t="shared" si="37"/>
        <v>1128</v>
      </c>
      <c r="AR38" s="77">
        <f t="shared" si="37"/>
        <v>72.800000000000011</v>
      </c>
      <c r="AS38" s="77">
        <f t="shared" si="37"/>
        <v>3.4000000000000012</v>
      </c>
      <c r="AT38" s="78">
        <f t="shared" si="37"/>
        <v>742</v>
      </c>
      <c r="AU38" s="79">
        <f t="shared" si="37"/>
        <v>5527.9000000000005</v>
      </c>
      <c r="AV38" s="79">
        <f t="shared" si="37"/>
        <v>5527.9000000000005</v>
      </c>
      <c r="AW38" s="79">
        <f t="shared" si="37"/>
        <v>5731.2079122596897</v>
      </c>
      <c r="AX38" s="79">
        <f t="shared" si="37"/>
        <v>203.30791225968864</v>
      </c>
      <c r="AY38" s="80">
        <f>AVERAGE(AY7:AY37)</f>
        <v>2.2967261698541926E-3</v>
      </c>
    </row>
  </sheetData>
  <mergeCells count="7">
    <mergeCell ref="AQ5:AY5"/>
    <mergeCell ref="A5:B5"/>
    <mergeCell ref="C5:L5"/>
    <mergeCell ref="AG5:AP5"/>
    <mergeCell ref="A38:B38"/>
    <mergeCell ref="W5:AF5"/>
    <mergeCell ref="M5:V5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 &amp; CONTROL PANEL</vt:lpstr>
      <vt:lpstr>Executive Dashboard</vt:lpstr>
      <vt:lpstr>May 2026</vt:lpstr>
      <vt:lpstr>June 2026</vt:lpstr>
      <vt:lpstr>July 2026</vt:lpstr>
      <vt:lpstr>August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Mohanty, Satyabrata @ Gurgaon</cp:lastModifiedBy>
  <dcterms:created xsi:type="dcterms:W3CDTF">2026-08-04T15:01:36Z</dcterms:created>
  <dcterms:modified xsi:type="dcterms:W3CDTF">2026-08-04T15:06:28Z</dcterms:modified>
</cp:coreProperties>
</file>