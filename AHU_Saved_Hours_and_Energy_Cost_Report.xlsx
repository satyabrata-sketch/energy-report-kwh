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1" autoFilterDateGrouping="1"/>
  </bookViews>
  <sheets>
    <sheet xmlns:r="http://schemas.openxmlformats.org/officeDocument/2006/relationships" name="INDEX &amp; CONTROL PANEL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May 2026" sheetId="3" state="visible" r:id="rId3"/>
    <sheet xmlns:r="http://schemas.openxmlformats.org/officeDocument/2006/relationships" name="June 2026" sheetId="4" state="visible" r:id="rId4"/>
    <sheet xmlns:r="http://schemas.openxmlformats.org/officeDocument/2006/relationships" name="July 2026" sheetId="5" state="visible" r:id="rId5"/>
    <sheet xmlns:r="http://schemas.openxmlformats.org/officeDocument/2006/relationships" name="August 2026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&quot;Rs. &quot;#,##0.00"/>
    <numFmt numFmtId="166" formatCode="#,##0.00\ &quot;Hrs&quot;"/>
  </numFmts>
  <fonts count="10">
    <font>
      <name val="Calibri"/>
      <family val="2"/>
      <color theme="1"/>
      <sz val="11"/>
      <scheme val="minor"/>
    </font>
    <font>
      <name val="Segoe UI"/>
      <b val="1"/>
      <color rgb="FF1B365D"/>
      <sz val="15"/>
    </font>
    <font>
      <name val="Segoe UI"/>
      <i val="1"/>
      <color rgb="FF555555"/>
      <sz val="9.5"/>
    </font>
    <font>
      <name val="Segoe UI"/>
      <b val="1"/>
      <color rgb="FFFFFFFF"/>
      <sz val="9.5"/>
    </font>
    <font>
      <name val="Segoe UI"/>
      <b val="1"/>
      <color rgb="FF1B365D"/>
      <sz val="8.5"/>
    </font>
    <font>
      <name val="Segoe UI"/>
      <color rgb="FF000000"/>
      <sz val="9"/>
    </font>
    <font>
      <name val="Segoe UI"/>
      <b val="1"/>
      <color rgb="FF000000"/>
      <sz val="9"/>
    </font>
    <font>
      <name val="Segoe UI"/>
      <b val="1"/>
      <color rgb="FF555555"/>
      <sz val="9"/>
    </font>
    <font>
      <name val="Segoe UI"/>
      <b val="1"/>
      <color rgb="FF1B365D"/>
      <sz val="11"/>
    </font>
    <font>
      <name val="Segoe UI"/>
      <b val="1"/>
      <color rgb="FF0563C1"/>
      <sz val="9.5"/>
      <u val="single"/>
    </font>
  </fonts>
  <fills count="11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D9E1F2"/>
        <bgColor rgb="FFD9E1F2"/>
      </patternFill>
    </fill>
    <fill>
      <patternFill patternType="solid">
        <fgColor rgb="FFF9FAFC"/>
        <bgColor rgb="FFF9FAFC"/>
      </patternFill>
    </fill>
    <fill>
      <patternFill patternType="solid">
        <fgColor rgb="FFE8EEF5"/>
        <bgColor rgb="FFE8EEF5"/>
      </patternFill>
    </fill>
    <fill>
      <patternFill patternType="solid">
        <fgColor rgb="FFEBF3FA"/>
        <bgColor rgb="FFEBF3FA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3E8FD"/>
        <bgColor rgb="FFF3E8FD"/>
      </patternFill>
    </fill>
    <fill>
      <patternFill patternType="solid">
        <fgColor rgb="FFE8F5E9"/>
        <bgColor rgb="FFE8F5E9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medium">
        <color rgb="FF1B365D"/>
      </top>
      <bottom style="medium">
        <color rgb="FF1B365D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1B365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3D3D3"/>
      </right>
      <top style="thin">
        <color rgb="FFD3D3D3"/>
      </top>
      <bottom style="double">
        <color rgb="FF1B365D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6" fillId="4" borderId="2" pivotButton="0" quotePrefix="0" xfId="0"/>
    <xf numFmtId="0" fontId="0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0" borderId="2" pivotButton="0" quotePrefix="0" xfId="0"/>
    <xf numFmtId="0" fontId="0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20" fontId="5" fillId="0" borderId="2" applyAlignment="1" pivotButton="0" quotePrefix="0" xfId="0">
      <alignment horizontal="center" vertical="center" wrapText="1"/>
    </xf>
    <xf numFmtId="4" fontId="5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4" fontId="6" fillId="0" borderId="2" applyAlignment="1" pivotButton="0" quotePrefix="0" xfId="0">
      <alignment horizontal="right" vertical="center"/>
    </xf>
    <xf numFmtId="10" fontId="5" fillId="0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20" fontId="5" fillId="4" borderId="2" applyAlignment="1" pivotButton="0" quotePrefix="0" xfId="0">
      <alignment horizontal="center" vertical="center" wrapText="1"/>
    </xf>
    <xf numFmtId="4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4" fontId="6" fillId="4" borderId="2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0" fontId="6" fillId="5" borderId="3" pivotButton="0" quotePrefix="0" xfId="0"/>
    <xf numFmtId="4" fontId="6" fillId="5" borderId="3" pivotButton="0" quotePrefix="0" xfId="0"/>
    <xf numFmtId="3" fontId="6" fillId="5" borderId="3" pivotButton="0" quotePrefix="0" xfId="0"/>
    <xf numFmtId="165" fontId="6" fillId="5" borderId="3" pivotButton="0" quotePrefix="0" xfId="0"/>
    <xf numFmtId="10" fontId="6" fillId="5" borderId="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66" fontId="1" fillId="7" borderId="2" applyAlignment="1" pivotButton="0" quotePrefix="0" xfId="0">
      <alignment horizontal="center" vertical="center" wrapText="1"/>
    </xf>
    <xf numFmtId="0" fontId="0" fillId="0" borderId="2" pivotButton="0" quotePrefix="0" xfId="0"/>
    <xf numFmtId="166" fontId="1" fillId="6" borderId="2" applyAlignment="1" pivotButton="0" quotePrefix="0" xfId="0">
      <alignment horizontal="center" vertical="center" wrapText="1"/>
    </xf>
    <xf numFmtId="166" fontId="1" fillId="8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165" fontId="1" fillId="10" borderId="2" applyAlignment="1" pivotButton="0" quotePrefix="0" xfId="0">
      <alignment horizontal="center" vertical="center" wrapText="1"/>
    </xf>
    <xf numFmtId="165" fontId="1" fillId="9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5" borderId="3" pivotButton="0" quotePrefix="0" xfId="0"/>
    <xf numFmtId="0" fontId="3" fillId="2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4" fillId="3" borderId="4" applyAlignment="1" pivotButton="0" quotePrefix="0" xfId="0">
      <alignment horizontal="center" vertical="center" wrapText="1"/>
    </xf>
    <xf numFmtId="164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20" fontId="5" fillId="0" borderId="4" applyAlignment="1" pivotButton="0" quotePrefix="0" xfId="0">
      <alignment horizontal="center" vertical="center" wrapText="1"/>
    </xf>
    <xf numFmtId="4" fontId="5" fillId="0" borderId="4" applyAlignment="1" pivotButton="0" quotePrefix="0" xfId="0">
      <alignment horizontal="center" vertical="center"/>
    </xf>
    <xf numFmtId="3" fontId="5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4" fontId="6" fillId="0" borderId="4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164" fontId="5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4" fontId="5" fillId="4" borderId="4" applyAlignment="1" pivotButton="0" quotePrefix="0" xfId="0">
      <alignment horizontal="center" vertical="center"/>
    </xf>
    <xf numFmtId="3" fontId="5" fillId="4" borderId="4" applyAlignment="1" pivotButton="0" quotePrefix="0" xfId="0">
      <alignment horizontal="center" vertical="center"/>
    </xf>
    <xf numFmtId="165" fontId="5" fillId="4" borderId="4" applyAlignment="1" pivotButton="0" quotePrefix="0" xfId="0">
      <alignment horizontal="center" vertical="center"/>
    </xf>
    <xf numFmtId="165" fontId="6" fillId="4" borderId="4" applyAlignment="1" pivotButton="0" quotePrefix="0" xfId="0">
      <alignment horizontal="center" vertical="center"/>
    </xf>
    <xf numFmtId="4" fontId="6" fillId="4" borderId="4" applyAlignment="1" pivotButton="0" quotePrefix="0" xfId="0">
      <alignment horizontal="center" vertical="center"/>
    </xf>
    <xf numFmtId="10" fontId="5" fillId="4" borderId="4" applyAlignment="1" pivotButton="0" quotePrefix="0" xfId="0">
      <alignment horizontal="center" vertical="center"/>
    </xf>
    <xf numFmtId="20" fontId="5" fillId="4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4" fontId="6" fillId="5" borderId="4" applyAlignment="1" pivotButton="0" quotePrefix="0" xfId="0">
      <alignment horizontal="center"/>
    </xf>
    <xf numFmtId="3" fontId="6" fillId="5" borderId="4" applyAlignment="1" pivotButton="0" quotePrefix="0" xfId="0">
      <alignment horizontal="center"/>
    </xf>
    <xf numFmtId="165" fontId="6" fillId="5" borderId="4" applyAlignment="1" pivotButton="0" quotePrefix="0" xfId="0">
      <alignment horizontal="center"/>
    </xf>
    <xf numFmtId="10" fontId="6" fillId="5" borderId="4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center"/>
    </xf>
    <xf numFmtId="4" fontId="0" fillId="0" borderId="2" applyAlignment="1" pivotButton="0" quotePrefix="0" xfId="0">
      <alignment horizontal="center"/>
    </xf>
    <xf numFmtId="3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5" fontId="6" fillId="0" borderId="2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4" fontId="6" fillId="4" borderId="2" applyAlignment="1" pivotButton="0" quotePrefix="0" xfId="0">
      <alignment horizontal="center"/>
    </xf>
    <xf numFmtId="4" fontId="0" fillId="4" borderId="2" applyAlignment="1" pivotButton="0" quotePrefix="0" xfId="0">
      <alignment horizontal="center"/>
    </xf>
    <xf numFmtId="3" fontId="0" fillId="4" borderId="2" applyAlignment="1" pivotButton="0" quotePrefix="0" xfId="0">
      <alignment horizontal="center"/>
    </xf>
    <xf numFmtId="165" fontId="0" fillId="4" borderId="2" applyAlignment="1" pivotButton="0" quotePrefix="0" xfId="0">
      <alignment horizontal="center"/>
    </xf>
    <xf numFmtId="165" fontId="6" fillId="4" borderId="2" applyAlignment="1" pivotButton="0" quotePrefix="0" xfId="0">
      <alignment horizontal="center"/>
    </xf>
    <xf numFmtId="0" fontId="6" fillId="5" borderId="3" applyAlignment="1" pivotButton="0" quotePrefix="0" xfId="0">
      <alignment horizontal="center" vertical="center"/>
    </xf>
    <xf numFmtId="3" fontId="6" fillId="5" borderId="3" applyAlignment="1" pivotButton="0" quotePrefix="0" xfId="0">
      <alignment horizontal="center" vertical="center"/>
    </xf>
    <xf numFmtId="4" fontId="6" fillId="5" borderId="3" applyAlignment="1" pivotButton="0" quotePrefix="0" xfId="0">
      <alignment horizontal="center" vertical="center"/>
    </xf>
    <xf numFmtId="165" fontId="6" fillId="5" borderId="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7" pivotButton="0" quotePrefix="0" xfId="0"/>
    <xf numFmtId="0" fontId="0" fillId="0" borderId="16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D10" sqref="D10"/>
    </sheetView>
  </sheetViews>
  <sheetFormatPr baseColWidth="8" defaultRowHeight="14.5"/>
  <cols>
    <col width="23.81640625" customWidth="1" style="38" min="1" max="1"/>
    <col width="23" customWidth="1" style="38" min="2" max="2"/>
    <col width="63" customWidth="1" style="38" min="3" max="3"/>
    <col width="38" customWidth="1" style="38" min="4" max="4"/>
  </cols>
  <sheetData>
    <row r="1" ht="22.5" customHeight="1" s="38">
      <c r="A1" s="1" t="inlineStr">
        <is>
          <t>AUTOMATED AHU SAVINGS REPORT INDEX</t>
        </is>
      </c>
    </row>
    <row r="2">
      <c r="A2" s="2" t="inlineStr">
        <is>
          <t>Control Panel &amp; Direct Navigation Links to Executive Dashboards and Monthly Reports</t>
        </is>
      </c>
    </row>
    <row r="4" ht="16.5" customHeight="1" s="38">
      <c r="A4" s="3" t="inlineStr">
        <is>
          <t>REPORT NAVIGATION INDEX</t>
        </is>
      </c>
    </row>
    <row r="5" ht="24" customHeight="1" s="38">
      <c r="A5" s="4" t="inlineStr">
        <is>
          <t>S.No</t>
        </is>
      </c>
      <c r="B5" s="4" t="inlineStr">
        <is>
          <t>Sheet / Module Name</t>
        </is>
      </c>
      <c r="C5" s="4" t="inlineStr">
        <is>
          <t>Description</t>
        </is>
      </c>
      <c r="D5" s="4" t="inlineStr">
        <is>
          <t>Direct Link to Sheet</t>
        </is>
      </c>
    </row>
    <row r="6" ht="15" customHeight="1" s="38">
      <c r="A6" s="5" t="n">
        <v>1</v>
      </c>
      <c r="B6" s="6" t="inlineStr">
        <is>
          <t>Executive Dashboard</t>
        </is>
      </c>
      <c r="C6" s="7" t="inlineStr">
        <is>
          <t>High-level KPI Cards &amp; Monthly Comparison Summary</t>
        </is>
      </c>
      <c r="D6" s="8" t="inlineStr">
        <is>
          <t>Go to Executive Dashboard Sheet &gt;&gt;</t>
        </is>
      </c>
    </row>
    <row r="7" ht="15" customHeight="1" s="38">
      <c r="A7" s="9" t="n">
        <v>2</v>
      </c>
      <c r="B7" s="10" t="inlineStr">
        <is>
          <t>May 2026</t>
        </is>
      </c>
      <c r="C7" s="11" t="inlineStr">
        <is>
          <t>Detailed daily tracker and savings analysis for May 2026</t>
        </is>
      </c>
      <c r="D7" s="12" t="inlineStr">
        <is>
          <t>Go to May 2026 Sheet &gt;&gt;</t>
        </is>
      </c>
    </row>
    <row r="8" ht="15" customHeight="1" s="38">
      <c r="A8" s="5" t="n">
        <v>3</v>
      </c>
      <c r="B8" s="6" t="inlineStr">
        <is>
          <t>June 2026</t>
        </is>
      </c>
      <c r="C8" s="7" t="inlineStr">
        <is>
          <t>Detailed daily tracker and savings analysis for June 2026</t>
        </is>
      </c>
      <c r="D8" s="8" t="inlineStr">
        <is>
          <t>Go to June 2026 Sheet &gt;&gt;</t>
        </is>
      </c>
    </row>
    <row r="9" ht="15" customHeight="1" s="38">
      <c r="A9" s="9" t="n">
        <v>4</v>
      </c>
      <c r="B9" s="10" t="inlineStr">
        <is>
          <t>July 2026</t>
        </is>
      </c>
      <c r="C9" s="11" t="inlineStr">
        <is>
          <t>Detailed daily tracker and savings analysis for July 2026</t>
        </is>
      </c>
      <c r="D9" s="12" t="inlineStr">
        <is>
          <t>Go to July 2026 Sheet &gt;&gt;</t>
        </is>
      </c>
    </row>
    <row r="10" ht="15" customHeight="1" s="38">
      <c r="A10" s="5" t="n">
        <v>5</v>
      </c>
      <c r="B10" s="6" t="inlineStr">
        <is>
          <t>August 2026</t>
        </is>
      </c>
      <c r="C10" s="7" t="inlineStr">
        <is>
          <t>Detailed daily tracker and savings analysis for August 2026</t>
        </is>
      </c>
      <c r="D10" s="8" t="inlineStr">
        <is>
          <t>Go to August 2026 Sheet &gt;&gt;</t>
        </is>
      </c>
    </row>
    <row r="15" ht="16.5" customHeight="1" s="38">
      <c r="A15" s="3" t="inlineStr">
        <is>
          <t>SINGLE-FILE ZERO-EFFORT AUTOMATION INSTRUCTIONS</t>
        </is>
      </c>
    </row>
    <row r="17">
      <c r="A17" s="37" t="inlineStr">
        <is>
          <t>1. Open 'Daily AHU ON Off Time.xlsx' and enter/update ONLY: ON Time, OFF Time, and Current/Previous Readings (Difference).</t>
        </is>
      </c>
    </row>
    <row r="18">
      <c r="A18" s="37" t="inlineStr">
        <is>
          <t>2. Double-click the 'RUN_AUTO_UPDATE.bat' script in this folder whenever you finish updating the file.</t>
        </is>
      </c>
    </row>
    <row r="19">
      <c r="A19" s="37" t="inlineStr">
        <is>
          <t>3. The script automatically detects all months, adds new sheets, recalculates hourly costs, and rebuilds the Executive Dashboard instantly!</t>
        </is>
      </c>
    </row>
    <row r="20">
      <c r="A20" s="37" t="inlineStr">
        <is>
          <t>4. No other files needed! Energy tracker file is NOT required.</t>
        </is>
      </c>
    </row>
  </sheetData>
  <mergeCells count="4">
    <mergeCell ref="A17:D17"/>
    <mergeCell ref="A18:D18"/>
    <mergeCell ref="A20:D20"/>
    <mergeCell ref="A19:D19"/>
  </mergeCells>
  <hyperlinks>
    <hyperlink ref="D6" location="Executive Dashboard!A1" display="Go to Executive Dashboard Sheet &gt;&gt;"/>
    <hyperlink ref="D7" location="May 2026!A1" display="Go to May 2026 Sheet &gt;&gt;"/>
    <hyperlink ref="D8" location="June 2026!A1" display="Go to June 2026 Sheet &gt;&gt;"/>
    <hyperlink ref="D9" location="July 2026!A1" display="Go to July 2026 Sheet &gt;&gt;"/>
    <hyperlink ref="D10" location="August 2026!A1" display="Go to August 2026 Sheet &gt;&gt;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1" tabSelected="1" workbookViewId="0">
      <selection activeCell="A9" sqref="A9:N15"/>
    </sheetView>
  </sheetViews>
  <sheetFormatPr baseColWidth="8" defaultRowHeight="14.5"/>
  <cols>
    <col width="15" customWidth="1" style="38" min="1" max="1"/>
    <col width="17" customWidth="1" style="38" min="2" max="2"/>
    <col width="23" customWidth="1" style="38" min="3" max="4"/>
    <col width="22" customWidth="1" style="38" min="5" max="6"/>
    <col width="23" customWidth="1" style="38" min="7" max="10"/>
    <col width="39" customWidth="1" style="38" min="11" max="14"/>
    <col width="14" customWidth="1" style="38" min="15" max="15"/>
  </cols>
  <sheetData>
    <row r="1" ht="22.5" customHeight="1" s="38">
      <c r="A1" s="1" t="inlineStr">
        <is>
          <t>MONTH-WISE AHU SAVED HOURS &amp; KWH COST DASHBOARD</t>
        </is>
      </c>
    </row>
    <row r="2">
      <c r="A2" s="2" t="inlineStr">
        <is>
          <t>Executive Summary of Scheduled AHU Hours vs Actual Running Hours, Savings &amp; KWH Consumption Costs</t>
        </is>
      </c>
    </row>
    <row r="4">
      <c r="A4" s="49" t="inlineStr">
        <is>
          <t>TOTAL SCHEDULED AHU HOURS</t>
        </is>
      </c>
      <c r="B4" s="99" t="n"/>
      <c r="C4" s="100" t="n"/>
      <c r="D4" s="43" t="inlineStr">
        <is>
          <t>TOTAL ACTUAL RUN HOURS</t>
        </is>
      </c>
      <c r="E4" s="99" t="n"/>
      <c r="F4" s="100" t="n"/>
      <c r="G4" s="47" t="inlineStr">
        <is>
          <t>TOTAL SAVED SHUT-OFF HRS</t>
        </is>
      </c>
      <c r="H4" s="99" t="n"/>
      <c r="I4" s="100" t="n"/>
      <c r="J4" s="48" t="inlineStr">
        <is>
          <t>TOTAL KWH ENERGY COST</t>
        </is>
      </c>
      <c r="K4" s="99" t="n"/>
      <c r="L4" s="100" t="n"/>
      <c r="M4" s="44" t="inlineStr">
        <is>
          <t>TOTAL COST SAVED (RS)</t>
        </is>
      </c>
      <c r="N4" s="99" t="n"/>
      <c r="O4" s="100" t="n"/>
    </row>
    <row r="5">
      <c r="A5" s="41">
        <f>C15</f>
        <v/>
      </c>
      <c r="B5" s="101" t="n"/>
      <c r="C5" s="102" t="n"/>
      <c r="D5" s="39">
        <f>D15</f>
        <v/>
      </c>
      <c r="E5" s="101" t="n"/>
      <c r="F5" s="102" t="n"/>
      <c r="G5" s="42">
        <f>I15</f>
        <v/>
      </c>
      <c r="H5" s="101" t="n"/>
      <c r="I5" s="102" t="n"/>
      <c r="J5" s="46">
        <f>K15</f>
        <v/>
      </c>
      <c r="K5" s="101" t="n"/>
      <c r="L5" s="102" t="n"/>
      <c r="M5" s="45">
        <f>N15</f>
        <v/>
      </c>
      <c r="N5" s="101" t="n"/>
      <c r="O5" s="102" t="n"/>
    </row>
    <row r="6">
      <c r="A6" s="103" t="n"/>
      <c r="B6" s="104" t="n"/>
      <c r="C6" s="105" t="n"/>
      <c r="D6" s="103" t="n"/>
      <c r="E6" s="104" t="n"/>
      <c r="F6" s="105" t="n"/>
      <c r="G6" s="103" t="n"/>
      <c r="H6" s="104" t="n"/>
      <c r="I6" s="105" t="n"/>
      <c r="J6" s="103" t="n"/>
      <c r="K6" s="104" t="n"/>
      <c r="L6" s="105" t="n"/>
      <c r="M6" s="103" t="n"/>
      <c r="N6" s="104" t="n"/>
      <c r="O6" s="105" t="n"/>
    </row>
    <row r="9" ht="16.5" customHeight="1" s="38">
      <c r="A9" s="81" t="inlineStr">
        <is>
          <t>SCHEDULED VS ACTUAL RUNNING HOURS &amp; FINANCIAL SAVINGS BREAKDOWN</t>
        </is>
      </c>
      <c r="B9" s="82" t="n"/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2" t="n"/>
    </row>
    <row r="10" ht="26" customHeight="1" s="38">
      <c r="A10" s="4" t="inlineStr">
        <is>
          <t>Month</t>
        </is>
      </c>
      <c r="B10" s="4" t="inlineStr">
        <is>
          <t>Days</t>
        </is>
      </c>
      <c r="C10" s="4" t="inlineStr">
        <is>
          <t>Tot Sched AHU Hrs</t>
        </is>
      </c>
      <c r="D10" s="4" t="inlineStr">
        <is>
          <t>Tot Actual Run Hrs</t>
        </is>
      </c>
      <c r="E10" s="4" t="inlineStr">
        <is>
          <t>AHU-1 Saved (Hrs)</t>
        </is>
      </c>
      <c r="F10" s="4" t="inlineStr">
        <is>
          <t>AHU-2 Saved (Hrs)</t>
        </is>
      </c>
      <c r="G10" s="4" t="inlineStr">
        <is>
          <t>AHU-3 Saved (Hrs)</t>
        </is>
      </c>
      <c r="H10" s="4" t="inlineStr">
        <is>
          <t>AHU-4 Saved (Hrs)</t>
        </is>
      </c>
      <c r="I10" s="4" t="inlineStr">
        <is>
          <t>Total Saved Hrs</t>
        </is>
      </c>
      <c r="J10" s="4" t="inlineStr">
        <is>
          <t>KWH Consumption</t>
        </is>
      </c>
      <c r="K10" s="4" t="inlineStr">
        <is>
          <t>KWH Cost (Rs)</t>
        </is>
      </c>
      <c r="L10" s="4" t="inlineStr">
        <is>
          <t>Tot Actual Cost (Rs)</t>
        </is>
      </c>
      <c r="M10" s="4" t="inlineStr">
        <is>
          <t>Full Cost 8PM (Rs)</t>
        </is>
      </c>
      <c r="N10" s="4" t="inlineStr">
        <is>
          <t>Total Cost Saved (Rs)</t>
        </is>
      </c>
    </row>
    <row r="11" ht="15" customHeight="1" s="38">
      <c r="A11" s="83" t="inlineStr">
        <is>
          <t>May 2026</t>
        </is>
      </c>
      <c r="B11" s="9" t="n">
        <v>31</v>
      </c>
      <c r="C11" s="84">
        <f>'May 2026'!AQ38</f>
        <v/>
      </c>
      <c r="D11" s="84">
        <f>'May 2026'!AR38</f>
        <v/>
      </c>
      <c r="E11" s="85">
        <f>'May 2026'!G38</f>
        <v/>
      </c>
      <c r="F11" s="85">
        <f>'May 2026'!Q38</f>
        <v/>
      </c>
      <c r="G11" s="85">
        <f>'May 2026'!AA38</f>
        <v/>
      </c>
      <c r="H11" s="85">
        <f>'May 2026'!AK38</f>
        <v/>
      </c>
      <c r="I11" s="84">
        <f>'May 2026'!AS38</f>
        <v/>
      </c>
      <c r="J11" s="86">
        <f>'May 2026'!AT38</f>
        <v/>
      </c>
      <c r="K11" s="87">
        <f>'May 2026'!AU38</f>
        <v/>
      </c>
      <c r="L11" s="88">
        <f>'May 2026'!AV38</f>
        <v/>
      </c>
      <c r="M11" s="87">
        <f>'May 2026'!AW38</f>
        <v/>
      </c>
      <c r="N11" s="88">
        <f>'May 2026'!AX38</f>
        <v/>
      </c>
    </row>
    <row r="12" ht="15" customHeight="1" s="38">
      <c r="A12" s="89" t="inlineStr">
        <is>
          <t>June 2026</t>
        </is>
      </c>
      <c r="B12" s="5" t="n">
        <v>30</v>
      </c>
      <c r="C12" s="90">
        <f>'June 2026'!AQ37</f>
        <v/>
      </c>
      <c r="D12" s="90">
        <f>'June 2026'!AR37</f>
        <v/>
      </c>
      <c r="E12" s="91">
        <f>'June 2026'!G37</f>
        <v/>
      </c>
      <c r="F12" s="91">
        <f>'June 2026'!Q37</f>
        <v/>
      </c>
      <c r="G12" s="91">
        <f>'June 2026'!AA37</f>
        <v/>
      </c>
      <c r="H12" s="91">
        <f>'June 2026'!AK37</f>
        <v/>
      </c>
      <c r="I12" s="90">
        <f>'June 2026'!AS37</f>
        <v/>
      </c>
      <c r="J12" s="92">
        <f>'June 2026'!AT37</f>
        <v/>
      </c>
      <c r="K12" s="93">
        <f>'June 2026'!AU37</f>
        <v/>
      </c>
      <c r="L12" s="94">
        <f>'June 2026'!AV37</f>
        <v/>
      </c>
      <c r="M12" s="93">
        <f>'June 2026'!AW37</f>
        <v/>
      </c>
      <c r="N12" s="94">
        <f>'June 2026'!AX37</f>
        <v/>
      </c>
    </row>
    <row r="13" ht="15" customHeight="1" s="38">
      <c r="A13" s="83" t="inlineStr">
        <is>
          <t>July 2026</t>
        </is>
      </c>
      <c r="B13" s="9" t="n">
        <v>31</v>
      </c>
      <c r="C13" s="84">
        <f>'July 2026'!AQ38</f>
        <v/>
      </c>
      <c r="D13" s="84">
        <f>'July 2026'!AR38</f>
        <v/>
      </c>
      <c r="E13" s="85">
        <f>'July 2026'!G38</f>
        <v/>
      </c>
      <c r="F13" s="85">
        <f>'July 2026'!Q38</f>
        <v/>
      </c>
      <c r="G13" s="85">
        <f>'July 2026'!AA38</f>
        <v/>
      </c>
      <c r="H13" s="85">
        <f>'July 2026'!AK38</f>
        <v/>
      </c>
      <c r="I13" s="84">
        <f>'July 2026'!AS38</f>
        <v/>
      </c>
      <c r="J13" s="86">
        <f>'July 2026'!AT38</f>
        <v/>
      </c>
      <c r="K13" s="87">
        <f>'July 2026'!AU38</f>
        <v/>
      </c>
      <c r="L13" s="88">
        <f>'July 2026'!AV38</f>
        <v/>
      </c>
      <c r="M13" s="87">
        <f>'July 2026'!AW38</f>
        <v/>
      </c>
      <c r="N13" s="88">
        <f>'July 2026'!AX38</f>
        <v/>
      </c>
    </row>
    <row r="14" ht="15" customHeight="1" s="38">
      <c r="A14" s="89" t="inlineStr">
        <is>
          <t>August 2026</t>
        </is>
      </c>
      <c r="B14" s="5" t="n">
        <v>31</v>
      </c>
      <c r="C14" s="90">
        <f>'August 2026'!AQ38</f>
        <v/>
      </c>
      <c r="D14" s="90">
        <f>'August 2026'!AR38</f>
        <v/>
      </c>
      <c r="E14" s="91">
        <f>'August 2026'!G38</f>
        <v/>
      </c>
      <c r="F14" s="91">
        <f>'August 2026'!Q38</f>
        <v/>
      </c>
      <c r="G14" s="91">
        <f>'August 2026'!AA38</f>
        <v/>
      </c>
      <c r="H14" s="91">
        <f>'August 2026'!AK38</f>
        <v/>
      </c>
      <c r="I14" s="90">
        <f>'August 2026'!AS38</f>
        <v/>
      </c>
      <c r="J14" s="92">
        <f>'August 2026'!AT38</f>
        <v/>
      </c>
      <c r="K14" s="93">
        <f>'August 2026'!AU38</f>
        <v/>
      </c>
      <c r="L14" s="94">
        <f>'August 2026'!AV38</f>
        <v/>
      </c>
      <c r="M14" s="93">
        <f>'August 2026'!AW38</f>
        <v/>
      </c>
      <c r="N14" s="94">
        <f>'August 2026'!AX38</f>
        <v/>
      </c>
    </row>
    <row r="15">
      <c r="A15" s="95" t="inlineStr">
        <is>
          <t>TOTAL / YTD</t>
        </is>
      </c>
      <c r="B15" s="96">
        <f>SUM(B11:B14)</f>
        <v/>
      </c>
      <c r="C15" s="97">
        <f>SUM(C11:C14)</f>
        <v/>
      </c>
      <c r="D15" s="97">
        <f>SUM(D11:D14)</f>
        <v/>
      </c>
      <c r="E15" s="97">
        <f>SUM(E11:E14)</f>
        <v/>
      </c>
      <c r="F15" s="97">
        <f>SUM(F11:F14)</f>
        <v/>
      </c>
      <c r="G15" s="97">
        <f>SUM(G11:G14)</f>
        <v/>
      </c>
      <c r="H15" s="97">
        <f>SUM(H11:H14)</f>
        <v/>
      </c>
      <c r="I15" s="97">
        <f>SUM(I11:I14)</f>
        <v/>
      </c>
      <c r="J15" s="96">
        <f>SUM(J11:J14)</f>
        <v/>
      </c>
      <c r="K15" s="98">
        <f>SUM(K11:K14)</f>
        <v/>
      </c>
      <c r="L15" s="98">
        <f>SUM(L11:L14)</f>
        <v/>
      </c>
      <c r="M15" s="98">
        <f>SUM(M11:M14)</f>
        <v/>
      </c>
      <c r="N15" s="98">
        <f>SUM(N11:N14)</f>
        <v/>
      </c>
    </row>
  </sheetData>
  <mergeCells count="10">
    <mergeCell ref="D5:F6"/>
    <mergeCell ref="A5:C6"/>
    <mergeCell ref="G5:I6"/>
    <mergeCell ref="M4:O4"/>
    <mergeCell ref="D4:F4"/>
    <mergeCell ref="M5:O6"/>
    <mergeCell ref="J5:L6"/>
    <mergeCell ref="G4:I4"/>
    <mergeCell ref="J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8"/>
  <sheetViews>
    <sheetView showGridLines="1" workbookViewId="0">
      <selection activeCell="H8" sqref="H8"/>
    </sheetView>
  </sheetViews>
  <sheetFormatPr baseColWidth="8" defaultRowHeight="14.5"/>
  <cols>
    <col width="9.36328125" bestFit="1" customWidth="1" style="38" min="1" max="1"/>
    <col width="4.1796875" bestFit="1" customWidth="1" style="38" min="2" max="2"/>
    <col width="7.26953125" bestFit="1" customWidth="1" style="38" min="3" max="3"/>
    <col width="7.7265625" bestFit="1" customWidth="1" style="38" min="4" max="4"/>
    <col width="8.08984375" bestFit="1" customWidth="1" style="38" min="5" max="5"/>
    <col width="11.6328125" bestFit="1" customWidth="1" style="38" min="6" max="6"/>
    <col width="8.08984375" bestFit="1" customWidth="1" style="38" min="7" max="7"/>
    <col width="15.90625" bestFit="1" customWidth="1" style="38" min="8" max="8"/>
    <col width="12.26953125" bestFit="1" customWidth="1" style="38" min="9" max="9"/>
    <col width="10.6328125" bestFit="1" customWidth="1" style="38" min="10" max="10"/>
    <col width="14.08984375" bestFit="1" customWidth="1" style="38" min="11" max="11"/>
    <col width="12" bestFit="1" customWidth="1" style="38" min="12" max="12"/>
    <col width="7.26953125" bestFit="1" customWidth="1" style="38" min="13" max="13"/>
    <col width="7.7265625" bestFit="1" customWidth="1" style="38" min="14" max="14"/>
    <col width="8.08984375" bestFit="1" customWidth="1" style="38" min="15" max="15"/>
    <col width="11.6328125" bestFit="1" customWidth="1" style="38" min="16" max="16"/>
    <col width="8.08984375" bestFit="1" customWidth="1" style="38" min="17" max="17"/>
    <col width="15.90625" bestFit="1" customWidth="1" style="38" min="18" max="18"/>
    <col width="12.26953125" bestFit="1" customWidth="1" style="38" min="19" max="19"/>
    <col width="10.6328125" bestFit="1" customWidth="1" style="38" min="20" max="20"/>
    <col width="14.08984375" bestFit="1" customWidth="1" style="38" min="21" max="21"/>
    <col width="12" bestFit="1" customWidth="1" style="38" min="22" max="22"/>
    <col width="7.26953125" bestFit="1" customWidth="1" style="38" min="23" max="23"/>
    <col width="7.7265625" bestFit="1" customWidth="1" style="38" min="24" max="24"/>
    <col width="8.08984375" bestFit="1" customWidth="1" style="38" min="25" max="25"/>
    <col width="11.6328125" bestFit="1" customWidth="1" style="38" min="26" max="26"/>
    <col width="8.08984375" bestFit="1" customWidth="1" style="38" min="27" max="27"/>
    <col width="15.90625" bestFit="1" customWidth="1" style="38" min="28" max="28"/>
    <col width="12.26953125" bestFit="1" customWidth="1" style="38" min="29" max="29"/>
    <col width="10.6328125" bestFit="1" customWidth="1" style="38" min="30" max="30"/>
    <col width="14.08984375" bestFit="1" customWidth="1" style="38" min="31" max="31"/>
    <col width="12" bestFit="1" customWidth="1" style="38" min="32" max="32"/>
    <col width="7.26953125" bestFit="1" customWidth="1" style="38" min="33" max="33"/>
    <col width="7.7265625" bestFit="1" customWidth="1" style="38" min="34" max="34"/>
    <col width="8.08984375" bestFit="1" customWidth="1" style="38" min="35" max="35"/>
    <col width="11.6328125" bestFit="1" customWidth="1" style="38" min="36" max="36"/>
    <col width="8.08984375" bestFit="1" customWidth="1" style="38" min="37" max="37"/>
    <col width="15.90625" bestFit="1" customWidth="1" style="38" min="38" max="38"/>
    <col width="12.26953125" bestFit="1" customWidth="1" style="38" min="39" max="39"/>
    <col width="10.6328125" bestFit="1" customWidth="1" style="38" min="40" max="40"/>
    <col width="14.08984375" bestFit="1" customWidth="1" style="38" min="41" max="41"/>
    <col width="12" bestFit="1" customWidth="1" style="38" min="42" max="42"/>
    <col width="11" bestFit="1" customWidth="1" style="38" min="43" max="43"/>
    <col width="14.6328125" bestFit="1" customWidth="1" style="38" min="44" max="44"/>
    <col width="11" bestFit="1" customWidth="1" style="38" min="45" max="45"/>
    <col width="18.90625" bestFit="1" customWidth="1" style="38" min="46" max="46"/>
    <col width="11.36328125" bestFit="1" customWidth="1" style="38" min="47" max="47"/>
    <col width="15.26953125" bestFit="1" customWidth="1" style="38" min="48" max="48"/>
    <col width="17.08984375" bestFit="1" customWidth="1" style="38" min="49" max="49"/>
    <col width="16.26953125" bestFit="1" customWidth="1" style="38" min="50" max="50"/>
    <col width="8.1796875" bestFit="1" customWidth="1" style="38" min="51" max="51"/>
  </cols>
  <sheetData>
    <row r="1" ht="22.5" customHeight="1" s="38">
      <c r="A1" s="1" t="inlineStr">
        <is>
          <t>AHU DAILY SAVINGS &amp; KWH COST REPORT - MAY 2026</t>
        </is>
      </c>
    </row>
    <row r="2">
      <c r="A2" s="2" t="inlineStr">
        <is>
          <t>Operating Schedule: Mon-Fri 8:00 AM to 8:00 PM (12 hrs/AHU) | Sat 8:00 AM to 2:00 PM (6 hrs/AHU) | Sun Off</t>
        </is>
      </c>
    </row>
    <row r="3">
      <c r="A3" s="2" t="inlineStr">
        <is>
          <t>Logic: KWH Rate = Rs. 7.45 | Hourly Rate = KWH Cost / Actual Run Hrs | Full Cost = KWH Cost + (Saved Hrs * Hourly Rate) | Saving = Saved Hrs * Hourly Rate</t>
        </is>
      </c>
    </row>
    <row r="5">
      <c r="A5" s="53" t="inlineStr">
        <is>
          <t>Date &amp; Day</t>
        </is>
      </c>
      <c r="B5" s="106" t="n"/>
      <c r="C5" s="53" t="inlineStr">
        <is>
          <t>AHU-1 (CFM 26500)</t>
        </is>
      </c>
      <c r="D5" s="107" t="n"/>
      <c r="E5" s="107" t="n"/>
      <c r="F5" s="107" t="n"/>
      <c r="G5" s="107" t="n"/>
      <c r="H5" s="107" t="n"/>
      <c r="I5" s="107" t="n"/>
      <c r="J5" s="107" t="n"/>
      <c r="K5" s="107" t="n"/>
      <c r="L5" s="106" t="n"/>
      <c r="M5" s="53" t="inlineStr">
        <is>
          <t>AHU-2 (CFM 26700)</t>
        </is>
      </c>
      <c r="N5" s="107" t="n"/>
      <c r="O5" s="107" t="n"/>
      <c r="P5" s="107" t="n"/>
      <c r="Q5" s="107" t="n"/>
      <c r="R5" s="107" t="n"/>
      <c r="S5" s="107" t="n"/>
      <c r="T5" s="107" t="n"/>
      <c r="U5" s="107" t="n"/>
      <c r="V5" s="106" t="n"/>
      <c r="W5" s="53" t="inlineStr">
        <is>
          <t>AHU-3 (CFM 28000)</t>
        </is>
      </c>
      <c r="X5" s="107" t="n"/>
      <c r="Y5" s="107" t="n"/>
      <c r="Z5" s="107" t="n"/>
      <c r="AA5" s="107" t="n"/>
      <c r="AB5" s="107" t="n"/>
      <c r="AC5" s="107" t="n"/>
      <c r="AD5" s="107" t="n"/>
      <c r="AE5" s="107" t="n"/>
      <c r="AF5" s="106" t="n"/>
      <c r="AG5" s="53" t="inlineStr">
        <is>
          <t>AHU-4 (CFM 28500)</t>
        </is>
      </c>
      <c r="AH5" s="107" t="n"/>
      <c r="AI5" s="107" t="n"/>
      <c r="AJ5" s="107" t="n"/>
      <c r="AK5" s="107" t="n"/>
      <c r="AL5" s="107" t="n"/>
      <c r="AM5" s="107" t="n"/>
      <c r="AN5" s="107" t="n"/>
      <c r="AO5" s="107" t="n"/>
      <c r="AP5" s="106" t="n"/>
      <c r="AQ5" s="53" t="inlineStr">
        <is>
          <t>DAILY TOTAL COMBINED SUMMARY (ALL AHUs)</t>
        </is>
      </c>
      <c r="AR5" s="107" t="n"/>
      <c r="AS5" s="107" t="n"/>
      <c r="AT5" s="107" t="n"/>
      <c r="AU5" s="107" t="n"/>
      <c r="AV5" s="107" t="n"/>
      <c r="AW5" s="107" t="n"/>
      <c r="AX5" s="107" t="n"/>
      <c r="AY5" s="106" t="n"/>
    </row>
    <row r="6">
      <c r="A6" s="55" t="inlineStr">
        <is>
          <t>Date</t>
        </is>
      </c>
      <c r="B6" s="55" t="inlineStr">
        <is>
          <t>Day</t>
        </is>
      </c>
      <c r="C6" s="55" t="inlineStr">
        <is>
          <t>ON Time</t>
        </is>
      </c>
      <c r="D6" s="55" t="inlineStr">
        <is>
          <t>OFF Time</t>
        </is>
      </c>
      <c r="E6" s="55" t="inlineStr">
        <is>
          <t>Sched Hrs</t>
        </is>
      </c>
      <c r="F6" s="55" t="inlineStr">
        <is>
          <t>Actual Run Hrs</t>
        </is>
      </c>
      <c r="G6" s="55" t="inlineStr">
        <is>
          <t>Saved Hrs</t>
        </is>
      </c>
      <c r="H6" s="55" t="inlineStr">
        <is>
          <t>Consumption (KWH)</t>
        </is>
      </c>
      <c r="I6" s="55" t="inlineStr">
        <is>
          <t>Actual Cost (Rs)</t>
        </is>
      </c>
      <c r="J6" s="55" t="inlineStr">
        <is>
          <t>Cost / Hr (Rs)</t>
        </is>
      </c>
      <c r="K6" s="55" t="inlineStr">
        <is>
          <t>Full Cost 8PM (Rs)</t>
        </is>
      </c>
      <c r="L6" s="55" t="inlineStr">
        <is>
          <t>Cost Saved (Rs)</t>
        </is>
      </c>
      <c r="M6" s="55" t="inlineStr">
        <is>
          <t>ON Time</t>
        </is>
      </c>
      <c r="N6" s="55" t="inlineStr">
        <is>
          <t>OFF Time</t>
        </is>
      </c>
      <c r="O6" s="55" t="inlineStr">
        <is>
          <t>Sched Hrs</t>
        </is>
      </c>
      <c r="P6" s="55" t="inlineStr">
        <is>
          <t>Actual Run Hrs</t>
        </is>
      </c>
      <c r="Q6" s="55" t="inlineStr">
        <is>
          <t>Saved Hrs</t>
        </is>
      </c>
      <c r="R6" s="55" t="inlineStr">
        <is>
          <t>Consumption (KWH)</t>
        </is>
      </c>
      <c r="S6" s="55" t="inlineStr">
        <is>
          <t>Actual Cost (Rs)</t>
        </is>
      </c>
      <c r="T6" s="55" t="inlineStr">
        <is>
          <t>Cost / Hr (Rs)</t>
        </is>
      </c>
      <c r="U6" s="55" t="inlineStr">
        <is>
          <t>Full Cost 8PM (Rs)</t>
        </is>
      </c>
      <c r="V6" s="55" t="inlineStr">
        <is>
          <t>Cost Saved (Rs)</t>
        </is>
      </c>
      <c r="W6" s="55" t="inlineStr">
        <is>
          <t>ON Time</t>
        </is>
      </c>
      <c r="X6" s="55" t="inlineStr">
        <is>
          <t>OFF Time</t>
        </is>
      </c>
      <c r="Y6" s="55" t="inlineStr">
        <is>
          <t>Sched Hrs</t>
        </is>
      </c>
      <c r="Z6" s="55" t="inlineStr">
        <is>
          <t>Actual Run Hrs</t>
        </is>
      </c>
      <c r="AA6" s="55" t="inlineStr">
        <is>
          <t>Saved Hrs</t>
        </is>
      </c>
      <c r="AB6" s="55" t="inlineStr">
        <is>
          <t>Consumption (KWH)</t>
        </is>
      </c>
      <c r="AC6" s="55" t="inlineStr">
        <is>
          <t>Actual Cost (Rs)</t>
        </is>
      </c>
      <c r="AD6" s="55" t="inlineStr">
        <is>
          <t>Cost / Hr (Rs)</t>
        </is>
      </c>
      <c r="AE6" s="55" t="inlineStr">
        <is>
          <t>Full Cost 8PM (Rs)</t>
        </is>
      </c>
      <c r="AF6" s="55" t="inlineStr">
        <is>
          <t>Cost Saved (Rs)</t>
        </is>
      </c>
      <c r="AG6" s="55" t="inlineStr">
        <is>
          <t>ON Time</t>
        </is>
      </c>
      <c r="AH6" s="55" t="inlineStr">
        <is>
          <t>OFF Time</t>
        </is>
      </c>
      <c r="AI6" s="55" t="inlineStr">
        <is>
          <t>Sched Hrs</t>
        </is>
      </c>
      <c r="AJ6" s="55" t="inlineStr">
        <is>
          <t>Actual Run Hrs</t>
        </is>
      </c>
      <c r="AK6" s="55" t="inlineStr">
        <is>
          <t>Saved Hrs</t>
        </is>
      </c>
      <c r="AL6" s="55" t="inlineStr">
        <is>
          <t>Consumption (KWH)</t>
        </is>
      </c>
      <c r="AM6" s="55" t="inlineStr">
        <is>
          <t>Actual Cost (Rs)</t>
        </is>
      </c>
      <c r="AN6" s="55" t="inlineStr">
        <is>
          <t>Cost / Hr (Rs)</t>
        </is>
      </c>
      <c r="AO6" s="55" t="inlineStr">
        <is>
          <t>Full Cost 8PM (Rs)</t>
        </is>
      </c>
      <c r="AP6" s="55" t="inlineStr">
        <is>
          <t>Cost Saved (Rs)</t>
        </is>
      </c>
      <c r="AQ6" s="55" t="inlineStr">
        <is>
          <t>Tot Sched Hrs</t>
        </is>
      </c>
      <c r="AR6" s="55" t="inlineStr">
        <is>
          <t>Tot Actual Run Hrs</t>
        </is>
      </c>
      <c r="AS6" s="55" t="inlineStr">
        <is>
          <t>Tot Saved Hrs</t>
        </is>
      </c>
      <c r="AT6" s="55" t="inlineStr">
        <is>
          <t>Tot Consumption (KWH)</t>
        </is>
      </c>
      <c r="AU6" s="55" t="inlineStr">
        <is>
          <t>KWH Cost (Rs)</t>
        </is>
      </c>
      <c r="AV6" s="55" t="inlineStr">
        <is>
          <t>Tot Actual Cost (Rs)</t>
        </is>
      </c>
      <c r="AW6" s="55" t="inlineStr">
        <is>
          <t>Tot Full Cost 8PM (Rs)</t>
        </is>
      </c>
      <c r="AX6" s="55" t="inlineStr">
        <is>
          <t>Total Cost Saved (Rs)</t>
        </is>
      </c>
      <c r="AY6" s="55" t="inlineStr">
        <is>
          <t>Savings %</t>
        </is>
      </c>
    </row>
    <row r="7">
      <c r="A7" s="56" t="n">
        <v>46143</v>
      </c>
      <c r="B7" s="57" t="inlineStr">
        <is>
          <t>Fri</t>
        </is>
      </c>
      <c r="C7" s="58" t="n">
        <v>0.2847222222222222</v>
      </c>
      <c r="D7" s="58" t="n">
        <v>0.8020833333333334</v>
      </c>
      <c r="E7" s="59">
        <f>IF(B7="Sun", 0, IF(B7="Sat", 6, 12))</f>
        <v/>
      </c>
      <c r="F7" s="59">
        <f>IF(OR(D7="OFF", ISBLANK(D7)), 0, (D7 - C7)*24)</f>
        <v/>
      </c>
      <c r="G7" s="59">
        <f>IF(OR(B7="Sun", D7="OFF", ISBLANK(D7)), 0, MAX(0, (IF(B7="Sat", 14/24, 20/24) - D7)*24))</f>
        <v/>
      </c>
      <c r="H7" s="60" t="n">
        <v>110</v>
      </c>
      <c r="I7" s="61">
        <f>H7*7.45</f>
        <v/>
      </c>
      <c r="J7" s="61">
        <f>IF(F7&gt;0, I7/F7, 0)</f>
        <v/>
      </c>
      <c r="K7" s="61">
        <f>I7 + (G7*J7)</f>
        <v/>
      </c>
      <c r="L7" s="62">
        <f>G7*J7</f>
        <v/>
      </c>
      <c r="M7" s="58" t="n">
        <v>0.2847222222222222</v>
      </c>
      <c r="N7" s="58" t="n">
        <v>0.8020833333333334</v>
      </c>
      <c r="O7" s="59">
        <f>IF(B7="Sun", 0, IF(B7="Sat", 6, 12))</f>
        <v/>
      </c>
      <c r="P7" s="59">
        <f>IF(OR(N7="OFF", ISBLANK(N7)), 0, (N7 - M7)*24)</f>
        <v/>
      </c>
      <c r="Q7" s="59">
        <f>IF(OR(B7="Sun", N7="OFF", ISBLANK(N7)), 0, MAX(0, (IF(B7="Sat", 14/24, 20/24) - N7)*24))</f>
        <v/>
      </c>
      <c r="R7" s="60" t="n">
        <v>134</v>
      </c>
      <c r="S7" s="61">
        <f>R7*7.45</f>
        <v/>
      </c>
      <c r="T7" s="61">
        <f>IF(P7&gt;0, S7/P7, 0)</f>
        <v/>
      </c>
      <c r="U7" s="61">
        <f>S7 + (Q7*T7)</f>
        <v/>
      </c>
      <c r="V7" s="62">
        <f>Q7*T7</f>
        <v/>
      </c>
      <c r="W7" s="58" t="n">
        <v>0.2847222222222222</v>
      </c>
      <c r="X7" s="58" t="n">
        <v>0.7465277777777778</v>
      </c>
      <c r="Y7" s="59">
        <f>IF(B7="Sun", 0, IF(B7="Sat", 6, 12))</f>
        <v/>
      </c>
      <c r="Z7" s="59">
        <f>IF(OR(X7="OFF", ISBLANK(X7)), 0, (X7 - W7)*24)</f>
        <v/>
      </c>
      <c r="AA7" s="59">
        <f>IF(OR(B7="Sun", X7="OFF", ISBLANK(X7)), 0, MAX(0, (IF(B7="Sat", 14/24, 20/24) - X7)*24))</f>
        <v/>
      </c>
      <c r="AB7" s="60" t="n">
        <v>89</v>
      </c>
      <c r="AC7" s="61">
        <f>AB7*7.45</f>
        <v/>
      </c>
      <c r="AD7" s="61">
        <f>IF(Z7&gt;0, AC7/Z7, 0)</f>
        <v/>
      </c>
      <c r="AE7" s="61">
        <f>AC7 + (AA7*AD7)</f>
        <v/>
      </c>
      <c r="AF7" s="62">
        <f>AA7*AD7</f>
        <v/>
      </c>
      <c r="AG7" s="58" t="n">
        <v>0.2847222222222222</v>
      </c>
      <c r="AH7" s="58" t="n">
        <v>0.8020833333333334</v>
      </c>
      <c r="AI7" s="59">
        <f>IF(B7="Sun", 0, IF(B7="Sat", 6, 12))</f>
        <v/>
      </c>
      <c r="AJ7" s="59">
        <f>IF(OR(AH7="OFF", ISBLANK(AH7)), 0, (AH7 - AG7)*24)</f>
        <v/>
      </c>
      <c r="AK7" s="59">
        <f>IF(OR(B7="Sun", AH7="OFF", ISBLANK(AH7)), 0, MAX(0, (IF(B7="Sat", 14/24, 20/24) - AH7)*24))</f>
        <v/>
      </c>
      <c r="AL7" s="60" t="n">
        <v>68</v>
      </c>
      <c r="AM7" s="61">
        <f>AL7*7.45</f>
        <v/>
      </c>
      <c r="AN7" s="61">
        <f>IF(AJ7&gt;0, AM7/AJ7, 0)</f>
        <v/>
      </c>
      <c r="AO7" s="61">
        <f>AM7 + (AK7*AN7)</f>
        <v/>
      </c>
      <c r="AP7" s="62">
        <f>AK7*AN7</f>
        <v/>
      </c>
      <c r="AQ7" s="59">
        <f>E7+O7+Y7+AI7</f>
        <v/>
      </c>
      <c r="AR7" s="59">
        <f>F7+P7+Z7+AJ7</f>
        <v/>
      </c>
      <c r="AS7" s="63">
        <f>G7+Q7+AA7+AK7</f>
        <v/>
      </c>
      <c r="AT7" s="60">
        <f>H7+R7+AB7+AL7</f>
        <v/>
      </c>
      <c r="AU7" s="61">
        <f>AT7*7.45</f>
        <v/>
      </c>
      <c r="AV7" s="62">
        <f>I7+S7+AC7+AM7</f>
        <v/>
      </c>
      <c r="AW7" s="61">
        <f>K7+U7+AE7+AO7</f>
        <v/>
      </c>
      <c r="AX7" s="62">
        <f>L7+V7+AF7+AP7</f>
        <v/>
      </c>
      <c r="AY7" s="64">
        <f>IF(AW7&gt;0, AX7/AW7, 0)</f>
        <v/>
      </c>
    </row>
    <row r="8">
      <c r="A8" s="65" t="n">
        <v>46144</v>
      </c>
      <c r="B8" s="66" t="inlineStr">
        <is>
          <t>Sat</t>
        </is>
      </c>
      <c r="C8" s="73" t="n">
        <v>0.2708333333333333</v>
      </c>
      <c r="D8" s="73" t="n">
        <v>0.8333333333333334</v>
      </c>
      <c r="E8" s="67">
        <f>IF(B8="Sun", 0, IF(B8="Sat", 6, 12))</f>
        <v/>
      </c>
      <c r="F8" s="67">
        <f>IF(OR(D8="OFF", ISBLANK(D8)), 0, (D8 - C8)*24)</f>
        <v/>
      </c>
      <c r="G8" s="67">
        <f>IF(OR(B8="Sun", D8="OFF", ISBLANK(D8)), 0, MAX(0, (IF(B8="Sat", 14/24, 20/24) - D8)*24))</f>
        <v/>
      </c>
      <c r="H8" s="68" t="n">
        <v>64</v>
      </c>
      <c r="I8" s="69">
        <f>H8*7.45</f>
        <v/>
      </c>
      <c r="J8" s="69">
        <f>IF(F8&gt;0, I8/F8, 0)</f>
        <v/>
      </c>
      <c r="K8" s="69">
        <f>I8 + (G8*J8)</f>
        <v/>
      </c>
      <c r="L8" s="70">
        <f>G8*J8</f>
        <v/>
      </c>
      <c r="M8" s="73" t="n">
        <v>0.2708333333333333</v>
      </c>
      <c r="N8" s="73" t="n">
        <v>0.8333333333333334</v>
      </c>
      <c r="O8" s="67">
        <f>IF(B8="Sun", 0, IF(B8="Sat", 6, 12))</f>
        <v/>
      </c>
      <c r="P8" s="67">
        <f>IF(OR(N8="OFF", ISBLANK(N8)), 0, (N8 - M8)*24)</f>
        <v/>
      </c>
      <c r="Q8" s="67">
        <f>IF(OR(B8="Sun", N8="OFF", ISBLANK(N8)), 0, MAX(0, (IF(B8="Sat", 14/24, 20/24) - N8)*24))</f>
        <v/>
      </c>
      <c r="R8" s="68" t="n">
        <v>77</v>
      </c>
      <c r="S8" s="69">
        <f>R8*7.45</f>
        <v/>
      </c>
      <c r="T8" s="69">
        <f>IF(P8&gt;0, S8/P8, 0)</f>
        <v/>
      </c>
      <c r="U8" s="69">
        <f>S8 + (Q8*T8)</f>
        <v/>
      </c>
      <c r="V8" s="70">
        <f>Q8*T8</f>
        <v/>
      </c>
      <c r="W8" s="73" t="n">
        <v>0.2708333333333333</v>
      </c>
      <c r="X8" s="73" t="n">
        <v>0.7291666666666666</v>
      </c>
      <c r="Y8" s="67">
        <f>IF(B8="Sun", 0, IF(B8="Sat", 6, 12))</f>
        <v/>
      </c>
      <c r="Z8" s="67">
        <f>IF(OR(X8="OFF", ISBLANK(X8)), 0, (X8 - W8)*24)</f>
        <v/>
      </c>
      <c r="AA8" s="67">
        <f>IF(OR(B8="Sun", X8="OFF", ISBLANK(X8)), 0, MAX(0, (IF(B8="Sat", 14/24, 20/24) - X8)*24))</f>
        <v/>
      </c>
      <c r="AB8" s="68" t="n">
        <v>62</v>
      </c>
      <c r="AC8" s="69">
        <f>AB8*7.45</f>
        <v/>
      </c>
      <c r="AD8" s="69">
        <f>IF(Z8&gt;0, AC8/Z8, 0)</f>
        <v/>
      </c>
      <c r="AE8" s="69">
        <f>AC8 + (AA8*AD8)</f>
        <v/>
      </c>
      <c r="AF8" s="70">
        <f>AA8*AD8</f>
        <v/>
      </c>
      <c r="AG8" s="73" t="n">
        <v>0.2708333333333333</v>
      </c>
      <c r="AH8" s="73" t="n">
        <v>0.8333333333333334</v>
      </c>
      <c r="AI8" s="67">
        <f>IF(B8="Sun", 0, IF(B8="Sat", 6, 12))</f>
        <v/>
      </c>
      <c r="AJ8" s="67">
        <f>IF(OR(AH8="OFF", ISBLANK(AH8)), 0, (AH8 - AG8)*24)</f>
        <v/>
      </c>
      <c r="AK8" s="67">
        <f>IF(OR(B8="Sun", AH8="OFF", ISBLANK(AH8)), 0, MAX(0, (IF(B8="Sat", 14/24, 20/24) - AH8)*24))</f>
        <v/>
      </c>
      <c r="AL8" s="68" t="n">
        <v>46</v>
      </c>
      <c r="AM8" s="69">
        <f>AL8*7.45</f>
        <v/>
      </c>
      <c r="AN8" s="69">
        <f>IF(AJ8&gt;0, AM8/AJ8, 0)</f>
        <v/>
      </c>
      <c r="AO8" s="69">
        <f>AM8 + (AK8*AN8)</f>
        <v/>
      </c>
      <c r="AP8" s="70">
        <f>AK8*AN8</f>
        <v/>
      </c>
      <c r="AQ8" s="67">
        <f>E8+O8+Y8+AI8</f>
        <v/>
      </c>
      <c r="AR8" s="67">
        <f>F8+P8+Z8+AJ8</f>
        <v/>
      </c>
      <c r="AS8" s="71">
        <f>G8+Q8+AA8+AK8</f>
        <v/>
      </c>
      <c r="AT8" s="68">
        <f>H8+R8+AB8+AL8</f>
        <v/>
      </c>
      <c r="AU8" s="69">
        <f>AT8*7.45</f>
        <v/>
      </c>
      <c r="AV8" s="70">
        <f>I8+S8+AC8+AM8</f>
        <v/>
      </c>
      <c r="AW8" s="69">
        <f>K8+U8+AE8+AO8</f>
        <v/>
      </c>
      <c r="AX8" s="70">
        <f>L8+V8+AF8+AP8</f>
        <v/>
      </c>
      <c r="AY8" s="72">
        <f>IF(AW8&gt;0, AX8/AW8, 0)</f>
        <v/>
      </c>
    </row>
    <row r="9">
      <c r="A9" s="56" t="n">
        <v>46145</v>
      </c>
      <c r="B9" s="57" t="inlineStr">
        <is>
          <t>Sun</t>
        </is>
      </c>
      <c r="C9" s="58" t="n">
        <v>0</v>
      </c>
      <c r="D9" s="58" t="n">
        <v>0</v>
      </c>
      <c r="E9" s="59">
        <f>IF(B9="Sun", 0, IF(B9="Sat", 6, 12))</f>
        <v/>
      </c>
      <c r="F9" s="59">
        <f>IF(OR(D9="OFF", ISBLANK(D9)), 0, (D9 - C9)*24)</f>
        <v/>
      </c>
      <c r="G9" s="59">
        <f>IF(OR(B9="Sun", D9="OFF", ISBLANK(D9)), 0, MAX(0, (IF(B9="Sat", 14/24, 20/24) - D9)*24))</f>
        <v/>
      </c>
      <c r="H9" s="60" t="n">
        <v>0</v>
      </c>
      <c r="I9" s="61">
        <f>H9*7.45</f>
        <v/>
      </c>
      <c r="J9" s="61">
        <f>IF(F9&gt;0, I9/F9, 0)</f>
        <v/>
      </c>
      <c r="K9" s="61">
        <f>I9 + (G9*J9)</f>
        <v/>
      </c>
      <c r="L9" s="62">
        <f>G9*J9</f>
        <v/>
      </c>
      <c r="M9" s="58" t="n">
        <v>0</v>
      </c>
      <c r="N9" s="58" t="n">
        <v>0</v>
      </c>
      <c r="O9" s="59">
        <f>IF(B9="Sun", 0, IF(B9="Sat", 6, 12))</f>
        <v/>
      </c>
      <c r="P9" s="59">
        <f>IF(OR(N9="OFF", ISBLANK(N9)), 0, (N9 - M9)*24)</f>
        <v/>
      </c>
      <c r="Q9" s="59">
        <f>IF(OR(B9="Sun", N9="OFF", ISBLANK(N9)), 0, MAX(0, (IF(B9="Sat", 14/24, 20/24) - N9)*24))</f>
        <v/>
      </c>
      <c r="R9" s="60" t="n">
        <v>0</v>
      </c>
      <c r="S9" s="61">
        <f>R9*7.45</f>
        <v/>
      </c>
      <c r="T9" s="61">
        <f>IF(P9&gt;0, S9/P9, 0)</f>
        <v/>
      </c>
      <c r="U9" s="61">
        <f>S9 + (Q9*T9)</f>
        <v/>
      </c>
      <c r="V9" s="62">
        <f>Q9*T9</f>
        <v/>
      </c>
      <c r="W9" s="58" t="n">
        <v>0</v>
      </c>
      <c r="X9" s="58" t="n">
        <v>0</v>
      </c>
      <c r="Y9" s="59">
        <f>IF(B9="Sun", 0, IF(B9="Sat", 6, 12))</f>
        <v/>
      </c>
      <c r="Z9" s="59">
        <f>IF(OR(X9="OFF", ISBLANK(X9)), 0, (X9 - W9)*24)</f>
        <v/>
      </c>
      <c r="AA9" s="59">
        <f>IF(OR(B9="Sun", X9="OFF", ISBLANK(X9)), 0, MAX(0, (IF(B9="Sat", 14/24, 20/24) - X9)*24))</f>
        <v/>
      </c>
      <c r="AB9" s="60" t="n">
        <v>0</v>
      </c>
      <c r="AC9" s="61">
        <f>AB9*7.45</f>
        <v/>
      </c>
      <c r="AD9" s="61">
        <f>IF(Z9&gt;0, AC9/Z9, 0)</f>
        <v/>
      </c>
      <c r="AE9" s="61">
        <f>AC9 + (AA9*AD9)</f>
        <v/>
      </c>
      <c r="AF9" s="62">
        <f>AA9*AD9</f>
        <v/>
      </c>
      <c r="AG9" s="58" t="n">
        <v>0</v>
      </c>
      <c r="AH9" s="58" t="n">
        <v>0</v>
      </c>
      <c r="AI9" s="59">
        <f>IF(B9="Sun", 0, IF(B9="Sat", 6, 12))</f>
        <v/>
      </c>
      <c r="AJ9" s="59">
        <f>IF(OR(AH9="OFF", ISBLANK(AH9)), 0, (AH9 - AG9)*24)</f>
        <v/>
      </c>
      <c r="AK9" s="59">
        <f>IF(OR(B9="Sun", AH9="OFF", ISBLANK(AH9)), 0, MAX(0, (IF(B9="Sat", 14/24, 20/24) - AH9)*24))</f>
        <v/>
      </c>
      <c r="AL9" s="60" t="n">
        <v>0</v>
      </c>
      <c r="AM9" s="61">
        <f>AL9*7.45</f>
        <v/>
      </c>
      <c r="AN9" s="61">
        <f>IF(AJ9&gt;0, AM9/AJ9, 0)</f>
        <v/>
      </c>
      <c r="AO9" s="61">
        <f>AM9 + (AK9*AN9)</f>
        <v/>
      </c>
      <c r="AP9" s="62">
        <f>AK9*AN9</f>
        <v/>
      </c>
      <c r="AQ9" s="59">
        <f>E9+O9+Y9+AI9</f>
        <v/>
      </c>
      <c r="AR9" s="59">
        <f>F9+P9+Z9+AJ9</f>
        <v/>
      </c>
      <c r="AS9" s="63">
        <f>G9+Q9+AA9+AK9</f>
        <v/>
      </c>
      <c r="AT9" s="60">
        <f>H9+R9+AB9+AL9</f>
        <v/>
      </c>
      <c r="AU9" s="61">
        <f>AT9*7.45</f>
        <v/>
      </c>
      <c r="AV9" s="62">
        <f>I9+S9+AC9+AM9</f>
        <v/>
      </c>
      <c r="AW9" s="61">
        <f>K9+U9+AE9+AO9</f>
        <v/>
      </c>
      <c r="AX9" s="62">
        <f>L9+V9+AF9+AP9</f>
        <v/>
      </c>
      <c r="AY9" s="64">
        <f>IF(AW9&gt;0, AX9/AW9, 0)</f>
        <v/>
      </c>
    </row>
    <row r="10">
      <c r="A10" s="65" t="n">
        <v>46146</v>
      </c>
      <c r="B10" s="66" t="inlineStr">
        <is>
          <t>Mon</t>
        </is>
      </c>
      <c r="C10" s="73" t="n">
        <v>0.2736111111111111</v>
      </c>
      <c r="D10" s="73" t="n">
        <v>0.9166666666666666</v>
      </c>
      <c r="E10" s="67">
        <f>IF(B10="Sun", 0, IF(B10="Sat", 6, 12))</f>
        <v/>
      </c>
      <c r="F10" s="67">
        <f>IF(OR(D10="OFF", ISBLANK(D10)), 0, (D10 - C10)*24)</f>
        <v/>
      </c>
      <c r="G10" s="67">
        <f>IF(OR(B10="Sun", D10="OFF", ISBLANK(D10)), 0, MAX(0, (IF(B10="Sat", 14/24, 20/24) - D10)*24))</f>
        <v/>
      </c>
      <c r="H10" s="68" t="n">
        <v>60</v>
      </c>
      <c r="I10" s="69">
        <f>H10*7.45</f>
        <v/>
      </c>
      <c r="J10" s="69">
        <f>IF(F10&gt;0, I10/F10, 0)</f>
        <v/>
      </c>
      <c r="K10" s="69">
        <f>I10 + (G10*J10)</f>
        <v/>
      </c>
      <c r="L10" s="70">
        <f>G10*J10</f>
        <v/>
      </c>
      <c r="M10" s="73" t="n">
        <v>0.2736111111111111</v>
      </c>
      <c r="N10" s="73" t="n">
        <v>0.9166666666666666</v>
      </c>
      <c r="O10" s="67">
        <f>IF(B10="Sun", 0, IF(B10="Sat", 6, 12))</f>
        <v/>
      </c>
      <c r="P10" s="67">
        <f>IF(OR(N10="OFF", ISBLANK(N10)), 0, (N10 - M10)*24)</f>
        <v/>
      </c>
      <c r="Q10" s="67">
        <f>IF(OR(B10="Sun", N10="OFF", ISBLANK(N10)), 0, MAX(0, (IF(B10="Sat", 14/24, 20/24) - N10)*24))</f>
        <v/>
      </c>
      <c r="R10" s="68" t="n">
        <v>88</v>
      </c>
      <c r="S10" s="69">
        <f>R10*7.45</f>
        <v/>
      </c>
      <c r="T10" s="69">
        <f>IF(P10&gt;0, S10/P10, 0)</f>
        <v/>
      </c>
      <c r="U10" s="69">
        <f>S10 + (Q10*T10)</f>
        <v/>
      </c>
      <c r="V10" s="70">
        <f>Q10*T10</f>
        <v/>
      </c>
      <c r="W10" s="73" t="n">
        <v>0.2736111111111111</v>
      </c>
      <c r="X10" s="73" t="n">
        <v>0.8194444444444444</v>
      </c>
      <c r="Y10" s="67">
        <f>IF(B10="Sun", 0, IF(B10="Sat", 6, 12))</f>
        <v/>
      </c>
      <c r="Z10" s="67">
        <f>IF(OR(X10="OFF", ISBLANK(X10)), 0, (X10 - W10)*24)</f>
        <v/>
      </c>
      <c r="AA10" s="67">
        <f>IF(OR(B10="Sun", X10="OFF", ISBLANK(X10)), 0, MAX(0, (IF(B10="Sat", 14/24, 20/24) - X10)*24))</f>
        <v/>
      </c>
      <c r="AB10" s="68" t="n">
        <v>86</v>
      </c>
      <c r="AC10" s="69">
        <f>AB10*7.45</f>
        <v/>
      </c>
      <c r="AD10" s="69">
        <f>IF(Z10&gt;0, AC10/Z10, 0)</f>
        <v/>
      </c>
      <c r="AE10" s="69">
        <f>AC10 + (AA10*AD10)</f>
        <v/>
      </c>
      <c r="AF10" s="70">
        <f>AA10*AD10</f>
        <v/>
      </c>
      <c r="AG10" s="73" t="n">
        <v>0.2736111111111111</v>
      </c>
      <c r="AH10" s="73" t="n">
        <v>0.9166666666666666</v>
      </c>
      <c r="AI10" s="67">
        <f>IF(B10="Sun", 0, IF(B10="Sat", 6, 12))</f>
        <v/>
      </c>
      <c r="AJ10" s="67">
        <f>IF(OR(AH10="OFF", ISBLANK(AH10)), 0, (AH10 - AG10)*24)</f>
        <v/>
      </c>
      <c r="AK10" s="67">
        <f>IF(OR(B10="Sun", AH10="OFF", ISBLANK(AH10)), 0, MAX(0, (IF(B10="Sat", 14/24, 20/24) - AH10)*24))</f>
        <v/>
      </c>
      <c r="AL10" s="68" t="n">
        <v>66</v>
      </c>
      <c r="AM10" s="69">
        <f>AL10*7.45</f>
        <v/>
      </c>
      <c r="AN10" s="69">
        <f>IF(AJ10&gt;0, AM10/AJ10, 0)</f>
        <v/>
      </c>
      <c r="AO10" s="69">
        <f>AM10 + (AK10*AN10)</f>
        <v/>
      </c>
      <c r="AP10" s="70">
        <f>AK10*AN10</f>
        <v/>
      </c>
      <c r="AQ10" s="67">
        <f>E10+O10+Y10+AI10</f>
        <v/>
      </c>
      <c r="AR10" s="67">
        <f>F10+P10+Z10+AJ10</f>
        <v/>
      </c>
      <c r="AS10" s="71">
        <f>G10+Q10+AA10+AK10</f>
        <v/>
      </c>
      <c r="AT10" s="68">
        <f>H10+R10+AB10+AL10</f>
        <v/>
      </c>
      <c r="AU10" s="69">
        <f>AT10*7.45</f>
        <v/>
      </c>
      <c r="AV10" s="70">
        <f>I10+S10+AC10+AM10</f>
        <v/>
      </c>
      <c r="AW10" s="69">
        <f>K10+U10+AE10+AO10</f>
        <v/>
      </c>
      <c r="AX10" s="70">
        <f>L10+V10+AF10+AP10</f>
        <v/>
      </c>
      <c r="AY10" s="72">
        <f>IF(AW10&gt;0, AX10/AW10, 0)</f>
        <v/>
      </c>
    </row>
    <row r="11">
      <c r="A11" s="56" t="n">
        <v>46147</v>
      </c>
      <c r="B11" s="57" t="inlineStr">
        <is>
          <t>Tue</t>
        </is>
      </c>
      <c r="C11" s="58" t="n">
        <v>0.2777777777777778</v>
      </c>
      <c r="D11" s="58" t="n">
        <v>0.9583333333333334</v>
      </c>
      <c r="E11" s="59">
        <f>IF(B11="Sun", 0, IF(B11="Sat", 6, 12))</f>
        <v/>
      </c>
      <c r="F11" s="59">
        <f>IF(OR(D11="OFF", ISBLANK(D11)), 0, (D11 - C11)*24)</f>
        <v/>
      </c>
      <c r="G11" s="59">
        <f>IF(OR(B11="Sun", D11="OFF", ISBLANK(D11)), 0, MAX(0, (IF(B11="Sat", 14/24, 20/24) - D11)*24))</f>
        <v/>
      </c>
      <c r="H11" s="60" t="n">
        <v>67</v>
      </c>
      <c r="I11" s="61">
        <f>H11*7.45</f>
        <v/>
      </c>
      <c r="J11" s="61">
        <f>IF(F11&gt;0, I11/F11, 0)</f>
        <v/>
      </c>
      <c r="K11" s="61">
        <f>I11 + (G11*J11)</f>
        <v/>
      </c>
      <c r="L11" s="62">
        <f>G11*J11</f>
        <v/>
      </c>
      <c r="M11" s="58" t="n">
        <v>0.2777777777777778</v>
      </c>
      <c r="N11" s="58" t="n">
        <v>0.9583333333333334</v>
      </c>
      <c r="O11" s="59">
        <f>IF(B11="Sun", 0, IF(B11="Sat", 6, 12))</f>
        <v/>
      </c>
      <c r="P11" s="59">
        <f>IF(OR(N11="OFF", ISBLANK(N11)), 0, (N11 - M11)*24)</f>
        <v/>
      </c>
      <c r="Q11" s="59">
        <f>IF(OR(B11="Sun", N11="OFF", ISBLANK(N11)), 0, MAX(0, (IF(B11="Sat", 14/24, 20/24) - N11)*24))</f>
        <v/>
      </c>
      <c r="R11" s="60" t="n">
        <v>93</v>
      </c>
      <c r="S11" s="61">
        <f>R11*7.45</f>
        <v/>
      </c>
      <c r="T11" s="61">
        <f>IF(P11&gt;0, S11/P11, 0)</f>
        <v/>
      </c>
      <c r="U11" s="61">
        <f>S11 + (Q11*T11)</f>
        <v/>
      </c>
      <c r="V11" s="62">
        <f>Q11*T11</f>
        <v/>
      </c>
      <c r="W11" s="58" t="n">
        <v>0.2777777777777778</v>
      </c>
      <c r="X11" s="58" t="n">
        <v>0.8055555555555556</v>
      </c>
      <c r="Y11" s="59">
        <f>IF(B11="Sun", 0, IF(B11="Sat", 6, 12))</f>
        <v/>
      </c>
      <c r="Z11" s="59">
        <f>IF(OR(X11="OFF", ISBLANK(X11)), 0, (X11 - W11)*24)</f>
        <v/>
      </c>
      <c r="AA11" s="59">
        <f>IF(OR(B11="Sun", X11="OFF", ISBLANK(X11)), 0, MAX(0, (IF(B11="Sat", 14/24, 20/24) - X11)*24))</f>
        <v/>
      </c>
      <c r="AB11" s="60" t="n">
        <v>94</v>
      </c>
      <c r="AC11" s="61">
        <f>AB11*7.45</f>
        <v/>
      </c>
      <c r="AD11" s="61">
        <f>IF(Z11&gt;0, AC11/Z11, 0)</f>
        <v/>
      </c>
      <c r="AE11" s="61">
        <f>AC11 + (AA11*AD11)</f>
        <v/>
      </c>
      <c r="AF11" s="62">
        <f>AA11*AD11</f>
        <v/>
      </c>
      <c r="AG11" s="58" t="n">
        <v>0.2777777777777778</v>
      </c>
      <c r="AH11" s="58" t="n">
        <v>0.9583333333333334</v>
      </c>
      <c r="AI11" s="59">
        <f>IF(B11="Sun", 0, IF(B11="Sat", 6, 12))</f>
        <v/>
      </c>
      <c r="AJ11" s="59">
        <f>IF(OR(AH11="OFF", ISBLANK(AH11)), 0, (AH11 - AG11)*24)</f>
        <v/>
      </c>
      <c r="AK11" s="59">
        <f>IF(OR(B11="Sun", AH11="OFF", ISBLANK(AH11)), 0, MAX(0, (IF(B11="Sat", 14/24, 20/24) - AH11)*24))</f>
        <v/>
      </c>
      <c r="AL11" s="60" t="n">
        <v>68</v>
      </c>
      <c r="AM11" s="61">
        <f>AL11*7.45</f>
        <v/>
      </c>
      <c r="AN11" s="61">
        <f>IF(AJ11&gt;0, AM11/AJ11, 0)</f>
        <v/>
      </c>
      <c r="AO11" s="61">
        <f>AM11 + (AK11*AN11)</f>
        <v/>
      </c>
      <c r="AP11" s="62">
        <f>AK11*AN11</f>
        <v/>
      </c>
      <c r="AQ11" s="59">
        <f>E11+O11+Y11+AI11</f>
        <v/>
      </c>
      <c r="AR11" s="59">
        <f>F11+P11+Z11+AJ11</f>
        <v/>
      </c>
      <c r="AS11" s="63">
        <f>G11+Q11+AA11+AK11</f>
        <v/>
      </c>
      <c r="AT11" s="60">
        <f>H11+R11+AB11+AL11</f>
        <v/>
      </c>
      <c r="AU11" s="61">
        <f>AT11*7.45</f>
        <v/>
      </c>
      <c r="AV11" s="62">
        <f>I11+S11+AC11+AM11</f>
        <v/>
      </c>
      <c r="AW11" s="61">
        <f>K11+U11+AE11+AO11</f>
        <v/>
      </c>
      <c r="AX11" s="62">
        <f>L11+V11+AF11+AP11</f>
        <v/>
      </c>
      <c r="AY11" s="64">
        <f>IF(AW11&gt;0, AX11/AW11, 0)</f>
        <v/>
      </c>
    </row>
    <row r="12">
      <c r="A12" s="65" t="n">
        <v>46148</v>
      </c>
      <c r="B12" s="66" t="inlineStr">
        <is>
          <t>Wed</t>
        </is>
      </c>
      <c r="C12" s="73" t="n">
        <v>0.3194444444444444</v>
      </c>
      <c r="D12" s="73" t="n">
        <v>0.7743055555555556</v>
      </c>
      <c r="E12" s="67">
        <f>IF(B12="Sun", 0, IF(B12="Sat", 6, 12))</f>
        <v/>
      </c>
      <c r="F12" s="67">
        <f>IF(OR(D12="OFF", ISBLANK(D12)), 0, (D12 - C12)*24)</f>
        <v/>
      </c>
      <c r="G12" s="67">
        <f>IF(OR(B12="Sun", D12="OFF", ISBLANK(D12)), 0, MAX(0, (IF(B12="Sat", 14/24, 20/24) - D12)*24))</f>
        <v/>
      </c>
      <c r="H12" s="68" t="n">
        <v>58</v>
      </c>
      <c r="I12" s="69">
        <f>H12*7.45</f>
        <v/>
      </c>
      <c r="J12" s="69">
        <f>IF(F12&gt;0, I12/F12, 0)</f>
        <v/>
      </c>
      <c r="K12" s="69">
        <f>I12 + (G12*J12)</f>
        <v/>
      </c>
      <c r="L12" s="70">
        <f>G12*J12</f>
        <v/>
      </c>
      <c r="M12" s="73" t="n">
        <v>0.3194444444444444</v>
      </c>
      <c r="N12" s="73" t="n">
        <v>0.7743055555555556</v>
      </c>
      <c r="O12" s="67">
        <f>IF(B12="Sun", 0, IF(B12="Sat", 6, 12))</f>
        <v/>
      </c>
      <c r="P12" s="67">
        <f>IF(OR(N12="OFF", ISBLANK(N12)), 0, (N12 - M12)*24)</f>
        <v/>
      </c>
      <c r="Q12" s="67">
        <f>IF(OR(B12="Sun", N12="OFF", ISBLANK(N12)), 0, MAX(0, (IF(B12="Sat", 14/24, 20/24) - N12)*24))</f>
        <v/>
      </c>
      <c r="R12" s="68" t="n">
        <v>69</v>
      </c>
      <c r="S12" s="69">
        <f>R12*7.45</f>
        <v/>
      </c>
      <c r="T12" s="69">
        <f>IF(P12&gt;0, S12/P12, 0)</f>
        <v/>
      </c>
      <c r="U12" s="69">
        <f>S12 + (Q12*T12)</f>
        <v/>
      </c>
      <c r="V12" s="70">
        <f>Q12*T12</f>
        <v/>
      </c>
      <c r="W12" s="73" t="n">
        <v>0.3194444444444444</v>
      </c>
      <c r="X12" s="73" t="n">
        <v>0.7743055555555556</v>
      </c>
      <c r="Y12" s="67">
        <f>IF(B12="Sun", 0, IF(B12="Sat", 6, 12))</f>
        <v/>
      </c>
      <c r="Z12" s="67">
        <f>IF(OR(X12="OFF", ISBLANK(X12)), 0, (X12 - W12)*24)</f>
        <v/>
      </c>
      <c r="AA12" s="67">
        <f>IF(OR(B12="Sun", X12="OFF", ISBLANK(X12)), 0, MAX(0, (IF(B12="Sat", 14/24, 20/24) - X12)*24))</f>
        <v/>
      </c>
      <c r="AB12" s="68" t="n">
        <v>70</v>
      </c>
      <c r="AC12" s="69">
        <f>AB12*7.45</f>
        <v/>
      </c>
      <c r="AD12" s="69">
        <f>IF(Z12&gt;0, AC12/Z12, 0)</f>
        <v/>
      </c>
      <c r="AE12" s="69">
        <f>AC12 + (AA12*AD12)</f>
        <v/>
      </c>
      <c r="AF12" s="70">
        <f>AA12*AD12</f>
        <v/>
      </c>
      <c r="AG12" s="73" t="n">
        <v>0.3194444444444444</v>
      </c>
      <c r="AH12" s="73" t="n">
        <v>0.7743055555555556</v>
      </c>
      <c r="AI12" s="67">
        <f>IF(B12="Sun", 0, IF(B12="Sat", 6, 12))</f>
        <v/>
      </c>
      <c r="AJ12" s="67">
        <f>IF(OR(AH12="OFF", ISBLANK(AH12)), 0, (AH12 - AG12)*24)</f>
        <v/>
      </c>
      <c r="AK12" s="67">
        <f>IF(OR(B12="Sun", AH12="OFF", ISBLANK(AH12)), 0, MAX(0, (IF(B12="Sat", 14/24, 20/24) - AH12)*24))</f>
        <v/>
      </c>
      <c r="AL12" s="68" t="n">
        <v>55</v>
      </c>
      <c r="AM12" s="69">
        <f>AL12*7.45</f>
        <v/>
      </c>
      <c r="AN12" s="69">
        <f>IF(AJ12&gt;0, AM12/AJ12, 0)</f>
        <v/>
      </c>
      <c r="AO12" s="69">
        <f>AM12 + (AK12*AN12)</f>
        <v/>
      </c>
      <c r="AP12" s="70">
        <f>AK12*AN12</f>
        <v/>
      </c>
      <c r="AQ12" s="67">
        <f>E12+O12+Y12+AI12</f>
        <v/>
      </c>
      <c r="AR12" s="67">
        <f>F12+P12+Z12+AJ12</f>
        <v/>
      </c>
      <c r="AS12" s="71">
        <f>G12+Q12+AA12+AK12</f>
        <v/>
      </c>
      <c r="AT12" s="68">
        <f>H12+R12+AB12+AL12</f>
        <v/>
      </c>
      <c r="AU12" s="69">
        <f>AT12*7.45</f>
        <v/>
      </c>
      <c r="AV12" s="70">
        <f>I12+S12+AC12+AM12</f>
        <v/>
      </c>
      <c r="AW12" s="69">
        <f>K12+U12+AE12+AO12</f>
        <v/>
      </c>
      <c r="AX12" s="70">
        <f>L12+V12+AF12+AP12</f>
        <v/>
      </c>
      <c r="AY12" s="72">
        <f>IF(AW12&gt;0, AX12/AW12, 0)</f>
        <v/>
      </c>
    </row>
    <row r="13">
      <c r="A13" s="56" t="n">
        <v>46149</v>
      </c>
      <c r="B13" s="57" t="inlineStr">
        <is>
          <t>Thu</t>
        </is>
      </c>
      <c r="C13" s="58" t="n">
        <v>0.3263888888888889</v>
      </c>
      <c r="D13" s="58" t="n">
        <v>0.8305555555555556</v>
      </c>
      <c r="E13" s="59">
        <f>IF(B13="Sun", 0, IF(B13="Sat", 6, 12))</f>
        <v/>
      </c>
      <c r="F13" s="59">
        <f>IF(OR(D13="OFF", ISBLANK(D13)), 0, (D13 - C13)*24)</f>
        <v/>
      </c>
      <c r="G13" s="59">
        <f>IF(OR(B13="Sun", D13="OFF", ISBLANK(D13)), 0, MAX(0, (IF(B13="Sat", 14/24, 20/24) - D13)*24))</f>
        <v/>
      </c>
      <c r="H13" s="60" t="n">
        <v>60</v>
      </c>
      <c r="I13" s="61">
        <f>H13*7.45</f>
        <v/>
      </c>
      <c r="J13" s="61">
        <f>IF(F13&gt;0, I13/F13, 0)</f>
        <v/>
      </c>
      <c r="K13" s="61">
        <f>I13 + (G13*J13)</f>
        <v/>
      </c>
      <c r="L13" s="62">
        <f>G13*J13</f>
        <v/>
      </c>
      <c r="M13" s="58" t="n">
        <v>0.3263888888888889</v>
      </c>
      <c r="N13" s="58" t="n">
        <v>0.8305555555555556</v>
      </c>
      <c r="O13" s="59">
        <f>IF(B13="Sun", 0, IF(B13="Sat", 6, 12))</f>
        <v/>
      </c>
      <c r="P13" s="59">
        <f>IF(OR(N13="OFF", ISBLANK(N13)), 0, (N13 - M13)*24)</f>
        <v/>
      </c>
      <c r="Q13" s="59">
        <f>IF(OR(B13="Sun", N13="OFF", ISBLANK(N13)), 0, MAX(0, (IF(B13="Sat", 14/24, 20/24) - N13)*24))</f>
        <v/>
      </c>
      <c r="R13" s="60" t="n">
        <v>65</v>
      </c>
      <c r="S13" s="61">
        <f>R13*7.45</f>
        <v/>
      </c>
      <c r="T13" s="61">
        <f>IF(P13&gt;0, S13/P13, 0)</f>
        <v/>
      </c>
      <c r="U13" s="61">
        <f>S13 + (Q13*T13)</f>
        <v/>
      </c>
      <c r="V13" s="62">
        <f>Q13*T13</f>
        <v/>
      </c>
      <c r="W13" s="58" t="n">
        <v>0.3263888888888889</v>
      </c>
      <c r="X13" s="58" t="n">
        <v>0.8305555555555556</v>
      </c>
      <c r="Y13" s="59">
        <f>IF(B13="Sun", 0, IF(B13="Sat", 6, 12))</f>
        <v/>
      </c>
      <c r="Z13" s="59">
        <f>IF(OR(X13="OFF", ISBLANK(X13)), 0, (X13 - W13)*24)</f>
        <v/>
      </c>
      <c r="AA13" s="59">
        <f>IF(OR(B13="Sun", X13="OFF", ISBLANK(X13)), 0, MAX(0, (IF(B13="Sat", 14/24, 20/24) - X13)*24))</f>
        <v/>
      </c>
      <c r="AB13" s="60" t="n">
        <v>81</v>
      </c>
      <c r="AC13" s="61">
        <f>AB13*7.45</f>
        <v/>
      </c>
      <c r="AD13" s="61">
        <f>IF(Z13&gt;0, AC13/Z13, 0)</f>
        <v/>
      </c>
      <c r="AE13" s="61">
        <f>AC13 + (AA13*AD13)</f>
        <v/>
      </c>
      <c r="AF13" s="62">
        <f>AA13*AD13</f>
        <v/>
      </c>
      <c r="AG13" s="58" t="n">
        <v>0.3263888888888889</v>
      </c>
      <c r="AH13" s="58" t="n">
        <v>0.8305555555555556</v>
      </c>
      <c r="AI13" s="59">
        <f>IF(B13="Sun", 0, IF(B13="Sat", 6, 12))</f>
        <v/>
      </c>
      <c r="AJ13" s="59">
        <f>IF(OR(AH13="OFF", ISBLANK(AH13)), 0, (AH13 - AG13)*24)</f>
        <v/>
      </c>
      <c r="AK13" s="59">
        <f>IF(OR(B13="Sun", AH13="OFF", ISBLANK(AH13)), 0, MAX(0, (IF(B13="Sat", 14/24, 20/24) - AH13)*24))</f>
        <v/>
      </c>
      <c r="AL13" s="60" t="n">
        <v>62</v>
      </c>
      <c r="AM13" s="61">
        <f>AL13*7.45</f>
        <v/>
      </c>
      <c r="AN13" s="61">
        <f>IF(AJ13&gt;0, AM13/AJ13, 0)</f>
        <v/>
      </c>
      <c r="AO13" s="61">
        <f>AM13 + (AK13*AN13)</f>
        <v/>
      </c>
      <c r="AP13" s="62">
        <f>AK13*AN13</f>
        <v/>
      </c>
      <c r="AQ13" s="59">
        <f>E13+O13+Y13+AI13</f>
        <v/>
      </c>
      <c r="AR13" s="59">
        <f>F13+P13+Z13+AJ13</f>
        <v/>
      </c>
      <c r="AS13" s="63">
        <f>G13+Q13+AA13+AK13</f>
        <v/>
      </c>
      <c r="AT13" s="60">
        <f>H13+R13+AB13+AL13</f>
        <v/>
      </c>
      <c r="AU13" s="61">
        <f>AT13*7.45</f>
        <v/>
      </c>
      <c r="AV13" s="62">
        <f>I13+S13+AC13+AM13</f>
        <v/>
      </c>
      <c r="AW13" s="61">
        <f>K13+U13+AE13+AO13</f>
        <v/>
      </c>
      <c r="AX13" s="62">
        <f>L13+V13+AF13+AP13</f>
        <v/>
      </c>
      <c r="AY13" s="64">
        <f>IF(AW13&gt;0, AX13/AW13, 0)</f>
        <v/>
      </c>
    </row>
    <row r="14">
      <c r="A14" s="65" t="n">
        <v>46150</v>
      </c>
      <c r="B14" s="66" t="inlineStr">
        <is>
          <t>Fri</t>
        </is>
      </c>
      <c r="C14" s="73" t="n">
        <v>0.3229166666666667</v>
      </c>
      <c r="D14" s="73" t="n">
        <v>0.7569444444444444</v>
      </c>
      <c r="E14" s="67">
        <f>IF(B14="Sun", 0, IF(B14="Sat", 6, 12))</f>
        <v/>
      </c>
      <c r="F14" s="67">
        <f>IF(OR(D14="OFF", ISBLANK(D14)), 0, (D14 - C14)*24)</f>
        <v/>
      </c>
      <c r="G14" s="67">
        <f>IF(OR(B14="Sun", D14="OFF", ISBLANK(D14)), 0, MAX(0, (IF(B14="Sat", 14/24, 20/24) - D14)*24))</f>
        <v/>
      </c>
      <c r="H14" s="68" t="n">
        <v>55</v>
      </c>
      <c r="I14" s="69">
        <f>H14*7.45</f>
        <v/>
      </c>
      <c r="J14" s="69">
        <f>IF(F14&gt;0, I14/F14, 0)</f>
        <v/>
      </c>
      <c r="K14" s="69">
        <f>I14 + (G14*J14)</f>
        <v/>
      </c>
      <c r="L14" s="70">
        <f>G14*J14</f>
        <v/>
      </c>
      <c r="M14" s="73" t="n">
        <v>0.3229166666666667</v>
      </c>
      <c r="N14" s="73" t="n">
        <v>0.8194444444444444</v>
      </c>
      <c r="O14" s="67">
        <f>IF(B14="Sun", 0, IF(B14="Sat", 6, 12))</f>
        <v/>
      </c>
      <c r="P14" s="67">
        <f>IF(OR(N14="OFF", ISBLANK(N14)), 0, (N14 - M14)*24)</f>
        <v/>
      </c>
      <c r="Q14" s="67">
        <f>IF(OR(B14="Sun", N14="OFF", ISBLANK(N14)), 0, MAX(0, (IF(B14="Sat", 14/24, 20/24) - N14)*24))</f>
        <v/>
      </c>
      <c r="R14" s="68" t="n">
        <v>65</v>
      </c>
      <c r="S14" s="69">
        <f>R14*7.45</f>
        <v/>
      </c>
      <c r="T14" s="69">
        <f>IF(P14&gt;0, S14/P14, 0)</f>
        <v/>
      </c>
      <c r="U14" s="69">
        <f>S14 + (Q14*T14)</f>
        <v/>
      </c>
      <c r="V14" s="70">
        <f>Q14*T14</f>
        <v/>
      </c>
      <c r="W14" s="73" t="n">
        <v>0.3229166666666667</v>
      </c>
      <c r="X14" s="73" t="n">
        <v>0.7333333333333333</v>
      </c>
      <c r="Y14" s="67">
        <f>IF(B14="Sun", 0, IF(B14="Sat", 6, 12))</f>
        <v/>
      </c>
      <c r="Z14" s="67">
        <f>IF(OR(X14="OFF", ISBLANK(X14)), 0, (X14 - W14)*24)</f>
        <v/>
      </c>
      <c r="AA14" s="67">
        <f>IF(OR(B14="Sun", X14="OFF", ISBLANK(X14)), 0, MAX(0, (IF(B14="Sat", 14/24, 20/24) - X14)*24))</f>
        <v/>
      </c>
      <c r="AB14" s="68" t="n">
        <v>69</v>
      </c>
      <c r="AC14" s="69">
        <f>AB14*7.45</f>
        <v/>
      </c>
      <c r="AD14" s="69">
        <f>IF(Z14&gt;0, AC14/Z14, 0)</f>
        <v/>
      </c>
      <c r="AE14" s="69">
        <f>AC14 + (AA14*AD14)</f>
        <v/>
      </c>
      <c r="AF14" s="70">
        <f>AA14*AD14</f>
        <v/>
      </c>
      <c r="AG14" s="73" t="n">
        <v>0.3229166666666667</v>
      </c>
      <c r="AH14" s="73" t="n">
        <v>0.7569444444444444</v>
      </c>
      <c r="AI14" s="67">
        <f>IF(B14="Sun", 0, IF(B14="Sat", 6, 12))</f>
        <v/>
      </c>
      <c r="AJ14" s="67">
        <f>IF(OR(AH14="OFF", ISBLANK(AH14)), 0, (AH14 - AG14)*24)</f>
        <v/>
      </c>
      <c r="AK14" s="67">
        <f>IF(OR(B14="Sun", AH14="OFF", ISBLANK(AH14)), 0, MAX(0, (IF(B14="Sat", 14/24, 20/24) - AH14)*24))</f>
        <v/>
      </c>
      <c r="AL14" s="68" t="n">
        <v>54</v>
      </c>
      <c r="AM14" s="69">
        <f>AL14*7.45</f>
        <v/>
      </c>
      <c r="AN14" s="69">
        <f>IF(AJ14&gt;0, AM14/AJ14, 0)</f>
        <v/>
      </c>
      <c r="AO14" s="69">
        <f>AM14 + (AK14*AN14)</f>
        <v/>
      </c>
      <c r="AP14" s="70">
        <f>AK14*AN14</f>
        <v/>
      </c>
      <c r="AQ14" s="67">
        <f>E14+O14+Y14+AI14</f>
        <v/>
      </c>
      <c r="AR14" s="67">
        <f>F14+P14+Z14+AJ14</f>
        <v/>
      </c>
      <c r="AS14" s="71">
        <f>G14+Q14+AA14+AK14</f>
        <v/>
      </c>
      <c r="AT14" s="68">
        <f>H14+R14+AB14+AL14</f>
        <v/>
      </c>
      <c r="AU14" s="69">
        <f>AT14*7.45</f>
        <v/>
      </c>
      <c r="AV14" s="70">
        <f>I14+S14+AC14+AM14</f>
        <v/>
      </c>
      <c r="AW14" s="69">
        <f>K14+U14+AE14+AO14</f>
        <v/>
      </c>
      <c r="AX14" s="70">
        <f>L14+V14+AF14+AP14</f>
        <v/>
      </c>
      <c r="AY14" s="72">
        <f>IF(AW14&gt;0, AX14/AW14, 0)</f>
        <v/>
      </c>
    </row>
    <row r="15">
      <c r="A15" s="56" t="n">
        <v>46151</v>
      </c>
      <c r="B15" s="57" t="inlineStr">
        <is>
          <t>Sat</t>
        </is>
      </c>
      <c r="C15" s="58" t="n">
        <v>0.3277777777777778</v>
      </c>
      <c r="D15" s="58" t="n">
        <v>0.5854166666666667</v>
      </c>
      <c r="E15" s="59">
        <f>IF(B15="Sun", 0, IF(B15="Sat", 6, 12))</f>
        <v/>
      </c>
      <c r="F15" s="59">
        <f>IF(OR(D15="OFF", ISBLANK(D15)), 0, (D15 - C15)*24)</f>
        <v/>
      </c>
      <c r="G15" s="59">
        <f>IF(OR(B15="Sun", D15="OFF", ISBLANK(D15)), 0, MAX(0, (IF(B15="Sat", 14/24, 20/24) - D15)*24))</f>
        <v/>
      </c>
      <c r="H15" s="60" t="n">
        <v>32</v>
      </c>
      <c r="I15" s="61">
        <f>H15*7.45</f>
        <v/>
      </c>
      <c r="J15" s="61">
        <f>IF(F15&gt;0, I15/F15, 0)</f>
        <v/>
      </c>
      <c r="K15" s="61">
        <f>I15 + (G15*J15)</f>
        <v/>
      </c>
      <c r="L15" s="62">
        <f>G15*J15</f>
        <v/>
      </c>
      <c r="M15" s="58" t="n">
        <v>0.3277777777777778</v>
      </c>
      <c r="N15" s="58" t="n">
        <v>0.5854166666666667</v>
      </c>
      <c r="O15" s="59">
        <f>IF(B15="Sun", 0, IF(B15="Sat", 6, 12))</f>
        <v/>
      </c>
      <c r="P15" s="59">
        <f>IF(OR(N15="OFF", ISBLANK(N15)), 0, (N15 - M15)*24)</f>
        <v/>
      </c>
      <c r="Q15" s="59">
        <f>IF(OR(B15="Sun", N15="OFF", ISBLANK(N15)), 0, MAX(0, (IF(B15="Sat", 14/24, 20/24) - N15)*24))</f>
        <v/>
      </c>
      <c r="R15" s="60" t="n">
        <v>33</v>
      </c>
      <c r="S15" s="61">
        <f>R15*7.45</f>
        <v/>
      </c>
      <c r="T15" s="61">
        <f>IF(P15&gt;0, S15/P15, 0)</f>
        <v/>
      </c>
      <c r="U15" s="61">
        <f>S15 + (Q15*T15)</f>
        <v/>
      </c>
      <c r="V15" s="62">
        <f>Q15*T15</f>
        <v/>
      </c>
      <c r="W15" s="58" t="n">
        <v>0.3277777777777778</v>
      </c>
      <c r="X15" s="58" t="n">
        <v>0.5854166666666667</v>
      </c>
      <c r="Y15" s="59">
        <f>IF(B15="Sun", 0, IF(B15="Sat", 6, 12))</f>
        <v/>
      </c>
      <c r="Z15" s="59">
        <f>IF(OR(X15="OFF", ISBLANK(X15)), 0, (X15 - W15)*24)</f>
        <v/>
      </c>
      <c r="AA15" s="59">
        <f>IF(OR(B15="Sun", X15="OFF", ISBLANK(X15)), 0, MAX(0, (IF(B15="Sat", 14/24, 20/24) - X15)*24))</f>
        <v/>
      </c>
      <c r="AB15" s="60" t="n">
        <v>71</v>
      </c>
      <c r="AC15" s="61">
        <f>AB15*7.45</f>
        <v/>
      </c>
      <c r="AD15" s="61">
        <f>IF(Z15&gt;0, AC15/Z15, 0)</f>
        <v/>
      </c>
      <c r="AE15" s="61">
        <f>AC15 + (AA15*AD15)</f>
        <v/>
      </c>
      <c r="AF15" s="62">
        <f>AA15*AD15</f>
        <v/>
      </c>
      <c r="AG15" s="58" t="n">
        <v>0.3277777777777778</v>
      </c>
      <c r="AH15" s="58" t="n">
        <v>0.5854166666666667</v>
      </c>
      <c r="AI15" s="59">
        <f>IF(B15="Sun", 0, IF(B15="Sat", 6, 12))</f>
        <v/>
      </c>
      <c r="AJ15" s="59">
        <f>IF(OR(AH15="OFF", ISBLANK(AH15)), 0, (AH15 - AG15)*24)</f>
        <v/>
      </c>
      <c r="AK15" s="59">
        <f>IF(OR(B15="Sun", AH15="OFF", ISBLANK(AH15)), 0, MAX(0, (IF(B15="Sat", 14/24, 20/24) - AH15)*24))</f>
        <v/>
      </c>
      <c r="AL15" s="60" t="n">
        <v>31</v>
      </c>
      <c r="AM15" s="61">
        <f>AL15*7.45</f>
        <v/>
      </c>
      <c r="AN15" s="61">
        <f>IF(AJ15&gt;0, AM15/AJ15, 0)</f>
        <v/>
      </c>
      <c r="AO15" s="61">
        <f>AM15 + (AK15*AN15)</f>
        <v/>
      </c>
      <c r="AP15" s="62">
        <f>AK15*AN15</f>
        <v/>
      </c>
      <c r="AQ15" s="59">
        <f>E15+O15+Y15+AI15</f>
        <v/>
      </c>
      <c r="AR15" s="59">
        <f>F15+P15+Z15+AJ15</f>
        <v/>
      </c>
      <c r="AS15" s="63">
        <f>G15+Q15+AA15+AK15</f>
        <v/>
      </c>
      <c r="AT15" s="60">
        <f>H15+R15+AB15+AL15</f>
        <v/>
      </c>
      <c r="AU15" s="61">
        <f>AT15*7.45</f>
        <v/>
      </c>
      <c r="AV15" s="62">
        <f>I15+S15+AC15+AM15</f>
        <v/>
      </c>
      <c r="AW15" s="61">
        <f>K15+U15+AE15+AO15</f>
        <v/>
      </c>
      <c r="AX15" s="62">
        <f>L15+V15+AF15+AP15</f>
        <v/>
      </c>
      <c r="AY15" s="64">
        <f>IF(AW15&gt;0, AX15/AW15, 0)</f>
        <v/>
      </c>
    </row>
    <row r="16">
      <c r="A16" s="65" t="n">
        <v>46152</v>
      </c>
      <c r="B16" s="66" t="inlineStr">
        <is>
          <t>Sun</t>
        </is>
      </c>
      <c r="C16" s="66" t="inlineStr">
        <is>
          <t>OFF</t>
        </is>
      </c>
      <c r="D16" s="66" t="inlineStr">
        <is>
          <t>OFF</t>
        </is>
      </c>
      <c r="E16" s="67">
        <f>IF(B16="Sun", 0, IF(B16="Sat", 6, 12))</f>
        <v/>
      </c>
      <c r="F16" s="67">
        <f>IF(OR(D16="OFF", ISBLANK(D16)), 0, (D16 - C16)*24)</f>
        <v/>
      </c>
      <c r="G16" s="67">
        <f>IF(OR(B16="Sun", D16="OFF", ISBLANK(D16)), 0, MAX(0, (IF(B16="Sat", 14/24, 20/24) - D16)*24))</f>
        <v/>
      </c>
      <c r="H16" s="68" t="n">
        <v>0</v>
      </c>
      <c r="I16" s="69">
        <f>H16*7.45</f>
        <v/>
      </c>
      <c r="J16" s="69">
        <f>IF(F16&gt;0, I16/F16, 0)</f>
        <v/>
      </c>
      <c r="K16" s="69">
        <f>I16 + (G16*J16)</f>
        <v/>
      </c>
      <c r="L16" s="70">
        <f>G16*J16</f>
        <v/>
      </c>
      <c r="M16" s="66" t="inlineStr">
        <is>
          <t>OFF</t>
        </is>
      </c>
      <c r="N16" s="66" t="inlineStr">
        <is>
          <t>OFF</t>
        </is>
      </c>
      <c r="O16" s="67">
        <f>IF(B16="Sun", 0, IF(B16="Sat", 6, 12))</f>
        <v/>
      </c>
      <c r="P16" s="67">
        <f>IF(OR(N16="OFF", ISBLANK(N16)), 0, (N16 - M16)*24)</f>
        <v/>
      </c>
      <c r="Q16" s="67">
        <f>IF(OR(B16="Sun", N16="OFF", ISBLANK(N16)), 0, MAX(0, (IF(B16="Sat", 14/24, 20/24) - N16)*24))</f>
        <v/>
      </c>
      <c r="R16" s="68" t="n">
        <v>0</v>
      </c>
      <c r="S16" s="69">
        <f>R16*7.45</f>
        <v/>
      </c>
      <c r="T16" s="69">
        <f>IF(P16&gt;0, S16/P16, 0)</f>
        <v/>
      </c>
      <c r="U16" s="69">
        <f>S16 + (Q16*T16)</f>
        <v/>
      </c>
      <c r="V16" s="70">
        <f>Q16*T16</f>
        <v/>
      </c>
      <c r="W16" s="66" t="inlineStr">
        <is>
          <t>OFF</t>
        </is>
      </c>
      <c r="X16" s="66" t="inlineStr">
        <is>
          <t>OFF</t>
        </is>
      </c>
      <c r="Y16" s="67">
        <f>IF(B16="Sun", 0, IF(B16="Sat", 6, 12))</f>
        <v/>
      </c>
      <c r="Z16" s="67">
        <f>IF(OR(X16="OFF", ISBLANK(X16)), 0, (X16 - W16)*24)</f>
        <v/>
      </c>
      <c r="AA16" s="67">
        <f>IF(OR(B16="Sun", X16="OFF", ISBLANK(X16)), 0, MAX(0, (IF(B16="Sat", 14/24, 20/24) - X16)*24))</f>
        <v/>
      </c>
      <c r="AB16" s="68" t="n">
        <v>0</v>
      </c>
      <c r="AC16" s="69">
        <f>AB16*7.45</f>
        <v/>
      </c>
      <c r="AD16" s="69">
        <f>IF(Z16&gt;0, AC16/Z16, 0)</f>
        <v/>
      </c>
      <c r="AE16" s="69">
        <f>AC16 + (AA16*AD16)</f>
        <v/>
      </c>
      <c r="AF16" s="70">
        <f>AA16*AD16</f>
        <v/>
      </c>
      <c r="AG16" s="66" t="inlineStr">
        <is>
          <t>OFF</t>
        </is>
      </c>
      <c r="AH16" s="66" t="inlineStr">
        <is>
          <t>OFF</t>
        </is>
      </c>
      <c r="AI16" s="67">
        <f>IF(B16="Sun", 0, IF(B16="Sat", 6, 12))</f>
        <v/>
      </c>
      <c r="AJ16" s="67">
        <f>IF(OR(AH16="OFF", ISBLANK(AH16)), 0, (AH16 - AG16)*24)</f>
        <v/>
      </c>
      <c r="AK16" s="67">
        <f>IF(OR(B16="Sun", AH16="OFF", ISBLANK(AH16)), 0, MAX(0, (IF(B16="Sat", 14/24, 20/24) - AH16)*24))</f>
        <v/>
      </c>
      <c r="AL16" s="68" t="n">
        <v>0</v>
      </c>
      <c r="AM16" s="69">
        <f>AL16*7.45</f>
        <v/>
      </c>
      <c r="AN16" s="69">
        <f>IF(AJ16&gt;0, AM16/AJ16, 0)</f>
        <v/>
      </c>
      <c r="AO16" s="69">
        <f>AM16 + (AK16*AN16)</f>
        <v/>
      </c>
      <c r="AP16" s="70">
        <f>AK16*AN16</f>
        <v/>
      </c>
      <c r="AQ16" s="67">
        <f>E16+O16+Y16+AI16</f>
        <v/>
      </c>
      <c r="AR16" s="67">
        <f>F16+P16+Z16+AJ16</f>
        <v/>
      </c>
      <c r="AS16" s="71">
        <f>G16+Q16+AA16+AK16</f>
        <v/>
      </c>
      <c r="AT16" s="68">
        <f>H16+R16+AB16+AL16</f>
        <v/>
      </c>
      <c r="AU16" s="69">
        <f>AT16*7.45</f>
        <v/>
      </c>
      <c r="AV16" s="70">
        <f>I16+S16+AC16+AM16</f>
        <v/>
      </c>
      <c r="AW16" s="69">
        <f>K16+U16+AE16+AO16</f>
        <v/>
      </c>
      <c r="AX16" s="70">
        <f>L16+V16+AF16+AP16</f>
        <v/>
      </c>
      <c r="AY16" s="72">
        <f>IF(AW16&gt;0, AX16/AW16, 0)</f>
        <v/>
      </c>
    </row>
    <row r="17">
      <c r="A17" s="56" t="n">
        <v>46153</v>
      </c>
      <c r="B17" s="57" t="inlineStr">
        <is>
          <t>Mon</t>
        </is>
      </c>
      <c r="C17" s="58" t="n">
        <v>0.3166666666666667</v>
      </c>
      <c r="D17" s="58" t="n">
        <v>0.7930555555555555</v>
      </c>
      <c r="E17" s="59">
        <f>IF(B17="Sun", 0, IF(B17="Sat", 6, 12))</f>
        <v/>
      </c>
      <c r="F17" s="59">
        <f>IF(OR(D17="OFF", ISBLANK(D17)), 0, (D17 - C17)*24)</f>
        <v/>
      </c>
      <c r="G17" s="59">
        <f>IF(OR(B17="Sun", D17="OFF", ISBLANK(D17)), 0, MAX(0, (IF(B17="Sat", 14/24, 20/24) - D17)*24))</f>
        <v/>
      </c>
      <c r="H17" s="60" t="n">
        <v>60</v>
      </c>
      <c r="I17" s="61">
        <f>H17*7.45</f>
        <v/>
      </c>
      <c r="J17" s="61">
        <f>IF(F17&gt;0, I17/F17, 0)</f>
        <v/>
      </c>
      <c r="K17" s="61">
        <f>I17 + (G17*J17)</f>
        <v/>
      </c>
      <c r="L17" s="62">
        <f>G17*J17</f>
        <v/>
      </c>
      <c r="M17" s="58" t="n">
        <v>0.3166666666666667</v>
      </c>
      <c r="N17" s="58" t="n">
        <v>0.7930555555555555</v>
      </c>
      <c r="O17" s="59">
        <f>IF(B17="Sun", 0, IF(B17="Sat", 6, 12))</f>
        <v/>
      </c>
      <c r="P17" s="59">
        <f>IF(OR(N17="OFF", ISBLANK(N17)), 0, (N17 - M17)*24)</f>
        <v/>
      </c>
      <c r="Q17" s="59">
        <f>IF(OR(B17="Sun", N17="OFF", ISBLANK(N17)), 0, MAX(0, (IF(B17="Sat", 14/24, 20/24) - N17)*24))</f>
        <v/>
      </c>
      <c r="R17" s="60" t="n">
        <v>59</v>
      </c>
      <c r="S17" s="61">
        <f>R17*7.45</f>
        <v/>
      </c>
      <c r="T17" s="61">
        <f>IF(P17&gt;0, S17/P17, 0)</f>
        <v/>
      </c>
      <c r="U17" s="61">
        <f>S17 + (Q17*T17)</f>
        <v/>
      </c>
      <c r="V17" s="62">
        <f>Q17*T17</f>
        <v/>
      </c>
      <c r="W17" s="58" t="n">
        <v>0.3166666666666667</v>
      </c>
      <c r="X17" s="58" t="n">
        <v>0.7930555555555555</v>
      </c>
      <c r="Y17" s="59">
        <f>IF(B17="Sun", 0, IF(B17="Sat", 6, 12))</f>
        <v/>
      </c>
      <c r="Z17" s="59">
        <f>IF(OR(X17="OFF", ISBLANK(X17)), 0, (X17 - W17)*24)</f>
        <v/>
      </c>
      <c r="AA17" s="59">
        <f>IF(OR(B17="Sun", X17="OFF", ISBLANK(X17)), 0, MAX(0, (IF(B17="Sat", 14/24, 20/24) - X17)*24))</f>
        <v/>
      </c>
      <c r="AB17" s="60" t="n">
        <v>81</v>
      </c>
      <c r="AC17" s="61">
        <f>AB17*7.45</f>
        <v/>
      </c>
      <c r="AD17" s="61">
        <f>IF(Z17&gt;0, AC17/Z17, 0)</f>
        <v/>
      </c>
      <c r="AE17" s="61">
        <f>AC17 + (AA17*AD17)</f>
        <v/>
      </c>
      <c r="AF17" s="62">
        <f>AA17*AD17</f>
        <v/>
      </c>
      <c r="AG17" s="58" t="n">
        <v>0.3166666666666667</v>
      </c>
      <c r="AH17" s="58" t="n">
        <v>0.7930555555555555</v>
      </c>
      <c r="AI17" s="59">
        <f>IF(B17="Sun", 0, IF(B17="Sat", 6, 12))</f>
        <v/>
      </c>
      <c r="AJ17" s="59">
        <f>IF(OR(AH17="OFF", ISBLANK(AH17)), 0, (AH17 - AG17)*24)</f>
        <v/>
      </c>
      <c r="AK17" s="59">
        <f>IF(OR(B17="Sun", AH17="OFF", ISBLANK(AH17)), 0, MAX(0, (IF(B17="Sat", 14/24, 20/24) - AH17)*24))</f>
        <v/>
      </c>
      <c r="AL17" s="60" t="n">
        <v>1</v>
      </c>
      <c r="AM17" s="61">
        <f>AL17*7.45</f>
        <v/>
      </c>
      <c r="AN17" s="61">
        <f>IF(AJ17&gt;0, AM17/AJ17, 0)</f>
        <v/>
      </c>
      <c r="AO17" s="61">
        <f>AM17 + (AK17*AN17)</f>
        <v/>
      </c>
      <c r="AP17" s="62">
        <f>AK17*AN17</f>
        <v/>
      </c>
      <c r="AQ17" s="59">
        <f>E17+O17+Y17+AI17</f>
        <v/>
      </c>
      <c r="AR17" s="59">
        <f>F17+P17+Z17+AJ17</f>
        <v/>
      </c>
      <c r="AS17" s="63">
        <f>G17+Q17+AA17+AK17</f>
        <v/>
      </c>
      <c r="AT17" s="60">
        <f>H17+R17+AB17+AL17</f>
        <v/>
      </c>
      <c r="AU17" s="61">
        <f>AT17*7.45</f>
        <v/>
      </c>
      <c r="AV17" s="62">
        <f>I17+S17+AC17+AM17</f>
        <v/>
      </c>
      <c r="AW17" s="61">
        <f>K17+U17+AE17+AO17</f>
        <v/>
      </c>
      <c r="AX17" s="62">
        <f>L17+V17+AF17+AP17</f>
        <v/>
      </c>
      <c r="AY17" s="64">
        <f>IF(AW17&gt;0, AX17/AW17, 0)</f>
        <v/>
      </c>
    </row>
    <row r="18">
      <c r="A18" s="65" t="n">
        <v>46154</v>
      </c>
      <c r="B18" s="66" t="inlineStr">
        <is>
          <t>Tue</t>
        </is>
      </c>
      <c r="C18" s="73" t="n">
        <v>0.325</v>
      </c>
      <c r="D18" s="73" t="n">
        <v>0.7916666666666666</v>
      </c>
      <c r="E18" s="67">
        <f>IF(B18="Sun", 0, IF(B18="Sat", 6, 12))</f>
        <v/>
      </c>
      <c r="F18" s="67">
        <f>IF(OR(D18="OFF", ISBLANK(D18)), 0, (D18 - C18)*24)</f>
        <v/>
      </c>
      <c r="G18" s="67">
        <f>IF(OR(B18="Sun", D18="OFF", ISBLANK(D18)), 0, MAX(0, (IF(B18="Sat", 14/24, 20/24) - D18)*24))</f>
        <v/>
      </c>
      <c r="H18" s="68" t="n">
        <v>58</v>
      </c>
      <c r="I18" s="69">
        <f>H18*7.45</f>
        <v/>
      </c>
      <c r="J18" s="69">
        <f>IF(F18&gt;0, I18/F18, 0)</f>
        <v/>
      </c>
      <c r="K18" s="69">
        <f>I18 + (G18*J18)</f>
        <v/>
      </c>
      <c r="L18" s="70">
        <f>G18*J18</f>
        <v/>
      </c>
      <c r="M18" s="73" t="n">
        <v>0.325</v>
      </c>
      <c r="N18" s="73" t="n">
        <v>0.7916666666666666</v>
      </c>
      <c r="O18" s="67">
        <f>IF(B18="Sun", 0, IF(B18="Sat", 6, 12))</f>
        <v/>
      </c>
      <c r="P18" s="67">
        <f>IF(OR(N18="OFF", ISBLANK(N18)), 0, (N18 - M18)*24)</f>
        <v/>
      </c>
      <c r="Q18" s="67">
        <f>IF(OR(B18="Sun", N18="OFF", ISBLANK(N18)), 0, MAX(0, (IF(B18="Sat", 14/24, 20/24) - N18)*24))</f>
        <v/>
      </c>
      <c r="R18" s="68" t="n">
        <v>57</v>
      </c>
      <c r="S18" s="69">
        <f>R18*7.45</f>
        <v/>
      </c>
      <c r="T18" s="69">
        <f>IF(P18&gt;0, S18/P18, 0)</f>
        <v/>
      </c>
      <c r="U18" s="69">
        <f>S18 + (Q18*T18)</f>
        <v/>
      </c>
      <c r="V18" s="70">
        <f>Q18*T18</f>
        <v/>
      </c>
      <c r="W18" s="73" t="n">
        <v>0.325</v>
      </c>
      <c r="X18" s="73" t="n">
        <v>0.7916666666666666</v>
      </c>
      <c r="Y18" s="67">
        <f>IF(B18="Sun", 0, IF(B18="Sat", 6, 12))</f>
        <v/>
      </c>
      <c r="Z18" s="67">
        <f>IF(OR(X18="OFF", ISBLANK(X18)), 0, (X18 - W18)*24)</f>
        <v/>
      </c>
      <c r="AA18" s="67">
        <f>IF(OR(B18="Sun", X18="OFF", ISBLANK(X18)), 0, MAX(0, (IF(B18="Sat", 14/24, 20/24) - X18)*24))</f>
        <v/>
      </c>
      <c r="AB18" s="68" t="n">
        <v>73</v>
      </c>
      <c r="AC18" s="69">
        <f>AB18*7.45</f>
        <v/>
      </c>
      <c r="AD18" s="69">
        <f>IF(Z18&gt;0, AC18/Z18, 0)</f>
        <v/>
      </c>
      <c r="AE18" s="69">
        <f>AC18 + (AA18*AD18)</f>
        <v/>
      </c>
      <c r="AF18" s="70">
        <f>AA18*AD18</f>
        <v/>
      </c>
      <c r="AG18" s="73" t="n">
        <v>0.325</v>
      </c>
      <c r="AH18" s="73" t="n">
        <v>0.7555555555555555</v>
      </c>
      <c r="AI18" s="67">
        <f>IF(B18="Sun", 0, IF(B18="Sat", 6, 12))</f>
        <v/>
      </c>
      <c r="AJ18" s="67">
        <f>IF(OR(AH18="OFF", ISBLANK(AH18)), 0, (AH18 - AG18)*24)</f>
        <v/>
      </c>
      <c r="AK18" s="67">
        <f>IF(OR(B18="Sun", AH18="OFF", ISBLANK(AH18)), 0, MAX(0, (IF(B18="Sat", 14/24, 20/24) - AH18)*24))</f>
        <v/>
      </c>
      <c r="AL18" s="68" t="n">
        <v>50</v>
      </c>
      <c r="AM18" s="69">
        <f>AL18*7.45</f>
        <v/>
      </c>
      <c r="AN18" s="69">
        <f>IF(AJ18&gt;0, AM18/AJ18, 0)</f>
        <v/>
      </c>
      <c r="AO18" s="69">
        <f>AM18 + (AK18*AN18)</f>
        <v/>
      </c>
      <c r="AP18" s="70">
        <f>AK18*AN18</f>
        <v/>
      </c>
      <c r="AQ18" s="67">
        <f>E18+O18+Y18+AI18</f>
        <v/>
      </c>
      <c r="AR18" s="67">
        <f>F18+P18+Z18+AJ18</f>
        <v/>
      </c>
      <c r="AS18" s="71">
        <f>G18+Q18+AA18+AK18</f>
        <v/>
      </c>
      <c r="AT18" s="68">
        <f>H18+R18+AB18+AL18</f>
        <v/>
      </c>
      <c r="AU18" s="69">
        <f>AT18*7.45</f>
        <v/>
      </c>
      <c r="AV18" s="70">
        <f>I18+S18+AC18+AM18</f>
        <v/>
      </c>
      <c r="AW18" s="69">
        <f>K18+U18+AE18+AO18</f>
        <v/>
      </c>
      <c r="AX18" s="70">
        <f>L18+V18+AF18+AP18</f>
        <v/>
      </c>
      <c r="AY18" s="72">
        <f>IF(AW18&gt;0, AX18/AW18, 0)</f>
        <v/>
      </c>
    </row>
    <row r="19">
      <c r="A19" s="56" t="n">
        <v>46155</v>
      </c>
      <c r="B19" s="57" t="inlineStr">
        <is>
          <t>Wed</t>
        </is>
      </c>
      <c r="C19" s="58" t="n">
        <v>0.3090277777777778</v>
      </c>
      <c r="D19" s="58" t="n">
        <v>0.7548611111111111</v>
      </c>
      <c r="E19" s="59">
        <f>IF(B19="Sun", 0, IF(B19="Sat", 6, 12))</f>
        <v/>
      </c>
      <c r="F19" s="59">
        <f>IF(OR(D19="OFF", ISBLANK(D19)), 0, (D19 - C19)*24)</f>
        <v/>
      </c>
      <c r="G19" s="59">
        <f>IF(OR(B19="Sun", D19="OFF", ISBLANK(D19)), 0, MAX(0, (IF(B19="Sat", 14/24, 20/24) - D19)*24))</f>
        <v/>
      </c>
      <c r="H19" s="60" t="n">
        <v>55</v>
      </c>
      <c r="I19" s="61">
        <f>H19*7.45</f>
        <v/>
      </c>
      <c r="J19" s="61">
        <f>IF(F19&gt;0, I19/F19, 0)</f>
        <v/>
      </c>
      <c r="K19" s="61">
        <f>I19 + (G19*J19)</f>
        <v/>
      </c>
      <c r="L19" s="62">
        <f>G19*J19</f>
        <v/>
      </c>
      <c r="M19" s="58" t="n">
        <v>0.3090277777777778</v>
      </c>
      <c r="N19" s="58" t="n">
        <v>0.7979166666666667</v>
      </c>
      <c r="O19" s="59">
        <f>IF(B19="Sun", 0, IF(B19="Sat", 6, 12))</f>
        <v/>
      </c>
      <c r="P19" s="59">
        <f>IF(OR(N19="OFF", ISBLANK(N19)), 0, (N19 - M19)*24)</f>
        <v/>
      </c>
      <c r="Q19" s="59">
        <f>IF(OR(B19="Sun", N19="OFF", ISBLANK(N19)), 0, MAX(0, (IF(B19="Sat", 14/24, 20/24) - N19)*24))</f>
        <v/>
      </c>
      <c r="R19" s="60" t="n">
        <v>59</v>
      </c>
      <c r="S19" s="61">
        <f>R19*7.45</f>
        <v/>
      </c>
      <c r="T19" s="61">
        <f>IF(P19&gt;0, S19/P19, 0)</f>
        <v/>
      </c>
      <c r="U19" s="61">
        <f>S19 + (Q19*T19)</f>
        <v/>
      </c>
      <c r="V19" s="62">
        <f>Q19*T19</f>
        <v/>
      </c>
      <c r="W19" s="58" t="n">
        <v>0.3090277777777778</v>
      </c>
      <c r="X19" s="58" t="n">
        <v>0.7979166666666667</v>
      </c>
      <c r="Y19" s="59">
        <f>IF(B19="Sun", 0, IF(B19="Sat", 6, 12))</f>
        <v/>
      </c>
      <c r="Z19" s="59">
        <f>IF(OR(X19="OFF", ISBLANK(X19)), 0, (X19 - W19)*24)</f>
        <v/>
      </c>
      <c r="AA19" s="59">
        <f>IF(OR(B19="Sun", X19="OFF", ISBLANK(X19)), 0, MAX(0, (IF(B19="Sat", 14/24, 20/24) - X19)*24))</f>
        <v/>
      </c>
      <c r="AB19" s="60" t="n">
        <v>66</v>
      </c>
      <c r="AC19" s="61">
        <f>AB19*7.45</f>
        <v/>
      </c>
      <c r="AD19" s="61">
        <f>IF(Z19&gt;0, AC19/Z19, 0)</f>
        <v/>
      </c>
      <c r="AE19" s="61">
        <f>AC19 + (AA19*AD19)</f>
        <v/>
      </c>
      <c r="AF19" s="62">
        <f>AA19*AD19</f>
        <v/>
      </c>
      <c r="AG19" s="58" t="n">
        <v>0.3090277777777778</v>
      </c>
      <c r="AH19" s="58" t="n">
        <v>0.7305555555555555</v>
      </c>
      <c r="AI19" s="59">
        <f>IF(B19="Sun", 0, IF(B19="Sat", 6, 12))</f>
        <v/>
      </c>
      <c r="AJ19" s="59">
        <f>IF(OR(AH19="OFF", ISBLANK(AH19)), 0, (AH19 - AG19)*24)</f>
        <v/>
      </c>
      <c r="AK19" s="59">
        <f>IF(OR(B19="Sun", AH19="OFF", ISBLANK(AH19)), 0, MAX(0, (IF(B19="Sat", 14/24, 20/24) - AH19)*24))</f>
        <v/>
      </c>
      <c r="AL19" s="60" t="n">
        <v>57</v>
      </c>
      <c r="AM19" s="61">
        <f>AL19*7.45</f>
        <v/>
      </c>
      <c r="AN19" s="61">
        <f>IF(AJ19&gt;0, AM19/AJ19, 0)</f>
        <v/>
      </c>
      <c r="AO19" s="61">
        <f>AM19 + (AK19*AN19)</f>
        <v/>
      </c>
      <c r="AP19" s="62">
        <f>AK19*AN19</f>
        <v/>
      </c>
      <c r="AQ19" s="59">
        <f>E19+O19+Y19+AI19</f>
        <v/>
      </c>
      <c r="AR19" s="59">
        <f>F19+P19+Z19+AJ19</f>
        <v/>
      </c>
      <c r="AS19" s="63">
        <f>G19+Q19+AA19+AK19</f>
        <v/>
      </c>
      <c r="AT19" s="60">
        <f>H19+R19+AB19+AL19</f>
        <v/>
      </c>
      <c r="AU19" s="61">
        <f>AT19*7.45</f>
        <v/>
      </c>
      <c r="AV19" s="62">
        <f>I19+S19+AC19+AM19</f>
        <v/>
      </c>
      <c r="AW19" s="61">
        <f>K19+U19+AE19+AO19</f>
        <v/>
      </c>
      <c r="AX19" s="62">
        <f>L19+V19+AF19+AP19</f>
        <v/>
      </c>
      <c r="AY19" s="64">
        <f>IF(AW19&gt;0, AX19/AW19, 0)</f>
        <v/>
      </c>
    </row>
    <row r="20">
      <c r="A20" s="65" t="n">
        <v>46156</v>
      </c>
      <c r="B20" s="66" t="inlineStr">
        <is>
          <t>Thu</t>
        </is>
      </c>
      <c r="C20" s="73" t="n">
        <v>0.3125</v>
      </c>
      <c r="D20" s="73" t="n">
        <v>0.8263888888888888</v>
      </c>
      <c r="E20" s="67">
        <f>IF(B20="Sun", 0, IF(B20="Sat", 6, 12))</f>
        <v/>
      </c>
      <c r="F20" s="67">
        <f>IF(OR(D20="OFF", ISBLANK(D20)), 0, (D20 - C20)*24)</f>
        <v/>
      </c>
      <c r="G20" s="67">
        <f>IF(OR(B20="Sun", D20="OFF", ISBLANK(D20)), 0, MAX(0, (IF(B20="Sat", 14/24, 20/24) - D20)*24))</f>
        <v/>
      </c>
      <c r="H20" s="68" t="n">
        <v>64</v>
      </c>
      <c r="I20" s="69">
        <f>H20*7.45</f>
        <v/>
      </c>
      <c r="J20" s="69">
        <f>IF(F20&gt;0, I20/F20, 0)</f>
        <v/>
      </c>
      <c r="K20" s="69">
        <f>I20 + (G20*J20)</f>
        <v/>
      </c>
      <c r="L20" s="70">
        <f>G20*J20</f>
        <v/>
      </c>
      <c r="M20" s="73" t="n">
        <v>0.3125</v>
      </c>
      <c r="N20" s="73" t="n">
        <v>0.8263888888888888</v>
      </c>
      <c r="O20" s="67">
        <f>IF(B20="Sun", 0, IF(B20="Sat", 6, 12))</f>
        <v/>
      </c>
      <c r="P20" s="67">
        <f>IF(OR(N20="OFF", ISBLANK(N20)), 0, (N20 - M20)*24)</f>
        <v/>
      </c>
      <c r="Q20" s="67">
        <f>IF(OR(B20="Sun", N20="OFF", ISBLANK(N20)), 0, MAX(0, (IF(B20="Sat", 14/24, 20/24) - N20)*24))</f>
        <v/>
      </c>
      <c r="R20" s="68" t="n">
        <v>63</v>
      </c>
      <c r="S20" s="69">
        <f>R20*7.45</f>
        <v/>
      </c>
      <c r="T20" s="69">
        <f>IF(P20&gt;0, S20/P20, 0)</f>
        <v/>
      </c>
      <c r="U20" s="69">
        <f>S20 + (Q20*T20)</f>
        <v/>
      </c>
      <c r="V20" s="70">
        <f>Q20*T20</f>
        <v/>
      </c>
      <c r="W20" s="73" t="n">
        <v>0.3125</v>
      </c>
      <c r="X20" s="73" t="n">
        <v>0.7583333333333333</v>
      </c>
      <c r="Y20" s="67">
        <f>IF(B20="Sun", 0, IF(B20="Sat", 6, 12))</f>
        <v/>
      </c>
      <c r="Z20" s="67">
        <f>IF(OR(X20="OFF", ISBLANK(X20)), 0, (X20 - W20)*24)</f>
        <v/>
      </c>
      <c r="AA20" s="67">
        <f>IF(OR(B20="Sun", X20="OFF", ISBLANK(X20)), 0, MAX(0, (IF(B20="Sat", 14/24, 20/24) - X20)*24))</f>
        <v/>
      </c>
      <c r="AB20" s="68" t="n">
        <v>61</v>
      </c>
      <c r="AC20" s="69">
        <f>AB20*7.45</f>
        <v/>
      </c>
      <c r="AD20" s="69">
        <f>IF(Z20&gt;0, AC20/Z20, 0)</f>
        <v/>
      </c>
      <c r="AE20" s="69">
        <f>AC20 + (AA20*AD20)</f>
        <v/>
      </c>
      <c r="AF20" s="70">
        <f>AA20*AD20</f>
        <v/>
      </c>
      <c r="AG20" s="73" t="n">
        <v>0.3125</v>
      </c>
      <c r="AH20" s="73" t="n">
        <v>0.7583333333333333</v>
      </c>
      <c r="AI20" s="67">
        <f>IF(B20="Sun", 0, IF(B20="Sat", 6, 12))</f>
        <v/>
      </c>
      <c r="AJ20" s="67">
        <f>IF(OR(AH20="OFF", ISBLANK(AH20)), 0, (AH20 - AG20)*24)</f>
        <v/>
      </c>
      <c r="AK20" s="67">
        <f>IF(OR(B20="Sun", AH20="OFF", ISBLANK(AH20)), 0, MAX(0, (IF(B20="Sat", 14/24, 20/24) - AH20)*24))</f>
        <v/>
      </c>
      <c r="AL20" s="68" t="n">
        <v>55</v>
      </c>
      <c r="AM20" s="69">
        <f>AL20*7.45</f>
        <v/>
      </c>
      <c r="AN20" s="69">
        <f>IF(AJ20&gt;0, AM20/AJ20, 0)</f>
        <v/>
      </c>
      <c r="AO20" s="69">
        <f>AM20 + (AK20*AN20)</f>
        <v/>
      </c>
      <c r="AP20" s="70">
        <f>AK20*AN20</f>
        <v/>
      </c>
      <c r="AQ20" s="67">
        <f>E20+O20+Y20+AI20</f>
        <v/>
      </c>
      <c r="AR20" s="67">
        <f>F20+P20+Z20+AJ20</f>
        <v/>
      </c>
      <c r="AS20" s="71">
        <f>G20+Q20+AA20+AK20</f>
        <v/>
      </c>
      <c r="AT20" s="68">
        <f>H20+R20+AB20+AL20</f>
        <v/>
      </c>
      <c r="AU20" s="69">
        <f>AT20*7.45</f>
        <v/>
      </c>
      <c r="AV20" s="70">
        <f>I20+S20+AC20+AM20</f>
        <v/>
      </c>
      <c r="AW20" s="69">
        <f>K20+U20+AE20+AO20</f>
        <v/>
      </c>
      <c r="AX20" s="70">
        <f>L20+V20+AF20+AP20</f>
        <v/>
      </c>
      <c r="AY20" s="72">
        <f>IF(AW20&gt;0, AX20/AW20, 0)</f>
        <v/>
      </c>
    </row>
    <row r="21">
      <c r="A21" s="56" t="n">
        <v>46157</v>
      </c>
      <c r="B21" s="57" t="inlineStr">
        <is>
          <t>Fri</t>
        </is>
      </c>
      <c r="C21" s="58" t="n">
        <v>0.3125</v>
      </c>
      <c r="D21" s="58" t="n">
        <v>0.7979166666666667</v>
      </c>
      <c r="E21" s="59">
        <f>IF(B21="Sun", 0, IF(B21="Sat", 6, 12))</f>
        <v/>
      </c>
      <c r="F21" s="59">
        <f>IF(OR(D21="OFF", ISBLANK(D21)), 0, (D21 - C21)*24)</f>
        <v/>
      </c>
      <c r="G21" s="59">
        <f>IF(OR(B21="Sun", D21="OFF", ISBLANK(D21)), 0, MAX(0, (IF(B21="Sat", 14/24, 20/24) - D21)*24))</f>
        <v/>
      </c>
      <c r="H21" s="60" t="n">
        <v>62</v>
      </c>
      <c r="I21" s="61">
        <f>H21*7.45</f>
        <v/>
      </c>
      <c r="J21" s="61">
        <f>IF(F21&gt;0, I21/F21, 0)</f>
        <v/>
      </c>
      <c r="K21" s="61">
        <f>I21 + (G21*J21)</f>
        <v/>
      </c>
      <c r="L21" s="62">
        <f>G21*J21</f>
        <v/>
      </c>
      <c r="M21" s="58" t="n">
        <v>0.3125</v>
      </c>
      <c r="N21" s="58" t="n">
        <v>0.8333333333333334</v>
      </c>
      <c r="O21" s="59">
        <f>IF(B21="Sun", 0, IF(B21="Sat", 6, 12))</f>
        <v/>
      </c>
      <c r="P21" s="59">
        <f>IF(OR(N21="OFF", ISBLANK(N21)), 0, (N21 - M21)*24)</f>
        <v/>
      </c>
      <c r="Q21" s="59">
        <f>IF(OR(B21="Sun", N21="OFF", ISBLANK(N21)), 0, MAX(0, (IF(B21="Sat", 14/24, 20/24) - N21)*24))</f>
        <v/>
      </c>
      <c r="R21" s="60" t="n">
        <v>66</v>
      </c>
      <c r="S21" s="61">
        <f>R21*7.45</f>
        <v/>
      </c>
      <c r="T21" s="61">
        <f>IF(P21&gt;0, S21/P21, 0)</f>
        <v/>
      </c>
      <c r="U21" s="61">
        <f>S21 + (Q21*T21)</f>
        <v/>
      </c>
      <c r="V21" s="62">
        <f>Q21*T21</f>
        <v/>
      </c>
      <c r="W21" s="58" t="n">
        <v>0.3125</v>
      </c>
      <c r="X21" s="58" t="n">
        <v>0.7979166666666667</v>
      </c>
      <c r="Y21" s="59">
        <f>IF(B21="Sun", 0, IF(B21="Sat", 6, 12))</f>
        <v/>
      </c>
      <c r="Z21" s="59">
        <f>IF(OR(X21="OFF", ISBLANK(X21)), 0, (X21 - W21)*24)</f>
        <v/>
      </c>
      <c r="AA21" s="59">
        <f>IF(OR(B21="Sun", X21="OFF", ISBLANK(X21)), 0, MAX(0, (IF(B21="Sat", 14/24, 20/24) - X21)*24))</f>
        <v/>
      </c>
      <c r="AB21" s="60" t="n">
        <v>66</v>
      </c>
      <c r="AC21" s="61">
        <f>AB21*7.45</f>
        <v/>
      </c>
      <c r="AD21" s="61">
        <f>IF(Z21&gt;0, AC21/Z21, 0)</f>
        <v/>
      </c>
      <c r="AE21" s="61">
        <f>AC21 + (AA21*AD21)</f>
        <v/>
      </c>
      <c r="AF21" s="62">
        <f>AA21*AD21</f>
        <v/>
      </c>
      <c r="AG21" s="58" t="n">
        <v>0.3125</v>
      </c>
      <c r="AH21" s="58" t="n">
        <v>0.7125</v>
      </c>
      <c r="AI21" s="59">
        <f>IF(B21="Sun", 0, IF(B21="Sat", 6, 12))</f>
        <v/>
      </c>
      <c r="AJ21" s="59">
        <f>IF(OR(AH21="OFF", ISBLANK(AH21)), 0, (AH21 - AG21)*24)</f>
        <v/>
      </c>
      <c r="AK21" s="59">
        <f>IF(OR(B21="Sun", AH21="OFF", ISBLANK(AH21)), 0, MAX(0, (IF(B21="Sat", 14/24, 20/24) - AH21)*24))</f>
        <v/>
      </c>
      <c r="AL21" s="60" t="n">
        <v>51</v>
      </c>
      <c r="AM21" s="61">
        <f>AL21*7.45</f>
        <v/>
      </c>
      <c r="AN21" s="61">
        <f>IF(AJ21&gt;0, AM21/AJ21, 0)</f>
        <v/>
      </c>
      <c r="AO21" s="61">
        <f>AM21 + (AK21*AN21)</f>
        <v/>
      </c>
      <c r="AP21" s="62">
        <f>AK21*AN21</f>
        <v/>
      </c>
      <c r="AQ21" s="59">
        <f>E21+O21+Y21+AI21</f>
        <v/>
      </c>
      <c r="AR21" s="59">
        <f>F21+P21+Z21+AJ21</f>
        <v/>
      </c>
      <c r="AS21" s="63">
        <f>G21+Q21+AA21+AK21</f>
        <v/>
      </c>
      <c r="AT21" s="60">
        <f>H21+R21+AB21+AL21</f>
        <v/>
      </c>
      <c r="AU21" s="61">
        <f>AT21*7.45</f>
        <v/>
      </c>
      <c r="AV21" s="62">
        <f>I21+S21+AC21+AM21</f>
        <v/>
      </c>
      <c r="AW21" s="61">
        <f>K21+U21+AE21+AO21</f>
        <v/>
      </c>
      <c r="AX21" s="62">
        <f>L21+V21+AF21+AP21</f>
        <v/>
      </c>
      <c r="AY21" s="64">
        <f>IF(AW21&gt;0, AX21/AW21, 0)</f>
        <v/>
      </c>
    </row>
    <row r="22">
      <c r="A22" s="65" t="n">
        <v>46158</v>
      </c>
      <c r="B22" s="66" t="inlineStr">
        <is>
          <t>Sat</t>
        </is>
      </c>
      <c r="C22" s="73" t="n">
        <v>0.3125</v>
      </c>
      <c r="D22" s="73" t="n">
        <v>0.5833333333333334</v>
      </c>
      <c r="E22" s="67">
        <f>IF(B22="Sun", 0, IF(B22="Sat", 6, 12))</f>
        <v/>
      </c>
      <c r="F22" s="67">
        <f>IF(OR(D22="OFF", ISBLANK(D22)), 0, (D22 - C22)*24)</f>
        <v/>
      </c>
      <c r="G22" s="67">
        <f>IF(OR(B22="Sun", D22="OFF", ISBLANK(D22)), 0, MAX(0, (IF(B22="Sat", 14/24, 20/24) - D22)*24))</f>
        <v/>
      </c>
      <c r="H22" s="68" t="n">
        <v>14</v>
      </c>
      <c r="I22" s="69">
        <f>H22*7.45</f>
        <v/>
      </c>
      <c r="J22" s="69">
        <f>IF(F22&gt;0, I22/F22, 0)</f>
        <v/>
      </c>
      <c r="K22" s="69">
        <f>I22 + (G22*J22)</f>
        <v/>
      </c>
      <c r="L22" s="70">
        <f>G22*J22</f>
        <v/>
      </c>
      <c r="M22" s="73" t="n">
        <v>0.3125</v>
      </c>
      <c r="N22" s="73" t="n">
        <v>0.5833333333333334</v>
      </c>
      <c r="O22" s="67">
        <f>IF(B22="Sun", 0, IF(B22="Sat", 6, 12))</f>
        <v/>
      </c>
      <c r="P22" s="67">
        <f>IF(OR(N22="OFF", ISBLANK(N22)), 0, (N22 - M22)*24)</f>
        <v/>
      </c>
      <c r="Q22" s="67">
        <f>IF(OR(B22="Sun", N22="OFF", ISBLANK(N22)), 0, MAX(0, (IF(B22="Sat", 14/24, 20/24) - N22)*24))</f>
        <v/>
      </c>
      <c r="R22" s="68" t="n">
        <v>1</v>
      </c>
      <c r="S22" s="69">
        <f>R22*7.45</f>
        <v/>
      </c>
      <c r="T22" s="69">
        <f>IF(P22&gt;0, S22/P22, 0)</f>
        <v/>
      </c>
      <c r="U22" s="69">
        <f>S22 + (Q22*T22)</f>
        <v/>
      </c>
      <c r="V22" s="70">
        <f>Q22*T22</f>
        <v/>
      </c>
      <c r="W22" s="73" t="n">
        <v>0.3125</v>
      </c>
      <c r="X22" s="73" t="n">
        <v>0.5833333333333334</v>
      </c>
      <c r="Y22" s="67">
        <f>IF(B22="Sun", 0, IF(B22="Sat", 6, 12))</f>
        <v/>
      </c>
      <c r="Z22" s="67">
        <f>IF(OR(X22="OFF", ISBLANK(X22)), 0, (X22 - W22)*24)</f>
        <v/>
      </c>
      <c r="AA22" s="67">
        <f>IF(OR(B22="Sun", X22="OFF", ISBLANK(X22)), 0, MAX(0, (IF(B22="Sat", 14/24, 20/24) - X22)*24))</f>
        <v/>
      </c>
      <c r="AB22" s="68" t="n">
        <v>1</v>
      </c>
      <c r="AC22" s="69">
        <f>AB22*7.45</f>
        <v/>
      </c>
      <c r="AD22" s="69">
        <f>IF(Z22&gt;0, AC22/Z22, 0)</f>
        <v/>
      </c>
      <c r="AE22" s="69">
        <f>AC22 + (AA22*AD22)</f>
        <v/>
      </c>
      <c r="AF22" s="70">
        <f>AA22*AD22</f>
        <v/>
      </c>
      <c r="AG22" s="73" t="n">
        <v>0.3125</v>
      </c>
      <c r="AH22" s="73" t="n">
        <v>0.5833333333333334</v>
      </c>
      <c r="AI22" s="67">
        <f>IF(B22="Sun", 0, IF(B22="Sat", 6, 12))</f>
        <v/>
      </c>
      <c r="AJ22" s="67">
        <f>IF(OR(AH22="OFF", ISBLANK(AH22)), 0, (AH22 - AG22)*24)</f>
        <v/>
      </c>
      <c r="AK22" s="67">
        <f>IF(OR(B22="Sun", AH22="OFF", ISBLANK(AH22)), 0, MAX(0, (IF(B22="Sat", 14/24, 20/24) - AH22)*24))</f>
        <v/>
      </c>
      <c r="AL22" s="68" t="n">
        <v>0</v>
      </c>
      <c r="AM22" s="69">
        <f>AL22*7.45</f>
        <v/>
      </c>
      <c r="AN22" s="69">
        <f>IF(AJ22&gt;0, AM22/AJ22, 0)</f>
        <v/>
      </c>
      <c r="AO22" s="69">
        <f>AM22 + (AK22*AN22)</f>
        <v/>
      </c>
      <c r="AP22" s="70">
        <f>AK22*AN22</f>
        <v/>
      </c>
      <c r="AQ22" s="67">
        <f>E22+O22+Y22+AI22</f>
        <v/>
      </c>
      <c r="AR22" s="67">
        <f>F22+P22+Z22+AJ22</f>
        <v/>
      </c>
      <c r="AS22" s="71">
        <f>G22+Q22+AA22+AK22</f>
        <v/>
      </c>
      <c r="AT22" s="68">
        <f>H22+R22+AB22+AL22</f>
        <v/>
      </c>
      <c r="AU22" s="69">
        <f>AT22*7.45</f>
        <v/>
      </c>
      <c r="AV22" s="70">
        <f>I22+S22+AC22+AM22</f>
        <v/>
      </c>
      <c r="AW22" s="69">
        <f>K22+U22+AE22+AO22</f>
        <v/>
      </c>
      <c r="AX22" s="70">
        <f>L22+V22+AF22+AP22</f>
        <v/>
      </c>
      <c r="AY22" s="72">
        <f>IF(AW22&gt;0, AX22/AW22, 0)</f>
        <v/>
      </c>
    </row>
    <row r="23">
      <c r="A23" s="56" t="n">
        <v>46159</v>
      </c>
      <c r="B23" s="57" t="inlineStr">
        <is>
          <t>Sun</t>
        </is>
      </c>
      <c r="C23" s="57" t="inlineStr">
        <is>
          <t>OFF</t>
        </is>
      </c>
      <c r="D23" s="57" t="inlineStr">
        <is>
          <t>OFF</t>
        </is>
      </c>
      <c r="E23" s="59">
        <f>IF(B23="Sun", 0, IF(B23="Sat", 6, 12))</f>
        <v/>
      </c>
      <c r="F23" s="59">
        <f>IF(OR(D23="OFF", ISBLANK(D23)), 0, (D23 - C23)*24)</f>
        <v/>
      </c>
      <c r="G23" s="59">
        <f>IF(OR(B23="Sun", D23="OFF", ISBLANK(D23)), 0, MAX(0, (IF(B23="Sat", 14/24, 20/24) - D23)*24))</f>
        <v/>
      </c>
      <c r="H23" s="60" t="n">
        <v>1</v>
      </c>
      <c r="I23" s="61">
        <f>H23*7.45</f>
        <v/>
      </c>
      <c r="J23" s="61">
        <f>IF(F23&gt;0, I23/F23, 0)</f>
        <v/>
      </c>
      <c r="K23" s="61">
        <f>I23 + (G23*J23)</f>
        <v/>
      </c>
      <c r="L23" s="62">
        <f>G23*J23</f>
        <v/>
      </c>
      <c r="M23" s="57" t="inlineStr">
        <is>
          <t>OFF</t>
        </is>
      </c>
      <c r="N23" s="57" t="inlineStr">
        <is>
          <t>OFF</t>
        </is>
      </c>
      <c r="O23" s="59">
        <f>IF(B23="Sun", 0, IF(B23="Sat", 6, 12))</f>
        <v/>
      </c>
      <c r="P23" s="59">
        <f>IF(OR(N23="OFF", ISBLANK(N23)), 0, (N23 - M23)*24)</f>
        <v/>
      </c>
      <c r="Q23" s="59">
        <f>IF(OR(B23="Sun", N23="OFF", ISBLANK(N23)), 0, MAX(0, (IF(B23="Sat", 14/24, 20/24) - N23)*24))</f>
        <v/>
      </c>
      <c r="R23" s="60" t="n">
        <v>1</v>
      </c>
      <c r="S23" s="61">
        <f>R23*7.45</f>
        <v/>
      </c>
      <c r="T23" s="61">
        <f>IF(P23&gt;0, S23/P23, 0)</f>
        <v/>
      </c>
      <c r="U23" s="61">
        <f>S23 + (Q23*T23)</f>
        <v/>
      </c>
      <c r="V23" s="62">
        <f>Q23*T23</f>
        <v/>
      </c>
      <c r="W23" s="57" t="inlineStr">
        <is>
          <t>OFF</t>
        </is>
      </c>
      <c r="X23" s="57" t="inlineStr">
        <is>
          <t>OFF</t>
        </is>
      </c>
      <c r="Y23" s="59">
        <f>IF(B23="Sun", 0, IF(B23="Sat", 6, 12))</f>
        <v/>
      </c>
      <c r="Z23" s="59">
        <f>IF(OR(X23="OFF", ISBLANK(X23)), 0, (X23 - W23)*24)</f>
        <v/>
      </c>
      <c r="AA23" s="59">
        <f>IF(OR(B23="Sun", X23="OFF", ISBLANK(X23)), 0, MAX(0, (IF(B23="Sat", 14/24, 20/24) - X23)*24))</f>
        <v/>
      </c>
      <c r="AB23" s="60" t="n">
        <v>0</v>
      </c>
      <c r="AC23" s="61">
        <f>AB23*7.45</f>
        <v/>
      </c>
      <c r="AD23" s="61">
        <f>IF(Z23&gt;0, AC23/Z23, 0)</f>
        <v/>
      </c>
      <c r="AE23" s="61">
        <f>AC23 + (AA23*AD23)</f>
        <v/>
      </c>
      <c r="AF23" s="62">
        <f>AA23*AD23</f>
        <v/>
      </c>
      <c r="AG23" s="57" t="inlineStr">
        <is>
          <t>OFF</t>
        </is>
      </c>
      <c r="AH23" s="57" t="inlineStr">
        <is>
          <t>OFF</t>
        </is>
      </c>
      <c r="AI23" s="59">
        <f>IF(B23="Sun", 0, IF(B23="Sat", 6, 12))</f>
        <v/>
      </c>
      <c r="AJ23" s="59">
        <f>IF(OR(AH23="OFF", ISBLANK(AH23)), 0, (AH23 - AG23)*24)</f>
        <v/>
      </c>
      <c r="AK23" s="59">
        <f>IF(OR(B23="Sun", AH23="OFF", ISBLANK(AH23)), 0, MAX(0, (IF(B23="Sat", 14/24, 20/24) - AH23)*24))</f>
        <v/>
      </c>
      <c r="AL23" s="60" t="n">
        <v>1</v>
      </c>
      <c r="AM23" s="61">
        <f>AL23*7.45</f>
        <v/>
      </c>
      <c r="AN23" s="61">
        <f>IF(AJ23&gt;0, AM23/AJ23, 0)</f>
        <v/>
      </c>
      <c r="AO23" s="61">
        <f>AM23 + (AK23*AN23)</f>
        <v/>
      </c>
      <c r="AP23" s="62">
        <f>AK23*AN23</f>
        <v/>
      </c>
      <c r="AQ23" s="59">
        <f>E23+O23+Y23+AI23</f>
        <v/>
      </c>
      <c r="AR23" s="59">
        <f>F23+P23+Z23+AJ23</f>
        <v/>
      </c>
      <c r="AS23" s="63">
        <f>G23+Q23+AA23+AK23</f>
        <v/>
      </c>
      <c r="AT23" s="60">
        <f>H23+R23+AB23+AL23</f>
        <v/>
      </c>
      <c r="AU23" s="61">
        <f>AT23*7.45</f>
        <v/>
      </c>
      <c r="AV23" s="62">
        <f>I23+S23+AC23+AM23</f>
        <v/>
      </c>
      <c r="AW23" s="61">
        <f>K23+U23+AE23+AO23</f>
        <v/>
      </c>
      <c r="AX23" s="62">
        <f>L23+V23+AF23+AP23</f>
        <v/>
      </c>
      <c r="AY23" s="64">
        <f>IF(AW23&gt;0, AX23/AW23, 0)</f>
        <v/>
      </c>
    </row>
    <row r="24">
      <c r="A24" s="65" t="n">
        <v>46160</v>
      </c>
      <c r="B24" s="66" t="inlineStr">
        <is>
          <t>Mon</t>
        </is>
      </c>
      <c r="C24" s="73" t="n">
        <v>0.2986111111111111</v>
      </c>
      <c r="D24" s="73" t="n">
        <v>0.7986111111111112</v>
      </c>
      <c r="E24" s="67">
        <f>IF(B24="Sun", 0, IF(B24="Sat", 6, 12))</f>
        <v/>
      </c>
      <c r="F24" s="67">
        <f>IF(OR(D24="OFF", ISBLANK(D24)), 0, (D24 - C24)*24)</f>
        <v/>
      </c>
      <c r="G24" s="67">
        <f>IF(OR(B24="Sun", D24="OFF", ISBLANK(D24)), 0, MAX(0, (IF(B24="Sat", 14/24, 20/24) - D24)*24))</f>
        <v/>
      </c>
      <c r="H24" s="68" t="n">
        <v>69</v>
      </c>
      <c r="I24" s="69">
        <f>H24*7.45</f>
        <v/>
      </c>
      <c r="J24" s="69">
        <f>IF(F24&gt;0, I24/F24, 0)</f>
        <v/>
      </c>
      <c r="K24" s="69">
        <f>I24 + (G24*J24)</f>
        <v/>
      </c>
      <c r="L24" s="70">
        <f>G24*J24</f>
        <v/>
      </c>
      <c r="M24" s="73" t="n">
        <v>0.2986111111111111</v>
      </c>
      <c r="N24" s="73" t="n">
        <v>0.8333333333333334</v>
      </c>
      <c r="O24" s="67">
        <f>IF(B24="Sun", 0, IF(B24="Sat", 6, 12))</f>
        <v/>
      </c>
      <c r="P24" s="67">
        <f>IF(OR(N24="OFF", ISBLANK(N24)), 0, (N24 - M24)*24)</f>
        <v/>
      </c>
      <c r="Q24" s="67">
        <f>IF(OR(B24="Sun", N24="OFF", ISBLANK(N24)), 0, MAX(0, (IF(B24="Sat", 14/24, 20/24) - N24)*24))</f>
        <v/>
      </c>
      <c r="R24" s="68" t="n">
        <v>69</v>
      </c>
      <c r="S24" s="69">
        <f>R24*7.45</f>
        <v/>
      </c>
      <c r="T24" s="69">
        <f>IF(P24&gt;0, S24/P24, 0)</f>
        <v/>
      </c>
      <c r="U24" s="69">
        <f>S24 + (Q24*T24)</f>
        <v/>
      </c>
      <c r="V24" s="70">
        <f>Q24*T24</f>
        <v/>
      </c>
      <c r="W24" s="73" t="n">
        <v>0.2986111111111111</v>
      </c>
      <c r="X24" s="73" t="n">
        <v>0.7673611111111112</v>
      </c>
      <c r="Y24" s="67">
        <f>IF(B24="Sun", 0, IF(B24="Sat", 6, 12))</f>
        <v/>
      </c>
      <c r="Z24" s="67">
        <f>IF(OR(X24="OFF", ISBLANK(X24)), 0, (X24 - W24)*24)</f>
        <v/>
      </c>
      <c r="AA24" s="67">
        <f>IF(OR(B24="Sun", X24="OFF", ISBLANK(X24)), 0, MAX(0, (IF(B24="Sat", 14/24, 20/24) - X24)*24))</f>
        <v/>
      </c>
      <c r="AB24" s="68" t="n">
        <v>65</v>
      </c>
      <c r="AC24" s="69">
        <f>AB24*7.45</f>
        <v/>
      </c>
      <c r="AD24" s="69">
        <f>IF(Z24&gt;0, AC24/Z24, 0)</f>
        <v/>
      </c>
      <c r="AE24" s="69">
        <f>AC24 + (AA24*AD24)</f>
        <v/>
      </c>
      <c r="AF24" s="70">
        <f>AA24*AD24</f>
        <v/>
      </c>
      <c r="AG24" s="73" t="n">
        <v>0.2986111111111111</v>
      </c>
      <c r="AH24" s="73" t="n">
        <v>0.7576388888888889</v>
      </c>
      <c r="AI24" s="67">
        <f>IF(B24="Sun", 0, IF(B24="Sat", 6, 12))</f>
        <v/>
      </c>
      <c r="AJ24" s="67">
        <f>IF(OR(AH24="OFF", ISBLANK(AH24)), 0, (AH24 - AG24)*24)</f>
        <v/>
      </c>
      <c r="AK24" s="67">
        <f>IF(OR(B24="Sun", AH24="OFF", ISBLANK(AH24)), 0, MAX(0, (IF(B24="Sat", 14/24, 20/24) - AH24)*24))</f>
        <v/>
      </c>
      <c r="AL24" s="68" t="n">
        <v>64</v>
      </c>
      <c r="AM24" s="69">
        <f>AL24*7.45</f>
        <v/>
      </c>
      <c r="AN24" s="69">
        <f>IF(AJ24&gt;0, AM24/AJ24, 0)</f>
        <v/>
      </c>
      <c r="AO24" s="69">
        <f>AM24 + (AK24*AN24)</f>
        <v/>
      </c>
      <c r="AP24" s="70">
        <f>AK24*AN24</f>
        <v/>
      </c>
      <c r="AQ24" s="67">
        <f>E24+O24+Y24+AI24</f>
        <v/>
      </c>
      <c r="AR24" s="67">
        <f>F24+P24+Z24+AJ24</f>
        <v/>
      </c>
      <c r="AS24" s="71">
        <f>G24+Q24+AA24+AK24</f>
        <v/>
      </c>
      <c r="AT24" s="68">
        <f>H24+R24+AB24+AL24</f>
        <v/>
      </c>
      <c r="AU24" s="69">
        <f>AT24*7.45</f>
        <v/>
      </c>
      <c r="AV24" s="70">
        <f>I24+S24+AC24+AM24</f>
        <v/>
      </c>
      <c r="AW24" s="69">
        <f>K24+U24+AE24+AO24</f>
        <v/>
      </c>
      <c r="AX24" s="70">
        <f>L24+V24+AF24+AP24</f>
        <v/>
      </c>
      <c r="AY24" s="72">
        <f>IF(AW24&gt;0, AX24/AW24, 0)</f>
        <v/>
      </c>
    </row>
    <row r="25">
      <c r="A25" s="56" t="n">
        <v>46161</v>
      </c>
      <c r="B25" s="57" t="inlineStr">
        <is>
          <t>Tue</t>
        </is>
      </c>
      <c r="C25" s="58" t="n">
        <v>0.3159722222222222</v>
      </c>
      <c r="D25" s="58" t="n">
        <v>0.7743055555555556</v>
      </c>
      <c r="E25" s="59">
        <f>IF(B25="Sun", 0, IF(B25="Sat", 6, 12))</f>
        <v/>
      </c>
      <c r="F25" s="59">
        <f>IF(OR(D25="OFF", ISBLANK(D25)), 0, (D25 - C25)*24)</f>
        <v/>
      </c>
      <c r="G25" s="59">
        <f>IF(OR(B25="Sun", D25="OFF", ISBLANK(D25)), 0, MAX(0, (IF(B25="Sat", 14/24, 20/24) - D25)*24))</f>
        <v/>
      </c>
      <c r="H25" s="60" t="n">
        <v>90</v>
      </c>
      <c r="I25" s="61">
        <f>H25*7.45</f>
        <v/>
      </c>
      <c r="J25" s="61">
        <f>IF(F25&gt;0, I25/F25, 0)</f>
        <v/>
      </c>
      <c r="K25" s="61">
        <f>I25 + (G25*J25)</f>
        <v/>
      </c>
      <c r="L25" s="62">
        <f>G25*J25</f>
        <v/>
      </c>
      <c r="M25" s="58" t="n">
        <v>0.3159722222222222</v>
      </c>
      <c r="N25" s="58" t="n">
        <v>0.8020833333333334</v>
      </c>
      <c r="O25" s="59">
        <f>IF(B25="Sun", 0, IF(B25="Sat", 6, 12))</f>
        <v/>
      </c>
      <c r="P25" s="59">
        <f>IF(OR(N25="OFF", ISBLANK(N25)), 0, (N25 - M25)*24)</f>
        <v/>
      </c>
      <c r="Q25" s="59">
        <f>IF(OR(B25="Sun", N25="OFF", ISBLANK(N25)), 0, MAX(0, (IF(B25="Sat", 14/24, 20/24) - N25)*24))</f>
        <v/>
      </c>
      <c r="R25" s="60" t="n">
        <v>65</v>
      </c>
      <c r="S25" s="61">
        <f>R25*7.45</f>
        <v/>
      </c>
      <c r="T25" s="61">
        <f>IF(P25&gt;0, S25/P25, 0)</f>
        <v/>
      </c>
      <c r="U25" s="61">
        <f>S25 + (Q25*T25)</f>
        <v/>
      </c>
      <c r="V25" s="62">
        <f>Q25*T25</f>
        <v/>
      </c>
      <c r="W25" s="58" t="n">
        <v>0.3159722222222222</v>
      </c>
      <c r="X25" s="58" t="n">
        <v>0.7361111111111112</v>
      </c>
      <c r="Y25" s="59">
        <f>IF(B25="Sun", 0, IF(B25="Sat", 6, 12))</f>
        <v/>
      </c>
      <c r="Z25" s="59">
        <f>IF(OR(X25="OFF", ISBLANK(X25)), 0, (X25 - W25)*24)</f>
        <v/>
      </c>
      <c r="AA25" s="59">
        <f>IF(OR(B25="Sun", X25="OFF", ISBLANK(X25)), 0, MAX(0, (IF(B25="Sat", 14/24, 20/24) - X25)*24))</f>
        <v/>
      </c>
      <c r="AB25" s="60" t="n">
        <v>58</v>
      </c>
      <c r="AC25" s="61">
        <f>AB25*7.45</f>
        <v/>
      </c>
      <c r="AD25" s="61">
        <f>IF(Z25&gt;0, AC25/Z25, 0)</f>
        <v/>
      </c>
      <c r="AE25" s="61">
        <f>AC25 + (AA25*AD25)</f>
        <v/>
      </c>
      <c r="AF25" s="62">
        <f>AA25*AD25</f>
        <v/>
      </c>
      <c r="AG25" s="58" t="n">
        <v>0.3159722222222222</v>
      </c>
      <c r="AH25" s="58" t="n">
        <v>0.7145833333333333</v>
      </c>
      <c r="AI25" s="59">
        <f>IF(B25="Sun", 0, IF(B25="Sat", 6, 12))</f>
        <v/>
      </c>
      <c r="AJ25" s="59">
        <f>IF(OR(AH25="OFF", ISBLANK(AH25)), 0, (AH25 - AG25)*24)</f>
        <v/>
      </c>
      <c r="AK25" s="59">
        <f>IF(OR(B25="Sun", AH25="OFF", ISBLANK(AH25)), 0, MAX(0, (IF(B25="Sat", 14/24, 20/24) - AH25)*24))</f>
        <v/>
      </c>
      <c r="AL25" s="60" t="n">
        <v>50</v>
      </c>
      <c r="AM25" s="61">
        <f>AL25*7.45</f>
        <v/>
      </c>
      <c r="AN25" s="61">
        <f>IF(AJ25&gt;0, AM25/AJ25, 0)</f>
        <v/>
      </c>
      <c r="AO25" s="61">
        <f>AM25 + (AK25*AN25)</f>
        <v/>
      </c>
      <c r="AP25" s="62">
        <f>AK25*AN25</f>
        <v/>
      </c>
      <c r="AQ25" s="59">
        <f>E25+O25+Y25+AI25</f>
        <v/>
      </c>
      <c r="AR25" s="59">
        <f>F25+P25+Z25+AJ25</f>
        <v/>
      </c>
      <c r="AS25" s="63">
        <f>G25+Q25+AA25+AK25</f>
        <v/>
      </c>
      <c r="AT25" s="60">
        <f>H25+R25+AB25+AL25</f>
        <v/>
      </c>
      <c r="AU25" s="61">
        <f>AT25*7.45</f>
        <v/>
      </c>
      <c r="AV25" s="62">
        <f>I25+S25+AC25+AM25</f>
        <v/>
      </c>
      <c r="AW25" s="61">
        <f>K25+U25+AE25+AO25</f>
        <v/>
      </c>
      <c r="AX25" s="62">
        <f>L25+V25+AF25+AP25</f>
        <v/>
      </c>
      <c r="AY25" s="64">
        <f>IF(AW25&gt;0, AX25/AW25, 0)</f>
        <v/>
      </c>
    </row>
    <row r="26">
      <c r="A26" s="65" t="n">
        <v>46162</v>
      </c>
      <c r="B26" s="66" t="inlineStr">
        <is>
          <t>Wed</t>
        </is>
      </c>
      <c r="C26" s="73" t="n">
        <v>0.3180555555555555</v>
      </c>
      <c r="D26" s="73" t="n">
        <v>0.7951388888888888</v>
      </c>
      <c r="E26" s="67">
        <f>IF(B26="Sun", 0, IF(B26="Sat", 6, 12))</f>
        <v/>
      </c>
      <c r="F26" s="67">
        <f>IF(OR(D26="OFF", ISBLANK(D26)), 0, (D26 - C26)*24)</f>
        <v/>
      </c>
      <c r="G26" s="67">
        <f>IF(OR(B26="Sun", D26="OFF", ISBLANK(D26)), 0, MAX(0, (IF(B26="Sat", 14/24, 20/24) - D26)*24))</f>
        <v/>
      </c>
      <c r="H26" s="68" t="n">
        <v>81</v>
      </c>
      <c r="I26" s="69">
        <f>H26*7.45</f>
        <v/>
      </c>
      <c r="J26" s="69">
        <f>IF(F26&gt;0, I26/F26, 0)</f>
        <v/>
      </c>
      <c r="K26" s="69">
        <f>I26 + (G26*J26)</f>
        <v/>
      </c>
      <c r="L26" s="70">
        <f>G26*J26</f>
        <v/>
      </c>
      <c r="M26" s="73" t="n">
        <v>0.3180555555555555</v>
      </c>
      <c r="N26" s="73" t="n">
        <v>0.7951388888888888</v>
      </c>
      <c r="O26" s="67">
        <f>IF(B26="Sun", 0, IF(B26="Sat", 6, 12))</f>
        <v/>
      </c>
      <c r="P26" s="67">
        <f>IF(OR(N26="OFF", ISBLANK(N26)), 0, (N26 - M26)*24)</f>
        <v/>
      </c>
      <c r="Q26" s="67">
        <f>IF(OR(B26="Sun", N26="OFF", ISBLANK(N26)), 0, MAX(0, (IF(B26="Sat", 14/24, 20/24) - N26)*24))</f>
        <v/>
      </c>
      <c r="R26" s="68" t="n">
        <v>62</v>
      </c>
      <c r="S26" s="69">
        <f>R26*7.45</f>
        <v/>
      </c>
      <c r="T26" s="69">
        <f>IF(P26&gt;0, S26/P26, 0)</f>
        <v/>
      </c>
      <c r="U26" s="69">
        <f>S26 + (Q26*T26)</f>
        <v/>
      </c>
      <c r="V26" s="70">
        <f>Q26*T26</f>
        <v/>
      </c>
      <c r="W26" s="73" t="n">
        <v>0.3180555555555555</v>
      </c>
      <c r="X26" s="73" t="n">
        <v>0.7673611111111112</v>
      </c>
      <c r="Y26" s="67">
        <f>IF(B26="Sun", 0, IF(B26="Sat", 6, 12))</f>
        <v/>
      </c>
      <c r="Z26" s="67">
        <f>IF(OR(X26="OFF", ISBLANK(X26)), 0, (X26 - W26)*24)</f>
        <v/>
      </c>
      <c r="AA26" s="67">
        <f>IF(OR(B26="Sun", X26="OFF", ISBLANK(X26)), 0, MAX(0, (IF(B26="Sat", 14/24, 20/24) - X26)*24))</f>
        <v/>
      </c>
      <c r="AB26" s="68" t="n">
        <v>61</v>
      </c>
      <c r="AC26" s="69">
        <f>AB26*7.45</f>
        <v/>
      </c>
      <c r="AD26" s="69">
        <f>IF(Z26&gt;0, AC26/Z26, 0)</f>
        <v/>
      </c>
      <c r="AE26" s="69">
        <f>AC26 + (AA26*AD26)</f>
        <v/>
      </c>
      <c r="AF26" s="70">
        <f>AA26*AD26</f>
        <v/>
      </c>
      <c r="AG26" s="73" t="n">
        <v>0.3180555555555555</v>
      </c>
      <c r="AH26" s="73" t="n">
        <v>0.7673611111111112</v>
      </c>
      <c r="AI26" s="67">
        <f>IF(B26="Sun", 0, IF(B26="Sat", 6, 12))</f>
        <v/>
      </c>
      <c r="AJ26" s="67">
        <f>IF(OR(AH26="OFF", ISBLANK(AH26)), 0, (AH26 - AG26)*24)</f>
        <v/>
      </c>
      <c r="AK26" s="67">
        <f>IF(OR(B26="Sun", AH26="OFF", ISBLANK(AH26)), 0, MAX(0, (IF(B26="Sat", 14/24, 20/24) - AH26)*24))</f>
        <v/>
      </c>
      <c r="AL26" s="68" t="n">
        <v>63</v>
      </c>
      <c r="AM26" s="69">
        <f>AL26*7.45</f>
        <v/>
      </c>
      <c r="AN26" s="69">
        <f>IF(AJ26&gt;0, AM26/AJ26, 0)</f>
        <v/>
      </c>
      <c r="AO26" s="69">
        <f>AM26 + (AK26*AN26)</f>
        <v/>
      </c>
      <c r="AP26" s="70">
        <f>AK26*AN26</f>
        <v/>
      </c>
      <c r="AQ26" s="67">
        <f>E26+O26+Y26+AI26</f>
        <v/>
      </c>
      <c r="AR26" s="67">
        <f>F26+P26+Z26+AJ26</f>
        <v/>
      </c>
      <c r="AS26" s="71">
        <f>G26+Q26+AA26+AK26</f>
        <v/>
      </c>
      <c r="AT26" s="68">
        <f>H26+R26+AB26+AL26</f>
        <v/>
      </c>
      <c r="AU26" s="69">
        <f>AT26*7.45</f>
        <v/>
      </c>
      <c r="AV26" s="70">
        <f>I26+S26+AC26+AM26</f>
        <v/>
      </c>
      <c r="AW26" s="69">
        <f>K26+U26+AE26+AO26</f>
        <v/>
      </c>
      <c r="AX26" s="70">
        <f>L26+V26+AF26+AP26</f>
        <v/>
      </c>
      <c r="AY26" s="72">
        <f>IF(AW26&gt;0, AX26/AW26, 0)</f>
        <v/>
      </c>
    </row>
    <row r="27">
      <c r="A27" s="56" t="n">
        <v>46163</v>
      </c>
      <c r="B27" s="57" t="inlineStr">
        <is>
          <t>Thu</t>
        </is>
      </c>
      <c r="C27" s="58" t="n">
        <v>0.3159722222222222</v>
      </c>
      <c r="D27" s="58" t="n">
        <v>0.78125</v>
      </c>
      <c r="E27" s="59">
        <f>IF(B27="Sun", 0, IF(B27="Sat", 6, 12))</f>
        <v/>
      </c>
      <c r="F27" s="59">
        <f>IF(OR(D27="OFF", ISBLANK(D27)), 0, (D27 - C27)*24)</f>
        <v/>
      </c>
      <c r="G27" s="59">
        <f>IF(OR(B27="Sun", D27="OFF", ISBLANK(D27)), 0, MAX(0, (IF(B27="Sat", 14/24, 20/24) - D27)*24))</f>
        <v/>
      </c>
      <c r="H27" s="60" t="n">
        <v>81</v>
      </c>
      <c r="I27" s="61">
        <f>H27*7.45</f>
        <v/>
      </c>
      <c r="J27" s="61">
        <f>IF(F27&gt;0, I27/F27, 0)</f>
        <v/>
      </c>
      <c r="K27" s="61">
        <f>I27 + (G27*J27)</f>
        <v/>
      </c>
      <c r="L27" s="62">
        <f>G27*J27</f>
        <v/>
      </c>
      <c r="M27" s="58" t="n">
        <v>0.3159722222222222</v>
      </c>
      <c r="N27" s="58" t="n">
        <v>0.7930555555555555</v>
      </c>
      <c r="O27" s="59">
        <f>IF(B27="Sun", 0, IF(B27="Sat", 6, 12))</f>
        <v/>
      </c>
      <c r="P27" s="59">
        <f>IF(OR(N27="OFF", ISBLANK(N27)), 0, (N27 - M27)*24)</f>
        <v/>
      </c>
      <c r="Q27" s="59">
        <f>IF(OR(B27="Sun", N27="OFF", ISBLANK(N27)), 0, MAX(0, (IF(B27="Sat", 14/24, 20/24) - N27)*24))</f>
        <v/>
      </c>
      <c r="R27" s="60" t="n">
        <v>62</v>
      </c>
      <c r="S27" s="61">
        <f>R27*7.45</f>
        <v/>
      </c>
      <c r="T27" s="61">
        <f>IF(P27&gt;0, S27/P27, 0)</f>
        <v/>
      </c>
      <c r="U27" s="61">
        <f>S27 + (Q27*T27)</f>
        <v/>
      </c>
      <c r="V27" s="62">
        <f>Q27*T27</f>
        <v/>
      </c>
      <c r="W27" s="58" t="n">
        <v>0.3159722222222222</v>
      </c>
      <c r="X27" s="58" t="n">
        <v>0.725</v>
      </c>
      <c r="Y27" s="59">
        <f>IF(B27="Sun", 0, IF(B27="Sat", 6, 12))</f>
        <v/>
      </c>
      <c r="Z27" s="59">
        <f>IF(OR(X27="OFF", ISBLANK(X27)), 0, (X27 - W27)*24)</f>
        <v/>
      </c>
      <c r="AA27" s="59">
        <f>IF(OR(B27="Sun", X27="OFF", ISBLANK(X27)), 0, MAX(0, (IF(B27="Sat", 14/24, 20/24) - X27)*24))</f>
        <v/>
      </c>
      <c r="AB27" s="60" t="n">
        <v>58</v>
      </c>
      <c r="AC27" s="61">
        <f>AB27*7.45</f>
        <v/>
      </c>
      <c r="AD27" s="61">
        <f>IF(Z27&gt;0, AC27/Z27, 0)</f>
        <v/>
      </c>
      <c r="AE27" s="61">
        <f>AC27 + (AA27*AD27)</f>
        <v/>
      </c>
      <c r="AF27" s="62">
        <f>AA27*AD27</f>
        <v/>
      </c>
      <c r="AG27" s="58" t="n">
        <v>0.3159722222222222</v>
      </c>
      <c r="AH27" s="58" t="n">
        <v>0.725</v>
      </c>
      <c r="AI27" s="59">
        <f>IF(B27="Sun", 0, IF(B27="Sat", 6, 12))</f>
        <v/>
      </c>
      <c r="AJ27" s="59">
        <f>IF(OR(AH27="OFF", ISBLANK(AH27)), 0, (AH27 - AG27)*24)</f>
        <v/>
      </c>
      <c r="AK27" s="59">
        <f>IF(OR(B27="Sun", AH27="OFF", ISBLANK(AH27)), 0, MAX(0, (IF(B27="Sat", 14/24, 20/24) - AH27)*24))</f>
        <v/>
      </c>
      <c r="AL27" s="60" t="n">
        <v>59</v>
      </c>
      <c r="AM27" s="61">
        <f>AL27*7.45</f>
        <v/>
      </c>
      <c r="AN27" s="61">
        <f>IF(AJ27&gt;0, AM27/AJ27, 0)</f>
        <v/>
      </c>
      <c r="AO27" s="61">
        <f>AM27 + (AK27*AN27)</f>
        <v/>
      </c>
      <c r="AP27" s="62">
        <f>AK27*AN27</f>
        <v/>
      </c>
      <c r="AQ27" s="59">
        <f>E27+O27+Y27+AI27</f>
        <v/>
      </c>
      <c r="AR27" s="59">
        <f>F27+P27+Z27+AJ27</f>
        <v/>
      </c>
      <c r="AS27" s="63">
        <f>G27+Q27+AA27+AK27</f>
        <v/>
      </c>
      <c r="AT27" s="60">
        <f>H27+R27+AB27+AL27</f>
        <v/>
      </c>
      <c r="AU27" s="61">
        <f>AT27*7.45</f>
        <v/>
      </c>
      <c r="AV27" s="62">
        <f>I27+S27+AC27+AM27</f>
        <v/>
      </c>
      <c r="AW27" s="61">
        <f>K27+U27+AE27+AO27</f>
        <v/>
      </c>
      <c r="AX27" s="62">
        <f>L27+V27+AF27+AP27</f>
        <v/>
      </c>
      <c r="AY27" s="64">
        <f>IF(AW27&gt;0, AX27/AW27, 0)</f>
        <v/>
      </c>
    </row>
    <row r="28">
      <c r="A28" s="65" t="n">
        <v>46164</v>
      </c>
      <c r="B28" s="66" t="inlineStr">
        <is>
          <t>Fri</t>
        </is>
      </c>
      <c r="C28" s="73" t="n">
        <v>0.3159722222222222</v>
      </c>
      <c r="D28" s="73" t="n">
        <v>0.7951388888888888</v>
      </c>
      <c r="E28" s="67">
        <f>IF(B28="Sun", 0, IF(B28="Sat", 6, 12))</f>
        <v/>
      </c>
      <c r="F28" s="67">
        <f>IF(OR(D28="OFF", ISBLANK(D28)), 0, (D28 - C28)*24)</f>
        <v/>
      </c>
      <c r="G28" s="67">
        <f>IF(OR(B28="Sun", D28="OFF", ISBLANK(D28)), 0, MAX(0, (IF(B28="Sat", 14/24, 20/24) - D28)*24))</f>
        <v/>
      </c>
      <c r="H28" s="68" t="n">
        <v>85</v>
      </c>
      <c r="I28" s="69">
        <f>H28*7.45</f>
        <v/>
      </c>
      <c r="J28" s="69">
        <f>IF(F28&gt;0, I28/F28, 0)</f>
        <v/>
      </c>
      <c r="K28" s="69">
        <f>I28 + (G28*J28)</f>
        <v/>
      </c>
      <c r="L28" s="70">
        <f>G28*J28</f>
        <v/>
      </c>
      <c r="M28" s="73" t="n">
        <v>0.3159722222222222</v>
      </c>
      <c r="N28" s="73" t="n">
        <v>0.7951388888888888</v>
      </c>
      <c r="O28" s="67">
        <f>IF(B28="Sun", 0, IF(B28="Sat", 6, 12))</f>
        <v/>
      </c>
      <c r="P28" s="67">
        <f>IF(OR(N28="OFF", ISBLANK(N28)), 0, (N28 - M28)*24)</f>
        <v/>
      </c>
      <c r="Q28" s="67">
        <f>IF(OR(B28="Sun", N28="OFF", ISBLANK(N28)), 0, MAX(0, (IF(B28="Sat", 14/24, 20/24) - N28)*24))</f>
        <v/>
      </c>
      <c r="R28" s="68" t="n">
        <v>61</v>
      </c>
      <c r="S28" s="69">
        <f>R28*7.45</f>
        <v/>
      </c>
      <c r="T28" s="69">
        <f>IF(P28&gt;0, S28/P28, 0)</f>
        <v/>
      </c>
      <c r="U28" s="69">
        <f>S28 + (Q28*T28)</f>
        <v/>
      </c>
      <c r="V28" s="70">
        <f>Q28*T28</f>
        <v/>
      </c>
      <c r="W28" s="73" t="n">
        <v>0.3159722222222222</v>
      </c>
      <c r="X28" s="73" t="n">
        <v>0.7951388888888888</v>
      </c>
      <c r="Y28" s="67">
        <f>IF(B28="Sun", 0, IF(B28="Sat", 6, 12))</f>
        <v/>
      </c>
      <c r="Z28" s="67">
        <f>IF(OR(X28="OFF", ISBLANK(X28)), 0, (X28 - W28)*24)</f>
        <v/>
      </c>
      <c r="AA28" s="67">
        <f>IF(OR(B28="Sun", X28="OFF", ISBLANK(X28)), 0, MAX(0, (IF(B28="Sat", 14/24, 20/24) - X28)*24))</f>
        <v/>
      </c>
      <c r="AB28" s="68" t="n">
        <v>66</v>
      </c>
      <c r="AC28" s="69">
        <f>AB28*7.45</f>
        <v/>
      </c>
      <c r="AD28" s="69">
        <f>IF(Z28&gt;0, AC28/Z28, 0)</f>
        <v/>
      </c>
      <c r="AE28" s="69">
        <f>AC28 + (AA28*AD28)</f>
        <v/>
      </c>
      <c r="AF28" s="70">
        <f>AA28*AD28</f>
        <v/>
      </c>
      <c r="AG28" s="73" t="n">
        <v>0.3159722222222222</v>
      </c>
      <c r="AH28" s="73" t="n">
        <v>0.7951388888888888</v>
      </c>
      <c r="AI28" s="67">
        <f>IF(B28="Sun", 0, IF(B28="Sat", 6, 12))</f>
        <v/>
      </c>
      <c r="AJ28" s="67">
        <f>IF(OR(AH28="OFF", ISBLANK(AH28)), 0, (AH28 - AG28)*24)</f>
        <v/>
      </c>
      <c r="AK28" s="67">
        <f>IF(OR(B28="Sun", AH28="OFF", ISBLANK(AH28)), 0, MAX(0, (IF(B28="Sat", 14/24, 20/24) - AH28)*24))</f>
        <v/>
      </c>
      <c r="AL28" s="68" t="n">
        <v>67</v>
      </c>
      <c r="AM28" s="69">
        <f>AL28*7.45</f>
        <v/>
      </c>
      <c r="AN28" s="69">
        <f>IF(AJ28&gt;0, AM28/AJ28, 0)</f>
        <v/>
      </c>
      <c r="AO28" s="69">
        <f>AM28 + (AK28*AN28)</f>
        <v/>
      </c>
      <c r="AP28" s="70">
        <f>AK28*AN28</f>
        <v/>
      </c>
      <c r="AQ28" s="67">
        <f>E28+O28+Y28+AI28</f>
        <v/>
      </c>
      <c r="AR28" s="67">
        <f>F28+P28+Z28+AJ28</f>
        <v/>
      </c>
      <c r="AS28" s="71">
        <f>G28+Q28+AA28+AK28</f>
        <v/>
      </c>
      <c r="AT28" s="68">
        <f>H28+R28+AB28+AL28</f>
        <v/>
      </c>
      <c r="AU28" s="69">
        <f>AT28*7.45</f>
        <v/>
      </c>
      <c r="AV28" s="70">
        <f>I28+S28+AC28+AM28</f>
        <v/>
      </c>
      <c r="AW28" s="69">
        <f>K28+U28+AE28+AO28</f>
        <v/>
      </c>
      <c r="AX28" s="70">
        <f>L28+V28+AF28+AP28</f>
        <v/>
      </c>
      <c r="AY28" s="72">
        <f>IF(AW28&gt;0, AX28/AW28, 0)</f>
        <v/>
      </c>
    </row>
    <row r="29">
      <c r="A29" s="56" t="n">
        <v>46165</v>
      </c>
      <c r="B29" s="57" t="inlineStr">
        <is>
          <t>Sat</t>
        </is>
      </c>
      <c r="C29" s="57" t="inlineStr">
        <is>
          <t>OFF</t>
        </is>
      </c>
      <c r="D29" s="57" t="inlineStr">
        <is>
          <t>OFF</t>
        </is>
      </c>
      <c r="E29" s="59">
        <f>IF(B29="Sun", 0, IF(B29="Sat", 6, 12))</f>
        <v/>
      </c>
      <c r="F29" s="59">
        <f>IF(OR(D29="OFF", ISBLANK(D29)), 0, (D29 - C29)*24)</f>
        <v/>
      </c>
      <c r="G29" s="59">
        <f>IF(OR(B29="Sun", D29="OFF", ISBLANK(D29)), 0, MAX(0, (IF(B29="Sat", 14/24, 20/24) - D29)*24))</f>
        <v/>
      </c>
      <c r="H29" s="60" t="n">
        <v>22</v>
      </c>
      <c r="I29" s="61">
        <f>H29*7.45</f>
        <v/>
      </c>
      <c r="J29" s="61">
        <f>IF(F29&gt;0, I29/F29, 0)</f>
        <v/>
      </c>
      <c r="K29" s="61">
        <f>I29 + (G29*J29)</f>
        <v/>
      </c>
      <c r="L29" s="62">
        <f>G29*J29</f>
        <v/>
      </c>
      <c r="M29" s="57" t="inlineStr">
        <is>
          <t>OFF</t>
        </is>
      </c>
      <c r="N29" s="57" t="inlineStr">
        <is>
          <t>OFF</t>
        </is>
      </c>
      <c r="O29" s="59">
        <f>IF(B29="Sun", 0, IF(B29="Sat", 6, 12))</f>
        <v/>
      </c>
      <c r="P29" s="59">
        <f>IF(OR(N29="OFF", ISBLANK(N29)), 0, (N29 - M29)*24)</f>
        <v/>
      </c>
      <c r="Q29" s="59">
        <f>IF(OR(B29="Sun", N29="OFF", ISBLANK(N29)), 0, MAX(0, (IF(B29="Sat", 14/24, 20/24) - N29)*24))</f>
        <v/>
      </c>
      <c r="R29" s="60" t="n">
        <v>0</v>
      </c>
      <c r="S29" s="61">
        <f>R29*7.45</f>
        <v/>
      </c>
      <c r="T29" s="61">
        <f>IF(P29&gt;0, S29/P29, 0)</f>
        <v/>
      </c>
      <c r="U29" s="61">
        <f>S29 + (Q29*T29)</f>
        <v/>
      </c>
      <c r="V29" s="62">
        <f>Q29*T29</f>
        <v/>
      </c>
      <c r="W29" s="58" t="n">
        <v>0.4319444444444445</v>
      </c>
      <c r="X29" s="58" t="n">
        <v>0.5840277777777778</v>
      </c>
      <c r="Y29" s="59">
        <f>IF(B29="Sun", 0, IF(B29="Sat", 6, 12))</f>
        <v/>
      </c>
      <c r="Z29" s="59">
        <f>IF(OR(X29="OFF", ISBLANK(X29)), 0, (X29 - W29)*24)</f>
        <v/>
      </c>
      <c r="AA29" s="59">
        <f>IF(OR(B29="Sun", X29="OFF", ISBLANK(X29)), 0, MAX(0, (IF(B29="Sat", 14/24, 20/24) - X29)*24))</f>
        <v/>
      </c>
      <c r="AB29" s="60" t="n">
        <v>21</v>
      </c>
      <c r="AC29" s="61">
        <f>AB29*7.45</f>
        <v/>
      </c>
      <c r="AD29" s="61">
        <f>IF(Z29&gt;0, AC29/Z29, 0)</f>
        <v/>
      </c>
      <c r="AE29" s="61">
        <f>AC29 + (AA29*AD29)</f>
        <v/>
      </c>
      <c r="AF29" s="62">
        <f>AA29*AD29</f>
        <v/>
      </c>
      <c r="AG29" s="57" t="inlineStr">
        <is>
          <t>OFF</t>
        </is>
      </c>
      <c r="AH29" s="57" t="inlineStr">
        <is>
          <t>OFF</t>
        </is>
      </c>
      <c r="AI29" s="59">
        <f>IF(B29="Sun", 0, IF(B29="Sat", 6, 12))</f>
        <v/>
      </c>
      <c r="AJ29" s="59">
        <f>IF(OR(AH29="OFF", ISBLANK(AH29)), 0, (AH29 - AG29)*24)</f>
        <v/>
      </c>
      <c r="AK29" s="59">
        <f>IF(OR(B29="Sun", AH29="OFF", ISBLANK(AH29)), 0, MAX(0, (IF(B29="Sat", 14/24, 20/24) - AH29)*24))</f>
        <v/>
      </c>
      <c r="AL29" s="60" t="n">
        <v>2</v>
      </c>
      <c r="AM29" s="61">
        <f>AL29*7.45</f>
        <v/>
      </c>
      <c r="AN29" s="61">
        <f>IF(AJ29&gt;0, AM29/AJ29, 0)</f>
        <v/>
      </c>
      <c r="AO29" s="61">
        <f>AM29 + (AK29*AN29)</f>
        <v/>
      </c>
      <c r="AP29" s="62">
        <f>AK29*AN29</f>
        <v/>
      </c>
      <c r="AQ29" s="59">
        <f>E29+O29+Y29+AI29</f>
        <v/>
      </c>
      <c r="AR29" s="59">
        <f>F29+P29+Z29+AJ29</f>
        <v/>
      </c>
      <c r="AS29" s="63">
        <f>G29+Q29+AA29+AK29</f>
        <v/>
      </c>
      <c r="AT29" s="60">
        <f>H29+R29+AB29+AL29</f>
        <v/>
      </c>
      <c r="AU29" s="61">
        <f>AT29*7.45</f>
        <v/>
      </c>
      <c r="AV29" s="62">
        <f>I29+S29+AC29+AM29</f>
        <v/>
      </c>
      <c r="AW29" s="61">
        <f>K29+U29+AE29+AO29</f>
        <v/>
      </c>
      <c r="AX29" s="62">
        <f>L29+V29+AF29+AP29</f>
        <v/>
      </c>
      <c r="AY29" s="64">
        <f>IF(AW29&gt;0, AX29/AW29, 0)</f>
        <v/>
      </c>
    </row>
    <row r="30">
      <c r="A30" s="65" t="n">
        <v>46166</v>
      </c>
      <c r="B30" s="66" t="inlineStr">
        <is>
          <t>Sun</t>
        </is>
      </c>
      <c r="C30" s="66" t="inlineStr">
        <is>
          <t>OFF</t>
        </is>
      </c>
      <c r="D30" s="66" t="inlineStr">
        <is>
          <t>OFF</t>
        </is>
      </c>
      <c r="E30" s="67">
        <f>IF(B30="Sun", 0, IF(B30="Sat", 6, 12))</f>
        <v/>
      </c>
      <c r="F30" s="67">
        <f>IF(OR(D30="OFF", ISBLANK(D30)), 0, (D30 - C30)*24)</f>
        <v/>
      </c>
      <c r="G30" s="67">
        <f>IF(OR(B30="Sun", D30="OFF", ISBLANK(D30)), 0, MAX(0, (IF(B30="Sat", 14/24, 20/24) - D30)*24))</f>
        <v/>
      </c>
      <c r="H30" s="68" t="n">
        <v>0</v>
      </c>
      <c r="I30" s="69">
        <f>H30*7.45</f>
        <v/>
      </c>
      <c r="J30" s="69">
        <f>IF(F30&gt;0, I30/F30, 0)</f>
        <v/>
      </c>
      <c r="K30" s="69">
        <f>I30 + (G30*J30)</f>
        <v/>
      </c>
      <c r="L30" s="70">
        <f>G30*J30</f>
        <v/>
      </c>
      <c r="M30" s="66" t="inlineStr">
        <is>
          <t>OFF</t>
        </is>
      </c>
      <c r="N30" s="66" t="inlineStr">
        <is>
          <t>OFF</t>
        </is>
      </c>
      <c r="O30" s="67">
        <f>IF(B30="Sun", 0, IF(B30="Sat", 6, 12))</f>
        <v/>
      </c>
      <c r="P30" s="67">
        <f>IF(OR(N30="OFF", ISBLANK(N30)), 0, (N30 - M30)*24)</f>
        <v/>
      </c>
      <c r="Q30" s="67">
        <f>IF(OR(B30="Sun", N30="OFF", ISBLANK(N30)), 0, MAX(0, (IF(B30="Sat", 14/24, 20/24) - N30)*24))</f>
        <v/>
      </c>
      <c r="R30" s="68" t="n">
        <v>0</v>
      </c>
      <c r="S30" s="69">
        <f>R30*7.45</f>
        <v/>
      </c>
      <c r="T30" s="69">
        <f>IF(P30&gt;0, S30/P30, 0)</f>
        <v/>
      </c>
      <c r="U30" s="69">
        <f>S30 + (Q30*T30)</f>
        <v/>
      </c>
      <c r="V30" s="70">
        <f>Q30*T30</f>
        <v/>
      </c>
      <c r="W30" s="66" t="inlineStr">
        <is>
          <t>OFF</t>
        </is>
      </c>
      <c r="X30" s="66" t="inlineStr">
        <is>
          <t>OFF</t>
        </is>
      </c>
      <c r="Y30" s="67">
        <f>IF(B30="Sun", 0, IF(B30="Sat", 6, 12))</f>
        <v/>
      </c>
      <c r="Z30" s="67">
        <f>IF(OR(X30="OFF", ISBLANK(X30)), 0, (X30 - W30)*24)</f>
        <v/>
      </c>
      <c r="AA30" s="67">
        <f>IF(OR(B30="Sun", X30="OFF", ISBLANK(X30)), 0, MAX(0, (IF(B30="Sat", 14/24, 20/24) - X30)*24))</f>
        <v/>
      </c>
      <c r="AB30" s="68" t="n">
        <v>0</v>
      </c>
      <c r="AC30" s="69">
        <f>AB30*7.45</f>
        <v/>
      </c>
      <c r="AD30" s="69">
        <f>IF(Z30&gt;0, AC30/Z30, 0)</f>
        <v/>
      </c>
      <c r="AE30" s="69">
        <f>AC30 + (AA30*AD30)</f>
        <v/>
      </c>
      <c r="AF30" s="70">
        <f>AA30*AD30</f>
        <v/>
      </c>
      <c r="AG30" s="66" t="inlineStr">
        <is>
          <t>OFF</t>
        </is>
      </c>
      <c r="AH30" s="66" t="inlineStr">
        <is>
          <t>OFF</t>
        </is>
      </c>
      <c r="AI30" s="67">
        <f>IF(B30="Sun", 0, IF(B30="Sat", 6, 12))</f>
        <v/>
      </c>
      <c r="AJ30" s="67">
        <f>IF(OR(AH30="OFF", ISBLANK(AH30)), 0, (AH30 - AG30)*24)</f>
        <v/>
      </c>
      <c r="AK30" s="67">
        <f>IF(OR(B30="Sun", AH30="OFF", ISBLANK(AH30)), 0, MAX(0, (IF(B30="Sat", 14/24, 20/24) - AH30)*24))</f>
        <v/>
      </c>
      <c r="AL30" s="68" t="n">
        <v>1</v>
      </c>
      <c r="AM30" s="69">
        <f>AL30*7.45</f>
        <v/>
      </c>
      <c r="AN30" s="69">
        <f>IF(AJ30&gt;0, AM30/AJ30, 0)</f>
        <v/>
      </c>
      <c r="AO30" s="69">
        <f>AM30 + (AK30*AN30)</f>
        <v/>
      </c>
      <c r="AP30" s="70">
        <f>AK30*AN30</f>
        <v/>
      </c>
      <c r="AQ30" s="67">
        <f>E30+O30+Y30+AI30</f>
        <v/>
      </c>
      <c r="AR30" s="67">
        <f>F30+P30+Z30+AJ30</f>
        <v/>
      </c>
      <c r="AS30" s="71">
        <f>G30+Q30+AA30+AK30</f>
        <v/>
      </c>
      <c r="AT30" s="68">
        <f>H30+R30+AB30+AL30</f>
        <v/>
      </c>
      <c r="AU30" s="69">
        <f>AT30*7.45</f>
        <v/>
      </c>
      <c r="AV30" s="70">
        <f>I30+S30+AC30+AM30</f>
        <v/>
      </c>
      <c r="AW30" s="69">
        <f>K30+U30+AE30+AO30</f>
        <v/>
      </c>
      <c r="AX30" s="70">
        <f>L30+V30+AF30+AP30</f>
        <v/>
      </c>
      <c r="AY30" s="72">
        <f>IF(AW30&gt;0, AX30/AW30, 0)</f>
        <v/>
      </c>
    </row>
    <row r="31">
      <c r="A31" s="56" t="n">
        <v>46167</v>
      </c>
      <c r="B31" s="57" t="inlineStr">
        <is>
          <t>Mon</t>
        </is>
      </c>
      <c r="C31" s="58" t="n">
        <v>0.3125</v>
      </c>
      <c r="D31" s="58" t="n">
        <v>0.8333333333333334</v>
      </c>
      <c r="E31" s="59">
        <f>IF(B31="Sun", 0, IF(B31="Sat", 6, 12))</f>
        <v/>
      </c>
      <c r="F31" s="59">
        <f>IF(OR(D31="OFF", ISBLANK(D31)), 0, (D31 - C31)*24)</f>
        <v/>
      </c>
      <c r="G31" s="59">
        <f>IF(OR(B31="Sun", D31="OFF", ISBLANK(D31)), 0, MAX(0, (IF(B31="Sat", 14/24, 20/24) - D31)*24))</f>
        <v/>
      </c>
      <c r="H31" s="60" t="n">
        <v>97</v>
      </c>
      <c r="I31" s="61">
        <f>H31*7.45</f>
        <v/>
      </c>
      <c r="J31" s="61">
        <f>IF(F31&gt;0, I31/F31, 0)</f>
        <v/>
      </c>
      <c r="K31" s="61">
        <f>I31 + (G31*J31)</f>
        <v/>
      </c>
      <c r="L31" s="62">
        <f>G31*J31</f>
        <v/>
      </c>
      <c r="M31" s="58" t="n">
        <v>0.3145833333333333</v>
      </c>
      <c r="N31" s="58" t="n">
        <v>0.8333333333333334</v>
      </c>
      <c r="O31" s="59">
        <f>IF(B31="Sun", 0, IF(B31="Sat", 6, 12))</f>
        <v/>
      </c>
      <c r="P31" s="59">
        <f>IF(OR(N31="OFF", ISBLANK(N31)), 0, (N31 - M31)*24)</f>
        <v/>
      </c>
      <c r="Q31" s="59">
        <f>IF(OR(B31="Sun", N31="OFF", ISBLANK(N31)), 0, MAX(0, (IF(B31="Sat", 14/24, 20/24) - N31)*24))</f>
        <v/>
      </c>
      <c r="R31" s="60" t="n">
        <v>70</v>
      </c>
      <c r="S31" s="61">
        <f>R31*7.45</f>
        <v/>
      </c>
      <c r="T31" s="61">
        <f>IF(P31&gt;0, S31/P31, 0)</f>
        <v/>
      </c>
      <c r="U31" s="61">
        <f>S31 + (Q31*T31)</f>
        <v/>
      </c>
      <c r="V31" s="62">
        <f>Q31*T31</f>
        <v/>
      </c>
      <c r="W31" s="58" t="n">
        <v>0.3125</v>
      </c>
      <c r="X31" s="58" t="n">
        <v>0.8034722222222223</v>
      </c>
      <c r="Y31" s="59">
        <f>IF(B31="Sun", 0, IF(B31="Sat", 6, 12))</f>
        <v/>
      </c>
      <c r="Z31" s="59">
        <f>IF(OR(X31="OFF", ISBLANK(X31)), 0, (X31 - W31)*24)</f>
        <v/>
      </c>
      <c r="AA31" s="59">
        <f>IF(OR(B31="Sun", X31="OFF", ISBLANK(X31)), 0, MAX(0, (IF(B31="Sat", 14/24, 20/24) - X31)*24))</f>
        <v/>
      </c>
      <c r="AB31" s="60" t="n">
        <v>112</v>
      </c>
      <c r="AC31" s="61">
        <f>AB31*7.45</f>
        <v/>
      </c>
      <c r="AD31" s="61">
        <f>IF(Z31&gt;0, AC31/Z31, 0)</f>
        <v/>
      </c>
      <c r="AE31" s="61">
        <f>AC31 + (AA31*AD31)</f>
        <v/>
      </c>
      <c r="AF31" s="62">
        <f>AA31*AD31</f>
        <v/>
      </c>
      <c r="AG31" s="58" t="n">
        <v>0.3145833333333333</v>
      </c>
      <c r="AH31" s="58" t="n">
        <v>0.8333333333333334</v>
      </c>
      <c r="AI31" s="59">
        <f>IF(B31="Sun", 0, IF(B31="Sat", 6, 12))</f>
        <v/>
      </c>
      <c r="AJ31" s="59">
        <f>IF(OR(AH31="OFF", ISBLANK(AH31)), 0, (AH31 - AG31)*24)</f>
        <v/>
      </c>
      <c r="AK31" s="59">
        <f>IF(OR(B31="Sun", AH31="OFF", ISBLANK(AH31)), 0, MAX(0, (IF(B31="Sat", 14/24, 20/24) - AH31)*24))</f>
        <v/>
      </c>
      <c r="AL31" s="60" t="n">
        <v>82</v>
      </c>
      <c r="AM31" s="61">
        <f>AL31*7.45</f>
        <v/>
      </c>
      <c r="AN31" s="61">
        <f>IF(AJ31&gt;0, AM31/AJ31, 0)</f>
        <v/>
      </c>
      <c r="AO31" s="61">
        <f>AM31 + (AK31*AN31)</f>
        <v/>
      </c>
      <c r="AP31" s="62">
        <f>AK31*AN31</f>
        <v/>
      </c>
      <c r="AQ31" s="59">
        <f>E31+O31+Y31+AI31</f>
        <v/>
      </c>
      <c r="AR31" s="59">
        <f>F31+P31+Z31+AJ31</f>
        <v/>
      </c>
      <c r="AS31" s="63">
        <f>G31+Q31+AA31+AK31</f>
        <v/>
      </c>
      <c r="AT31" s="60">
        <f>H31+R31+AB31+AL31</f>
        <v/>
      </c>
      <c r="AU31" s="61">
        <f>AT31*7.45</f>
        <v/>
      </c>
      <c r="AV31" s="62">
        <f>I31+S31+AC31+AM31</f>
        <v/>
      </c>
      <c r="AW31" s="61">
        <f>K31+U31+AE31+AO31</f>
        <v/>
      </c>
      <c r="AX31" s="62">
        <f>L31+V31+AF31+AP31</f>
        <v/>
      </c>
      <c r="AY31" s="64">
        <f>IF(AW31&gt;0, AX31/AW31, 0)</f>
        <v/>
      </c>
    </row>
    <row r="32">
      <c r="A32" s="65" t="n">
        <v>46168</v>
      </c>
      <c r="B32" s="66" t="inlineStr">
        <is>
          <t>Tue</t>
        </is>
      </c>
      <c r="C32" s="73" t="n">
        <v>0.2673611111111111</v>
      </c>
      <c r="D32" s="73" t="n">
        <v>0.7916666666666666</v>
      </c>
      <c r="E32" s="67">
        <f>IF(B32="Sun", 0, IF(B32="Sat", 6, 12))</f>
        <v/>
      </c>
      <c r="F32" s="67">
        <f>IF(OR(D32="OFF", ISBLANK(D32)), 0, (D32 - C32)*24)</f>
        <v/>
      </c>
      <c r="G32" s="67">
        <f>IF(OR(B32="Sun", D32="OFF", ISBLANK(D32)), 0, MAX(0, (IF(B32="Sat", 14/24, 20/24) - D32)*24))</f>
        <v/>
      </c>
      <c r="H32" s="68" t="n">
        <v>95</v>
      </c>
      <c r="I32" s="69">
        <f>H32*7.45</f>
        <v/>
      </c>
      <c r="J32" s="69">
        <f>IF(F32&gt;0, I32/F32, 0)</f>
        <v/>
      </c>
      <c r="K32" s="69">
        <f>I32 + (G32*J32)</f>
        <v/>
      </c>
      <c r="L32" s="70">
        <f>G32*J32</f>
        <v/>
      </c>
      <c r="M32" s="73" t="n">
        <v>0.2673611111111111</v>
      </c>
      <c r="N32" s="73" t="n">
        <v>0.7916666666666666</v>
      </c>
      <c r="O32" s="67">
        <f>IF(B32="Sun", 0, IF(B32="Sat", 6, 12))</f>
        <v/>
      </c>
      <c r="P32" s="67">
        <f>IF(OR(N32="OFF", ISBLANK(N32)), 0, (N32 - M32)*24)</f>
        <v/>
      </c>
      <c r="Q32" s="67">
        <f>IF(OR(B32="Sun", N32="OFF", ISBLANK(N32)), 0, MAX(0, (IF(B32="Sat", 14/24, 20/24) - N32)*24))</f>
        <v/>
      </c>
      <c r="R32" s="68" t="n">
        <v>75</v>
      </c>
      <c r="S32" s="69">
        <f>R32*7.45</f>
        <v/>
      </c>
      <c r="T32" s="69">
        <f>IF(P32&gt;0, S32/P32, 0)</f>
        <v/>
      </c>
      <c r="U32" s="69">
        <f>S32 + (Q32*T32)</f>
        <v/>
      </c>
      <c r="V32" s="70">
        <f>Q32*T32</f>
        <v/>
      </c>
      <c r="W32" s="73" t="n">
        <v>0.2673611111111111</v>
      </c>
      <c r="X32" s="73" t="n">
        <v>0.78125</v>
      </c>
      <c r="Y32" s="67">
        <f>IF(B32="Sun", 0, IF(B32="Sat", 6, 12))</f>
        <v/>
      </c>
      <c r="Z32" s="67">
        <f>IF(OR(X32="OFF", ISBLANK(X32)), 0, (X32 - W32)*24)</f>
        <v/>
      </c>
      <c r="AA32" s="67">
        <f>IF(OR(B32="Sun", X32="OFF", ISBLANK(X32)), 0, MAX(0, (IF(B32="Sat", 14/24, 20/24) - X32)*24))</f>
        <v/>
      </c>
      <c r="AB32" s="68" t="n">
        <v>96</v>
      </c>
      <c r="AC32" s="69">
        <f>AB32*7.45</f>
        <v/>
      </c>
      <c r="AD32" s="69">
        <f>IF(Z32&gt;0, AC32/Z32, 0)</f>
        <v/>
      </c>
      <c r="AE32" s="69">
        <f>AC32 + (AA32*AD32)</f>
        <v/>
      </c>
      <c r="AF32" s="70">
        <f>AA32*AD32</f>
        <v/>
      </c>
      <c r="AG32" s="73" t="n">
        <v>0.2673611111111111</v>
      </c>
      <c r="AH32" s="73" t="n">
        <v>0.78125</v>
      </c>
      <c r="AI32" s="67">
        <f>IF(B32="Sun", 0, IF(B32="Sat", 6, 12))</f>
        <v/>
      </c>
      <c r="AJ32" s="67">
        <f>IF(OR(AH32="OFF", ISBLANK(AH32)), 0, (AH32 - AG32)*24)</f>
        <v/>
      </c>
      <c r="AK32" s="67">
        <f>IF(OR(B32="Sun", AH32="OFF", ISBLANK(AH32)), 0, MAX(0, (IF(B32="Sat", 14/24, 20/24) - AH32)*24))</f>
        <v/>
      </c>
      <c r="AL32" s="68" t="n">
        <v>89</v>
      </c>
      <c r="AM32" s="69">
        <f>AL32*7.45</f>
        <v/>
      </c>
      <c r="AN32" s="69">
        <f>IF(AJ32&gt;0, AM32/AJ32, 0)</f>
        <v/>
      </c>
      <c r="AO32" s="69">
        <f>AM32 + (AK32*AN32)</f>
        <v/>
      </c>
      <c r="AP32" s="70">
        <f>AK32*AN32</f>
        <v/>
      </c>
      <c r="AQ32" s="67">
        <f>E32+O32+Y32+AI32</f>
        <v/>
      </c>
      <c r="AR32" s="67">
        <f>F32+P32+Z32+AJ32</f>
        <v/>
      </c>
      <c r="AS32" s="71">
        <f>G32+Q32+AA32+AK32</f>
        <v/>
      </c>
      <c r="AT32" s="68">
        <f>H32+R32+AB32+AL32</f>
        <v/>
      </c>
      <c r="AU32" s="69">
        <f>AT32*7.45</f>
        <v/>
      </c>
      <c r="AV32" s="70">
        <f>I32+S32+AC32+AM32</f>
        <v/>
      </c>
      <c r="AW32" s="69">
        <f>K32+U32+AE32+AO32</f>
        <v/>
      </c>
      <c r="AX32" s="70">
        <f>L32+V32+AF32+AP32</f>
        <v/>
      </c>
      <c r="AY32" s="72">
        <f>IF(AW32&gt;0, AX32/AW32, 0)</f>
        <v/>
      </c>
    </row>
    <row r="33">
      <c r="A33" s="56" t="n">
        <v>46169</v>
      </c>
      <c r="B33" s="57" t="inlineStr">
        <is>
          <t>Wed</t>
        </is>
      </c>
      <c r="C33" s="57" t="inlineStr">
        <is>
          <t>OFF</t>
        </is>
      </c>
      <c r="D33" s="57" t="inlineStr">
        <is>
          <t>OFF</t>
        </is>
      </c>
      <c r="E33" s="59">
        <f>IF(B33="Sun", 0, IF(B33="Sat", 6, 12))</f>
        <v/>
      </c>
      <c r="F33" s="59">
        <f>IF(OR(D33="OFF", ISBLANK(D33)), 0, (D33 - C33)*24)</f>
        <v/>
      </c>
      <c r="G33" s="59">
        <f>IF(OR(B33="Sun", D33="OFF", ISBLANK(D33)), 0, MAX(0, (IF(B33="Sat", 14/24, 20/24) - D33)*24))</f>
        <v/>
      </c>
      <c r="H33" s="60" t="n">
        <v>1</v>
      </c>
      <c r="I33" s="61">
        <f>H33*7.45</f>
        <v/>
      </c>
      <c r="J33" s="61">
        <f>IF(F33&gt;0, I33/F33, 0)</f>
        <v/>
      </c>
      <c r="K33" s="61">
        <f>I33 + (G33*J33)</f>
        <v/>
      </c>
      <c r="L33" s="62">
        <f>G33*J33</f>
        <v/>
      </c>
      <c r="M33" s="57" t="inlineStr">
        <is>
          <t>OFF</t>
        </is>
      </c>
      <c r="N33" s="57" t="inlineStr">
        <is>
          <t>OFF</t>
        </is>
      </c>
      <c r="O33" s="59">
        <f>IF(B33="Sun", 0, IF(B33="Sat", 6, 12))</f>
        <v/>
      </c>
      <c r="P33" s="59">
        <f>IF(OR(N33="OFF", ISBLANK(N33)), 0, (N33 - M33)*24)</f>
        <v/>
      </c>
      <c r="Q33" s="59">
        <f>IF(OR(B33="Sun", N33="OFF", ISBLANK(N33)), 0, MAX(0, (IF(B33="Sat", 14/24, 20/24) - N33)*24))</f>
        <v/>
      </c>
      <c r="R33" s="60" t="n">
        <v>1</v>
      </c>
      <c r="S33" s="61">
        <f>R33*7.45</f>
        <v/>
      </c>
      <c r="T33" s="61">
        <f>IF(P33&gt;0, S33/P33, 0)</f>
        <v/>
      </c>
      <c r="U33" s="61">
        <f>S33 + (Q33*T33)</f>
        <v/>
      </c>
      <c r="V33" s="62">
        <f>Q33*T33</f>
        <v/>
      </c>
      <c r="W33" s="57" t="inlineStr">
        <is>
          <t>OFF</t>
        </is>
      </c>
      <c r="X33" s="57" t="inlineStr">
        <is>
          <t>OFF</t>
        </is>
      </c>
      <c r="Y33" s="59">
        <f>IF(B33="Sun", 0, IF(B33="Sat", 6, 12))</f>
        <v/>
      </c>
      <c r="Z33" s="59">
        <f>IF(OR(X33="OFF", ISBLANK(X33)), 0, (X33 - W33)*24)</f>
        <v/>
      </c>
      <c r="AA33" s="59">
        <f>IF(OR(B33="Sun", X33="OFF", ISBLANK(X33)), 0, MAX(0, (IF(B33="Sat", 14/24, 20/24) - X33)*24))</f>
        <v/>
      </c>
      <c r="AB33" s="60" t="n">
        <v>4</v>
      </c>
      <c r="AC33" s="61">
        <f>AB33*7.45</f>
        <v/>
      </c>
      <c r="AD33" s="61">
        <f>IF(Z33&gt;0, AC33/Z33, 0)</f>
        <v/>
      </c>
      <c r="AE33" s="61">
        <f>AC33 + (AA33*AD33)</f>
        <v/>
      </c>
      <c r="AF33" s="62">
        <f>AA33*AD33</f>
        <v/>
      </c>
      <c r="AG33" s="57" t="inlineStr">
        <is>
          <t>OFF</t>
        </is>
      </c>
      <c r="AH33" s="57" t="inlineStr">
        <is>
          <t>OFF</t>
        </is>
      </c>
      <c r="AI33" s="59">
        <f>IF(B33="Sun", 0, IF(B33="Sat", 6, 12))</f>
        <v/>
      </c>
      <c r="AJ33" s="59">
        <f>IF(OR(AH33="OFF", ISBLANK(AH33)), 0, (AH33 - AG33)*24)</f>
        <v/>
      </c>
      <c r="AK33" s="59">
        <f>IF(OR(B33="Sun", AH33="OFF", ISBLANK(AH33)), 0, MAX(0, (IF(B33="Sat", 14/24, 20/24) - AH33)*24))</f>
        <v/>
      </c>
      <c r="AL33" s="60" t="n">
        <v>4</v>
      </c>
      <c r="AM33" s="61">
        <f>AL33*7.45</f>
        <v/>
      </c>
      <c r="AN33" s="61">
        <f>IF(AJ33&gt;0, AM33/AJ33, 0)</f>
        <v/>
      </c>
      <c r="AO33" s="61">
        <f>AM33 + (AK33*AN33)</f>
        <v/>
      </c>
      <c r="AP33" s="62">
        <f>AK33*AN33</f>
        <v/>
      </c>
      <c r="AQ33" s="59">
        <f>E33+O33+Y33+AI33</f>
        <v/>
      </c>
      <c r="AR33" s="59">
        <f>F33+P33+Z33+AJ33</f>
        <v/>
      </c>
      <c r="AS33" s="63">
        <f>G33+Q33+AA33+AK33</f>
        <v/>
      </c>
      <c r="AT33" s="60">
        <f>H33+R33+AB33+AL33</f>
        <v/>
      </c>
      <c r="AU33" s="61">
        <f>AT33*7.45</f>
        <v/>
      </c>
      <c r="AV33" s="62">
        <f>I33+S33+AC33+AM33</f>
        <v/>
      </c>
      <c r="AW33" s="61">
        <f>K33+U33+AE33+AO33</f>
        <v/>
      </c>
      <c r="AX33" s="62">
        <f>L33+V33+AF33+AP33</f>
        <v/>
      </c>
      <c r="AY33" s="64">
        <f>IF(AW33&gt;0, AX33/AW33, 0)</f>
        <v/>
      </c>
    </row>
    <row r="34">
      <c r="A34" s="65" t="n">
        <v>46170</v>
      </c>
      <c r="B34" s="66" t="inlineStr">
        <is>
          <t>Thu</t>
        </is>
      </c>
      <c r="C34" s="73" t="n">
        <v>0.2881944444444444</v>
      </c>
      <c r="D34" s="73" t="n">
        <v>0.7819444444444444</v>
      </c>
      <c r="E34" s="67">
        <f>IF(B34="Sun", 0, IF(B34="Sat", 6, 12))</f>
        <v/>
      </c>
      <c r="F34" s="67">
        <f>IF(OR(D34="OFF", ISBLANK(D34)), 0, (D34 - C34)*24)</f>
        <v/>
      </c>
      <c r="G34" s="67">
        <f>IF(OR(B34="Sun", D34="OFF", ISBLANK(D34)), 0, MAX(0, (IF(B34="Sat", 14/24, 20/24) - D34)*24))</f>
        <v/>
      </c>
      <c r="H34" s="68" t="n">
        <v>81</v>
      </c>
      <c r="I34" s="69">
        <f>H34*7.45</f>
        <v/>
      </c>
      <c r="J34" s="69">
        <f>IF(F34&gt;0, I34/F34, 0)</f>
        <v/>
      </c>
      <c r="K34" s="69">
        <f>I34 + (G34*J34)</f>
        <v/>
      </c>
      <c r="L34" s="70">
        <f>G34*J34</f>
        <v/>
      </c>
      <c r="M34" s="73" t="n">
        <v>0.2881944444444444</v>
      </c>
      <c r="N34" s="73" t="n">
        <v>0.7819444444444444</v>
      </c>
      <c r="O34" s="67">
        <f>IF(B34="Sun", 0, IF(B34="Sat", 6, 12))</f>
        <v/>
      </c>
      <c r="P34" s="67">
        <f>IF(OR(N34="OFF", ISBLANK(N34)), 0, (N34 - M34)*24)</f>
        <v/>
      </c>
      <c r="Q34" s="67">
        <f>IF(OR(B34="Sun", N34="OFF", ISBLANK(N34)), 0, MAX(0, (IF(B34="Sat", 14/24, 20/24) - N34)*24))</f>
        <v/>
      </c>
      <c r="R34" s="68" t="n">
        <v>72</v>
      </c>
      <c r="S34" s="69">
        <f>R34*7.45</f>
        <v/>
      </c>
      <c r="T34" s="69">
        <f>IF(P34&gt;0, S34/P34, 0)</f>
        <v/>
      </c>
      <c r="U34" s="69">
        <f>S34 + (Q34*T34)</f>
        <v/>
      </c>
      <c r="V34" s="70">
        <f>Q34*T34</f>
        <v/>
      </c>
      <c r="W34" s="73" t="n">
        <v>0.2881944444444444</v>
      </c>
      <c r="X34" s="73" t="n">
        <v>0.7652777777777777</v>
      </c>
      <c r="Y34" s="67">
        <f>IF(B34="Sun", 0, IF(B34="Sat", 6, 12))</f>
        <v/>
      </c>
      <c r="Z34" s="67">
        <f>IF(OR(X34="OFF", ISBLANK(X34)), 0, (X34 - W34)*24)</f>
        <v/>
      </c>
      <c r="AA34" s="67">
        <f>IF(OR(B34="Sun", X34="OFF", ISBLANK(X34)), 0, MAX(0, (IF(B34="Sat", 14/24, 20/24) - X34)*24))</f>
        <v/>
      </c>
      <c r="AB34" s="68" t="n">
        <v>87</v>
      </c>
      <c r="AC34" s="69">
        <f>AB34*7.45</f>
        <v/>
      </c>
      <c r="AD34" s="69">
        <f>IF(Z34&gt;0, AC34/Z34, 0)</f>
        <v/>
      </c>
      <c r="AE34" s="69">
        <f>AC34 + (AA34*AD34)</f>
        <v/>
      </c>
      <c r="AF34" s="70">
        <f>AA34*AD34</f>
        <v/>
      </c>
      <c r="AG34" s="73" t="n">
        <v>0.2881944444444444</v>
      </c>
      <c r="AH34" s="73" t="n">
        <v>0.7652777777777777</v>
      </c>
      <c r="AI34" s="67">
        <f>IF(B34="Sun", 0, IF(B34="Sat", 6, 12))</f>
        <v/>
      </c>
      <c r="AJ34" s="67">
        <f>IF(OR(AH34="OFF", ISBLANK(AH34)), 0, (AH34 - AG34)*24)</f>
        <v/>
      </c>
      <c r="AK34" s="67">
        <f>IF(OR(B34="Sun", AH34="OFF", ISBLANK(AH34)), 0, MAX(0, (IF(B34="Sat", 14/24, 20/24) - AH34)*24))</f>
        <v/>
      </c>
      <c r="AL34" s="68" t="n">
        <v>82</v>
      </c>
      <c r="AM34" s="69">
        <f>AL34*7.45</f>
        <v/>
      </c>
      <c r="AN34" s="69">
        <f>IF(AJ34&gt;0, AM34/AJ34, 0)</f>
        <v/>
      </c>
      <c r="AO34" s="69">
        <f>AM34 + (AK34*AN34)</f>
        <v/>
      </c>
      <c r="AP34" s="70">
        <f>AK34*AN34</f>
        <v/>
      </c>
      <c r="AQ34" s="67">
        <f>E34+O34+Y34+AI34</f>
        <v/>
      </c>
      <c r="AR34" s="67">
        <f>F34+P34+Z34+AJ34</f>
        <v/>
      </c>
      <c r="AS34" s="71">
        <f>G34+Q34+AA34+AK34</f>
        <v/>
      </c>
      <c r="AT34" s="68">
        <f>H34+R34+AB34+AL34</f>
        <v/>
      </c>
      <c r="AU34" s="69">
        <f>AT34*7.45</f>
        <v/>
      </c>
      <c r="AV34" s="70">
        <f>I34+S34+AC34+AM34</f>
        <v/>
      </c>
      <c r="AW34" s="69">
        <f>K34+U34+AE34+AO34</f>
        <v/>
      </c>
      <c r="AX34" s="70">
        <f>L34+V34+AF34+AP34</f>
        <v/>
      </c>
      <c r="AY34" s="72">
        <f>IF(AW34&gt;0, AX34/AW34, 0)</f>
        <v/>
      </c>
    </row>
    <row r="35">
      <c r="A35" s="56" t="n">
        <v>46171</v>
      </c>
      <c r="B35" s="57" t="inlineStr">
        <is>
          <t>Fri</t>
        </is>
      </c>
      <c r="C35" s="58" t="n">
        <v>0.3090277777777778</v>
      </c>
      <c r="D35" s="58" t="n">
        <v>0.75</v>
      </c>
      <c r="E35" s="59">
        <f>IF(B35="Sun", 0, IF(B35="Sat", 6, 12))</f>
        <v/>
      </c>
      <c r="F35" s="59">
        <f>IF(OR(D35="OFF", ISBLANK(D35)), 0, (D35 - C35)*24)</f>
        <v/>
      </c>
      <c r="G35" s="59">
        <f>IF(OR(B35="Sun", D35="OFF", ISBLANK(D35)), 0, MAX(0, (IF(B35="Sat", 14/24, 20/24) - D35)*24))</f>
        <v/>
      </c>
      <c r="H35" s="60" t="n">
        <v>75</v>
      </c>
      <c r="I35" s="61">
        <f>H35*7.45</f>
        <v/>
      </c>
      <c r="J35" s="61">
        <f>IF(F35&gt;0, I35/F35, 0)</f>
        <v/>
      </c>
      <c r="K35" s="61">
        <f>I35 + (G35*J35)</f>
        <v/>
      </c>
      <c r="L35" s="62">
        <f>G35*J35</f>
        <v/>
      </c>
      <c r="M35" s="58" t="n">
        <v>0.3090277777777778</v>
      </c>
      <c r="N35" s="58" t="n">
        <v>0.75</v>
      </c>
      <c r="O35" s="59">
        <f>IF(B35="Sun", 0, IF(B35="Sat", 6, 12))</f>
        <v/>
      </c>
      <c r="P35" s="59">
        <f>IF(OR(N35="OFF", ISBLANK(N35)), 0, (N35 - M35)*24)</f>
        <v/>
      </c>
      <c r="Q35" s="59">
        <f>IF(OR(B35="Sun", N35="OFF", ISBLANK(N35)), 0, MAX(0, (IF(B35="Sat", 14/24, 20/24) - N35)*24))</f>
        <v/>
      </c>
      <c r="R35" s="60" t="n">
        <v>66</v>
      </c>
      <c r="S35" s="61">
        <f>R35*7.45</f>
        <v/>
      </c>
      <c r="T35" s="61">
        <f>IF(P35&gt;0, S35/P35, 0)</f>
        <v/>
      </c>
      <c r="U35" s="61">
        <f>S35 + (Q35*T35)</f>
        <v/>
      </c>
      <c r="V35" s="62">
        <f>Q35*T35</f>
        <v/>
      </c>
      <c r="W35" s="58" t="n">
        <v>0.3090277777777778</v>
      </c>
      <c r="X35" s="58" t="n">
        <v>0.75</v>
      </c>
      <c r="Y35" s="59">
        <f>IF(B35="Sun", 0, IF(B35="Sat", 6, 12))</f>
        <v/>
      </c>
      <c r="Z35" s="59">
        <f>IF(OR(X35="OFF", ISBLANK(X35)), 0, (X35 - W35)*24)</f>
        <v/>
      </c>
      <c r="AA35" s="59">
        <f>IF(OR(B35="Sun", X35="OFF", ISBLANK(X35)), 0, MAX(0, (IF(B35="Sat", 14/24, 20/24) - X35)*24))</f>
        <v/>
      </c>
      <c r="AB35" s="60" t="n">
        <v>83</v>
      </c>
      <c r="AC35" s="61">
        <f>AB35*7.45</f>
        <v/>
      </c>
      <c r="AD35" s="61">
        <f>IF(Z35&gt;0, AC35/Z35, 0)</f>
        <v/>
      </c>
      <c r="AE35" s="61">
        <f>AC35 + (AA35*AD35)</f>
        <v/>
      </c>
      <c r="AF35" s="62">
        <f>AA35*AD35</f>
        <v/>
      </c>
      <c r="AG35" s="58" t="n">
        <v>0.3090277777777778</v>
      </c>
      <c r="AH35" s="58" t="n">
        <v>0.75</v>
      </c>
      <c r="AI35" s="59">
        <f>IF(B35="Sun", 0, IF(B35="Sat", 6, 12))</f>
        <v/>
      </c>
      <c r="AJ35" s="59">
        <f>IF(OR(AH35="OFF", ISBLANK(AH35)), 0, (AH35 - AG35)*24)</f>
        <v/>
      </c>
      <c r="AK35" s="59">
        <f>IF(OR(B35="Sun", AH35="OFF", ISBLANK(AH35)), 0, MAX(0, (IF(B35="Sat", 14/24, 20/24) - AH35)*24))</f>
        <v/>
      </c>
      <c r="AL35" s="60" t="n">
        <v>69</v>
      </c>
      <c r="AM35" s="61">
        <f>AL35*7.45</f>
        <v/>
      </c>
      <c r="AN35" s="61">
        <f>IF(AJ35&gt;0, AM35/AJ35, 0)</f>
        <v/>
      </c>
      <c r="AO35" s="61">
        <f>AM35 + (AK35*AN35)</f>
        <v/>
      </c>
      <c r="AP35" s="62">
        <f>AK35*AN35</f>
        <v/>
      </c>
      <c r="AQ35" s="59">
        <f>E35+O35+Y35+AI35</f>
        <v/>
      </c>
      <c r="AR35" s="59">
        <f>F35+P35+Z35+AJ35</f>
        <v/>
      </c>
      <c r="AS35" s="63">
        <f>G35+Q35+AA35+AK35</f>
        <v/>
      </c>
      <c r="AT35" s="60">
        <f>H35+R35+AB35+AL35</f>
        <v/>
      </c>
      <c r="AU35" s="61">
        <f>AT35*7.45</f>
        <v/>
      </c>
      <c r="AV35" s="62">
        <f>I35+S35+AC35+AM35</f>
        <v/>
      </c>
      <c r="AW35" s="61">
        <f>K35+U35+AE35+AO35</f>
        <v/>
      </c>
      <c r="AX35" s="62">
        <f>L35+V35+AF35+AP35</f>
        <v/>
      </c>
      <c r="AY35" s="64">
        <f>IF(AW35&gt;0, AX35/AW35, 0)</f>
        <v/>
      </c>
    </row>
    <row r="36">
      <c r="A36" s="65" t="n">
        <v>46172</v>
      </c>
      <c r="B36" s="66" t="inlineStr">
        <is>
          <t>Sat</t>
        </is>
      </c>
      <c r="C36" s="66" t="inlineStr">
        <is>
          <t>OFF</t>
        </is>
      </c>
      <c r="D36" s="66" t="inlineStr">
        <is>
          <t>OFF</t>
        </is>
      </c>
      <c r="E36" s="67">
        <f>IF(B36="Sun", 0, IF(B36="Sat", 6, 12))</f>
        <v/>
      </c>
      <c r="F36" s="67">
        <f>IF(OR(D36="OFF", ISBLANK(D36)), 0, (D36 - C36)*24)</f>
        <v/>
      </c>
      <c r="G36" s="67">
        <f>IF(OR(B36="Sun", D36="OFF", ISBLANK(D36)), 0, MAX(0, (IF(B36="Sat", 14/24, 20/24) - D36)*24))</f>
        <v/>
      </c>
      <c r="H36" s="68" t="n">
        <v>3</v>
      </c>
      <c r="I36" s="69">
        <f>H36*7.45</f>
        <v/>
      </c>
      <c r="J36" s="69">
        <f>IF(F36&gt;0, I36/F36, 0)</f>
        <v/>
      </c>
      <c r="K36" s="69">
        <f>I36 + (G36*J36)</f>
        <v/>
      </c>
      <c r="L36" s="70">
        <f>G36*J36</f>
        <v/>
      </c>
      <c r="M36" s="73" t="n">
        <v>0.4138888888888889</v>
      </c>
      <c r="N36" s="73" t="n">
        <v>0.5833333333333334</v>
      </c>
      <c r="O36" s="67">
        <f>IF(B36="Sun", 0, IF(B36="Sat", 6, 12))</f>
        <v/>
      </c>
      <c r="P36" s="67">
        <f>IF(OR(N36="OFF", ISBLANK(N36)), 0, (N36 - M36)*24)</f>
        <v/>
      </c>
      <c r="Q36" s="67">
        <f>IF(OR(B36="Sun", N36="OFF", ISBLANK(N36)), 0, MAX(0, (IF(B36="Sat", 14/24, 20/24) - N36)*24))</f>
        <v/>
      </c>
      <c r="R36" s="68" t="n">
        <v>37</v>
      </c>
      <c r="S36" s="69">
        <f>R36*7.45</f>
        <v/>
      </c>
      <c r="T36" s="69">
        <f>IF(P36&gt;0, S36/P36, 0)</f>
        <v/>
      </c>
      <c r="U36" s="69">
        <f>S36 + (Q36*T36)</f>
        <v/>
      </c>
      <c r="V36" s="70">
        <f>Q36*T36</f>
        <v/>
      </c>
      <c r="W36" s="73" t="n">
        <v>0.3090277777777778</v>
      </c>
      <c r="X36" s="73" t="n">
        <v>0.5833333333333334</v>
      </c>
      <c r="Y36" s="67">
        <f>IF(B36="Sun", 0, IF(B36="Sat", 6, 12))</f>
        <v/>
      </c>
      <c r="Z36" s="67">
        <f>IF(OR(X36="OFF", ISBLANK(X36)), 0, (X36 - W36)*24)</f>
        <v/>
      </c>
      <c r="AA36" s="67">
        <f>IF(OR(B36="Sun", X36="OFF", ISBLANK(X36)), 0, MAX(0, (IF(B36="Sat", 14/24, 20/24) - X36)*24))</f>
        <v/>
      </c>
      <c r="AB36" s="68" t="n">
        <v>72</v>
      </c>
      <c r="AC36" s="69">
        <f>AB36*7.45</f>
        <v/>
      </c>
      <c r="AD36" s="69">
        <f>IF(Z36&gt;0, AC36/Z36, 0)</f>
        <v/>
      </c>
      <c r="AE36" s="69">
        <f>AC36 + (AA36*AD36)</f>
        <v/>
      </c>
      <c r="AF36" s="70">
        <f>AA36*AD36</f>
        <v/>
      </c>
      <c r="AG36" s="66" t="inlineStr">
        <is>
          <t>OFF</t>
        </is>
      </c>
      <c r="AH36" s="66" t="inlineStr">
        <is>
          <t>OFF</t>
        </is>
      </c>
      <c r="AI36" s="67">
        <f>IF(B36="Sun", 0, IF(B36="Sat", 6, 12))</f>
        <v/>
      </c>
      <c r="AJ36" s="67">
        <f>IF(OR(AH36="OFF", ISBLANK(AH36)), 0, (AH36 - AG36)*24)</f>
        <v/>
      </c>
      <c r="AK36" s="67">
        <f>IF(OR(B36="Sun", AH36="OFF", ISBLANK(AH36)), 0, MAX(0, (IF(B36="Sat", 14/24, 20/24) - AH36)*24))</f>
        <v/>
      </c>
      <c r="AL36" s="68" t="n">
        <v>4</v>
      </c>
      <c r="AM36" s="69">
        <f>AL36*7.45</f>
        <v/>
      </c>
      <c r="AN36" s="69">
        <f>IF(AJ36&gt;0, AM36/AJ36, 0)</f>
        <v/>
      </c>
      <c r="AO36" s="69">
        <f>AM36 + (AK36*AN36)</f>
        <v/>
      </c>
      <c r="AP36" s="70">
        <f>AK36*AN36</f>
        <v/>
      </c>
      <c r="AQ36" s="67">
        <f>E36+O36+Y36+AI36</f>
        <v/>
      </c>
      <c r="AR36" s="67">
        <f>F36+P36+Z36+AJ36</f>
        <v/>
      </c>
      <c r="AS36" s="71">
        <f>G36+Q36+AA36+AK36</f>
        <v/>
      </c>
      <c r="AT36" s="68">
        <f>H36+R36+AB36+AL36</f>
        <v/>
      </c>
      <c r="AU36" s="69">
        <f>AT36*7.45</f>
        <v/>
      </c>
      <c r="AV36" s="70">
        <f>I36+S36+AC36+AM36</f>
        <v/>
      </c>
      <c r="AW36" s="69">
        <f>K36+U36+AE36+AO36</f>
        <v/>
      </c>
      <c r="AX36" s="70">
        <f>L36+V36+AF36+AP36</f>
        <v/>
      </c>
      <c r="AY36" s="72">
        <f>IF(AW36&gt;0, AX36/AW36, 0)</f>
        <v/>
      </c>
    </row>
    <row r="37">
      <c r="A37" s="56" t="n">
        <v>46173</v>
      </c>
      <c r="B37" s="57" t="inlineStr">
        <is>
          <t>Sun</t>
        </is>
      </c>
      <c r="C37" s="57" t="inlineStr">
        <is>
          <t>OFF</t>
        </is>
      </c>
      <c r="D37" s="57" t="inlineStr">
        <is>
          <t>OFF</t>
        </is>
      </c>
      <c r="E37" s="59">
        <f>IF(B37="Sun", 0, IF(B37="Sat", 6, 12))</f>
        <v/>
      </c>
      <c r="F37" s="59">
        <f>IF(OR(D37="OFF", ISBLANK(D37)), 0, (D37 - C37)*24)</f>
        <v/>
      </c>
      <c r="G37" s="59">
        <f>IF(OR(B37="Sun", D37="OFF", ISBLANK(D37)), 0, MAX(0, (IF(B37="Sat", 14/24, 20/24) - D37)*24))</f>
        <v/>
      </c>
      <c r="H37" s="60" t="n">
        <v>1</v>
      </c>
      <c r="I37" s="61">
        <f>H37*7.45</f>
        <v/>
      </c>
      <c r="J37" s="61">
        <f>IF(F37&gt;0, I37/F37, 0)</f>
        <v/>
      </c>
      <c r="K37" s="61">
        <f>I37 + (G37*J37)</f>
        <v/>
      </c>
      <c r="L37" s="62">
        <f>G37*J37</f>
        <v/>
      </c>
      <c r="M37" s="57" t="inlineStr">
        <is>
          <t>OFF</t>
        </is>
      </c>
      <c r="N37" s="57" t="inlineStr">
        <is>
          <t>OFF</t>
        </is>
      </c>
      <c r="O37" s="59">
        <f>IF(B37="Sun", 0, IF(B37="Sat", 6, 12))</f>
        <v/>
      </c>
      <c r="P37" s="59">
        <f>IF(OR(N37="OFF", ISBLANK(N37)), 0, (N37 - M37)*24)</f>
        <v/>
      </c>
      <c r="Q37" s="59">
        <f>IF(OR(B37="Sun", N37="OFF", ISBLANK(N37)), 0, MAX(0, (IF(B37="Sat", 14/24, 20/24) - N37)*24))</f>
        <v/>
      </c>
      <c r="R37" s="60" t="n">
        <v>0</v>
      </c>
      <c r="S37" s="61">
        <f>R37*7.45</f>
        <v/>
      </c>
      <c r="T37" s="61">
        <f>IF(P37&gt;0, S37/P37, 0)</f>
        <v/>
      </c>
      <c r="U37" s="61">
        <f>S37 + (Q37*T37)</f>
        <v/>
      </c>
      <c r="V37" s="62">
        <f>Q37*T37</f>
        <v/>
      </c>
      <c r="W37" s="57" t="inlineStr">
        <is>
          <t>OFF</t>
        </is>
      </c>
      <c r="X37" s="57" t="inlineStr">
        <is>
          <t>OFF</t>
        </is>
      </c>
      <c r="Y37" s="59">
        <f>IF(B37="Sun", 0, IF(B37="Sat", 6, 12))</f>
        <v/>
      </c>
      <c r="Z37" s="59">
        <f>IF(OR(X37="OFF", ISBLANK(X37)), 0, (X37 - W37)*24)</f>
        <v/>
      </c>
      <c r="AA37" s="59">
        <f>IF(OR(B37="Sun", X37="OFF", ISBLANK(X37)), 0, MAX(0, (IF(B37="Sat", 14/24, 20/24) - X37)*24))</f>
        <v/>
      </c>
      <c r="AB37" s="60" t="n">
        <v>0</v>
      </c>
      <c r="AC37" s="61">
        <f>AB37*7.45</f>
        <v/>
      </c>
      <c r="AD37" s="61">
        <f>IF(Z37&gt;0, AC37/Z37, 0)</f>
        <v/>
      </c>
      <c r="AE37" s="61">
        <f>AC37 + (AA37*AD37)</f>
        <v/>
      </c>
      <c r="AF37" s="62">
        <f>AA37*AD37</f>
        <v/>
      </c>
      <c r="AG37" s="57" t="inlineStr">
        <is>
          <t>OFF</t>
        </is>
      </c>
      <c r="AH37" s="57" t="inlineStr">
        <is>
          <t>OFF</t>
        </is>
      </c>
      <c r="AI37" s="59">
        <f>IF(B37="Sun", 0, IF(B37="Sat", 6, 12))</f>
        <v/>
      </c>
      <c r="AJ37" s="59">
        <f>IF(OR(AH37="OFF", ISBLANK(AH37)), 0, (AH37 - AG37)*24)</f>
        <v/>
      </c>
      <c r="AK37" s="59">
        <f>IF(OR(B37="Sun", AH37="OFF", ISBLANK(AH37)), 0, MAX(0, (IF(B37="Sat", 14/24, 20/24) - AH37)*24))</f>
        <v/>
      </c>
      <c r="AL37" s="60" t="n">
        <v>1</v>
      </c>
      <c r="AM37" s="61">
        <f>AL37*7.45</f>
        <v/>
      </c>
      <c r="AN37" s="61">
        <f>IF(AJ37&gt;0, AM37/AJ37, 0)</f>
        <v/>
      </c>
      <c r="AO37" s="61">
        <f>AM37 + (AK37*AN37)</f>
        <v/>
      </c>
      <c r="AP37" s="62">
        <f>AK37*AN37</f>
        <v/>
      </c>
      <c r="AQ37" s="59">
        <f>E37+O37+Y37+AI37</f>
        <v/>
      </c>
      <c r="AR37" s="59">
        <f>F37+P37+Z37+AJ37</f>
        <v/>
      </c>
      <c r="AS37" s="63">
        <f>G37+Q37+AA37+AK37</f>
        <v/>
      </c>
      <c r="AT37" s="60">
        <f>H37+R37+AB37+AL37</f>
        <v/>
      </c>
      <c r="AU37" s="61">
        <f>AT37*7.45</f>
        <v/>
      </c>
      <c r="AV37" s="62">
        <f>I37+S37+AC37+AM37</f>
        <v/>
      </c>
      <c r="AW37" s="61">
        <f>K37+U37+AE37+AO37</f>
        <v/>
      </c>
      <c r="AX37" s="62">
        <f>L37+V37+AF37+AP37</f>
        <v/>
      </c>
      <c r="AY37" s="64">
        <f>IF(AW37&gt;0, AX37/AW37, 0)</f>
        <v/>
      </c>
    </row>
    <row r="38" ht="15" customHeight="1" s="38">
      <c r="A38" s="74" t="inlineStr">
        <is>
          <t>MONTH TOTAL</t>
        </is>
      </c>
      <c r="B38" s="106" t="n"/>
      <c r="C38" s="76" t="n"/>
      <c r="D38" s="76" t="n"/>
      <c r="E38" s="77">
        <f>SUM(E7:E37)</f>
        <v/>
      </c>
      <c r="F38" s="77">
        <f>SUM(F7:F37)</f>
        <v/>
      </c>
      <c r="G38" s="77">
        <f>SUM(G7:G37)</f>
        <v/>
      </c>
      <c r="H38" s="78">
        <f>SUM(H7:H37)</f>
        <v/>
      </c>
      <c r="I38" s="79">
        <f>SUM(I7:I37)</f>
        <v/>
      </c>
      <c r="J38" s="79">
        <f>AVERAGE(J7:J37)</f>
        <v/>
      </c>
      <c r="K38" s="79">
        <f>SUM(K7:K37)</f>
        <v/>
      </c>
      <c r="L38" s="79">
        <f>SUM(L7:L37)</f>
        <v/>
      </c>
      <c r="M38" s="76" t="n"/>
      <c r="N38" s="76" t="n"/>
      <c r="O38" s="77">
        <f>SUM(O7:O37)</f>
        <v/>
      </c>
      <c r="P38" s="77">
        <f>SUM(P7:P37)</f>
        <v/>
      </c>
      <c r="Q38" s="77">
        <f>SUM(Q7:Q37)</f>
        <v/>
      </c>
      <c r="R38" s="78">
        <f>SUM(R7:R37)</f>
        <v/>
      </c>
      <c r="S38" s="79">
        <f>SUM(S7:S37)</f>
        <v/>
      </c>
      <c r="T38" s="79">
        <f>AVERAGE(T7:T37)</f>
        <v/>
      </c>
      <c r="U38" s="79">
        <f>SUM(U7:U37)</f>
        <v/>
      </c>
      <c r="V38" s="79">
        <f>SUM(V7:V37)</f>
        <v/>
      </c>
      <c r="W38" s="76" t="n"/>
      <c r="X38" s="76" t="n"/>
      <c r="Y38" s="77">
        <f>SUM(Y7:Y37)</f>
        <v/>
      </c>
      <c r="Z38" s="77">
        <f>SUM(Z7:Z37)</f>
        <v/>
      </c>
      <c r="AA38" s="77">
        <f>SUM(AA7:AA37)</f>
        <v/>
      </c>
      <c r="AB38" s="78">
        <f>SUM(AB7:AB37)</f>
        <v/>
      </c>
      <c r="AC38" s="79">
        <f>SUM(AC7:AC37)</f>
        <v/>
      </c>
      <c r="AD38" s="79">
        <f>AVERAGE(AD7:AD37)</f>
        <v/>
      </c>
      <c r="AE38" s="79">
        <f>SUM(AE7:AE37)</f>
        <v/>
      </c>
      <c r="AF38" s="79">
        <f>SUM(AF7:AF37)</f>
        <v/>
      </c>
      <c r="AG38" s="76" t="n"/>
      <c r="AH38" s="76" t="n"/>
      <c r="AI38" s="77">
        <f>SUM(AI7:AI37)</f>
        <v/>
      </c>
      <c r="AJ38" s="77">
        <f>SUM(AJ7:AJ37)</f>
        <v/>
      </c>
      <c r="AK38" s="77">
        <f>SUM(AK7:AK37)</f>
        <v/>
      </c>
      <c r="AL38" s="78">
        <f>SUM(AL7:AL37)</f>
        <v/>
      </c>
      <c r="AM38" s="79">
        <f>SUM(AM7:AM37)</f>
        <v/>
      </c>
      <c r="AN38" s="79">
        <f>AVERAGE(AN7:AN37)</f>
        <v/>
      </c>
      <c r="AO38" s="79">
        <f>SUM(AO7:AO37)</f>
        <v/>
      </c>
      <c r="AP38" s="79">
        <f>SUM(AP7:AP37)</f>
        <v/>
      </c>
      <c r="AQ38" s="77">
        <f>SUM(AQ7:AQ37)</f>
        <v/>
      </c>
      <c r="AR38" s="77">
        <f>SUM(AR7:AR37)</f>
        <v/>
      </c>
      <c r="AS38" s="77">
        <f>SUM(AS7:AS37)</f>
        <v/>
      </c>
      <c r="AT38" s="78">
        <f>SUM(AT7:AT37)</f>
        <v/>
      </c>
      <c r="AU38" s="79">
        <f>SUM(AU7:AU37)</f>
        <v/>
      </c>
      <c r="AV38" s="79">
        <f>SUM(AV7:AV37)</f>
        <v/>
      </c>
      <c r="AW38" s="79">
        <f>SUM(AW7:AW37)</f>
        <v/>
      </c>
      <c r="AX38" s="79">
        <f>SUM(AX7:AX37)</f>
        <v/>
      </c>
      <c r="AY38" s="80">
        <f>AVERAGE(AY7:AY37)</f>
        <v/>
      </c>
    </row>
  </sheetData>
  <mergeCells count="7">
    <mergeCell ref="C5:L5"/>
    <mergeCell ref="AG5:AP5"/>
    <mergeCell ref="A38:B38"/>
    <mergeCell ref="W5:AF5"/>
    <mergeCell ref="M5:V5"/>
    <mergeCell ref="AQ5:AY5"/>
    <mergeCell ref="A5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7"/>
  <sheetViews>
    <sheetView showGridLines="1" workbookViewId="0">
      <selection activeCell="A1" sqref="A1"/>
    </sheetView>
  </sheetViews>
  <sheetFormatPr baseColWidth="8" defaultRowHeight="14.5"/>
  <cols>
    <col width="13" customWidth="1" style="38" min="1" max="1"/>
    <col width="10" customWidth="1" style="38" min="2" max="2"/>
    <col width="19" customWidth="1" style="38" min="3" max="3"/>
    <col width="10" customWidth="1" style="38" min="4" max="4"/>
    <col width="41" customWidth="1" style="38" min="5" max="5"/>
    <col width="53" customWidth="1" style="38" min="6" max="6"/>
    <col width="96" customWidth="1" style="38" min="7" max="7"/>
    <col width="19" customWidth="1" style="38" min="8" max="8"/>
    <col width="30" customWidth="1" style="38" min="9" max="9"/>
    <col width="40" customWidth="1" style="38" min="10" max="10"/>
    <col width="34" customWidth="1" style="38" min="11" max="11"/>
    <col width="30" customWidth="1" style="38" min="12" max="12"/>
    <col width="19" customWidth="1" style="38" min="13" max="13"/>
    <col width="10" customWidth="1" style="38" min="14" max="14"/>
    <col width="41" customWidth="1" style="38" min="15" max="15"/>
    <col width="53" customWidth="1" style="38" min="16" max="16"/>
    <col width="96" customWidth="1" style="38" min="17" max="17"/>
    <col width="19" customWidth="1" style="38" min="18" max="18"/>
    <col width="30" customWidth="1" style="38" min="19" max="19"/>
    <col width="40" customWidth="1" style="38" min="20" max="20"/>
    <col width="34" customWidth="1" style="38" min="21" max="21"/>
    <col width="30" customWidth="1" style="38" min="22" max="22"/>
    <col width="19" customWidth="1" style="38" min="23" max="23"/>
    <col width="10" customWidth="1" style="38" min="24" max="24"/>
    <col width="41" customWidth="1" style="38" min="25" max="25"/>
    <col width="53" customWidth="1" style="38" min="26" max="26"/>
    <col width="96" customWidth="1" style="38" min="27" max="27"/>
    <col width="19" customWidth="1" style="38" min="28" max="28"/>
    <col width="32" customWidth="1" style="38" min="29" max="29"/>
    <col width="41" customWidth="1" style="38" min="30" max="30"/>
    <col width="37" customWidth="1" style="38" min="31" max="31"/>
    <col width="32" customWidth="1" style="38" min="32" max="32"/>
    <col width="19" customWidth="1" style="38" min="33" max="33"/>
    <col width="10" customWidth="1" style="38" min="34" max="34"/>
    <col width="41" customWidth="1" style="38" min="35" max="35"/>
    <col width="57" customWidth="1" style="38" min="36" max="36"/>
    <col width="99" customWidth="1" style="38" min="37" max="37"/>
    <col width="19" customWidth="1" style="38" min="38" max="38"/>
    <col width="32" customWidth="1" style="38" min="39" max="39"/>
    <col width="43" customWidth="1" style="38" min="40" max="40"/>
    <col width="37" customWidth="1" style="38" min="41" max="41"/>
    <col width="32" customWidth="1" style="38" min="42" max="42"/>
    <col width="41" customWidth="1" style="38" min="43" max="43"/>
    <col width="20" customWidth="1" style="38" min="44" max="45"/>
    <col width="23" customWidth="1" style="38" min="46" max="46"/>
    <col width="32" customWidth="1" style="38" min="47" max="47"/>
    <col width="36" customWidth="1" style="38" min="48" max="50"/>
    <col width="27" customWidth="1" style="38" min="51" max="51"/>
  </cols>
  <sheetData>
    <row r="1" ht="22.5" customHeight="1" s="38">
      <c r="A1" s="1" t="inlineStr">
        <is>
          <t>AHU DAILY SAVINGS &amp; KWH COST REPORT - JUNE 2026</t>
        </is>
      </c>
    </row>
    <row r="2">
      <c r="A2" s="2" t="inlineStr">
        <is>
          <t>Operating Schedule: Mon-Fri 8:00 AM to 8:00 PM (12 hrs/AHU) | Sat 8:00 AM to 2:00 PM (6 hrs/AHU) | Sun Off</t>
        </is>
      </c>
    </row>
    <row r="3">
      <c r="A3" s="2" t="inlineStr">
        <is>
          <t>Logic: KWH Rate = Rs. 7.45 | Hourly Rate = KWH Cost / Actual Run Hrs | Full Cost = KWH Cost + (Saved Hrs * Hourly Rate) | Saving = Saved Hrs * Hourly Rate</t>
        </is>
      </c>
    </row>
    <row r="5">
      <c r="A5" s="50" t="inlineStr">
        <is>
          <t>Date &amp; Day</t>
        </is>
      </c>
      <c r="C5" s="50" t="inlineStr">
        <is>
          <t>AHU-1 (CFM 26500)</t>
        </is>
      </c>
      <c r="M5" s="50" t="inlineStr">
        <is>
          <t>AHU-2 (CFM 26700)</t>
        </is>
      </c>
      <c r="W5" s="50" t="inlineStr">
        <is>
          <t>AHU-3 (CFM 28000)</t>
        </is>
      </c>
      <c r="AG5" s="50" t="inlineStr">
        <is>
          <t>AHU-4 (CFM 28500)</t>
        </is>
      </c>
      <c r="AQ5" s="50" t="inlineStr">
        <is>
          <t>DAILY TOTAL COMBINED SUMMARY (ALL AHUs)</t>
        </is>
      </c>
    </row>
    <row r="6">
      <c r="A6" s="13" t="inlineStr">
        <is>
          <t>Date</t>
        </is>
      </c>
      <c r="B6" s="13" t="inlineStr">
        <is>
          <t>Day</t>
        </is>
      </c>
      <c r="C6" s="13" t="inlineStr">
        <is>
          <t>ON Time</t>
        </is>
      </c>
      <c r="D6" s="13" t="inlineStr">
        <is>
          <t>OFF Time</t>
        </is>
      </c>
      <c r="E6" s="13" t="inlineStr">
        <is>
          <t>Sched Hrs</t>
        </is>
      </c>
      <c r="F6" s="13" t="inlineStr">
        <is>
          <t>Actual Run Hrs</t>
        </is>
      </c>
      <c r="G6" s="13" t="inlineStr">
        <is>
          <t>Saved Hrs</t>
        </is>
      </c>
      <c r="H6" s="13" t="inlineStr">
        <is>
          <t>Consumption (KWH)</t>
        </is>
      </c>
      <c r="I6" s="13" t="inlineStr">
        <is>
          <t>Actual Cost (Rs)</t>
        </is>
      </c>
      <c r="J6" s="13" t="inlineStr">
        <is>
          <t>Cost / Hr (Rs)</t>
        </is>
      </c>
      <c r="K6" s="13" t="inlineStr">
        <is>
          <t>Full Cost 8PM (Rs)</t>
        </is>
      </c>
      <c r="L6" s="13" t="inlineStr">
        <is>
          <t>Cost Saved (Rs)</t>
        </is>
      </c>
      <c r="M6" s="13" t="inlineStr">
        <is>
          <t>ON Time</t>
        </is>
      </c>
      <c r="N6" s="13" t="inlineStr">
        <is>
          <t>OFF Time</t>
        </is>
      </c>
      <c r="O6" s="13" t="inlineStr">
        <is>
          <t>Sched Hrs</t>
        </is>
      </c>
      <c r="P6" s="13" t="inlineStr">
        <is>
          <t>Actual Run Hrs</t>
        </is>
      </c>
      <c r="Q6" s="13" t="inlineStr">
        <is>
          <t>Saved Hrs</t>
        </is>
      </c>
      <c r="R6" s="13" t="inlineStr">
        <is>
          <t>Consumption (KWH)</t>
        </is>
      </c>
      <c r="S6" s="13" t="inlineStr">
        <is>
          <t>Actual Cost (Rs)</t>
        </is>
      </c>
      <c r="T6" s="13" t="inlineStr">
        <is>
          <t>Cost / Hr (Rs)</t>
        </is>
      </c>
      <c r="U6" s="13" t="inlineStr">
        <is>
          <t>Full Cost 8PM (Rs)</t>
        </is>
      </c>
      <c r="V6" s="13" t="inlineStr">
        <is>
          <t>Cost Saved (Rs)</t>
        </is>
      </c>
      <c r="W6" s="13" t="inlineStr">
        <is>
          <t>ON Time</t>
        </is>
      </c>
      <c r="X6" s="13" t="inlineStr">
        <is>
          <t>OFF Time</t>
        </is>
      </c>
      <c r="Y6" s="13" t="inlineStr">
        <is>
          <t>Sched Hrs</t>
        </is>
      </c>
      <c r="Z6" s="13" t="inlineStr">
        <is>
          <t>Actual Run Hrs</t>
        </is>
      </c>
      <c r="AA6" s="13" t="inlineStr">
        <is>
          <t>Saved Hrs</t>
        </is>
      </c>
      <c r="AB6" s="13" t="inlineStr">
        <is>
          <t>Consumption (KWH)</t>
        </is>
      </c>
      <c r="AC6" s="13" t="inlineStr">
        <is>
          <t>Actual Cost (Rs)</t>
        </is>
      </c>
      <c r="AD6" s="13" t="inlineStr">
        <is>
          <t>Cost / Hr (Rs)</t>
        </is>
      </c>
      <c r="AE6" s="13" t="inlineStr">
        <is>
          <t>Full Cost 8PM (Rs)</t>
        </is>
      </c>
      <c r="AF6" s="13" t="inlineStr">
        <is>
          <t>Cost Saved (Rs)</t>
        </is>
      </c>
      <c r="AG6" s="13" t="inlineStr">
        <is>
          <t>ON Time</t>
        </is>
      </c>
      <c r="AH6" s="13" t="inlineStr">
        <is>
          <t>OFF Time</t>
        </is>
      </c>
      <c r="AI6" s="13" t="inlineStr">
        <is>
          <t>Sched Hrs</t>
        </is>
      </c>
      <c r="AJ6" s="13" t="inlineStr">
        <is>
          <t>Actual Run Hrs</t>
        </is>
      </c>
      <c r="AK6" s="13" t="inlineStr">
        <is>
          <t>Saved Hrs</t>
        </is>
      </c>
      <c r="AL6" s="13" t="inlineStr">
        <is>
          <t>Consumption (KWH)</t>
        </is>
      </c>
      <c r="AM6" s="13" t="inlineStr">
        <is>
          <t>Actual Cost (Rs)</t>
        </is>
      </c>
      <c r="AN6" s="13" t="inlineStr">
        <is>
          <t>Cost / Hr (Rs)</t>
        </is>
      </c>
      <c r="AO6" s="13" t="inlineStr">
        <is>
          <t>Full Cost 8PM (Rs)</t>
        </is>
      </c>
      <c r="AP6" s="13" t="inlineStr">
        <is>
          <t>Cost Saved (Rs)</t>
        </is>
      </c>
      <c r="AQ6" s="13" t="inlineStr">
        <is>
          <t>Tot Sched Hrs</t>
        </is>
      </c>
      <c r="AR6" s="13" t="inlineStr">
        <is>
          <t>Tot Actual Run Hrs</t>
        </is>
      </c>
      <c r="AS6" s="13" t="inlineStr">
        <is>
          <t>Tot Saved Hrs</t>
        </is>
      </c>
      <c r="AT6" s="13" t="inlineStr">
        <is>
          <t>Tot Consumption (KWH)</t>
        </is>
      </c>
      <c r="AU6" s="13" t="inlineStr">
        <is>
          <t>KWH Cost (Rs)</t>
        </is>
      </c>
      <c r="AV6" s="13" t="inlineStr">
        <is>
          <t>Tot Actual Cost (Rs)</t>
        </is>
      </c>
      <c r="AW6" s="13" t="inlineStr">
        <is>
          <t>Tot Full Cost 8PM (Rs)</t>
        </is>
      </c>
      <c r="AX6" s="13" t="inlineStr">
        <is>
          <t>Total Cost Saved (Rs)</t>
        </is>
      </c>
      <c r="AY6" s="13" t="inlineStr">
        <is>
          <t>Savings %</t>
        </is>
      </c>
    </row>
    <row r="7">
      <c r="A7" s="14" t="n">
        <v>46174</v>
      </c>
      <c r="B7" s="15" t="inlineStr">
        <is>
          <t>Mon</t>
        </is>
      </c>
      <c r="C7" s="16" t="n">
        <v>0.2916666666666667</v>
      </c>
      <c r="D7" s="16" t="n">
        <v>0.7916666666666666</v>
      </c>
      <c r="E7" s="17">
        <f>IF(B7="Sun", 0, IF(B7="Sat", 6, 12))</f>
        <v/>
      </c>
      <c r="F7" s="17">
        <f>IF(OR(D7="OFF", ISBLANK(D7)), 0, (D7 - C7)*24)</f>
        <v/>
      </c>
      <c r="G7" s="17">
        <f>IF(OR(B7="Sun", D7="OFF", ISBLANK(D7)), 0, MAX(0, (IF(B7="Sat", 14/24, 20/24) - D7)*24))</f>
        <v/>
      </c>
      <c r="H7" s="18" t="n">
        <v>98</v>
      </c>
      <c r="I7" s="19">
        <f>H7*7.45</f>
        <v/>
      </c>
      <c r="J7" s="19">
        <f>IF(F7&gt;0, I7/F7, 0)</f>
        <v/>
      </c>
      <c r="K7" s="19">
        <f>I7 + (G7*J7)</f>
        <v/>
      </c>
      <c r="L7" s="20">
        <f>G7*J7</f>
        <v/>
      </c>
      <c r="M7" s="16" t="n">
        <v>0.2916666666666667</v>
      </c>
      <c r="N7" s="16" t="n">
        <v>0.8319444444444445</v>
      </c>
      <c r="O7" s="17">
        <f>IF(B7="Sun", 0, IF(B7="Sat", 6, 12))</f>
        <v/>
      </c>
      <c r="P7" s="17">
        <f>IF(OR(N7="OFF", ISBLANK(N7)), 0, (N7 - M7)*24)</f>
        <v/>
      </c>
      <c r="Q7" s="17">
        <f>IF(OR(B7="Sun", N7="OFF", ISBLANK(N7)), 0, MAX(0, (IF(B7="Sat", 14/24, 20/24) - N7)*24))</f>
        <v/>
      </c>
      <c r="R7" s="18" t="n">
        <v>81</v>
      </c>
      <c r="S7" s="19">
        <f>R7*7.45</f>
        <v/>
      </c>
      <c r="T7" s="19">
        <f>IF(P7&gt;0, S7/P7, 0)</f>
        <v/>
      </c>
      <c r="U7" s="19">
        <f>S7 + (Q7*T7)</f>
        <v/>
      </c>
      <c r="V7" s="20">
        <f>Q7*T7</f>
        <v/>
      </c>
      <c r="W7" s="16" t="n">
        <v>0.2916666666666667</v>
      </c>
      <c r="X7" s="16" t="n">
        <v>0.7902777777777777</v>
      </c>
      <c r="Y7" s="17">
        <f>IF(B7="Sun", 0, IF(B7="Sat", 6, 12))</f>
        <v/>
      </c>
      <c r="Z7" s="17">
        <f>IF(OR(X7="OFF", ISBLANK(X7)), 0, (X7 - W7)*24)</f>
        <v/>
      </c>
      <c r="AA7" s="17">
        <f>IF(OR(B7="Sun", X7="OFF", ISBLANK(X7)), 0, MAX(0, (IF(B7="Sat", 14/24, 20/24) - X7)*24))</f>
        <v/>
      </c>
      <c r="AB7" s="18" t="n">
        <v>98</v>
      </c>
      <c r="AC7" s="19">
        <f>AB7*7.45</f>
        <v/>
      </c>
      <c r="AD7" s="19">
        <f>IF(Z7&gt;0, AC7/Z7, 0)</f>
        <v/>
      </c>
      <c r="AE7" s="19">
        <f>AC7 + (AA7*AD7)</f>
        <v/>
      </c>
      <c r="AF7" s="20">
        <f>AA7*AD7</f>
        <v/>
      </c>
      <c r="AG7" s="16" t="n">
        <v>0.2916666666666667</v>
      </c>
      <c r="AH7" s="16" t="n">
        <v>0.7902777777777777</v>
      </c>
      <c r="AI7" s="17">
        <f>IF(B7="Sun", 0, IF(B7="Sat", 6, 12))</f>
        <v/>
      </c>
      <c r="AJ7" s="17">
        <f>IF(OR(AH7="OFF", ISBLANK(AH7)), 0, (AH7 - AG7)*24)</f>
        <v/>
      </c>
      <c r="AK7" s="17">
        <f>IF(OR(B7="Sun", AH7="OFF", ISBLANK(AH7)), 0, MAX(0, (IF(B7="Sat", 14/24, 20/24) - AH7)*24))</f>
        <v/>
      </c>
      <c r="AL7" s="18" t="n">
        <v>78</v>
      </c>
      <c r="AM7" s="19">
        <f>AL7*7.45</f>
        <v/>
      </c>
      <c r="AN7" s="19">
        <f>IF(AJ7&gt;0, AM7/AJ7, 0)</f>
        <v/>
      </c>
      <c r="AO7" s="19">
        <f>AM7 + (AK7*AN7)</f>
        <v/>
      </c>
      <c r="AP7" s="20">
        <f>AK7*AN7</f>
        <v/>
      </c>
      <c r="AQ7" s="17">
        <f>E7+O7+Y7+AI7</f>
        <v/>
      </c>
      <c r="AR7" s="17">
        <f>F7+P7+Z7+AJ7</f>
        <v/>
      </c>
      <c r="AS7" s="21">
        <f>G7+Q7+AA7+AK7</f>
        <v/>
      </c>
      <c r="AT7" s="18">
        <f>H7+R7+AB7+AL7</f>
        <v/>
      </c>
      <c r="AU7" s="19">
        <f>AT7*7.45</f>
        <v/>
      </c>
      <c r="AV7" s="20">
        <f>I7+S7+AC7+AM7</f>
        <v/>
      </c>
      <c r="AW7" s="19">
        <f>K7+U7+AE7+AO7</f>
        <v/>
      </c>
      <c r="AX7" s="20">
        <f>L7+V7+AF7+AP7</f>
        <v/>
      </c>
      <c r="AY7" s="22">
        <f>IF(AW7&gt;0, AX7/AW7, 0)</f>
        <v/>
      </c>
    </row>
    <row r="8">
      <c r="A8" s="23" t="n">
        <v>46175</v>
      </c>
      <c r="B8" s="24" t="inlineStr">
        <is>
          <t>Tue</t>
        </is>
      </c>
      <c r="C8" s="25" t="n">
        <v>0.2916666666666667</v>
      </c>
      <c r="D8" s="25" t="n">
        <v>0.7930555555555555</v>
      </c>
      <c r="E8" s="26">
        <f>IF(B8="Sun", 0, IF(B8="Sat", 6, 12))</f>
        <v/>
      </c>
      <c r="F8" s="26">
        <f>IF(OR(D8="OFF", ISBLANK(D8)), 0, (D8 - C8)*24)</f>
        <v/>
      </c>
      <c r="G8" s="26">
        <f>IF(OR(B8="Sun", D8="OFF", ISBLANK(D8)), 0, MAX(0, (IF(B8="Sat", 14/24, 20/24) - D8)*24))</f>
        <v/>
      </c>
      <c r="H8" s="27" t="n">
        <v>105</v>
      </c>
      <c r="I8" s="28">
        <f>H8*7.45</f>
        <v/>
      </c>
      <c r="J8" s="28">
        <f>IF(F8&gt;0, I8/F8, 0)</f>
        <v/>
      </c>
      <c r="K8" s="28">
        <f>I8 + (G8*J8)</f>
        <v/>
      </c>
      <c r="L8" s="29">
        <f>G8*J8</f>
        <v/>
      </c>
      <c r="M8" s="25" t="n">
        <v>0.2916666666666667</v>
      </c>
      <c r="N8" s="25" t="n">
        <v>0.8333333333333334</v>
      </c>
      <c r="O8" s="26">
        <f>IF(B8="Sun", 0, IF(B8="Sat", 6, 12))</f>
        <v/>
      </c>
      <c r="P8" s="26">
        <f>IF(OR(N8="OFF", ISBLANK(N8)), 0, (N8 - M8)*24)</f>
        <v/>
      </c>
      <c r="Q8" s="26">
        <f>IF(OR(B8="Sun", N8="OFF", ISBLANK(N8)), 0, MAX(0, (IF(B8="Sat", 14/24, 20/24) - N8)*24))</f>
        <v/>
      </c>
      <c r="R8" s="27" t="n">
        <v>78</v>
      </c>
      <c r="S8" s="28">
        <f>R8*7.45</f>
        <v/>
      </c>
      <c r="T8" s="28">
        <f>IF(P8&gt;0, S8/P8, 0)</f>
        <v/>
      </c>
      <c r="U8" s="28">
        <f>S8 + (Q8*T8)</f>
        <v/>
      </c>
      <c r="V8" s="29">
        <f>Q8*T8</f>
        <v/>
      </c>
      <c r="W8" s="25" t="n">
        <v>0.2916666666666667</v>
      </c>
      <c r="X8" s="25" t="n">
        <v>0.8333333333333334</v>
      </c>
      <c r="Y8" s="26">
        <f>IF(B8="Sun", 0, IF(B8="Sat", 6, 12))</f>
        <v/>
      </c>
      <c r="Z8" s="26">
        <f>IF(OR(X8="OFF", ISBLANK(X8)), 0, (X8 - W8)*24)</f>
        <v/>
      </c>
      <c r="AA8" s="26">
        <f>IF(OR(B8="Sun", X8="OFF", ISBLANK(X8)), 0, MAX(0, (IF(B8="Sat", 14/24, 20/24) - X8)*24))</f>
        <v/>
      </c>
      <c r="AB8" s="27" t="n">
        <v>105</v>
      </c>
      <c r="AC8" s="28">
        <f>AB8*7.45</f>
        <v/>
      </c>
      <c r="AD8" s="28">
        <f>IF(Z8&gt;0, AC8/Z8, 0)</f>
        <v/>
      </c>
      <c r="AE8" s="28">
        <f>AC8 + (AA8*AD8)</f>
        <v/>
      </c>
      <c r="AF8" s="29">
        <f>AA8*AD8</f>
        <v/>
      </c>
      <c r="AG8" s="25" t="n">
        <v>0.2916666666666667</v>
      </c>
      <c r="AH8" s="25" t="n">
        <v>0.7597222222222222</v>
      </c>
      <c r="AI8" s="26">
        <f>IF(B8="Sun", 0, IF(B8="Sat", 6, 12))</f>
        <v/>
      </c>
      <c r="AJ8" s="26">
        <f>IF(OR(AH8="OFF", ISBLANK(AH8)), 0, (AH8 - AG8)*24)</f>
        <v/>
      </c>
      <c r="AK8" s="26">
        <f>IF(OR(B8="Sun", AH8="OFF", ISBLANK(AH8)), 0, MAX(0, (IF(B8="Sat", 14/24, 20/24) - AH8)*24))</f>
        <v/>
      </c>
      <c r="AL8" s="27" t="n">
        <v>75</v>
      </c>
      <c r="AM8" s="28">
        <f>AL8*7.45</f>
        <v/>
      </c>
      <c r="AN8" s="28">
        <f>IF(AJ8&gt;0, AM8/AJ8, 0)</f>
        <v/>
      </c>
      <c r="AO8" s="28">
        <f>AM8 + (AK8*AN8)</f>
        <v/>
      </c>
      <c r="AP8" s="29">
        <f>AK8*AN8</f>
        <v/>
      </c>
      <c r="AQ8" s="26">
        <f>E8+O8+Y8+AI8</f>
        <v/>
      </c>
      <c r="AR8" s="26">
        <f>F8+P8+Z8+AJ8</f>
        <v/>
      </c>
      <c r="AS8" s="30">
        <f>G8+Q8+AA8+AK8</f>
        <v/>
      </c>
      <c r="AT8" s="27">
        <f>H8+R8+AB8+AL8</f>
        <v/>
      </c>
      <c r="AU8" s="28">
        <f>AT8*7.45</f>
        <v/>
      </c>
      <c r="AV8" s="29">
        <f>I8+S8+AC8+AM8</f>
        <v/>
      </c>
      <c r="AW8" s="28">
        <f>K8+U8+AE8+AO8</f>
        <v/>
      </c>
      <c r="AX8" s="29">
        <f>L8+V8+AF8+AP8</f>
        <v/>
      </c>
      <c r="AY8" s="31">
        <f>IF(AW8&gt;0, AX8/AW8, 0)</f>
        <v/>
      </c>
    </row>
    <row r="9">
      <c r="A9" s="14" t="n">
        <v>46176</v>
      </c>
      <c r="B9" s="15" t="inlineStr">
        <is>
          <t>Wed</t>
        </is>
      </c>
      <c r="C9" s="16" t="n">
        <v>0.2916666666666667</v>
      </c>
      <c r="D9" s="16" t="n">
        <v>0.8159722222222222</v>
      </c>
      <c r="E9" s="17">
        <f>IF(B9="Sun", 0, IF(B9="Sat", 6, 12))</f>
        <v/>
      </c>
      <c r="F9" s="17">
        <f>IF(OR(D9="OFF", ISBLANK(D9)), 0, (D9 - C9)*24)</f>
        <v/>
      </c>
      <c r="G9" s="17">
        <f>IF(OR(B9="Sun", D9="OFF", ISBLANK(D9)), 0, MAX(0, (IF(B9="Sat", 14/24, 20/24) - D9)*24))</f>
        <v/>
      </c>
      <c r="H9" s="18" t="n">
        <v>88</v>
      </c>
      <c r="I9" s="19">
        <f>H9*7.45</f>
        <v/>
      </c>
      <c r="J9" s="19">
        <f>IF(F9&gt;0, I9/F9, 0)</f>
        <v/>
      </c>
      <c r="K9" s="19">
        <f>I9 + (G9*J9)</f>
        <v/>
      </c>
      <c r="L9" s="20">
        <f>G9*J9</f>
        <v/>
      </c>
      <c r="M9" s="16" t="n">
        <v>0.3069444444444445</v>
      </c>
      <c r="N9" s="16" t="n">
        <v>0.8159722222222222</v>
      </c>
      <c r="O9" s="17">
        <f>IF(B9="Sun", 0, IF(B9="Sat", 6, 12))</f>
        <v/>
      </c>
      <c r="P9" s="17">
        <f>IF(OR(N9="OFF", ISBLANK(N9)), 0, (N9 - M9)*24)</f>
        <v/>
      </c>
      <c r="Q9" s="17">
        <f>IF(OR(B9="Sun", N9="OFF", ISBLANK(N9)), 0, MAX(0, (IF(B9="Sat", 14/24, 20/24) - N9)*24))</f>
        <v/>
      </c>
      <c r="R9" s="18" t="n">
        <v>74</v>
      </c>
      <c r="S9" s="19">
        <f>R9*7.45</f>
        <v/>
      </c>
      <c r="T9" s="19">
        <f>IF(P9&gt;0, S9/P9, 0)</f>
        <v/>
      </c>
      <c r="U9" s="19">
        <f>S9 + (Q9*T9)</f>
        <v/>
      </c>
      <c r="V9" s="20">
        <f>Q9*T9</f>
        <v/>
      </c>
      <c r="W9" s="16" t="n">
        <v>0.3069444444444445</v>
      </c>
      <c r="X9" s="16" t="n">
        <v>0.7430555555555556</v>
      </c>
      <c r="Y9" s="17">
        <f>IF(B9="Sun", 0, IF(B9="Sat", 6, 12))</f>
        <v/>
      </c>
      <c r="Z9" s="17">
        <f>IF(OR(X9="OFF", ISBLANK(X9)), 0, (X9 - W9)*24)</f>
        <v/>
      </c>
      <c r="AA9" s="17">
        <f>IF(OR(B9="Sun", X9="OFF", ISBLANK(X9)), 0, MAX(0, (IF(B9="Sat", 14/24, 20/24) - X9)*24))</f>
        <v/>
      </c>
      <c r="AB9" s="18" t="n">
        <v>84</v>
      </c>
      <c r="AC9" s="19">
        <f>AB9*7.45</f>
        <v/>
      </c>
      <c r="AD9" s="19">
        <f>IF(Z9&gt;0, AC9/Z9, 0)</f>
        <v/>
      </c>
      <c r="AE9" s="19">
        <f>AC9 + (AA9*AD9)</f>
        <v/>
      </c>
      <c r="AF9" s="20">
        <f>AA9*AD9</f>
        <v/>
      </c>
      <c r="AG9" s="16" t="n">
        <v>0.3069444444444445</v>
      </c>
      <c r="AH9" s="16" t="n">
        <v>0.8333333333333334</v>
      </c>
      <c r="AI9" s="17">
        <f>IF(B9="Sun", 0, IF(B9="Sat", 6, 12))</f>
        <v/>
      </c>
      <c r="AJ9" s="17">
        <f>IF(OR(AH9="OFF", ISBLANK(AH9)), 0, (AH9 - AG9)*24)</f>
        <v/>
      </c>
      <c r="AK9" s="17">
        <f>IF(OR(B9="Sun", AH9="OFF", ISBLANK(AH9)), 0, MAX(0, (IF(B9="Sat", 14/24, 20/24) - AH9)*24))</f>
        <v/>
      </c>
      <c r="AL9" s="18" t="n">
        <v>74</v>
      </c>
      <c r="AM9" s="19">
        <f>AL9*7.45</f>
        <v/>
      </c>
      <c r="AN9" s="19">
        <f>IF(AJ9&gt;0, AM9/AJ9, 0)</f>
        <v/>
      </c>
      <c r="AO9" s="19">
        <f>AM9 + (AK9*AN9)</f>
        <v/>
      </c>
      <c r="AP9" s="20">
        <f>AK9*AN9</f>
        <v/>
      </c>
      <c r="AQ9" s="17">
        <f>E9+O9+Y9+AI9</f>
        <v/>
      </c>
      <c r="AR9" s="17">
        <f>F9+P9+Z9+AJ9</f>
        <v/>
      </c>
      <c r="AS9" s="21">
        <f>G9+Q9+AA9+AK9</f>
        <v/>
      </c>
      <c r="AT9" s="18">
        <f>H9+R9+AB9+AL9</f>
        <v/>
      </c>
      <c r="AU9" s="19">
        <f>AT9*7.45</f>
        <v/>
      </c>
      <c r="AV9" s="20">
        <f>I9+S9+AC9+AM9</f>
        <v/>
      </c>
      <c r="AW9" s="19">
        <f>K9+U9+AE9+AO9</f>
        <v/>
      </c>
      <c r="AX9" s="20">
        <f>L9+V9+AF9+AP9</f>
        <v/>
      </c>
      <c r="AY9" s="22">
        <f>IF(AW9&gt;0, AX9/AW9, 0)</f>
        <v/>
      </c>
    </row>
    <row r="10">
      <c r="A10" s="23" t="n">
        <v>46177</v>
      </c>
      <c r="B10" s="24" t="inlineStr">
        <is>
          <t>Thu</t>
        </is>
      </c>
      <c r="C10" s="25" t="n">
        <v>0.2986111111111111</v>
      </c>
      <c r="D10" s="25" t="n">
        <v>0.7638888888888888</v>
      </c>
      <c r="E10" s="26">
        <f>IF(B10="Sun", 0, IF(B10="Sat", 6, 12))</f>
        <v/>
      </c>
      <c r="F10" s="26">
        <f>IF(OR(D10="OFF", ISBLANK(D10)), 0, (D10 - C10)*24)</f>
        <v/>
      </c>
      <c r="G10" s="26">
        <f>IF(OR(B10="Sun", D10="OFF", ISBLANK(D10)), 0, MAX(0, (IF(B10="Sat", 14/24, 20/24) - D10)*24))</f>
        <v/>
      </c>
      <c r="H10" s="27" t="n">
        <v>82</v>
      </c>
      <c r="I10" s="28">
        <f>H10*7.45</f>
        <v/>
      </c>
      <c r="J10" s="28">
        <f>IF(F10&gt;0, I10/F10, 0)</f>
        <v/>
      </c>
      <c r="K10" s="28">
        <f>I10 + (G10*J10)</f>
        <v/>
      </c>
      <c r="L10" s="29">
        <f>G10*J10</f>
        <v/>
      </c>
      <c r="M10" s="25" t="n">
        <v>0.2986111111111111</v>
      </c>
      <c r="N10" s="25" t="n">
        <v>0.7930555555555555</v>
      </c>
      <c r="O10" s="26">
        <f>IF(B10="Sun", 0, IF(B10="Sat", 6, 12))</f>
        <v/>
      </c>
      <c r="P10" s="26">
        <f>IF(OR(N10="OFF", ISBLANK(N10)), 0, (N10 - M10)*24)</f>
        <v/>
      </c>
      <c r="Q10" s="26">
        <f>IF(OR(B10="Sun", N10="OFF", ISBLANK(N10)), 0, MAX(0, (IF(B10="Sat", 14/24, 20/24) - N10)*24))</f>
        <v/>
      </c>
      <c r="R10" s="27" t="n">
        <v>73</v>
      </c>
      <c r="S10" s="28">
        <f>R10*7.45</f>
        <v/>
      </c>
      <c r="T10" s="28">
        <f>IF(P10&gt;0, S10/P10, 0)</f>
        <v/>
      </c>
      <c r="U10" s="28">
        <f>S10 + (Q10*T10)</f>
        <v/>
      </c>
      <c r="V10" s="29">
        <f>Q10*T10</f>
        <v/>
      </c>
      <c r="W10" s="25" t="n">
        <v>0.2986111111111111</v>
      </c>
      <c r="X10" s="25" t="n">
        <v>0.7444444444444445</v>
      </c>
      <c r="Y10" s="26">
        <f>IF(B10="Sun", 0, IF(B10="Sat", 6, 12))</f>
        <v/>
      </c>
      <c r="Z10" s="26">
        <f>IF(OR(X10="OFF", ISBLANK(X10)), 0, (X10 - W10)*24)</f>
        <v/>
      </c>
      <c r="AA10" s="26">
        <f>IF(OR(B10="Sun", X10="OFF", ISBLANK(X10)), 0, MAX(0, (IF(B10="Sat", 14/24, 20/24) - X10)*24))</f>
        <v/>
      </c>
      <c r="AB10" s="27" t="n">
        <v>84</v>
      </c>
      <c r="AC10" s="28">
        <f>AB10*7.45</f>
        <v/>
      </c>
      <c r="AD10" s="28">
        <f>IF(Z10&gt;0, AC10/Z10, 0)</f>
        <v/>
      </c>
      <c r="AE10" s="28">
        <f>AC10 + (AA10*AD10)</f>
        <v/>
      </c>
      <c r="AF10" s="29">
        <f>AA10*AD10</f>
        <v/>
      </c>
      <c r="AG10" s="25" t="n">
        <v>0.2986111111111111</v>
      </c>
      <c r="AH10" s="25" t="n">
        <v>0.7444444444444445</v>
      </c>
      <c r="AI10" s="26">
        <f>IF(B10="Sun", 0, IF(B10="Sat", 6, 12))</f>
        <v/>
      </c>
      <c r="AJ10" s="26">
        <f>IF(OR(AH10="OFF", ISBLANK(AH10)), 0, (AH10 - AG10)*24)</f>
        <v/>
      </c>
      <c r="AK10" s="26">
        <f>IF(OR(B10="Sun", AH10="OFF", ISBLANK(AH10)), 0, MAX(0, (IF(B10="Sat", 14/24, 20/24) - AH10)*24))</f>
        <v/>
      </c>
      <c r="AL10" s="27" t="n">
        <v>63</v>
      </c>
      <c r="AM10" s="28">
        <f>AL10*7.45</f>
        <v/>
      </c>
      <c r="AN10" s="28">
        <f>IF(AJ10&gt;0, AM10/AJ10, 0)</f>
        <v/>
      </c>
      <c r="AO10" s="28">
        <f>AM10 + (AK10*AN10)</f>
        <v/>
      </c>
      <c r="AP10" s="29">
        <f>AK10*AN10</f>
        <v/>
      </c>
      <c r="AQ10" s="26">
        <f>E10+O10+Y10+AI10</f>
        <v/>
      </c>
      <c r="AR10" s="26">
        <f>F10+P10+Z10+AJ10</f>
        <v/>
      </c>
      <c r="AS10" s="30">
        <f>G10+Q10+AA10+AK10</f>
        <v/>
      </c>
      <c r="AT10" s="27">
        <f>H10+R10+AB10+AL10</f>
        <v/>
      </c>
      <c r="AU10" s="28">
        <f>AT10*7.45</f>
        <v/>
      </c>
      <c r="AV10" s="29">
        <f>I10+S10+AC10+AM10</f>
        <v/>
      </c>
      <c r="AW10" s="28">
        <f>K10+U10+AE10+AO10</f>
        <v/>
      </c>
      <c r="AX10" s="29">
        <f>L10+V10+AF10+AP10</f>
        <v/>
      </c>
      <c r="AY10" s="31">
        <f>IF(AW10&gt;0, AX10/AW10, 0)</f>
        <v/>
      </c>
    </row>
    <row r="11">
      <c r="A11" s="14" t="n">
        <v>46178</v>
      </c>
      <c r="B11" s="15" t="inlineStr">
        <is>
          <t>Fri</t>
        </is>
      </c>
      <c r="C11" s="16" t="n">
        <v>0.3194444444444444</v>
      </c>
      <c r="D11" s="16" t="n">
        <v>0.7756944444444445</v>
      </c>
      <c r="E11" s="17">
        <f>IF(B11="Sun", 0, IF(B11="Sat", 6, 12))</f>
        <v/>
      </c>
      <c r="F11" s="17">
        <f>IF(OR(D11="OFF", ISBLANK(D11)), 0, (D11 - C11)*24)</f>
        <v/>
      </c>
      <c r="G11" s="17">
        <f>IF(OR(B11="Sun", D11="OFF", ISBLANK(D11)), 0, MAX(0, (IF(B11="Sat", 14/24, 20/24) - D11)*24))</f>
        <v/>
      </c>
      <c r="H11" s="18" t="n">
        <v>83</v>
      </c>
      <c r="I11" s="19">
        <f>H11*7.45</f>
        <v/>
      </c>
      <c r="J11" s="19">
        <f>IF(F11&gt;0, I11/F11, 0)</f>
        <v/>
      </c>
      <c r="K11" s="19">
        <f>I11 + (G11*J11)</f>
        <v/>
      </c>
      <c r="L11" s="20">
        <f>G11*J11</f>
        <v/>
      </c>
      <c r="M11" s="16" t="n">
        <v>0.3194444444444444</v>
      </c>
      <c r="N11" s="16" t="n">
        <v>0.8104166666666667</v>
      </c>
      <c r="O11" s="17">
        <f>IF(B11="Sun", 0, IF(B11="Sat", 6, 12))</f>
        <v/>
      </c>
      <c r="P11" s="17">
        <f>IF(OR(N11="OFF", ISBLANK(N11)), 0, (N11 - M11)*24)</f>
        <v/>
      </c>
      <c r="Q11" s="17">
        <f>IF(OR(B11="Sun", N11="OFF", ISBLANK(N11)), 0, MAX(0, (IF(B11="Sat", 14/24, 20/24) - N11)*24))</f>
        <v/>
      </c>
      <c r="R11" s="18" t="n">
        <v>75</v>
      </c>
      <c r="S11" s="19">
        <f>R11*7.45</f>
        <v/>
      </c>
      <c r="T11" s="19">
        <f>IF(P11&gt;0, S11/P11, 0)</f>
        <v/>
      </c>
      <c r="U11" s="19">
        <f>S11 + (Q11*T11)</f>
        <v/>
      </c>
      <c r="V11" s="20">
        <f>Q11*T11</f>
        <v/>
      </c>
      <c r="W11" s="16" t="n">
        <v>0.3194444444444444</v>
      </c>
      <c r="X11" s="16" t="n">
        <v>0.7534722222222222</v>
      </c>
      <c r="Y11" s="17">
        <f>IF(B11="Sun", 0, IF(B11="Sat", 6, 12))</f>
        <v/>
      </c>
      <c r="Z11" s="17">
        <f>IF(OR(X11="OFF", ISBLANK(X11)), 0, (X11 - W11)*24)</f>
        <v/>
      </c>
      <c r="AA11" s="17">
        <f>IF(OR(B11="Sun", X11="OFF", ISBLANK(X11)), 0, MAX(0, (IF(B11="Sat", 14/24, 20/24) - X11)*24))</f>
        <v/>
      </c>
      <c r="AB11" s="18" t="n">
        <v>77</v>
      </c>
      <c r="AC11" s="19">
        <f>AB11*7.45</f>
        <v/>
      </c>
      <c r="AD11" s="19">
        <f>IF(Z11&gt;0, AC11/Z11, 0)</f>
        <v/>
      </c>
      <c r="AE11" s="19">
        <f>AC11 + (AA11*AD11)</f>
        <v/>
      </c>
      <c r="AF11" s="20">
        <f>AA11*AD11</f>
        <v/>
      </c>
      <c r="AG11" s="16" t="n">
        <v>0.3194444444444444</v>
      </c>
      <c r="AH11" s="16" t="n">
        <v>0.7534722222222222</v>
      </c>
      <c r="AI11" s="17">
        <f>IF(B11="Sun", 0, IF(B11="Sat", 6, 12))</f>
        <v/>
      </c>
      <c r="AJ11" s="17">
        <f>IF(OR(AH11="OFF", ISBLANK(AH11)), 0, (AH11 - AG11)*24)</f>
        <v/>
      </c>
      <c r="AK11" s="17">
        <f>IF(OR(B11="Sun", AH11="OFF", ISBLANK(AH11)), 0, MAX(0, (IF(B11="Sat", 14/24, 20/24) - AH11)*24))</f>
        <v/>
      </c>
      <c r="AL11" s="18" t="n">
        <v>64</v>
      </c>
      <c r="AM11" s="19">
        <f>AL11*7.45</f>
        <v/>
      </c>
      <c r="AN11" s="19">
        <f>IF(AJ11&gt;0, AM11/AJ11, 0)</f>
        <v/>
      </c>
      <c r="AO11" s="19">
        <f>AM11 + (AK11*AN11)</f>
        <v/>
      </c>
      <c r="AP11" s="20">
        <f>AK11*AN11</f>
        <v/>
      </c>
      <c r="AQ11" s="17">
        <f>E11+O11+Y11+AI11</f>
        <v/>
      </c>
      <c r="AR11" s="17">
        <f>F11+P11+Z11+AJ11</f>
        <v/>
      </c>
      <c r="AS11" s="21">
        <f>G11+Q11+AA11+AK11</f>
        <v/>
      </c>
      <c r="AT11" s="18">
        <f>H11+R11+AB11+AL11</f>
        <v/>
      </c>
      <c r="AU11" s="19">
        <f>AT11*7.45</f>
        <v/>
      </c>
      <c r="AV11" s="20">
        <f>I11+S11+AC11+AM11</f>
        <v/>
      </c>
      <c r="AW11" s="19">
        <f>K11+U11+AE11+AO11</f>
        <v/>
      </c>
      <c r="AX11" s="20">
        <f>L11+V11+AF11+AP11</f>
        <v/>
      </c>
      <c r="AY11" s="22">
        <f>IF(AW11&gt;0, AX11/AW11, 0)</f>
        <v/>
      </c>
    </row>
    <row r="12">
      <c r="A12" s="23" t="n">
        <v>46179</v>
      </c>
      <c r="B12" s="24" t="inlineStr">
        <is>
          <t>Sat</t>
        </is>
      </c>
      <c r="C12" s="25" t="n">
        <v>0.3055555555555556</v>
      </c>
      <c r="D12" s="25" t="n">
        <v>0.59375</v>
      </c>
      <c r="E12" s="26">
        <f>IF(B12="Sun", 0, IF(B12="Sat", 6, 12))</f>
        <v/>
      </c>
      <c r="F12" s="26">
        <f>IF(OR(D12="OFF", ISBLANK(D12)), 0, (D12 - C12)*24)</f>
        <v/>
      </c>
      <c r="G12" s="26">
        <f>IF(OR(B12="Sun", D12="OFF", ISBLANK(D12)), 0, MAX(0, (IF(B12="Sat", 14/24, 20/24) - D12)*24))</f>
        <v/>
      </c>
      <c r="H12" s="27" t="n">
        <v>51</v>
      </c>
      <c r="I12" s="28">
        <f>H12*7.45</f>
        <v/>
      </c>
      <c r="J12" s="28">
        <f>IF(F12&gt;0, I12/F12, 0)</f>
        <v/>
      </c>
      <c r="K12" s="28">
        <f>I12 + (G12*J12)</f>
        <v/>
      </c>
      <c r="L12" s="29">
        <f>G12*J12</f>
        <v/>
      </c>
      <c r="M12" s="25" t="n">
        <v>0.3055555555555556</v>
      </c>
      <c r="N12" s="25" t="n">
        <v>0.59375</v>
      </c>
      <c r="O12" s="26">
        <f>IF(B12="Sun", 0, IF(B12="Sat", 6, 12))</f>
        <v/>
      </c>
      <c r="P12" s="26">
        <f>IF(OR(N12="OFF", ISBLANK(N12)), 0, (N12 - M12)*24)</f>
        <v/>
      </c>
      <c r="Q12" s="26">
        <f>IF(OR(B12="Sun", N12="OFF", ISBLANK(N12)), 0, MAX(0, (IF(B12="Sat", 14/24, 20/24) - N12)*24))</f>
        <v/>
      </c>
      <c r="R12" s="27" t="n">
        <v>41</v>
      </c>
      <c r="S12" s="28">
        <f>R12*7.45</f>
        <v/>
      </c>
      <c r="T12" s="28">
        <f>IF(P12&gt;0, S12/P12, 0)</f>
        <v/>
      </c>
      <c r="U12" s="28">
        <f>S12 + (Q12*T12)</f>
        <v/>
      </c>
      <c r="V12" s="29">
        <f>Q12*T12</f>
        <v/>
      </c>
      <c r="W12" s="25" t="n">
        <v>0.3055555555555556</v>
      </c>
      <c r="X12" s="25" t="n">
        <v>0.59375</v>
      </c>
      <c r="Y12" s="26">
        <f>IF(B12="Sun", 0, IF(B12="Sat", 6, 12))</f>
        <v/>
      </c>
      <c r="Z12" s="26">
        <f>IF(OR(X12="OFF", ISBLANK(X12)), 0, (X12 - W12)*24)</f>
        <v/>
      </c>
      <c r="AA12" s="26">
        <f>IF(OR(B12="Sun", X12="OFF", ISBLANK(X12)), 0, MAX(0, (IF(B12="Sat", 14/24, 20/24) - X12)*24))</f>
        <v/>
      </c>
      <c r="AB12" s="27" t="n">
        <v>54</v>
      </c>
      <c r="AC12" s="28">
        <f>AB12*7.45</f>
        <v/>
      </c>
      <c r="AD12" s="28">
        <f>IF(Z12&gt;0, AC12/Z12, 0)</f>
        <v/>
      </c>
      <c r="AE12" s="28">
        <f>AC12 + (AA12*AD12)</f>
        <v/>
      </c>
      <c r="AF12" s="29">
        <f>AA12*AD12</f>
        <v/>
      </c>
      <c r="AG12" s="25" t="n">
        <v>0.3055555555555556</v>
      </c>
      <c r="AH12" s="25" t="n">
        <v>0.46875</v>
      </c>
      <c r="AI12" s="26">
        <f>IF(B12="Sun", 0, IF(B12="Sat", 6, 12))</f>
        <v/>
      </c>
      <c r="AJ12" s="26">
        <f>IF(OR(AH12="OFF", ISBLANK(AH12)), 0, (AH12 - AG12)*24)</f>
        <v/>
      </c>
      <c r="AK12" s="26">
        <f>IF(OR(B12="Sun", AH12="OFF", ISBLANK(AH12)), 0, MAX(0, (IF(B12="Sat", 14/24, 20/24) - AH12)*24))</f>
        <v/>
      </c>
      <c r="AL12" s="27" t="n">
        <v>19</v>
      </c>
      <c r="AM12" s="28">
        <f>AL12*7.45</f>
        <v/>
      </c>
      <c r="AN12" s="28">
        <f>IF(AJ12&gt;0, AM12/AJ12, 0)</f>
        <v/>
      </c>
      <c r="AO12" s="28">
        <f>AM12 + (AK12*AN12)</f>
        <v/>
      </c>
      <c r="AP12" s="29">
        <f>AK12*AN12</f>
        <v/>
      </c>
      <c r="AQ12" s="26">
        <f>E12+O12+Y12+AI12</f>
        <v/>
      </c>
      <c r="AR12" s="26">
        <f>F12+P12+Z12+AJ12</f>
        <v/>
      </c>
      <c r="AS12" s="30">
        <f>G12+Q12+AA12+AK12</f>
        <v/>
      </c>
      <c r="AT12" s="27">
        <f>H12+R12+AB12+AL12</f>
        <v/>
      </c>
      <c r="AU12" s="28">
        <f>AT12*7.45</f>
        <v/>
      </c>
      <c r="AV12" s="29">
        <f>I12+S12+AC12+AM12</f>
        <v/>
      </c>
      <c r="AW12" s="28">
        <f>K12+U12+AE12+AO12</f>
        <v/>
      </c>
      <c r="AX12" s="29">
        <f>L12+V12+AF12+AP12</f>
        <v/>
      </c>
      <c r="AY12" s="31">
        <f>IF(AW12&gt;0, AX12/AW12, 0)</f>
        <v/>
      </c>
    </row>
    <row r="13">
      <c r="A13" s="14" t="n">
        <v>46180</v>
      </c>
      <c r="B13" s="15" t="inlineStr">
        <is>
          <t>Sun</t>
        </is>
      </c>
      <c r="C13" s="15" t="inlineStr">
        <is>
          <t>OFF</t>
        </is>
      </c>
      <c r="D13" s="15" t="inlineStr">
        <is>
          <t>OFF</t>
        </is>
      </c>
      <c r="E13" s="17">
        <f>IF(B13="Sun", 0, IF(B13="Sat", 6, 12))</f>
        <v/>
      </c>
      <c r="F13" s="17">
        <f>IF(OR(D13="OFF", ISBLANK(D13)), 0, (D13 - C13)*24)</f>
        <v/>
      </c>
      <c r="G13" s="17">
        <f>IF(OR(B13="Sun", D13="OFF", ISBLANK(D13)), 0, MAX(0, (IF(B13="Sat", 14/24, 20/24) - D13)*24))</f>
        <v/>
      </c>
      <c r="H13" s="18" t="n">
        <v>0</v>
      </c>
      <c r="I13" s="19">
        <f>H13*7.45</f>
        <v/>
      </c>
      <c r="J13" s="19">
        <f>IF(F13&gt;0, I13/F13, 0)</f>
        <v/>
      </c>
      <c r="K13" s="19">
        <f>I13 + (G13*J13)</f>
        <v/>
      </c>
      <c r="L13" s="20">
        <f>G13*J13</f>
        <v/>
      </c>
      <c r="M13" s="15" t="inlineStr">
        <is>
          <t>OFF</t>
        </is>
      </c>
      <c r="N13" s="15" t="inlineStr">
        <is>
          <t>OFF</t>
        </is>
      </c>
      <c r="O13" s="17">
        <f>IF(B13="Sun", 0, IF(B13="Sat", 6, 12))</f>
        <v/>
      </c>
      <c r="P13" s="17">
        <f>IF(OR(N13="OFF", ISBLANK(N13)), 0, (N13 - M13)*24)</f>
        <v/>
      </c>
      <c r="Q13" s="17">
        <f>IF(OR(B13="Sun", N13="OFF", ISBLANK(N13)), 0, MAX(0, (IF(B13="Sat", 14/24, 20/24) - N13)*24))</f>
        <v/>
      </c>
      <c r="R13" s="18" t="n">
        <v>0</v>
      </c>
      <c r="S13" s="19">
        <f>R13*7.45</f>
        <v/>
      </c>
      <c r="T13" s="19">
        <f>IF(P13&gt;0, S13/P13, 0)</f>
        <v/>
      </c>
      <c r="U13" s="19">
        <f>S13 + (Q13*T13)</f>
        <v/>
      </c>
      <c r="V13" s="20">
        <f>Q13*T13</f>
        <v/>
      </c>
      <c r="W13" s="15" t="inlineStr">
        <is>
          <t>OFF</t>
        </is>
      </c>
      <c r="X13" s="15" t="inlineStr">
        <is>
          <t>OFF</t>
        </is>
      </c>
      <c r="Y13" s="17">
        <f>IF(B13="Sun", 0, IF(B13="Sat", 6, 12))</f>
        <v/>
      </c>
      <c r="Z13" s="17">
        <f>IF(OR(X13="OFF", ISBLANK(X13)), 0, (X13 - W13)*24)</f>
        <v/>
      </c>
      <c r="AA13" s="17">
        <f>IF(OR(B13="Sun", X13="OFF", ISBLANK(X13)), 0, MAX(0, (IF(B13="Sat", 14/24, 20/24) - X13)*24))</f>
        <v/>
      </c>
      <c r="AB13" s="18" t="n">
        <v>0</v>
      </c>
      <c r="AC13" s="19">
        <f>AB13*7.45</f>
        <v/>
      </c>
      <c r="AD13" s="19">
        <f>IF(Z13&gt;0, AC13/Z13, 0)</f>
        <v/>
      </c>
      <c r="AE13" s="19">
        <f>AC13 + (AA13*AD13)</f>
        <v/>
      </c>
      <c r="AF13" s="20">
        <f>AA13*AD13</f>
        <v/>
      </c>
      <c r="AG13" s="15" t="inlineStr">
        <is>
          <t>OFF</t>
        </is>
      </c>
      <c r="AH13" s="15" t="inlineStr">
        <is>
          <t>OFF</t>
        </is>
      </c>
      <c r="AI13" s="17">
        <f>IF(B13="Sun", 0, IF(B13="Sat", 6, 12))</f>
        <v/>
      </c>
      <c r="AJ13" s="17">
        <f>IF(OR(AH13="OFF", ISBLANK(AH13)), 0, (AH13 - AG13)*24)</f>
        <v/>
      </c>
      <c r="AK13" s="17">
        <f>IF(OR(B13="Sun", AH13="OFF", ISBLANK(AH13)), 0, MAX(0, (IF(B13="Sat", 14/24, 20/24) - AH13)*24))</f>
        <v/>
      </c>
      <c r="AL13" s="18" t="n">
        <v>0</v>
      </c>
      <c r="AM13" s="19">
        <f>AL13*7.45</f>
        <v/>
      </c>
      <c r="AN13" s="19">
        <f>IF(AJ13&gt;0, AM13/AJ13, 0)</f>
        <v/>
      </c>
      <c r="AO13" s="19">
        <f>AM13 + (AK13*AN13)</f>
        <v/>
      </c>
      <c r="AP13" s="20">
        <f>AK13*AN13</f>
        <v/>
      </c>
      <c r="AQ13" s="17">
        <f>E13+O13+Y13+AI13</f>
        <v/>
      </c>
      <c r="AR13" s="17">
        <f>F13+P13+Z13+AJ13</f>
        <v/>
      </c>
      <c r="AS13" s="21">
        <f>G13+Q13+AA13+AK13</f>
        <v/>
      </c>
      <c r="AT13" s="18">
        <f>H13+R13+AB13+AL13</f>
        <v/>
      </c>
      <c r="AU13" s="19">
        <f>AT13*7.45</f>
        <v/>
      </c>
      <c r="AV13" s="20">
        <f>I13+S13+AC13+AM13</f>
        <v/>
      </c>
      <c r="AW13" s="19">
        <f>K13+U13+AE13+AO13</f>
        <v/>
      </c>
      <c r="AX13" s="20">
        <f>L13+V13+AF13+AP13</f>
        <v/>
      </c>
      <c r="AY13" s="22">
        <f>IF(AW13&gt;0, AX13/AW13, 0)</f>
        <v/>
      </c>
    </row>
    <row r="14">
      <c r="A14" s="23" t="n">
        <v>46181</v>
      </c>
      <c r="B14" s="24" t="inlineStr">
        <is>
          <t>Mon</t>
        </is>
      </c>
      <c r="C14" s="25" t="n">
        <v>0.3027777777777778</v>
      </c>
      <c r="D14" s="25" t="n">
        <v>0.8354166666666667</v>
      </c>
      <c r="E14" s="26">
        <f>IF(B14="Sun", 0, IF(B14="Sat", 6, 12))</f>
        <v/>
      </c>
      <c r="F14" s="26">
        <f>IF(OR(D14="OFF", ISBLANK(D14)), 0, (D14 - C14)*24)</f>
        <v/>
      </c>
      <c r="G14" s="26">
        <f>IF(OR(B14="Sun", D14="OFF", ISBLANK(D14)), 0, MAX(0, (IF(B14="Sat", 14/24, 20/24) - D14)*24))</f>
        <v/>
      </c>
      <c r="H14" s="27" t="n">
        <v>59</v>
      </c>
      <c r="I14" s="28">
        <f>H14*7.45</f>
        <v/>
      </c>
      <c r="J14" s="28">
        <f>IF(F14&gt;0, I14/F14, 0)</f>
        <v/>
      </c>
      <c r="K14" s="28">
        <f>I14 + (G14*J14)</f>
        <v/>
      </c>
      <c r="L14" s="29">
        <f>G14*J14</f>
        <v/>
      </c>
      <c r="M14" s="25" t="n">
        <v>0.3027777777777778</v>
      </c>
      <c r="N14" s="25" t="n">
        <v>0.8354166666666667</v>
      </c>
      <c r="O14" s="26">
        <f>IF(B14="Sun", 0, IF(B14="Sat", 6, 12))</f>
        <v/>
      </c>
      <c r="P14" s="26">
        <f>IF(OR(N14="OFF", ISBLANK(N14)), 0, (N14 - M14)*24)</f>
        <v/>
      </c>
      <c r="Q14" s="26">
        <f>IF(OR(B14="Sun", N14="OFF", ISBLANK(N14)), 0, MAX(0, (IF(B14="Sat", 14/24, 20/24) - N14)*24))</f>
        <v/>
      </c>
      <c r="R14" s="27" t="n">
        <v>48</v>
      </c>
      <c r="S14" s="28">
        <f>R14*7.45</f>
        <v/>
      </c>
      <c r="T14" s="28">
        <f>IF(P14&gt;0, S14/P14, 0)</f>
        <v/>
      </c>
      <c r="U14" s="28">
        <f>S14 + (Q14*T14)</f>
        <v/>
      </c>
      <c r="V14" s="29">
        <f>Q14*T14</f>
        <v/>
      </c>
      <c r="W14" s="25" t="n">
        <v>0.3027777777777778</v>
      </c>
      <c r="X14" s="25" t="n">
        <v>0.7986111111111112</v>
      </c>
      <c r="Y14" s="26">
        <f>IF(B14="Sun", 0, IF(B14="Sat", 6, 12))</f>
        <v/>
      </c>
      <c r="Z14" s="26">
        <f>IF(OR(X14="OFF", ISBLANK(X14)), 0, (X14 - W14)*24)</f>
        <v/>
      </c>
      <c r="AA14" s="26">
        <f>IF(OR(B14="Sun", X14="OFF", ISBLANK(X14)), 0, MAX(0, (IF(B14="Sat", 14/24, 20/24) - X14)*24))</f>
        <v/>
      </c>
      <c r="AB14" s="27" t="n">
        <v>56</v>
      </c>
      <c r="AC14" s="28">
        <f>AB14*7.45</f>
        <v/>
      </c>
      <c r="AD14" s="28">
        <f>IF(Z14&gt;0, AC14/Z14, 0)</f>
        <v/>
      </c>
      <c r="AE14" s="28">
        <f>AC14 + (AA14*AD14)</f>
        <v/>
      </c>
      <c r="AF14" s="29">
        <f>AA14*AD14</f>
        <v/>
      </c>
      <c r="AG14" s="25" t="n">
        <v>0.3027777777777778</v>
      </c>
      <c r="AH14" s="25" t="n">
        <v>0.7986111111111112</v>
      </c>
      <c r="AI14" s="26">
        <f>IF(B14="Sun", 0, IF(B14="Sat", 6, 12))</f>
        <v/>
      </c>
      <c r="AJ14" s="26">
        <f>IF(OR(AH14="OFF", ISBLANK(AH14)), 0, (AH14 - AG14)*24)</f>
        <v/>
      </c>
      <c r="AK14" s="26">
        <f>IF(OR(B14="Sun", AH14="OFF", ISBLANK(AH14)), 0, MAX(0, (IF(B14="Sat", 14/24, 20/24) - AH14)*24))</f>
        <v/>
      </c>
      <c r="AL14" s="27" t="n">
        <v>53</v>
      </c>
      <c r="AM14" s="28">
        <f>AL14*7.45</f>
        <v/>
      </c>
      <c r="AN14" s="28">
        <f>IF(AJ14&gt;0, AM14/AJ14, 0)</f>
        <v/>
      </c>
      <c r="AO14" s="28">
        <f>AM14 + (AK14*AN14)</f>
        <v/>
      </c>
      <c r="AP14" s="29">
        <f>AK14*AN14</f>
        <v/>
      </c>
      <c r="AQ14" s="26">
        <f>E14+O14+Y14+AI14</f>
        <v/>
      </c>
      <c r="AR14" s="26">
        <f>F14+P14+Z14+AJ14</f>
        <v/>
      </c>
      <c r="AS14" s="30">
        <f>G14+Q14+AA14+AK14</f>
        <v/>
      </c>
      <c r="AT14" s="27">
        <f>H14+R14+AB14+AL14</f>
        <v/>
      </c>
      <c r="AU14" s="28">
        <f>AT14*7.45</f>
        <v/>
      </c>
      <c r="AV14" s="29">
        <f>I14+S14+AC14+AM14</f>
        <v/>
      </c>
      <c r="AW14" s="28">
        <f>K14+U14+AE14+AO14</f>
        <v/>
      </c>
      <c r="AX14" s="29">
        <f>L14+V14+AF14+AP14</f>
        <v/>
      </c>
      <c r="AY14" s="31">
        <f>IF(AW14&gt;0, AX14/AW14, 0)</f>
        <v/>
      </c>
    </row>
    <row r="15">
      <c r="A15" s="14" t="n">
        <v>46182</v>
      </c>
      <c r="B15" s="15" t="inlineStr">
        <is>
          <t>Tue</t>
        </is>
      </c>
      <c r="C15" s="16" t="n">
        <v>0.2986111111111111</v>
      </c>
      <c r="D15" s="16" t="n">
        <v>0.7604166666666666</v>
      </c>
      <c r="E15" s="17">
        <f>IF(B15="Sun", 0, IF(B15="Sat", 6, 12))</f>
        <v/>
      </c>
      <c r="F15" s="17">
        <f>IF(OR(D15="OFF", ISBLANK(D15)), 0, (D15 - C15)*24)</f>
        <v/>
      </c>
      <c r="G15" s="17">
        <f>IF(OR(B15="Sun", D15="OFF", ISBLANK(D15)), 0, MAX(0, (IF(B15="Sat", 14/24, 20/24) - D15)*24))</f>
        <v/>
      </c>
      <c r="H15" s="18" t="n">
        <v>38</v>
      </c>
      <c r="I15" s="19">
        <f>H15*7.45</f>
        <v/>
      </c>
      <c r="J15" s="19">
        <f>IF(F15&gt;0, I15/F15, 0)</f>
        <v/>
      </c>
      <c r="K15" s="19">
        <f>I15 + (G15*J15)</f>
        <v/>
      </c>
      <c r="L15" s="20">
        <f>G15*J15</f>
        <v/>
      </c>
      <c r="M15" s="16" t="n">
        <v>0.2986111111111111</v>
      </c>
      <c r="N15" s="16" t="n">
        <v>0.8333333333333334</v>
      </c>
      <c r="O15" s="17">
        <f>IF(B15="Sun", 0, IF(B15="Sat", 6, 12))</f>
        <v/>
      </c>
      <c r="P15" s="17">
        <f>IF(OR(N15="OFF", ISBLANK(N15)), 0, (N15 - M15)*24)</f>
        <v/>
      </c>
      <c r="Q15" s="17">
        <f>IF(OR(B15="Sun", N15="OFF", ISBLANK(N15)), 0, MAX(0, (IF(B15="Sat", 14/24, 20/24) - N15)*24))</f>
        <v/>
      </c>
      <c r="R15" s="18" t="n">
        <v>49</v>
      </c>
      <c r="S15" s="19">
        <f>R15*7.45</f>
        <v/>
      </c>
      <c r="T15" s="19">
        <f>IF(P15&gt;0, S15/P15, 0)</f>
        <v/>
      </c>
      <c r="U15" s="19">
        <f>S15 + (Q15*T15)</f>
        <v/>
      </c>
      <c r="V15" s="20">
        <f>Q15*T15</f>
        <v/>
      </c>
      <c r="W15" s="16" t="n">
        <v>0.2986111111111111</v>
      </c>
      <c r="X15" s="16" t="n">
        <v>0.7604166666666666</v>
      </c>
      <c r="Y15" s="17">
        <f>IF(B15="Sun", 0, IF(B15="Sat", 6, 12))</f>
        <v/>
      </c>
      <c r="Z15" s="17">
        <f>IF(OR(X15="OFF", ISBLANK(X15)), 0, (X15 - W15)*24)</f>
        <v/>
      </c>
      <c r="AA15" s="17">
        <f>IF(OR(B15="Sun", X15="OFF", ISBLANK(X15)), 0, MAX(0, (IF(B15="Sat", 14/24, 20/24) - X15)*24))</f>
        <v/>
      </c>
      <c r="AB15" s="18" t="n">
        <v>57</v>
      </c>
      <c r="AC15" s="19">
        <f>AB15*7.45</f>
        <v/>
      </c>
      <c r="AD15" s="19">
        <f>IF(Z15&gt;0, AC15/Z15, 0)</f>
        <v/>
      </c>
      <c r="AE15" s="19">
        <f>AC15 + (AA15*AD15)</f>
        <v/>
      </c>
      <c r="AF15" s="20">
        <f>AA15*AD15</f>
        <v/>
      </c>
      <c r="AG15" s="16" t="n">
        <v>0.2986111111111111</v>
      </c>
      <c r="AH15" s="16" t="n">
        <v>0.7604166666666666</v>
      </c>
      <c r="AI15" s="17">
        <f>IF(B15="Sun", 0, IF(B15="Sat", 6, 12))</f>
        <v/>
      </c>
      <c r="AJ15" s="17">
        <f>IF(OR(AH15="OFF", ISBLANK(AH15)), 0, (AH15 - AG15)*24)</f>
        <v/>
      </c>
      <c r="AK15" s="17">
        <f>IF(OR(B15="Sun", AH15="OFF", ISBLANK(AH15)), 0, MAX(0, (IF(B15="Sat", 14/24, 20/24) - AH15)*24))</f>
        <v/>
      </c>
      <c r="AL15" s="18" t="n">
        <v>55</v>
      </c>
      <c r="AM15" s="19">
        <f>AL15*7.45</f>
        <v/>
      </c>
      <c r="AN15" s="19">
        <f>IF(AJ15&gt;0, AM15/AJ15, 0)</f>
        <v/>
      </c>
      <c r="AO15" s="19">
        <f>AM15 + (AK15*AN15)</f>
        <v/>
      </c>
      <c r="AP15" s="20">
        <f>AK15*AN15</f>
        <v/>
      </c>
      <c r="AQ15" s="17">
        <f>E15+O15+Y15+AI15</f>
        <v/>
      </c>
      <c r="AR15" s="17">
        <f>F15+P15+Z15+AJ15</f>
        <v/>
      </c>
      <c r="AS15" s="21">
        <f>G15+Q15+AA15+AK15</f>
        <v/>
      </c>
      <c r="AT15" s="18">
        <f>H15+R15+AB15+AL15</f>
        <v/>
      </c>
      <c r="AU15" s="19">
        <f>AT15*7.45</f>
        <v/>
      </c>
      <c r="AV15" s="20">
        <f>I15+S15+AC15+AM15</f>
        <v/>
      </c>
      <c r="AW15" s="19">
        <f>K15+U15+AE15+AO15</f>
        <v/>
      </c>
      <c r="AX15" s="20">
        <f>L15+V15+AF15+AP15</f>
        <v/>
      </c>
      <c r="AY15" s="22">
        <f>IF(AW15&gt;0, AX15/AW15, 0)</f>
        <v/>
      </c>
    </row>
    <row r="16">
      <c r="A16" s="23" t="n">
        <v>46183</v>
      </c>
      <c r="B16" s="24" t="inlineStr">
        <is>
          <t>Wed</t>
        </is>
      </c>
      <c r="C16" s="25" t="n">
        <v>0.3069444444444445</v>
      </c>
      <c r="D16" s="25" t="n">
        <v>0.8090277777777778</v>
      </c>
      <c r="E16" s="26">
        <f>IF(B16="Sun", 0, IF(B16="Sat", 6, 12))</f>
        <v/>
      </c>
      <c r="F16" s="26">
        <f>IF(OR(D16="OFF", ISBLANK(D16)), 0, (D16 - C16)*24)</f>
        <v/>
      </c>
      <c r="G16" s="26">
        <f>IF(OR(B16="Sun", D16="OFF", ISBLANK(D16)), 0, MAX(0, (IF(B16="Sat", 14/24, 20/24) - D16)*24))</f>
        <v/>
      </c>
      <c r="H16" s="27" t="n">
        <v>73</v>
      </c>
      <c r="I16" s="28">
        <f>H16*7.45</f>
        <v/>
      </c>
      <c r="J16" s="28">
        <f>IF(F16&gt;0, I16/F16, 0)</f>
        <v/>
      </c>
      <c r="K16" s="28">
        <f>I16 + (G16*J16)</f>
        <v/>
      </c>
      <c r="L16" s="29">
        <f>G16*J16</f>
        <v/>
      </c>
      <c r="M16" s="25" t="n">
        <v>0.3069444444444445</v>
      </c>
      <c r="N16" s="25" t="n">
        <v>0.8333333333333334</v>
      </c>
      <c r="O16" s="26">
        <f>IF(B16="Sun", 0, IF(B16="Sat", 6, 12))</f>
        <v/>
      </c>
      <c r="P16" s="26">
        <f>IF(OR(N16="OFF", ISBLANK(N16)), 0, (N16 - M16)*24)</f>
        <v/>
      </c>
      <c r="Q16" s="26">
        <f>IF(OR(B16="Sun", N16="OFF", ISBLANK(N16)), 0, MAX(0, (IF(B16="Sat", 14/24, 20/24) - N16)*24))</f>
        <v/>
      </c>
      <c r="R16" s="27" t="n">
        <v>81</v>
      </c>
      <c r="S16" s="28">
        <f>R16*7.45</f>
        <v/>
      </c>
      <c r="T16" s="28">
        <f>IF(P16&gt;0, S16/P16, 0)</f>
        <v/>
      </c>
      <c r="U16" s="28">
        <f>S16 + (Q16*T16)</f>
        <v/>
      </c>
      <c r="V16" s="29">
        <f>Q16*T16</f>
        <v/>
      </c>
      <c r="W16" s="25" t="n">
        <v>0.3069444444444445</v>
      </c>
      <c r="X16" s="25" t="n">
        <v>0.7770833333333333</v>
      </c>
      <c r="Y16" s="26">
        <f>IF(B16="Sun", 0, IF(B16="Sat", 6, 12))</f>
        <v/>
      </c>
      <c r="Z16" s="26">
        <f>IF(OR(X16="OFF", ISBLANK(X16)), 0, (X16 - W16)*24)</f>
        <v/>
      </c>
      <c r="AA16" s="26">
        <f>IF(OR(B16="Sun", X16="OFF", ISBLANK(X16)), 0, MAX(0, (IF(B16="Sat", 14/24, 20/24) - X16)*24))</f>
        <v/>
      </c>
      <c r="AB16" s="27" t="n">
        <v>101</v>
      </c>
      <c r="AC16" s="28">
        <f>AB16*7.45</f>
        <v/>
      </c>
      <c r="AD16" s="28">
        <f>IF(Z16&gt;0, AC16/Z16, 0)</f>
        <v/>
      </c>
      <c r="AE16" s="28">
        <f>AC16 + (AA16*AD16)</f>
        <v/>
      </c>
      <c r="AF16" s="29">
        <f>AA16*AD16</f>
        <v/>
      </c>
      <c r="AG16" s="25" t="n">
        <v>0.3069444444444445</v>
      </c>
      <c r="AH16" s="25" t="n">
        <v>0.7770833333333333</v>
      </c>
      <c r="AI16" s="26">
        <f>IF(B16="Sun", 0, IF(B16="Sat", 6, 12))</f>
        <v/>
      </c>
      <c r="AJ16" s="26">
        <f>IF(OR(AH16="OFF", ISBLANK(AH16)), 0, (AH16 - AG16)*24)</f>
        <v/>
      </c>
      <c r="AK16" s="26">
        <f>IF(OR(B16="Sun", AH16="OFF", ISBLANK(AH16)), 0, MAX(0, (IF(B16="Sat", 14/24, 20/24) - AH16)*24))</f>
        <v/>
      </c>
      <c r="AL16" s="27" t="n">
        <v>89</v>
      </c>
      <c r="AM16" s="28">
        <f>AL16*7.45</f>
        <v/>
      </c>
      <c r="AN16" s="28">
        <f>IF(AJ16&gt;0, AM16/AJ16, 0)</f>
        <v/>
      </c>
      <c r="AO16" s="28">
        <f>AM16 + (AK16*AN16)</f>
        <v/>
      </c>
      <c r="AP16" s="29">
        <f>AK16*AN16</f>
        <v/>
      </c>
      <c r="AQ16" s="26">
        <f>E16+O16+Y16+AI16</f>
        <v/>
      </c>
      <c r="AR16" s="26">
        <f>F16+P16+Z16+AJ16</f>
        <v/>
      </c>
      <c r="AS16" s="30">
        <f>G16+Q16+AA16+AK16</f>
        <v/>
      </c>
      <c r="AT16" s="27">
        <f>H16+R16+AB16+AL16</f>
        <v/>
      </c>
      <c r="AU16" s="28">
        <f>AT16*7.45</f>
        <v/>
      </c>
      <c r="AV16" s="29">
        <f>I16+S16+AC16+AM16</f>
        <v/>
      </c>
      <c r="AW16" s="28">
        <f>K16+U16+AE16+AO16</f>
        <v/>
      </c>
      <c r="AX16" s="29">
        <f>L16+V16+AF16+AP16</f>
        <v/>
      </c>
      <c r="AY16" s="31">
        <f>IF(AW16&gt;0, AX16/AW16, 0)</f>
        <v/>
      </c>
    </row>
    <row r="17">
      <c r="A17" s="14" t="n">
        <v>46184</v>
      </c>
      <c r="B17" s="15" t="inlineStr">
        <is>
          <t>Thu</t>
        </is>
      </c>
      <c r="C17" s="16" t="n">
        <v>0.3069444444444445</v>
      </c>
      <c r="D17" s="16" t="n">
        <v>0.7916666666666666</v>
      </c>
      <c r="E17" s="17">
        <f>IF(B17="Sun", 0, IF(B17="Sat", 6, 12))</f>
        <v/>
      </c>
      <c r="F17" s="17">
        <f>IF(OR(D17="OFF", ISBLANK(D17)), 0, (D17 - C17)*24)</f>
        <v/>
      </c>
      <c r="G17" s="17">
        <f>IF(OR(B17="Sun", D17="OFF", ISBLANK(D17)), 0, MAX(0, (IF(B17="Sat", 14/24, 20/24) - D17)*24))</f>
        <v/>
      </c>
      <c r="H17" s="18" t="n">
        <v>67</v>
      </c>
      <c r="I17" s="19">
        <f>H17*7.45</f>
        <v/>
      </c>
      <c r="J17" s="19">
        <f>IF(F17&gt;0, I17/F17, 0)</f>
        <v/>
      </c>
      <c r="K17" s="19">
        <f>I17 + (G17*J17)</f>
        <v/>
      </c>
      <c r="L17" s="20">
        <f>G17*J17</f>
        <v/>
      </c>
      <c r="M17" s="16" t="n">
        <v>0.3069444444444445</v>
      </c>
      <c r="N17" s="16" t="n">
        <v>0.8333333333333334</v>
      </c>
      <c r="O17" s="17">
        <f>IF(B17="Sun", 0, IF(B17="Sat", 6, 12))</f>
        <v/>
      </c>
      <c r="P17" s="17">
        <f>IF(OR(N17="OFF", ISBLANK(N17)), 0, (N17 - M17)*24)</f>
        <v/>
      </c>
      <c r="Q17" s="17">
        <f>IF(OR(B17="Sun", N17="OFF", ISBLANK(N17)), 0, MAX(0, (IF(B17="Sat", 14/24, 20/24) - N17)*24))</f>
        <v/>
      </c>
      <c r="R17" s="18" t="n">
        <v>71</v>
      </c>
      <c r="S17" s="19">
        <f>R17*7.45</f>
        <v/>
      </c>
      <c r="T17" s="19">
        <f>IF(P17&gt;0, S17/P17, 0)</f>
        <v/>
      </c>
      <c r="U17" s="19">
        <f>S17 + (Q17*T17)</f>
        <v/>
      </c>
      <c r="V17" s="20">
        <f>Q17*T17</f>
        <v/>
      </c>
      <c r="W17" s="16" t="n">
        <v>0.3069444444444445</v>
      </c>
      <c r="X17" s="16" t="n">
        <v>0.7722222222222223</v>
      </c>
      <c r="Y17" s="17">
        <f>IF(B17="Sun", 0, IF(B17="Sat", 6, 12))</f>
        <v/>
      </c>
      <c r="Z17" s="17">
        <f>IF(OR(X17="OFF", ISBLANK(X17)), 0, (X17 - W17)*24)</f>
        <v/>
      </c>
      <c r="AA17" s="17">
        <f>IF(OR(B17="Sun", X17="OFF", ISBLANK(X17)), 0, MAX(0, (IF(B17="Sat", 14/24, 20/24) - X17)*24))</f>
        <v/>
      </c>
      <c r="AB17" s="18" t="n">
        <v>95</v>
      </c>
      <c r="AC17" s="19">
        <f>AB17*7.45</f>
        <v/>
      </c>
      <c r="AD17" s="19">
        <f>IF(Z17&gt;0, AC17/Z17, 0)</f>
        <v/>
      </c>
      <c r="AE17" s="19">
        <f>AC17 + (AA17*AD17)</f>
        <v/>
      </c>
      <c r="AF17" s="20">
        <f>AA17*AD17</f>
        <v/>
      </c>
      <c r="AG17" s="16" t="n">
        <v>0.3069444444444445</v>
      </c>
      <c r="AH17" s="16" t="n">
        <v>0.7722222222222223</v>
      </c>
      <c r="AI17" s="17">
        <f>IF(B17="Sun", 0, IF(B17="Sat", 6, 12))</f>
        <v/>
      </c>
      <c r="AJ17" s="17">
        <f>IF(OR(AH17="OFF", ISBLANK(AH17)), 0, (AH17 - AG17)*24)</f>
        <v/>
      </c>
      <c r="AK17" s="17">
        <f>IF(OR(B17="Sun", AH17="OFF", ISBLANK(AH17)), 0, MAX(0, (IF(B17="Sat", 14/24, 20/24) - AH17)*24))</f>
        <v/>
      </c>
      <c r="AL17" s="18" t="n">
        <v>86</v>
      </c>
      <c r="AM17" s="19">
        <f>AL17*7.45</f>
        <v/>
      </c>
      <c r="AN17" s="19">
        <f>IF(AJ17&gt;0, AM17/AJ17, 0)</f>
        <v/>
      </c>
      <c r="AO17" s="19">
        <f>AM17 + (AK17*AN17)</f>
        <v/>
      </c>
      <c r="AP17" s="20">
        <f>AK17*AN17</f>
        <v/>
      </c>
      <c r="AQ17" s="17">
        <f>E17+O17+Y17+AI17</f>
        <v/>
      </c>
      <c r="AR17" s="17">
        <f>F17+P17+Z17+AJ17</f>
        <v/>
      </c>
      <c r="AS17" s="21">
        <f>G17+Q17+AA17+AK17</f>
        <v/>
      </c>
      <c r="AT17" s="18">
        <f>H17+R17+AB17+AL17</f>
        <v/>
      </c>
      <c r="AU17" s="19">
        <f>AT17*7.45</f>
        <v/>
      </c>
      <c r="AV17" s="20">
        <f>I17+S17+AC17+AM17</f>
        <v/>
      </c>
      <c r="AW17" s="19">
        <f>K17+U17+AE17+AO17</f>
        <v/>
      </c>
      <c r="AX17" s="20">
        <f>L17+V17+AF17+AP17</f>
        <v/>
      </c>
      <c r="AY17" s="22">
        <f>IF(AW17&gt;0, AX17/AW17, 0)</f>
        <v/>
      </c>
    </row>
    <row r="18">
      <c r="A18" s="23" t="n">
        <v>46185</v>
      </c>
      <c r="B18" s="24" t="inlineStr">
        <is>
          <t>Fri</t>
        </is>
      </c>
      <c r="C18" s="25" t="n">
        <v>0.3069444444444445</v>
      </c>
      <c r="D18" s="25" t="n">
        <v>0.7743055555555556</v>
      </c>
      <c r="E18" s="26">
        <f>IF(B18="Sun", 0, IF(B18="Sat", 6, 12))</f>
        <v/>
      </c>
      <c r="F18" s="26">
        <f>IF(OR(D18="OFF", ISBLANK(D18)), 0, (D18 - C18)*24)</f>
        <v/>
      </c>
      <c r="G18" s="26">
        <f>IF(OR(B18="Sun", D18="OFF", ISBLANK(D18)), 0, MAX(0, (IF(B18="Sat", 14/24, 20/24) - D18)*24))</f>
        <v/>
      </c>
      <c r="H18" s="27" t="n">
        <v>56</v>
      </c>
      <c r="I18" s="28">
        <f>H18*7.45</f>
        <v/>
      </c>
      <c r="J18" s="28">
        <f>IF(F18&gt;0, I18/F18, 0)</f>
        <v/>
      </c>
      <c r="K18" s="28">
        <f>I18 + (G18*J18)</f>
        <v/>
      </c>
      <c r="L18" s="29">
        <f>G18*J18</f>
        <v/>
      </c>
      <c r="M18" s="25" t="n">
        <v>0.3069444444444445</v>
      </c>
      <c r="N18" s="25" t="n">
        <v>0.8305555555555556</v>
      </c>
      <c r="O18" s="26">
        <f>IF(B18="Sun", 0, IF(B18="Sat", 6, 12))</f>
        <v/>
      </c>
      <c r="P18" s="26">
        <f>IF(OR(N18="OFF", ISBLANK(N18)), 0, (N18 - M18)*24)</f>
        <v/>
      </c>
      <c r="Q18" s="26">
        <f>IF(OR(B18="Sun", N18="OFF", ISBLANK(N18)), 0, MAX(0, (IF(B18="Sat", 14/24, 20/24) - N18)*24))</f>
        <v/>
      </c>
      <c r="R18" s="27" t="n">
        <v>76</v>
      </c>
      <c r="S18" s="28">
        <f>R18*7.45</f>
        <v/>
      </c>
      <c r="T18" s="28">
        <f>IF(P18&gt;0, S18/P18, 0)</f>
        <v/>
      </c>
      <c r="U18" s="28">
        <f>S18 + (Q18*T18)</f>
        <v/>
      </c>
      <c r="V18" s="29">
        <f>Q18*T18</f>
        <v/>
      </c>
      <c r="W18" s="25" t="n">
        <v>0.3069444444444445</v>
      </c>
      <c r="X18" s="25" t="n">
        <v>0.7743055555555556</v>
      </c>
      <c r="Y18" s="26">
        <f>IF(B18="Sun", 0, IF(B18="Sat", 6, 12))</f>
        <v/>
      </c>
      <c r="Z18" s="26">
        <f>IF(OR(X18="OFF", ISBLANK(X18)), 0, (X18 - W18)*24)</f>
        <v/>
      </c>
      <c r="AA18" s="26">
        <f>IF(OR(B18="Sun", X18="OFF", ISBLANK(X18)), 0, MAX(0, (IF(B18="Sat", 14/24, 20/24) - X18)*24))</f>
        <v/>
      </c>
      <c r="AB18" s="27" t="n">
        <v>93</v>
      </c>
      <c r="AC18" s="28">
        <f>AB18*7.45</f>
        <v/>
      </c>
      <c r="AD18" s="28">
        <f>IF(Z18&gt;0, AC18/Z18, 0)</f>
        <v/>
      </c>
      <c r="AE18" s="28">
        <f>AC18 + (AA18*AD18)</f>
        <v/>
      </c>
      <c r="AF18" s="29">
        <f>AA18*AD18</f>
        <v/>
      </c>
      <c r="AG18" s="25" t="n">
        <v>0.3069444444444445</v>
      </c>
      <c r="AH18" s="25" t="n">
        <v>0.7743055555555556</v>
      </c>
      <c r="AI18" s="26">
        <f>IF(B18="Sun", 0, IF(B18="Sat", 6, 12))</f>
        <v/>
      </c>
      <c r="AJ18" s="26">
        <f>IF(OR(AH18="OFF", ISBLANK(AH18)), 0, (AH18 - AG18)*24)</f>
        <v/>
      </c>
      <c r="AK18" s="26">
        <f>IF(OR(B18="Sun", AH18="OFF", ISBLANK(AH18)), 0, MAX(0, (IF(B18="Sat", 14/24, 20/24) - AH18)*24))</f>
        <v/>
      </c>
      <c r="AL18" s="27" t="n">
        <v>83</v>
      </c>
      <c r="AM18" s="28">
        <f>AL18*7.45</f>
        <v/>
      </c>
      <c r="AN18" s="28">
        <f>IF(AJ18&gt;0, AM18/AJ18, 0)</f>
        <v/>
      </c>
      <c r="AO18" s="28">
        <f>AM18 + (AK18*AN18)</f>
        <v/>
      </c>
      <c r="AP18" s="29">
        <f>AK18*AN18</f>
        <v/>
      </c>
      <c r="AQ18" s="26">
        <f>E18+O18+Y18+AI18</f>
        <v/>
      </c>
      <c r="AR18" s="26">
        <f>F18+P18+Z18+AJ18</f>
        <v/>
      </c>
      <c r="AS18" s="30">
        <f>G18+Q18+AA18+AK18</f>
        <v/>
      </c>
      <c r="AT18" s="27">
        <f>H18+R18+AB18+AL18</f>
        <v/>
      </c>
      <c r="AU18" s="28">
        <f>AT18*7.45</f>
        <v/>
      </c>
      <c r="AV18" s="29">
        <f>I18+S18+AC18+AM18</f>
        <v/>
      </c>
      <c r="AW18" s="28">
        <f>K18+U18+AE18+AO18</f>
        <v/>
      </c>
      <c r="AX18" s="29">
        <f>L18+V18+AF18+AP18</f>
        <v/>
      </c>
      <c r="AY18" s="31">
        <f>IF(AW18&gt;0, AX18/AW18, 0)</f>
        <v/>
      </c>
    </row>
    <row r="19">
      <c r="A19" s="14" t="n">
        <v>46186</v>
      </c>
      <c r="B19" s="15" t="inlineStr">
        <is>
          <t>Sat</t>
        </is>
      </c>
      <c r="C19" s="16" t="n">
        <v>0.4472222222222222</v>
      </c>
      <c r="D19" s="16" t="n">
        <v>0.5868055555555556</v>
      </c>
      <c r="E19" s="17">
        <f>IF(B19="Sun", 0, IF(B19="Sat", 6, 12))</f>
        <v/>
      </c>
      <c r="F19" s="17">
        <f>IF(OR(D19="OFF", ISBLANK(D19)), 0, (D19 - C19)*24)</f>
        <v/>
      </c>
      <c r="G19" s="17">
        <f>IF(OR(B19="Sun", D19="OFF", ISBLANK(D19)), 0, MAX(0, (IF(B19="Sat", 14/24, 20/24) - D19)*24))</f>
        <v/>
      </c>
      <c r="H19" s="18" t="n">
        <v>18</v>
      </c>
      <c r="I19" s="19">
        <f>H19*7.45</f>
        <v/>
      </c>
      <c r="J19" s="19">
        <f>IF(F19&gt;0, I19/F19, 0)</f>
        <v/>
      </c>
      <c r="K19" s="19">
        <f>I19 + (G19*J19)</f>
        <v/>
      </c>
      <c r="L19" s="20">
        <f>G19*J19</f>
        <v/>
      </c>
      <c r="M19" s="16" t="n">
        <v>0.4472222222222222</v>
      </c>
      <c r="N19" s="16" t="n">
        <v>0.5868055555555556</v>
      </c>
      <c r="O19" s="17">
        <f>IF(B19="Sun", 0, IF(B19="Sat", 6, 12))</f>
        <v/>
      </c>
      <c r="P19" s="17">
        <f>IF(OR(N19="OFF", ISBLANK(N19)), 0, (N19 - M19)*24)</f>
        <v/>
      </c>
      <c r="Q19" s="17">
        <f>IF(OR(B19="Sun", N19="OFF", ISBLANK(N19)), 0, MAX(0, (IF(B19="Sat", 14/24, 20/24) - N19)*24))</f>
        <v/>
      </c>
      <c r="R19" s="18" t="n">
        <v>21</v>
      </c>
      <c r="S19" s="19">
        <f>R19*7.45</f>
        <v/>
      </c>
      <c r="T19" s="19">
        <f>IF(P19&gt;0, S19/P19, 0)</f>
        <v/>
      </c>
      <c r="U19" s="19">
        <f>S19 + (Q19*T19)</f>
        <v/>
      </c>
      <c r="V19" s="20">
        <f>Q19*T19</f>
        <v/>
      </c>
      <c r="W19" s="16" t="n">
        <v>0.33125</v>
      </c>
      <c r="X19" s="16" t="n">
        <v>0.5868055555555556</v>
      </c>
      <c r="Y19" s="17">
        <f>IF(B19="Sun", 0, IF(B19="Sat", 6, 12))</f>
        <v/>
      </c>
      <c r="Z19" s="17">
        <f>IF(OR(X19="OFF", ISBLANK(X19)), 0, (X19 - W19)*24)</f>
        <v/>
      </c>
      <c r="AA19" s="17">
        <f>IF(OR(B19="Sun", X19="OFF", ISBLANK(X19)), 0, MAX(0, (IF(B19="Sat", 14/24, 20/24) - X19)*24))</f>
        <v/>
      </c>
      <c r="AB19" s="18" t="n">
        <v>51</v>
      </c>
      <c r="AC19" s="19">
        <f>AB19*7.45</f>
        <v/>
      </c>
      <c r="AD19" s="19">
        <f>IF(Z19&gt;0, AC19/Z19, 0)</f>
        <v/>
      </c>
      <c r="AE19" s="19">
        <f>AC19 + (AA19*AD19)</f>
        <v/>
      </c>
      <c r="AF19" s="20">
        <f>AA19*AD19</f>
        <v/>
      </c>
      <c r="AG19" s="15" t="inlineStr">
        <is>
          <t>OFF</t>
        </is>
      </c>
      <c r="AH19" s="15" t="inlineStr">
        <is>
          <t>OFF</t>
        </is>
      </c>
      <c r="AI19" s="17">
        <f>IF(B19="Sun", 0, IF(B19="Sat", 6, 12))</f>
        <v/>
      </c>
      <c r="AJ19" s="17">
        <f>IF(OR(AH19="OFF", ISBLANK(AH19)), 0, (AH19 - AG19)*24)</f>
        <v/>
      </c>
      <c r="AK19" s="17">
        <f>IF(OR(B19="Sun", AH19="OFF", ISBLANK(AH19)), 0, MAX(0, (IF(B19="Sat", 14/24, 20/24) - AH19)*24))</f>
        <v/>
      </c>
      <c r="AL19" s="18" t="n">
        <v>2</v>
      </c>
      <c r="AM19" s="19">
        <f>AL19*7.45</f>
        <v/>
      </c>
      <c r="AN19" s="19">
        <f>IF(AJ19&gt;0, AM19/AJ19, 0)</f>
        <v/>
      </c>
      <c r="AO19" s="19">
        <f>AM19 + (AK19*AN19)</f>
        <v/>
      </c>
      <c r="AP19" s="20">
        <f>AK19*AN19</f>
        <v/>
      </c>
      <c r="AQ19" s="17">
        <f>E19+O19+Y19+AI19</f>
        <v/>
      </c>
      <c r="AR19" s="17">
        <f>F19+P19+Z19+AJ19</f>
        <v/>
      </c>
      <c r="AS19" s="21">
        <f>G19+Q19+AA19+AK19</f>
        <v/>
      </c>
      <c r="AT19" s="18">
        <f>H19+R19+AB19+AL19</f>
        <v/>
      </c>
      <c r="AU19" s="19">
        <f>AT19*7.45</f>
        <v/>
      </c>
      <c r="AV19" s="20">
        <f>I19+S19+AC19+AM19</f>
        <v/>
      </c>
      <c r="AW19" s="19">
        <f>K19+U19+AE19+AO19</f>
        <v/>
      </c>
      <c r="AX19" s="20">
        <f>L19+V19+AF19+AP19</f>
        <v/>
      </c>
      <c r="AY19" s="22">
        <f>IF(AW19&gt;0, AX19/AW19, 0)</f>
        <v/>
      </c>
    </row>
    <row r="20">
      <c r="A20" s="23" t="n">
        <v>46187</v>
      </c>
      <c r="B20" s="24" t="inlineStr">
        <is>
          <t>Sun</t>
        </is>
      </c>
      <c r="C20" s="24" t="inlineStr">
        <is>
          <t>OFF</t>
        </is>
      </c>
      <c r="D20" s="24" t="inlineStr">
        <is>
          <t>OFF</t>
        </is>
      </c>
      <c r="E20" s="26">
        <f>IF(B20="Sun", 0, IF(B20="Sat", 6, 12))</f>
        <v/>
      </c>
      <c r="F20" s="26">
        <f>IF(OR(D20="OFF", ISBLANK(D20)), 0, (D20 - C20)*24)</f>
        <v/>
      </c>
      <c r="G20" s="26">
        <f>IF(OR(B20="Sun", D20="OFF", ISBLANK(D20)), 0, MAX(0, (IF(B20="Sat", 14/24, 20/24) - D20)*24))</f>
        <v/>
      </c>
      <c r="H20" s="27" t="n">
        <v>0</v>
      </c>
      <c r="I20" s="28">
        <f>H20*7.45</f>
        <v/>
      </c>
      <c r="J20" s="28">
        <f>IF(F20&gt;0, I20/F20, 0)</f>
        <v/>
      </c>
      <c r="K20" s="28">
        <f>I20 + (G20*J20)</f>
        <v/>
      </c>
      <c r="L20" s="29">
        <f>G20*J20</f>
        <v/>
      </c>
      <c r="M20" s="24" t="inlineStr">
        <is>
          <t>OFF</t>
        </is>
      </c>
      <c r="N20" s="24" t="inlineStr">
        <is>
          <t>OFF</t>
        </is>
      </c>
      <c r="O20" s="26">
        <f>IF(B20="Sun", 0, IF(B20="Sat", 6, 12))</f>
        <v/>
      </c>
      <c r="P20" s="26">
        <f>IF(OR(N20="OFF", ISBLANK(N20)), 0, (N20 - M20)*24)</f>
        <v/>
      </c>
      <c r="Q20" s="26">
        <f>IF(OR(B20="Sun", N20="OFF", ISBLANK(N20)), 0, MAX(0, (IF(B20="Sat", 14/24, 20/24) - N20)*24))</f>
        <v/>
      </c>
      <c r="R20" s="27" t="n">
        <v>0</v>
      </c>
      <c r="S20" s="28">
        <f>R20*7.45</f>
        <v/>
      </c>
      <c r="T20" s="28">
        <f>IF(P20&gt;0, S20/P20, 0)</f>
        <v/>
      </c>
      <c r="U20" s="28">
        <f>S20 + (Q20*T20)</f>
        <v/>
      </c>
      <c r="V20" s="29">
        <f>Q20*T20</f>
        <v/>
      </c>
      <c r="W20" s="24" t="inlineStr">
        <is>
          <t>OFF</t>
        </is>
      </c>
      <c r="X20" s="24" t="inlineStr">
        <is>
          <t>OFF</t>
        </is>
      </c>
      <c r="Y20" s="26">
        <f>IF(B20="Sun", 0, IF(B20="Sat", 6, 12))</f>
        <v/>
      </c>
      <c r="Z20" s="26">
        <f>IF(OR(X20="OFF", ISBLANK(X20)), 0, (X20 - W20)*24)</f>
        <v/>
      </c>
      <c r="AA20" s="26">
        <f>IF(OR(B20="Sun", X20="OFF", ISBLANK(X20)), 0, MAX(0, (IF(B20="Sat", 14/24, 20/24) - X20)*24))</f>
        <v/>
      </c>
      <c r="AB20" s="27" t="n">
        <v>0</v>
      </c>
      <c r="AC20" s="28">
        <f>AB20*7.45</f>
        <v/>
      </c>
      <c r="AD20" s="28">
        <f>IF(Z20&gt;0, AC20/Z20, 0)</f>
        <v/>
      </c>
      <c r="AE20" s="28">
        <f>AC20 + (AA20*AD20)</f>
        <v/>
      </c>
      <c r="AF20" s="29">
        <f>AA20*AD20</f>
        <v/>
      </c>
      <c r="AG20" s="24" t="inlineStr">
        <is>
          <t>OFF</t>
        </is>
      </c>
      <c r="AH20" s="24" t="inlineStr">
        <is>
          <t>OFF</t>
        </is>
      </c>
      <c r="AI20" s="26">
        <f>IF(B20="Sun", 0, IF(B20="Sat", 6, 12))</f>
        <v/>
      </c>
      <c r="AJ20" s="26">
        <f>IF(OR(AH20="OFF", ISBLANK(AH20)), 0, (AH20 - AG20)*24)</f>
        <v/>
      </c>
      <c r="AK20" s="26">
        <f>IF(OR(B20="Sun", AH20="OFF", ISBLANK(AH20)), 0, MAX(0, (IF(B20="Sat", 14/24, 20/24) - AH20)*24))</f>
        <v/>
      </c>
      <c r="AL20" s="27" t="n">
        <v>0</v>
      </c>
      <c r="AM20" s="28">
        <f>AL20*7.45</f>
        <v/>
      </c>
      <c r="AN20" s="28">
        <f>IF(AJ20&gt;0, AM20/AJ20, 0)</f>
        <v/>
      </c>
      <c r="AO20" s="28">
        <f>AM20 + (AK20*AN20)</f>
        <v/>
      </c>
      <c r="AP20" s="29">
        <f>AK20*AN20</f>
        <v/>
      </c>
      <c r="AQ20" s="26">
        <f>E20+O20+Y20+AI20</f>
        <v/>
      </c>
      <c r="AR20" s="26">
        <f>F20+P20+Z20+AJ20</f>
        <v/>
      </c>
      <c r="AS20" s="30">
        <f>G20+Q20+AA20+AK20</f>
        <v/>
      </c>
      <c r="AT20" s="27">
        <f>H20+R20+AB20+AL20</f>
        <v/>
      </c>
      <c r="AU20" s="28">
        <f>AT20*7.45</f>
        <v/>
      </c>
      <c r="AV20" s="29">
        <f>I20+S20+AC20+AM20</f>
        <v/>
      </c>
      <c r="AW20" s="28">
        <f>K20+U20+AE20+AO20</f>
        <v/>
      </c>
      <c r="AX20" s="29">
        <f>L20+V20+AF20+AP20</f>
        <v/>
      </c>
      <c r="AY20" s="31">
        <f>IF(AW20&gt;0, AX20/AW20, 0)</f>
        <v/>
      </c>
    </row>
    <row r="21">
      <c r="A21" s="14" t="n">
        <v>46188</v>
      </c>
      <c r="B21" s="15" t="inlineStr">
        <is>
          <t>Mon</t>
        </is>
      </c>
      <c r="C21" s="16" t="n">
        <v>0.2583333333333334</v>
      </c>
      <c r="D21" s="16" t="n">
        <v>0.79375</v>
      </c>
      <c r="E21" s="17">
        <f>IF(B21="Sun", 0, IF(B21="Sat", 6, 12))</f>
        <v/>
      </c>
      <c r="F21" s="17">
        <f>IF(OR(D21="OFF", ISBLANK(D21)), 0, (D21 - C21)*24)</f>
        <v/>
      </c>
      <c r="G21" s="17">
        <f>IF(OR(B21="Sun", D21="OFF", ISBLANK(D21)), 0, MAX(0, (IF(B21="Sat", 14/24, 20/24) - D21)*24))</f>
        <v/>
      </c>
      <c r="H21" s="18" t="n">
        <v>0</v>
      </c>
      <c r="I21" s="19">
        <f>H21*7.45</f>
        <v/>
      </c>
      <c r="J21" s="19">
        <f>IF(F21&gt;0, I21/F21, 0)</f>
        <v/>
      </c>
      <c r="K21" s="19">
        <f>I21 + (G21*J21)</f>
        <v/>
      </c>
      <c r="L21" s="20">
        <f>G21*J21</f>
        <v/>
      </c>
      <c r="M21" s="16" t="n">
        <v>0.2583333333333334</v>
      </c>
      <c r="N21" s="16" t="n">
        <v>0.8333333333333334</v>
      </c>
      <c r="O21" s="17">
        <f>IF(B21="Sun", 0, IF(B21="Sat", 6, 12))</f>
        <v/>
      </c>
      <c r="P21" s="17">
        <f>IF(OR(N21="OFF", ISBLANK(N21)), 0, (N21 - M21)*24)</f>
        <v/>
      </c>
      <c r="Q21" s="17">
        <f>IF(OR(B21="Sun", N21="OFF", ISBLANK(N21)), 0, MAX(0, (IF(B21="Sat", 14/24, 20/24) - N21)*24))</f>
        <v/>
      </c>
      <c r="R21" s="18" t="n">
        <v>86</v>
      </c>
      <c r="S21" s="19">
        <f>R21*7.45</f>
        <v/>
      </c>
      <c r="T21" s="19">
        <f>IF(P21&gt;0, S21/P21, 0)</f>
        <v/>
      </c>
      <c r="U21" s="19">
        <f>S21 + (Q21*T21)</f>
        <v/>
      </c>
      <c r="V21" s="20">
        <f>Q21*T21</f>
        <v/>
      </c>
      <c r="W21" s="16" t="n">
        <v>0.2583333333333334</v>
      </c>
      <c r="X21" s="16" t="n">
        <v>0.7722222222222223</v>
      </c>
      <c r="Y21" s="17">
        <f>IF(B21="Sun", 0, IF(B21="Sat", 6, 12))</f>
        <v/>
      </c>
      <c r="Z21" s="17">
        <f>IF(OR(X21="OFF", ISBLANK(X21)), 0, (X21 - W21)*24)</f>
        <v/>
      </c>
      <c r="AA21" s="17">
        <f>IF(OR(B21="Sun", X21="OFF", ISBLANK(X21)), 0, MAX(0, (IF(B21="Sat", 14/24, 20/24) - X21)*24))</f>
        <v/>
      </c>
      <c r="AB21" s="18" t="n">
        <v>95</v>
      </c>
      <c r="AC21" s="19">
        <f>AB21*7.45</f>
        <v/>
      </c>
      <c r="AD21" s="19">
        <f>IF(Z21&gt;0, AC21/Z21, 0)</f>
        <v/>
      </c>
      <c r="AE21" s="19">
        <f>AC21 + (AA21*AD21)</f>
        <v/>
      </c>
      <c r="AF21" s="20">
        <f>AA21*AD21</f>
        <v/>
      </c>
      <c r="AG21" s="16" t="n">
        <v>0.2583333333333334</v>
      </c>
      <c r="AH21" s="16" t="n">
        <v>0.7243055555555555</v>
      </c>
      <c r="AI21" s="17">
        <f>IF(B21="Sun", 0, IF(B21="Sat", 6, 12))</f>
        <v/>
      </c>
      <c r="AJ21" s="17">
        <f>IF(OR(AH21="OFF", ISBLANK(AH21)), 0, (AH21 - AG21)*24)</f>
        <v/>
      </c>
      <c r="AK21" s="17">
        <f>IF(OR(B21="Sun", AH21="OFF", ISBLANK(AH21)), 0, MAX(0, (IF(B21="Sat", 14/24, 20/24) - AH21)*24))</f>
        <v/>
      </c>
      <c r="AL21" s="18" t="n">
        <v>82</v>
      </c>
      <c r="AM21" s="19">
        <f>AL21*7.45</f>
        <v/>
      </c>
      <c r="AN21" s="19">
        <f>IF(AJ21&gt;0, AM21/AJ21, 0)</f>
        <v/>
      </c>
      <c r="AO21" s="19">
        <f>AM21 + (AK21*AN21)</f>
        <v/>
      </c>
      <c r="AP21" s="20">
        <f>AK21*AN21</f>
        <v/>
      </c>
      <c r="AQ21" s="17">
        <f>E21+O21+Y21+AI21</f>
        <v/>
      </c>
      <c r="AR21" s="17">
        <f>F21+P21+Z21+AJ21</f>
        <v/>
      </c>
      <c r="AS21" s="21">
        <f>G21+Q21+AA21+AK21</f>
        <v/>
      </c>
      <c r="AT21" s="18">
        <f>H21+R21+AB21+AL21</f>
        <v/>
      </c>
      <c r="AU21" s="19">
        <f>AT21*7.45</f>
        <v/>
      </c>
      <c r="AV21" s="20">
        <f>I21+S21+AC21+AM21</f>
        <v/>
      </c>
      <c r="AW21" s="19">
        <f>K21+U21+AE21+AO21</f>
        <v/>
      </c>
      <c r="AX21" s="20">
        <f>L21+V21+AF21+AP21</f>
        <v/>
      </c>
      <c r="AY21" s="22">
        <f>IF(AW21&gt;0, AX21/AW21, 0)</f>
        <v/>
      </c>
    </row>
    <row r="22">
      <c r="A22" s="23" t="n">
        <v>46189</v>
      </c>
      <c r="B22" s="24" t="inlineStr">
        <is>
          <t>Tue</t>
        </is>
      </c>
      <c r="C22" s="25" t="n">
        <v>0.3118055555555556</v>
      </c>
      <c r="D22" s="25" t="n">
        <v>0.7513888888888889</v>
      </c>
      <c r="E22" s="26">
        <f>IF(B22="Sun", 0, IF(B22="Sat", 6, 12))</f>
        <v/>
      </c>
      <c r="F22" s="26">
        <f>IF(OR(D22="OFF", ISBLANK(D22)), 0, (D22 - C22)*24)</f>
        <v/>
      </c>
      <c r="G22" s="26">
        <f>IF(OR(B22="Sun", D22="OFF", ISBLANK(D22)), 0, MAX(0, (IF(B22="Sat", 14/24, 20/24) - D22)*24))</f>
        <v/>
      </c>
      <c r="H22" s="27" t="n">
        <v>56</v>
      </c>
      <c r="I22" s="28">
        <f>H22*7.45</f>
        <v/>
      </c>
      <c r="J22" s="28">
        <f>IF(F22&gt;0, I22/F22, 0)</f>
        <v/>
      </c>
      <c r="K22" s="28">
        <f>I22 + (G22*J22)</f>
        <v/>
      </c>
      <c r="L22" s="29">
        <f>G22*J22</f>
        <v/>
      </c>
      <c r="M22" s="25" t="n">
        <v>0.3118055555555556</v>
      </c>
      <c r="N22" s="25" t="n">
        <v>0.83125</v>
      </c>
      <c r="O22" s="26">
        <f>IF(B22="Sun", 0, IF(B22="Sat", 6, 12))</f>
        <v/>
      </c>
      <c r="P22" s="26">
        <f>IF(OR(N22="OFF", ISBLANK(N22)), 0, (N22 - M22)*24)</f>
        <v/>
      </c>
      <c r="Q22" s="26">
        <f>IF(OR(B22="Sun", N22="OFF", ISBLANK(N22)), 0, MAX(0, (IF(B22="Sat", 14/24, 20/24) - N22)*24))</f>
        <v/>
      </c>
      <c r="R22" s="27" t="n">
        <v>74</v>
      </c>
      <c r="S22" s="28">
        <f>R22*7.45</f>
        <v/>
      </c>
      <c r="T22" s="28">
        <f>IF(P22&gt;0, S22/P22, 0)</f>
        <v/>
      </c>
      <c r="U22" s="28">
        <f>S22 + (Q22*T22)</f>
        <v/>
      </c>
      <c r="V22" s="29">
        <f>Q22*T22</f>
        <v/>
      </c>
      <c r="W22" s="25" t="n">
        <v>0.3118055555555556</v>
      </c>
      <c r="X22" s="25" t="n">
        <v>0.7583333333333333</v>
      </c>
      <c r="Y22" s="26">
        <f>IF(B22="Sun", 0, IF(B22="Sat", 6, 12))</f>
        <v/>
      </c>
      <c r="Z22" s="26">
        <f>IF(OR(X22="OFF", ISBLANK(X22)), 0, (X22 - W22)*24)</f>
        <v/>
      </c>
      <c r="AA22" s="26">
        <f>IF(OR(B22="Sun", X22="OFF", ISBLANK(X22)), 0, MAX(0, (IF(B22="Sat", 14/24, 20/24) - X22)*24))</f>
        <v/>
      </c>
      <c r="AB22" s="27" t="n">
        <v>79</v>
      </c>
      <c r="AC22" s="28">
        <f>AB22*7.45</f>
        <v/>
      </c>
      <c r="AD22" s="28">
        <f>IF(Z22&gt;0, AC22/Z22, 0)</f>
        <v/>
      </c>
      <c r="AE22" s="28">
        <f>AC22 + (AA22*AD22)</f>
        <v/>
      </c>
      <c r="AF22" s="29">
        <f>AA22*AD22</f>
        <v/>
      </c>
      <c r="AG22" s="25" t="n">
        <v>0.3118055555555556</v>
      </c>
      <c r="AH22" s="25" t="n">
        <v>0.7465277777777778</v>
      </c>
      <c r="AI22" s="26">
        <f>IF(B22="Sun", 0, IF(B22="Sat", 6, 12))</f>
        <v/>
      </c>
      <c r="AJ22" s="26">
        <f>IF(OR(AH22="OFF", ISBLANK(AH22)), 0, (AH22 - AG22)*24)</f>
        <v/>
      </c>
      <c r="AK22" s="26">
        <f>IF(OR(B22="Sun", AH22="OFF", ISBLANK(AH22)), 0, MAX(0, (IF(B22="Sat", 14/24, 20/24) - AH22)*24))</f>
        <v/>
      </c>
      <c r="AL22" s="27" t="n">
        <v>74</v>
      </c>
      <c r="AM22" s="28">
        <f>AL22*7.45</f>
        <v/>
      </c>
      <c r="AN22" s="28">
        <f>IF(AJ22&gt;0, AM22/AJ22, 0)</f>
        <v/>
      </c>
      <c r="AO22" s="28">
        <f>AM22 + (AK22*AN22)</f>
        <v/>
      </c>
      <c r="AP22" s="29">
        <f>AK22*AN22</f>
        <v/>
      </c>
      <c r="AQ22" s="26">
        <f>E22+O22+Y22+AI22</f>
        <v/>
      </c>
      <c r="AR22" s="26">
        <f>F22+P22+Z22+AJ22</f>
        <v/>
      </c>
      <c r="AS22" s="30">
        <f>G22+Q22+AA22+AK22</f>
        <v/>
      </c>
      <c r="AT22" s="27">
        <f>H22+R22+AB22+AL22</f>
        <v/>
      </c>
      <c r="AU22" s="28">
        <f>AT22*7.45</f>
        <v/>
      </c>
      <c r="AV22" s="29">
        <f>I22+S22+AC22+AM22</f>
        <v/>
      </c>
      <c r="AW22" s="28">
        <f>K22+U22+AE22+AO22</f>
        <v/>
      </c>
      <c r="AX22" s="29">
        <f>L22+V22+AF22+AP22</f>
        <v/>
      </c>
      <c r="AY22" s="31">
        <f>IF(AW22&gt;0, AX22/AW22, 0)</f>
        <v/>
      </c>
    </row>
    <row r="23">
      <c r="A23" s="14" t="n">
        <v>46190</v>
      </c>
      <c r="B23" s="15" t="inlineStr">
        <is>
          <t>Wed</t>
        </is>
      </c>
      <c r="C23" s="16" t="n">
        <v>0.3173611111111111</v>
      </c>
      <c r="D23" s="16" t="n">
        <v>0.8333333333333334</v>
      </c>
      <c r="E23" s="17">
        <f>IF(B23="Sun", 0, IF(B23="Sat", 6, 12))</f>
        <v/>
      </c>
      <c r="F23" s="17">
        <f>IF(OR(D23="OFF", ISBLANK(D23)), 0, (D23 - C23)*24)</f>
        <v/>
      </c>
      <c r="G23" s="17">
        <f>IF(OR(B23="Sun", D23="OFF", ISBLANK(D23)), 0, MAX(0, (IF(B23="Sat", 14/24, 20/24) - D23)*24))</f>
        <v/>
      </c>
      <c r="H23" s="18" t="n">
        <v>67</v>
      </c>
      <c r="I23" s="19">
        <f>H23*7.45</f>
        <v/>
      </c>
      <c r="J23" s="19">
        <f>IF(F23&gt;0, I23/F23, 0)</f>
        <v/>
      </c>
      <c r="K23" s="19">
        <f>I23 + (G23*J23)</f>
        <v/>
      </c>
      <c r="L23" s="20">
        <f>G23*J23</f>
        <v/>
      </c>
      <c r="M23" s="16" t="n">
        <v>0.3173611111111111</v>
      </c>
      <c r="N23" s="16" t="n">
        <v>0.8333333333333334</v>
      </c>
      <c r="O23" s="17">
        <f>IF(B23="Sun", 0, IF(B23="Sat", 6, 12))</f>
        <v/>
      </c>
      <c r="P23" s="17">
        <f>IF(OR(N23="OFF", ISBLANK(N23)), 0, (N23 - M23)*24)</f>
        <v/>
      </c>
      <c r="Q23" s="17">
        <f>IF(OR(B23="Sun", N23="OFF", ISBLANK(N23)), 0, MAX(0, (IF(B23="Sat", 14/24, 20/24) - N23)*24))</f>
        <v/>
      </c>
      <c r="R23" s="18" t="n">
        <v>74</v>
      </c>
      <c r="S23" s="19">
        <f>R23*7.45</f>
        <v/>
      </c>
      <c r="T23" s="19">
        <f>IF(P23&gt;0, S23/P23, 0)</f>
        <v/>
      </c>
      <c r="U23" s="19">
        <f>S23 + (Q23*T23)</f>
        <v/>
      </c>
      <c r="V23" s="20">
        <f>Q23*T23</f>
        <v/>
      </c>
      <c r="W23" s="16" t="n">
        <v>0.3173611111111111</v>
      </c>
      <c r="X23" s="16" t="n">
        <v>0.75</v>
      </c>
      <c r="Y23" s="17">
        <f>IF(B23="Sun", 0, IF(B23="Sat", 6, 12))</f>
        <v/>
      </c>
      <c r="Z23" s="17">
        <f>IF(OR(X23="OFF", ISBLANK(X23)), 0, (X23 - W23)*24)</f>
        <v/>
      </c>
      <c r="AA23" s="17">
        <f>IF(OR(B23="Sun", X23="OFF", ISBLANK(X23)), 0, MAX(0, (IF(B23="Sat", 14/24, 20/24) - X23)*24))</f>
        <v/>
      </c>
      <c r="AB23" s="18" t="n">
        <v>80</v>
      </c>
      <c r="AC23" s="19">
        <f>AB23*7.45</f>
        <v/>
      </c>
      <c r="AD23" s="19">
        <f>IF(Z23&gt;0, AC23/Z23, 0)</f>
        <v/>
      </c>
      <c r="AE23" s="19">
        <f>AC23 + (AA23*AD23)</f>
        <v/>
      </c>
      <c r="AF23" s="20">
        <f>AA23*AD23</f>
        <v/>
      </c>
      <c r="AG23" s="16" t="n">
        <v>0.3173611111111111</v>
      </c>
      <c r="AH23" s="16" t="n">
        <v>0.75</v>
      </c>
      <c r="AI23" s="17">
        <f>IF(B23="Sun", 0, IF(B23="Sat", 6, 12))</f>
        <v/>
      </c>
      <c r="AJ23" s="17">
        <f>IF(OR(AH23="OFF", ISBLANK(AH23)), 0, (AH23 - AG23)*24)</f>
        <v/>
      </c>
      <c r="AK23" s="17">
        <f>IF(OR(B23="Sun", AH23="OFF", ISBLANK(AH23)), 0, MAX(0, (IF(B23="Sat", 14/24, 20/24) - AH23)*24))</f>
        <v/>
      </c>
      <c r="AL23" s="18" t="n">
        <v>73</v>
      </c>
      <c r="AM23" s="19">
        <f>AL23*7.45</f>
        <v/>
      </c>
      <c r="AN23" s="19">
        <f>IF(AJ23&gt;0, AM23/AJ23, 0)</f>
        <v/>
      </c>
      <c r="AO23" s="19">
        <f>AM23 + (AK23*AN23)</f>
        <v/>
      </c>
      <c r="AP23" s="20">
        <f>AK23*AN23</f>
        <v/>
      </c>
      <c r="AQ23" s="17">
        <f>E23+O23+Y23+AI23</f>
        <v/>
      </c>
      <c r="AR23" s="17">
        <f>F23+P23+Z23+AJ23</f>
        <v/>
      </c>
      <c r="AS23" s="21">
        <f>G23+Q23+AA23+AK23</f>
        <v/>
      </c>
      <c r="AT23" s="18">
        <f>H23+R23+AB23+AL23</f>
        <v/>
      </c>
      <c r="AU23" s="19">
        <f>AT23*7.45</f>
        <v/>
      </c>
      <c r="AV23" s="20">
        <f>I23+S23+AC23+AM23</f>
        <v/>
      </c>
      <c r="AW23" s="19">
        <f>K23+U23+AE23+AO23</f>
        <v/>
      </c>
      <c r="AX23" s="20">
        <f>L23+V23+AF23+AP23</f>
        <v/>
      </c>
      <c r="AY23" s="22">
        <f>IF(AW23&gt;0, AX23/AW23, 0)</f>
        <v/>
      </c>
    </row>
    <row r="24">
      <c r="A24" s="23" t="n">
        <v>46191</v>
      </c>
      <c r="B24" s="24" t="inlineStr">
        <is>
          <t>Thu</t>
        </is>
      </c>
      <c r="C24" s="25" t="n">
        <v>0.3125</v>
      </c>
      <c r="D24" s="25" t="n">
        <v>0.78125</v>
      </c>
      <c r="E24" s="26">
        <f>IF(B24="Sun", 0, IF(B24="Sat", 6, 12))</f>
        <v/>
      </c>
      <c r="F24" s="26">
        <f>IF(OR(D24="OFF", ISBLANK(D24)), 0, (D24 - C24)*24)</f>
        <v/>
      </c>
      <c r="G24" s="26">
        <f>IF(OR(B24="Sun", D24="OFF", ISBLANK(D24)), 0, MAX(0, (IF(B24="Sat", 14/24, 20/24) - D24)*24))</f>
        <v/>
      </c>
      <c r="H24" s="27" t="n">
        <v>60</v>
      </c>
      <c r="I24" s="28">
        <f>H24*7.45</f>
        <v/>
      </c>
      <c r="J24" s="28">
        <f>IF(F24&gt;0, I24/F24, 0)</f>
        <v/>
      </c>
      <c r="K24" s="28">
        <f>I24 + (G24*J24)</f>
        <v/>
      </c>
      <c r="L24" s="29">
        <f>G24*J24</f>
        <v/>
      </c>
      <c r="M24" s="25" t="n">
        <v>0.3125</v>
      </c>
      <c r="N24" s="25" t="n">
        <v>0.8159722222222222</v>
      </c>
      <c r="O24" s="26">
        <f>IF(B24="Sun", 0, IF(B24="Sat", 6, 12))</f>
        <v/>
      </c>
      <c r="P24" s="26">
        <f>IF(OR(N24="OFF", ISBLANK(N24)), 0, (N24 - M24)*24)</f>
        <v/>
      </c>
      <c r="Q24" s="26">
        <f>IF(OR(B24="Sun", N24="OFF", ISBLANK(N24)), 0, MAX(0, (IF(B24="Sat", 14/24, 20/24) - N24)*24))</f>
        <v/>
      </c>
      <c r="R24" s="27" t="n">
        <v>69</v>
      </c>
      <c r="S24" s="28">
        <f>R24*7.45</f>
        <v/>
      </c>
      <c r="T24" s="28">
        <f>IF(P24&gt;0, S24/P24, 0)</f>
        <v/>
      </c>
      <c r="U24" s="28">
        <f>S24 + (Q24*T24)</f>
        <v/>
      </c>
      <c r="V24" s="29">
        <f>Q24*T24</f>
        <v/>
      </c>
      <c r="W24" s="25" t="n">
        <v>0.3125</v>
      </c>
      <c r="X24" s="25" t="n">
        <v>0.7604166666666666</v>
      </c>
      <c r="Y24" s="26">
        <f>IF(B24="Sun", 0, IF(B24="Sat", 6, 12))</f>
        <v/>
      </c>
      <c r="Z24" s="26">
        <f>IF(OR(X24="OFF", ISBLANK(X24)), 0, (X24 - W24)*24)</f>
        <v/>
      </c>
      <c r="AA24" s="26">
        <f>IF(OR(B24="Sun", X24="OFF", ISBLANK(X24)), 0, MAX(0, (IF(B24="Sat", 14/24, 20/24) - X24)*24))</f>
        <v/>
      </c>
      <c r="AB24" s="27" t="n">
        <v>84</v>
      </c>
      <c r="AC24" s="28">
        <f>AB24*7.45</f>
        <v/>
      </c>
      <c r="AD24" s="28">
        <f>IF(Z24&gt;0, AC24/Z24, 0)</f>
        <v/>
      </c>
      <c r="AE24" s="28">
        <f>AC24 + (AA24*AD24)</f>
        <v/>
      </c>
      <c r="AF24" s="29">
        <f>AA24*AD24</f>
        <v/>
      </c>
      <c r="AG24" s="25" t="n">
        <v>0.3125</v>
      </c>
      <c r="AH24" s="25" t="n">
        <v>0.7604166666666666</v>
      </c>
      <c r="AI24" s="26">
        <f>IF(B24="Sun", 0, IF(B24="Sat", 6, 12))</f>
        <v/>
      </c>
      <c r="AJ24" s="26">
        <f>IF(OR(AH24="OFF", ISBLANK(AH24)), 0, (AH24 - AG24)*24)</f>
        <v/>
      </c>
      <c r="AK24" s="26">
        <f>IF(OR(B24="Sun", AH24="OFF", ISBLANK(AH24)), 0, MAX(0, (IF(B24="Sat", 14/24, 20/24) - AH24)*24))</f>
        <v/>
      </c>
      <c r="AL24" s="27" t="n">
        <v>75</v>
      </c>
      <c r="AM24" s="28">
        <f>AL24*7.45</f>
        <v/>
      </c>
      <c r="AN24" s="28">
        <f>IF(AJ24&gt;0, AM24/AJ24, 0)</f>
        <v/>
      </c>
      <c r="AO24" s="28">
        <f>AM24 + (AK24*AN24)</f>
        <v/>
      </c>
      <c r="AP24" s="29">
        <f>AK24*AN24</f>
        <v/>
      </c>
      <c r="AQ24" s="26">
        <f>E24+O24+Y24+AI24</f>
        <v/>
      </c>
      <c r="AR24" s="26">
        <f>F24+P24+Z24+AJ24</f>
        <v/>
      </c>
      <c r="AS24" s="30">
        <f>G24+Q24+AA24+AK24</f>
        <v/>
      </c>
      <c r="AT24" s="27">
        <f>H24+R24+AB24+AL24</f>
        <v/>
      </c>
      <c r="AU24" s="28">
        <f>AT24*7.45</f>
        <v/>
      </c>
      <c r="AV24" s="29">
        <f>I24+S24+AC24+AM24</f>
        <v/>
      </c>
      <c r="AW24" s="28">
        <f>K24+U24+AE24+AO24</f>
        <v/>
      </c>
      <c r="AX24" s="29">
        <f>L24+V24+AF24+AP24</f>
        <v/>
      </c>
      <c r="AY24" s="31">
        <f>IF(AW24&gt;0, AX24/AW24, 0)</f>
        <v/>
      </c>
    </row>
    <row r="25">
      <c r="A25" s="14" t="n">
        <v>46192</v>
      </c>
      <c r="B25" s="15" t="inlineStr">
        <is>
          <t>Fri</t>
        </is>
      </c>
      <c r="C25" s="16" t="n">
        <v>0.3097222222222222</v>
      </c>
      <c r="D25" s="16" t="n">
        <v>0.7555555555555555</v>
      </c>
      <c r="E25" s="17">
        <f>IF(B25="Sun", 0, IF(B25="Sat", 6, 12))</f>
        <v/>
      </c>
      <c r="F25" s="17">
        <f>IF(OR(D25="OFF", ISBLANK(D25)), 0, (D25 - C25)*24)</f>
        <v/>
      </c>
      <c r="G25" s="17">
        <f>IF(OR(B25="Sun", D25="OFF", ISBLANK(D25)), 0, MAX(0, (IF(B25="Sat", 14/24, 20/24) - D25)*24))</f>
        <v/>
      </c>
      <c r="H25" s="18" t="n">
        <v>58</v>
      </c>
      <c r="I25" s="19">
        <f>H25*7.45</f>
        <v/>
      </c>
      <c r="J25" s="19">
        <f>IF(F25&gt;0, I25/F25, 0)</f>
        <v/>
      </c>
      <c r="K25" s="19">
        <f>I25 + (G25*J25)</f>
        <v/>
      </c>
      <c r="L25" s="20">
        <f>G25*J25</f>
        <v/>
      </c>
      <c r="M25" s="16" t="n">
        <v>0.3097222222222222</v>
      </c>
      <c r="N25" s="16" t="n">
        <v>0.8333333333333334</v>
      </c>
      <c r="O25" s="17">
        <f>IF(B25="Sun", 0, IF(B25="Sat", 6, 12))</f>
        <v/>
      </c>
      <c r="P25" s="17">
        <f>IF(OR(N25="OFF", ISBLANK(N25)), 0, (N25 - M25)*24)</f>
        <v/>
      </c>
      <c r="Q25" s="17">
        <f>IF(OR(B25="Sun", N25="OFF", ISBLANK(N25)), 0, MAX(0, (IF(B25="Sat", 14/24, 20/24) - N25)*24))</f>
        <v/>
      </c>
      <c r="R25" s="18" t="n">
        <v>76</v>
      </c>
      <c r="S25" s="19">
        <f>R25*7.45</f>
        <v/>
      </c>
      <c r="T25" s="19">
        <f>IF(P25&gt;0, S25/P25, 0)</f>
        <v/>
      </c>
      <c r="U25" s="19">
        <f>S25 + (Q25*T25)</f>
        <v/>
      </c>
      <c r="V25" s="20">
        <f>Q25*T25</f>
        <v/>
      </c>
      <c r="W25" s="16" t="n">
        <v>0.3097222222222222</v>
      </c>
      <c r="X25" s="16" t="n">
        <v>0.7388888888888889</v>
      </c>
      <c r="Y25" s="17">
        <f>IF(B25="Sun", 0, IF(B25="Sat", 6, 12))</f>
        <v/>
      </c>
      <c r="Z25" s="17">
        <f>IF(OR(X25="OFF", ISBLANK(X25)), 0, (X25 - W25)*24)</f>
        <v/>
      </c>
      <c r="AA25" s="17">
        <f>IF(OR(B25="Sun", X25="OFF", ISBLANK(X25)), 0, MAX(0, (IF(B25="Sat", 14/24, 20/24) - X25)*24))</f>
        <v/>
      </c>
      <c r="AB25" s="18" t="n">
        <v>78</v>
      </c>
      <c r="AC25" s="19">
        <f>AB25*7.45</f>
        <v/>
      </c>
      <c r="AD25" s="19">
        <f>IF(Z25&gt;0, AC25/Z25, 0)</f>
        <v/>
      </c>
      <c r="AE25" s="19">
        <f>AC25 + (AA25*AD25)</f>
        <v/>
      </c>
      <c r="AF25" s="20">
        <f>AA25*AD25</f>
        <v/>
      </c>
      <c r="AG25" s="16" t="n">
        <v>0.3097222222222222</v>
      </c>
      <c r="AH25" s="16" t="n">
        <v>0.7388888888888889</v>
      </c>
      <c r="AI25" s="17">
        <f>IF(B25="Sun", 0, IF(B25="Sat", 6, 12))</f>
        <v/>
      </c>
      <c r="AJ25" s="17">
        <f>IF(OR(AH25="OFF", ISBLANK(AH25)), 0, (AH25 - AG25)*24)</f>
        <v/>
      </c>
      <c r="AK25" s="17">
        <f>IF(OR(B25="Sun", AH25="OFF", ISBLANK(AH25)), 0, MAX(0, (IF(B25="Sat", 14/24, 20/24) - AH25)*24))</f>
        <v/>
      </c>
      <c r="AL25" s="18" t="n">
        <v>68</v>
      </c>
      <c r="AM25" s="19">
        <f>AL25*7.45</f>
        <v/>
      </c>
      <c r="AN25" s="19">
        <f>IF(AJ25&gt;0, AM25/AJ25, 0)</f>
        <v/>
      </c>
      <c r="AO25" s="19">
        <f>AM25 + (AK25*AN25)</f>
        <v/>
      </c>
      <c r="AP25" s="20">
        <f>AK25*AN25</f>
        <v/>
      </c>
      <c r="AQ25" s="17">
        <f>E25+O25+Y25+AI25</f>
        <v/>
      </c>
      <c r="AR25" s="17">
        <f>F25+P25+Z25+AJ25</f>
        <v/>
      </c>
      <c r="AS25" s="21">
        <f>G25+Q25+AA25+AK25</f>
        <v/>
      </c>
      <c r="AT25" s="18">
        <f>H25+R25+AB25+AL25</f>
        <v/>
      </c>
      <c r="AU25" s="19">
        <f>AT25*7.45</f>
        <v/>
      </c>
      <c r="AV25" s="20">
        <f>I25+S25+AC25+AM25</f>
        <v/>
      </c>
      <c r="AW25" s="19">
        <f>K25+U25+AE25+AO25</f>
        <v/>
      </c>
      <c r="AX25" s="20">
        <f>L25+V25+AF25+AP25</f>
        <v/>
      </c>
      <c r="AY25" s="22">
        <f>IF(AW25&gt;0, AX25/AW25, 0)</f>
        <v/>
      </c>
    </row>
    <row r="26">
      <c r="A26" s="23" t="n">
        <v>46193</v>
      </c>
      <c r="B26" s="24" t="inlineStr">
        <is>
          <t>Sat</t>
        </is>
      </c>
      <c r="C26" s="25" t="n">
        <v>0.3229166666666667</v>
      </c>
      <c r="D26" s="25" t="n">
        <v>0.5833333333333334</v>
      </c>
      <c r="E26" s="26">
        <f>IF(B26="Sun", 0, IF(B26="Sat", 6, 12))</f>
        <v/>
      </c>
      <c r="F26" s="26">
        <f>IF(OR(D26="OFF", ISBLANK(D26)), 0, (D26 - C26)*24)</f>
        <v/>
      </c>
      <c r="G26" s="26">
        <f>IF(OR(B26="Sun", D26="OFF", ISBLANK(D26)), 0, MAX(0, (IF(B26="Sat", 14/24, 20/24) - D26)*24))</f>
        <v/>
      </c>
      <c r="H26" s="27" t="n">
        <v>33</v>
      </c>
      <c r="I26" s="28">
        <f>H26*7.45</f>
        <v/>
      </c>
      <c r="J26" s="28">
        <f>IF(F26&gt;0, I26/F26, 0)</f>
        <v/>
      </c>
      <c r="K26" s="28">
        <f>I26 + (G26*J26)</f>
        <v/>
      </c>
      <c r="L26" s="29">
        <f>G26*J26</f>
        <v/>
      </c>
      <c r="M26" s="25" t="n">
        <v>0.3229166666666667</v>
      </c>
      <c r="N26" s="25" t="n">
        <v>0.5833333333333334</v>
      </c>
      <c r="O26" s="26">
        <f>IF(B26="Sun", 0, IF(B26="Sat", 6, 12))</f>
        <v/>
      </c>
      <c r="P26" s="26">
        <f>IF(OR(N26="OFF", ISBLANK(N26)), 0, (N26 - M26)*24)</f>
        <v/>
      </c>
      <c r="Q26" s="26">
        <f>IF(OR(B26="Sun", N26="OFF", ISBLANK(N26)), 0, MAX(0, (IF(B26="Sat", 14/24, 20/24) - N26)*24))</f>
        <v/>
      </c>
      <c r="R26" s="27" t="n">
        <v>38</v>
      </c>
      <c r="S26" s="28">
        <f>R26*7.45</f>
        <v/>
      </c>
      <c r="T26" s="28">
        <f>IF(P26&gt;0, S26/P26, 0)</f>
        <v/>
      </c>
      <c r="U26" s="28">
        <f>S26 + (Q26*T26)</f>
        <v/>
      </c>
      <c r="V26" s="29">
        <f>Q26*T26</f>
        <v/>
      </c>
      <c r="W26" s="25" t="n">
        <v>0.3229166666666667</v>
      </c>
      <c r="X26" s="25" t="n">
        <v>0.5833333333333334</v>
      </c>
      <c r="Y26" s="26">
        <f>IF(B26="Sun", 0, IF(B26="Sat", 6, 12))</f>
        <v/>
      </c>
      <c r="Z26" s="26">
        <f>IF(OR(X26="OFF", ISBLANK(X26)), 0, (X26 - W26)*24)</f>
        <v/>
      </c>
      <c r="AA26" s="26">
        <f>IF(OR(B26="Sun", X26="OFF", ISBLANK(X26)), 0, MAX(0, (IF(B26="Sat", 14/24, 20/24) - X26)*24))</f>
        <v/>
      </c>
      <c r="AB26" s="27" t="n">
        <v>45</v>
      </c>
      <c r="AC26" s="28">
        <f>AB26*7.45</f>
        <v/>
      </c>
      <c r="AD26" s="28">
        <f>IF(Z26&gt;0, AC26/Z26, 0)</f>
        <v/>
      </c>
      <c r="AE26" s="28">
        <f>AC26 + (AA26*AD26)</f>
        <v/>
      </c>
      <c r="AF26" s="29">
        <f>AA26*AD26</f>
        <v/>
      </c>
      <c r="AG26" s="25" t="n">
        <v>0.3229166666666667</v>
      </c>
      <c r="AH26" s="25" t="n">
        <v>0.5833333333333334</v>
      </c>
      <c r="AI26" s="26">
        <f>IF(B26="Sun", 0, IF(B26="Sat", 6, 12))</f>
        <v/>
      </c>
      <c r="AJ26" s="26">
        <f>IF(OR(AH26="OFF", ISBLANK(AH26)), 0, (AH26 - AG26)*24)</f>
        <v/>
      </c>
      <c r="AK26" s="26">
        <f>IF(OR(B26="Sun", AH26="OFF", ISBLANK(AH26)), 0, MAX(0, (IF(B26="Sat", 14/24, 20/24) - AH26)*24))</f>
        <v/>
      </c>
      <c r="AL26" s="27" t="n">
        <v>41</v>
      </c>
      <c r="AM26" s="28">
        <f>AL26*7.45</f>
        <v/>
      </c>
      <c r="AN26" s="28">
        <f>IF(AJ26&gt;0, AM26/AJ26, 0)</f>
        <v/>
      </c>
      <c r="AO26" s="28">
        <f>AM26 + (AK26*AN26)</f>
        <v/>
      </c>
      <c r="AP26" s="29">
        <f>AK26*AN26</f>
        <v/>
      </c>
      <c r="AQ26" s="26">
        <f>E26+O26+Y26+AI26</f>
        <v/>
      </c>
      <c r="AR26" s="26">
        <f>F26+P26+Z26+AJ26</f>
        <v/>
      </c>
      <c r="AS26" s="30">
        <f>G26+Q26+AA26+AK26</f>
        <v/>
      </c>
      <c r="AT26" s="27">
        <f>H26+R26+AB26+AL26</f>
        <v/>
      </c>
      <c r="AU26" s="28">
        <f>AT26*7.45</f>
        <v/>
      </c>
      <c r="AV26" s="29">
        <f>I26+S26+AC26+AM26</f>
        <v/>
      </c>
      <c r="AW26" s="28">
        <f>K26+U26+AE26+AO26</f>
        <v/>
      </c>
      <c r="AX26" s="29">
        <f>L26+V26+AF26+AP26</f>
        <v/>
      </c>
      <c r="AY26" s="31">
        <f>IF(AW26&gt;0, AX26/AW26, 0)</f>
        <v/>
      </c>
    </row>
    <row r="27">
      <c r="A27" s="14" t="n">
        <v>46194</v>
      </c>
      <c r="B27" s="15" t="inlineStr">
        <is>
          <t>Sun</t>
        </is>
      </c>
      <c r="C27" s="15" t="inlineStr">
        <is>
          <t>OFF</t>
        </is>
      </c>
      <c r="D27" s="15" t="inlineStr">
        <is>
          <t>OFF</t>
        </is>
      </c>
      <c r="E27" s="17">
        <f>IF(B27="Sun", 0, IF(B27="Sat", 6, 12))</f>
        <v/>
      </c>
      <c r="F27" s="17">
        <f>IF(OR(D27="OFF", ISBLANK(D27)), 0, (D27 - C27)*24)</f>
        <v/>
      </c>
      <c r="G27" s="17">
        <f>IF(OR(B27="Sun", D27="OFF", ISBLANK(D27)), 0, MAX(0, (IF(B27="Sat", 14/24, 20/24) - D27)*24))</f>
        <v/>
      </c>
      <c r="H27" s="18" t="n">
        <v>0</v>
      </c>
      <c r="I27" s="19">
        <f>H27*7.45</f>
        <v/>
      </c>
      <c r="J27" s="19">
        <f>IF(F27&gt;0, I27/F27, 0)</f>
        <v/>
      </c>
      <c r="K27" s="19">
        <f>I27 + (G27*J27)</f>
        <v/>
      </c>
      <c r="L27" s="20">
        <f>G27*J27</f>
        <v/>
      </c>
      <c r="M27" s="15" t="inlineStr">
        <is>
          <t>OFF</t>
        </is>
      </c>
      <c r="N27" s="15" t="inlineStr">
        <is>
          <t>OFF</t>
        </is>
      </c>
      <c r="O27" s="17">
        <f>IF(B27="Sun", 0, IF(B27="Sat", 6, 12))</f>
        <v/>
      </c>
      <c r="P27" s="17">
        <f>IF(OR(N27="OFF", ISBLANK(N27)), 0, (N27 - M27)*24)</f>
        <v/>
      </c>
      <c r="Q27" s="17">
        <f>IF(OR(B27="Sun", N27="OFF", ISBLANK(N27)), 0, MAX(0, (IF(B27="Sat", 14/24, 20/24) - N27)*24))</f>
        <v/>
      </c>
      <c r="R27" s="18" t="n">
        <v>0</v>
      </c>
      <c r="S27" s="19">
        <f>R27*7.45</f>
        <v/>
      </c>
      <c r="T27" s="19">
        <f>IF(P27&gt;0, S27/P27, 0)</f>
        <v/>
      </c>
      <c r="U27" s="19">
        <f>S27 + (Q27*T27)</f>
        <v/>
      </c>
      <c r="V27" s="20">
        <f>Q27*T27</f>
        <v/>
      </c>
      <c r="W27" s="15" t="inlineStr">
        <is>
          <t>OFF</t>
        </is>
      </c>
      <c r="X27" s="15" t="inlineStr">
        <is>
          <t>OFF</t>
        </is>
      </c>
      <c r="Y27" s="17">
        <f>IF(B27="Sun", 0, IF(B27="Sat", 6, 12))</f>
        <v/>
      </c>
      <c r="Z27" s="17">
        <f>IF(OR(X27="OFF", ISBLANK(X27)), 0, (X27 - W27)*24)</f>
        <v/>
      </c>
      <c r="AA27" s="17">
        <f>IF(OR(B27="Sun", X27="OFF", ISBLANK(X27)), 0, MAX(0, (IF(B27="Sat", 14/24, 20/24) - X27)*24))</f>
        <v/>
      </c>
      <c r="AB27" s="18" t="n">
        <v>0</v>
      </c>
      <c r="AC27" s="19">
        <f>AB27*7.45</f>
        <v/>
      </c>
      <c r="AD27" s="19">
        <f>IF(Z27&gt;0, AC27/Z27, 0)</f>
        <v/>
      </c>
      <c r="AE27" s="19">
        <f>AC27 + (AA27*AD27)</f>
        <v/>
      </c>
      <c r="AF27" s="20">
        <f>AA27*AD27</f>
        <v/>
      </c>
      <c r="AG27" s="15" t="inlineStr">
        <is>
          <t>OFF</t>
        </is>
      </c>
      <c r="AH27" s="15" t="inlineStr">
        <is>
          <t>OFF</t>
        </is>
      </c>
      <c r="AI27" s="17">
        <f>IF(B27="Sun", 0, IF(B27="Sat", 6, 12))</f>
        <v/>
      </c>
      <c r="AJ27" s="17">
        <f>IF(OR(AH27="OFF", ISBLANK(AH27)), 0, (AH27 - AG27)*24)</f>
        <v/>
      </c>
      <c r="AK27" s="17">
        <f>IF(OR(B27="Sun", AH27="OFF", ISBLANK(AH27)), 0, MAX(0, (IF(B27="Sat", 14/24, 20/24) - AH27)*24))</f>
        <v/>
      </c>
      <c r="AL27" s="18" t="n">
        <v>0</v>
      </c>
      <c r="AM27" s="19">
        <f>AL27*7.45</f>
        <v/>
      </c>
      <c r="AN27" s="19">
        <f>IF(AJ27&gt;0, AM27/AJ27, 0)</f>
        <v/>
      </c>
      <c r="AO27" s="19">
        <f>AM27 + (AK27*AN27)</f>
        <v/>
      </c>
      <c r="AP27" s="20">
        <f>AK27*AN27</f>
        <v/>
      </c>
      <c r="AQ27" s="17">
        <f>E27+O27+Y27+AI27</f>
        <v/>
      </c>
      <c r="AR27" s="17">
        <f>F27+P27+Z27+AJ27</f>
        <v/>
      </c>
      <c r="AS27" s="21">
        <f>G27+Q27+AA27+AK27</f>
        <v/>
      </c>
      <c r="AT27" s="18">
        <f>H27+R27+AB27+AL27</f>
        <v/>
      </c>
      <c r="AU27" s="19">
        <f>AT27*7.45</f>
        <v/>
      </c>
      <c r="AV27" s="20">
        <f>I27+S27+AC27+AM27</f>
        <v/>
      </c>
      <c r="AW27" s="19">
        <f>K27+U27+AE27+AO27</f>
        <v/>
      </c>
      <c r="AX27" s="20">
        <f>L27+V27+AF27+AP27</f>
        <v/>
      </c>
      <c r="AY27" s="22">
        <f>IF(AW27&gt;0, AX27/AW27, 0)</f>
        <v/>
      </c>
    </row>
    <row r="28">
      <c r="A28" s="23" t="n">
        <v>46195</v>
      </c>
      <c r="B28" s="24" t="inlineStr">
        <is>
          <t>Mon</t>
        </is>
      </c>
      <c r="C28" s="25" t="n">
        <v>0.2743055555555556</v>
      </c>
      <c r="D28" s="25" t="n">
        <v>0.8020833333333334</v>
      </c>
      <c r="E28" s="26">
        <f>IF(B28="Sun", 0, IF(B28="Sat", 6, 12))</f>
        <v/>
      </c>
      <c r="F28" s="26">
        <f>IF(OR(D28="OFF", ISBLANK(D28)), 0, (D28 - C28)*24)</f>
        <v/>
      </c>
      <c r="G28" s="26">
        <f>IF(OR(B28="Sun", D28="OFF", ISBLANK(D28)), 0, MAX(0, (IF(B28="Sat", 14/24, 20/24) - D28)*24))</f>
        <v/>
      </c>
      <c r="H28" s="27" t="n">
        <v>77</v>
      </c>
      <c r="I28" s="28">
        <f>H28*7.45</f>
        <v/>
      </c>
      <c r="J28" s="28">
        <f>IF(F28&gt;0, I28/F28, 0)</f>
        <v/>
      </c>
      <c r="K28" s="28">
        <f>I28 + (G28*J28)</f>
        <v/>
      </c>
      <c r="L28" s="29">
        <f>G28*J28</f>
        <v/>
      </c>
      <c r="M28" s="25" t="n">
        <v>0.2743055555555556</v>
      </c>
      <c r="N28" s="25" t="n">
        <v>0.8263888888888888</v>
      </c>
      <c r="O28" s="26">
        <f>IF(B28="Sun", 0, IF(B28="Sat", 6, 12))</f>
        <v/>
      </c>
      <c r="P28" s="26">
        <f>IF(OR(N28="OFF", ISBLANK(N28)), 0, (N28 - M28)*24)</f>
        <v/>
      </c>
      <c r="Q28" s="26">
        <f>IF(OR(B28="Sun", N28="OFF", ISBLANK(N28)), 0, MAX(0, (IF(B28="Sat", 14/24, 20/24) - N28)*24))</f>
        <v/>
      </c>
      <c r="R28" s="27" t="n">
        <v>82</v>
      </c>
      <c r="S28" s="28">
        <f>R28*7.45</f>
        <v/>
      </c>
      <c r="T28" s="28">
        <f>IF(P28&gt;0, S28/P28, 0)</f>
        <v/>
      </c>
      <c r="U28" s="28">
        <f>S28 + (Q28*T28)</f>
        <v/>
      </c>
      <c r="V28" s="29">
        <f>Q28*T28</f>
        <v/>
      </c>
      <c r="W28" s="25" t="n">
        <v>0.2743055555555556</v>
      </c>
      <c r="X28" s="25" t="n">
        <v>0.7638888888888888</v>
      </c>
      <c r="Y28" s="26">
        <f>IF(B28="Sun", 0, IF(B28="Sat", 6, 12))</f>
        <v/>
      </c>
      <c r="Z28" s="26">
        <f>IF(OR(X28="OFF", ISBLANK(X28)), 0, (X28 - W28)*24)</f>
        <v/>
      </c>
      <c r="AA28" s="26">
        <f>IF(OR(B28="Sun", X28="OFF", ISBLANK(X28)), 0, MAX(0, (IF(B28="Sat", 14/24, 20/24) - X28)*24))</f>
        <v/>
      </c>
      <c r="AB28" s="27" t="n">
        <v>99</v>
      </c>
      <c r="AC28" s="28">
        <f>AB28*7.45</f>
        <v/>
      </c>
      <c r="AD28" s="28">
        <f>IF(Z28&gt;0, AC28/Z28, 0)</f>
        <v/>
      </c>
      <c r="AE28" s="28">
        <f>AC28 + (AA28*AD28)</f>
        <v/>
      </c>
      <c r="AF28" s="29">
        <f>AA28*AD28</f>
        <v/>
      </c>
      <c r="AG28" s="25" t="n">
        <v>0.2743055555555556</v>
      </c>
      <c r="AH28" s="25" t="n">
        <v>0.7638888888888888</v>
      </c>
      <c r="AI28" s="26">
        <f>IF(B28="Sun", 0, IF(B28="Sat", 6, 12))</f>
        <v/>
      </c>
      <c r="AJ28" s="26">
        <f>IF(OR(AH28="OFF", ISBLANK(AH28)), 0, (AH28 - AG28)*24)</f>
        <v/>
      </c>
      <c r="AK28" s="26">
        <f>IF(OR(B28="Sun", AH28="OFF", ISBLANK(AH28)), 0, MAX(0, (IF(B28="Sat", 14/24, 20/24) - AH28)*24))</f>
        <v/>
      </c>
      <c r="AL28" s="27" t="n">
        <v>86</v>
      </c>
      <c r="AM28" s="28">
        <f>AL28*7.45</f>
        <v/>
      </c>
      <c r="AN28" s="28">
        <f>IF(AJ28&gt;0, AM28/AJ28, 0)</f>
        <v/>
      </c>
      <c r="AO28" s="28">
        <f>AM28 + (AK28*AN28)</f>
        <v/>
      </c>
      <c r="AP28" s="29">
        <f>AK28*AN28</f>
        <v/>
      </c>
      <c r="AQ28" s="26">
        <f>E28+O28+Y28+AI28</f>
        <v/>
      </c>
      <c r="AR28" s="26">
        <f>F28+P28+Z28+AJ28</f>
        <v/>
      </c>
      <c r="AS28" s="30">
        <f>G28+Q28+AA28+AK28</f>
        <v/>
      </c>
      <c r="AT28" s="27">
        <f>H28+R28+AB28+AL28</f>
        <v/>
      </c>
      <c r="AU28" s="28">
        <f>AT28*7.45</f>
        <v/>
      </c>
      <c r="AV28" s="29">
        <f>I28+S28+AC28+AM28</f>
        <v/>
      </c>
      <c r="AW28" s="28">
        <f>K28+U28+AE28+AO28</f>
        <v/>
      </c>
      <c r="AX28" s="29">
        <f>L28+V28+AF28+AP28</f>
        <v/>
      </c>
      <c r="AY28" s="31">
        <f>IF(AW28&gt;0, AX28/AW28, 0)</f>
        <v/>
      </c>
    </row>
    <row r="29">
      <c r="A29" s="14" t="n">
        <v>46196</v>
      </c>
      <c r="B29" s="15" t="inlineStr">
        <is>
          <t>Tue</t>
        </is>
      </c>
      <c r="C29" s="16" t="n">
        <v>0.2701388888888889</v>
      </c>
      <c r="D29" s="16" t="n">
        <v>0.7847222222222222</v>
      </c>
      <c r="E29" s="17">
        <f>IF(B29="Sun", 0, IF(B29="Sat", 6, 12))</f>
        <v/>
      </c>
      <c r="F29" s="17">
        <f>IF(OR(D29="OFF", ISBLANK(D29)), 0, (D29 - C29)*24)</f>
        <v/>
      </c>
      <c r="G29" s="17">
        <f>IF(OR(B29="Sun", D29="OFF", ISBLANK(D29)), 0, MAX(0, (IF(B29="Sat", 14/24, 20/24) - D29)*24))</f>
        <v/>
      </c>
      <c r="H29" s="18" t="n">
        <v>71</v>
      </c>
      <c r="I29" s="19">
        <f>H29*7.45</f>
        <v/>
      </c>
      <c r="J29" s="19">
        <f>IF(F29&gt;0, I29/F29, 0)</f>
        <v/>
      </c>
      <c r="K29" s="19">
        <f>I29 + (G29*J29)</f>
        <v/>
      </c>
      <c r="L29" s="20">
        <f>G29*J29</f>
        <v/>
      </c>
      <c r="M29" s="16" t="n">
        <v>0.2701388888888889</v>
      </c>
      <c r="N29" s="16" t="n">
        <v>0.8333333333333334</v>
      </c>
      <c r="O29" s="17">
        <f>IF(B29="Sun", 0, IF(B29="Sat", 6, 12))</f>
        <v/>
      </c>
      <c r="P29" s="17">
        <f>IF(OR(N29="OFF", ISBLANK(N29)), 0, (N29 - M29)*24)</f>
        <v/>
      </c>
      <c r="Q29" s="17">
        <f>IF(OR(B29="Sun", N29="OFF", ISBLANK(N29)), 0, MAX(0, (IF(B29="Sat", 14/24, 20/24) - N29)*24))</f>
        <v/>
      </c>
      <c r="R29" s="18" t="n">
        <v>86</v>
      </c>
      <c r="S29" s="19">
        <f>R29*7.45</f>
        <v/>
      </c>
      <c r="T29" s="19">
        <f>IF(P29&gt;0, S29/P29, 0)</f>
        <v/>
      </c>
      <c r="U29" s="19">
        <f>S29 + (Q29*T29)</f>
        <v/>
      </c>
      <c r="V29" s="20">
        <f>Q29*T29</f>
        <v/>
      </c>
      <c r="W29" s="16" t="n">
        <v>0.2701388888888889</v>
      </c>
      <c r="X29" s="16" t="n">
        <v>0.7847222222222222</v>
      </c>
      <c r="Y29" s="17">
        <f>IF(B29="Sun", 0, IF(B29="Sat", 6, 12))</f>
        <v/>
      </c>
      <c r="Z29" s="17">
        <f>IF(OR(X29="OFF", ISBLANK(X29)), 0, (X29 - W29)*24)</f>
        <v/>
      </c>
      <c r="AA29" s="17">
        <f>IF(OR(B29="Sun", X29="OFF", ISBLANK(X29)), 0, MAX(0, (IF(B29="Sat", 14/24, 20/24) - X29)*24))</f>
        <v/>
      </c>
      <c r="AB29" s="18" t="n">
        <v>111</v>
      </c>
      <c r="AC29" s="19">
        <f>AB29*7.45</f>
        <v/>
      </c>
      <c r="AD29" s="19">
        <f>IF(Z29&gt;0, AC29/Z29, 0)</f>
        <v/>
      </c>
      <c r="AE29" s="19">
        <f>AC29 + (AA29*AD29)</f>
        <v/>
      </c>
      <c r="AF29" s="20">
        <f>AA29*AD29</f>
        <v/>
      </c>
      <c r="AG29" s="16" t="n">
        <v>0.2701388888888889</v>
      </c>
      <c r="AH29" s="16" t="n">
        <v>0.8333333333333334</v>
      </c>
      <c r="AI29" s="17">
        <f>IF(B29="Sun", 0, IF(B29="Sat", 6, 12))</f>
        <v/>
      </c>
      <c r="AJ29" s="17">
        <f>IF(OR(AH29="OFF", ISBLANK(AH29)), 0, (AH29 - AG29)*24)</f>
        <v/>
      </c>
      <c r="AK29" s="17">
        <f>IF(OR(B29="Sun", AH29="OFF", ISBLANK(AH29)), 0, MAX(0, (IF(B29="Sat", 14/24, 20/24) - AH29)*24))</f>
        <v/>
      </c>
      <c r="AL29" s="18" t="n">
        <v>89</v>
      </c>
      <c r="AM29" s="19">
        <f>AL29*7.45</f>
        <v/>
      </c>
      <c r="AN29" s="19">
        <f>IF(AJ29&gt;0, AM29/AJ29, 0)</f>
        <v/>
      </c>
      <c r="AO29" s="19">
        <f>AM29 + (AK29*AN29)</f>
        <v/>
      </c>
      <c r="AP29" s="20">
        <f>AK29*AN29</f>
        <v/>
      </c>
      <c r="AQ29" s="17">
        <f>E29+O29+Y29+AI29</f>
        <v/>
      </c>
      <c r="AR29" s="17">
        <f>F29+P29+Z29+AJ29</f>
        <v/>
      </c>
      <c r="AS29" s="21">
        <f>G29+Q29+AA29+AK29</f>
        <v/>
      </c>
      <c r="AT29" s="18">
        <f>H29+R29+AB29+AL29</f>
        <v/>
      </c>
      <c r="AU29" s="19">
        <f>AT29*7.45</f>
        <v/>
      </c>
      <c r="AV29" s="20">
        <f>I29+S29+AC29+AM29</f>
        <v/>
      </c>
      <c r="AW29" s="19">
        <f>K29+U29+AE29+AO29</f>
        <v/>
      </c>
      <c r="AX29" s="20">
        <f>L29+V29+AF29+AP29</f>
        <v/>
      </c>
      <c r="AY29" s="22">
        <f>IF(AW29&gt;0, AX29/AW29, 0)</f>
        <v/>
      </c>
    </row>
    <row r="30">
      <c r="A30" s="23" t="n">
        <v>46197</v>
      </c>
      <c r="B30" s="24" t="inlineStr">
        <is>
          <t>Wed</t>
        </is>
      </c>
      <c r="C30" s="25" t="n">
        <v>0.3</v>
      </c>
      <c r="D30" s="25" t="n">
        <v>0.8333333333333334</v>
      </c>
      <c r="E30" s="26">
        <f>IF(B30="Sun", 0, IF(B30="Sat", 6, 12))</f>
        <v/>
      </c>
      <c r="F30" s="26">
        <f>IF(OR(D30="OFF", ISBLANK(D30)), 0, (D30 - C30)*24)</f>
        <v/>
      </c>
      <c r="G30" s="26">
        <f>IF(OR(B30="Sun", D30="OFF", ISBLANK(D30)), 0, MAX(0, (IF(B30="Sat", 14/24, 20/24) - D30)*24))</f>
        <v/>
      </c>
      <c r="H30" s="27" t="n">
        <v>79</v>
      </c>
      <c r="I30" s="28">
        <f>H30*7.45</f>
        <v/>
      </c>
      <c r="J30" s="28">
        <f>IF(F30&gt;0, I30/F30, 0)</f>
        <v/>
      </c>
      <c r="K30" s="28">
        <f>I30 + (G30*J30)</f>
        <v/>
      </c>
      <c r="L30" s="29">
        <f>G30*J30</f>
        <v/>
      </c>
      <c r="M30" s="25" t="n">
        <v>0.3</v>
      </c>
      <c r="N30" s="25" t="n">
        <v>0.8333333333333334</v>
      </c>
      <c r="O30" s="26">
        <f>IF(B30="Sun", 0, IF(B30="Sat", 6, 12))</f>
        <v/>
      </c>
      <c r="P30" s="26">
        <f>IF(OR(N30="OFF", ISBLANK(N30)), 0, (N30 - M30)*24)</f>
        <v/>
      </c>
      <c r="Q30" s="26">
        <f>IF(OR(B30="Sun", N30="OFF", ISBLANK(N30)), 0, MAX(0, (IF(B30="Sat", 14/24, 20/24) - N30)*24))</f>
        <v/>
      </c>
      <c r="R30" s="27" t="n">
        <v>93</v>
      </c>
      <c r="S30" s="28">
        <f>R30*7.45</f>
        <v/>
      </c>
      <c r="T30" s="28">
        <f>IF(P30&gt;0, S30/P30, 0)</f>
        <v/>
      </c>
      <c r="U30" s="28">
        <f>S30 + (Q30*T30)</f>
        <v/>
      </c>
      <c r="V30" s="29">
        <f>Q30*T30</f>
        <v/>
      </c>
      <c r="W30" s="25" t="n">
        <v>0.3</v>
      </c>
      <c r="X30" s="25" t="n">
        <v>0.7534722222222222</v>
      </c>
      <c r="Y30" s="26">
        <f>IF(B30="Sun", 0, IF(B30="Sat", 6, 12))</f>
        <v/>
      </c>
      <c r="Z30" s="26">
        <f>IF(OR(X30="OFF", ISBLANK(X30)), 0, (X30 - W30)*24)</f>
        <v/>
      </c>
      <c r="AA30" s="26">
        <f>IF(OR(B30="Sun", X30="OFF", ISBLANK(X30)), 0, MAX(0, (IF(B30="Sat", 14/24, 20/24) - X30)*24))</f>
        <v/>
      </c>
      <c r="AB30" s="27" t="n">
        <v>94</v>
      </c>
      <c r="AC30" s="28">
        <f>AB30*7.45</f>
        <v/>
      </c>
      <c r="AD30" s="28">
        <f>IF(Z30&gt;0, AC30/Z30, 0)</f>
        <v/>
      </c>
      <c r="AE30" s="28">
        <f>AC30 + (AA30*AD30)</f>
        <v/>
      </c>
      <c r="AF30" s="29">
        <f>AA30*AD30</f>
        <v/>
      </c>
      <c r="AG30" s="25" t="n">
        <v>0.3</v>
      </c>
      <c r="AH30" s="25" t="n">
        <v>0.7534722222222222</v>
      </c>
      <c r="AI30" s="26">
        <f>IF(B30="Sun", 0, IF(B30="Sat", 6, 12))</f>
        <v/>
      </c>
      <c r="AJ30" s="26">
        <f>IF(OR(AH30="OFF", ISBLANK(AH30)), 0, (AH30 - AG30)*24)</f>
        <v/>
      </c>
      <c r="AK30" s="26">
        <f>IF(OR(B30="Sun", AH30="OFF", ISBLANK(AH30)), 0, MAX(0, (IF(B30="Sat", 14/24, 20/24) - AH30)*24))</f>
        <v/>
      </c>
      <c r="AL30" s="27" t="n">
        <v>75</v>
      </c>
      <c r="AM30" s="28">
        <f>AL30*7.45</f>
        <v/>
      </c>
      <c r="AN30" s="28">
        <f>IF(AJ30&gt;0, AM30/AJ30, 0)</f>
        <v/>
      </c>
      <c r="AO30" s="28">
        <f>AM30 + (AK30*AN30)</f>
        <v/>
      </c>
      <c r="AP30" s="29">
        <f>AK30*AN30</f>
        <v/>
      </c>
      <c r="AQ30" s="26">
        <f>E30+O30+Y30+AI30</f>
        <v/>
      </c>
      <c r="AR30" s="26">
        <f>F30+P30+Z30+AJ30</f>
        <v/>
      </c>
      <c r="AS30" s="30">
        <f>G30+Q30+AA30+AK30</f>
        <v/>
      </c>
      <c r="AT30" s="27">
        <f>H30+R30+AB30+AL30</f>
        <v/>
      </c>
      <c r="AU30" s="28">
        <f>AT30*7.45</f>
        <v/>
      </c>
      <c r="AV30" s="29">
        <f>I30+S30+AC30+AM30</f>
        <v/>
      </c>
      <c r="AW30" s="28">
        <f>K30+U30+AE30+AO30</f>
        <v/>
      </c>
      <c r="AX30" s="29">
        <f>L30+V30+AF30+AP30</f>
        <v/>
      </c>
      <c r="AY30" s="31">
        <f>IF(AW30&gt;0, AX30/AW30, 0)</f>
        <v/>
      </c>
    </row>
    <row r="31">
      <c r="A31" s="14" t="n">
        <v>46198</v>
      </c>
      <c r="B31" s="15" t="inlineStr">
        <is>
          <t>Thu</t>
        </is>
      </c>
      <c r="C31" s="16" t="n">
        <v>0.2777777777777778</v>
      </c>
      <c r="D31" s="16" t="n">
        <v>0.8256944444444444</v>
      </c>
      <c r="E31" s="17">
        <f>IF(B31="Sun", 0, IF(B31="Sat", 6, 12))</f>
        <v/>
      </c>
      <c r="F31" s="17">
        <f>IF(OR(D31="OFF", ISBLANK(D31)), 0, (D31 - C31)*24)</f>
        <v/>
      </c>
      <c r="G31" s="17">
        <f>IF(OR(B31="Sun", D31="OFF", ISBLANK(D31)), 0, MAX(0, (IF(B31="Sat", 14/24, 20/24) - D31)*24))</f>
        <v/>
      </c>
      <c r="H31" s="18" t="n">
        <v>85</v>
      </c>
      <c r="I31" s="19">
        <f>H31*7.45</f>
        <v/>
      </c>
      <c r="J31" s="19">
        <f>IF(F31&gt;0, I31/F31, 0)</f>
        <v/>
      </c>
      <c r="K31" s="19">
        <f>I31 + (G31*J31)</f>
        <v/>
      </c>
      <c r="L31" s="20">
        <f>G31*J31</f>
        <v/>
      </c>
      <c r="M31" s="16" t="n">
        <v>0.2777777777777778</v>
      </c>
      <c r="N31" s="16" t="n">
        <v>0.8256944444444444</v>
      </c>
      <c r="O31" s="17">
        <f>IF(B31="Sun", 0, IF(B31="Sat", 6, 12))</f>
        <v/>
      </c>
      <c r="P31" s="17">
        <f>IF(OR(N31="OFF", ISBLANK(N31)), 0, (N31 - M31)*24)</f>
        <v/>
      </c>
      <c r="Q31" s="17">
        <f>IF(OR(B31="Sun", N31="OFF", ISBLANK(N31)), 0, MAX(0, (IF(B31="Sat", 14/24, 20/24) - N31)*24))</f>
        <v/>
      </c>
      <c r="R31" s="18" t="n">
        <v>105</v>
      </c>
      <c r="S31" s="19">
        <f>R31*7.45</f>
        <v/>
      </c>
      <c r="T31" s="19">
        <f>IF(P31&gt;0, S31/P31, 0)</f>
        <v/>
      </c>
      <c r="U31" s="19">
        <f>S31 + (Q31*T31)</f>
        <v/>
      </c>
      <c r="V31" s="20">
        <f>Q31*T31</f>
        <v/>
      </c>
      <c r="W31" s="16" t="n">
        <v>0.2777777777777778</v>
      </c>
      <c r="X31" s="16" t="n">
        <v>0.7659722222222223</v>
      </c>
      <c r="Y31" s="17">
        <f>IF(B31="Sun", 0, IF(B31="Sat", 6, 12))</f>
        <v/>
      </c>
      <c r="Z31" s="17">
        <f>IF(OR(X31="OFF", ISBLANK(X31)), 0, (X31 - W31)*24)</f>
        <v/>
      </c>
      <c r="AA31" s="17">
        <f>IF(OR(B31="Sun", X31="OFF", ISBLANK(X31)), 0, MAX(0, (IF(B31="Sat", 14/24, 20/24) - X31)*24))</f>
        <v/>
      </c>
      <c r="AB31" s="18" t="n">
        <v>99</v>
      </c>
      <c r="AC31" s="19">
        <f>AB31*7.45</f>
        <v/>
      </c>
      <c r="AD31" s="19">
        <f>IF(Z31&gt;0, AC31/Z31, 0)</f>
        <v/>
      </c>
      <c r="AE31" s="19">
        <f>AC31 + (AA31*AD31)</f>
        <v/>
      </c>
      <c r="AF31" s="20">
        <f>AA31*AD31</f>
        <v/>
      </c>
      <c r="AG31" s="16" t="n">
        <v>0.2777777777777778</v>
      </c>
      <c r="AH31" s="16" t="n">
        <v>0.7659722222222223</v>
      </c>
      <c r="AI31" s="17">
        <f>IF(B31="Sun", 0, IF(B31="Sat", 6, 12))</f>
        <v/>
      </c>
      <c r="AJ31" s="17">
        <f>IF(OR(AH31="OFF", ISBLANK(AH31)), 0, (AH31 - AG31)*24)</f>
        <v/>
      </c>
      <c r="AK31" s="17">
        <f>IF(OR(B31="Sun", AH31="OFF", ISBLANK(AH31)), 0, MAX(0, (IF(B31="Sat", 14/24, 20/24) - AH31)*24))</f>
        <v/>
      </c>
      <c r="AL31" s="18" t="n">
        <v>78</v>
      </c>
      <c r="AM31" s="19">
        <f>AL31*7.45</f>
        <v/>
      </c>
      <c r="AN31" s="19">
        <f>IF(AJ31&gt;0, AM31/AJ31, 0)</f>
        <v/>
      </c>
      <c r="AO31" s="19">
        <f>AM31 + (AK31*AN31)</f>
        <v/>
      </c>
      <c r="AP31" s="20">
        <f>AK31*AN31</f>
        <v/>
      </c>
      <c r="AQ31" s="17">
        <f>E31+O31+Y31+AI31</f>
        <v/>
      </c>
      <c r="AR31" s="17">
        <f>F31+P31+Z31+AJ31</f>
        <v/>
      </c>
      <c r="AS31" s="21">
        <f>G31+Q31+AA31+AK31</f>
        <v/>
      </c>
      <c r="AT31" s="18">
        <f>H31+R31+AB31+AL31</f>
        <v/>
      </c>
      <c r="AU31" s="19">
        <f>AT31*7.45</f>
        <v/>
      </c>
      <c r="AV31" s="20">
        <f>I31+S31+AC31+AM31</f>
        <v/>
      </c>
      <c r="AW31" s="19">
        <f>K31+U31+AE31+AO31</f>
        <v/>
      </c>
      <c r="AX31" s="20">
        <f>L31+V31+AF31+AP31</f>
        <v/>
      </c>
      <c r="AY31" s="22">
        <f>IF(AW31&gt;0, AX31/AW31, 0)</f>
        <v/>
      </c>
    </row>
    <row r="32">
      <c r="A32" s="23" t="n">
        <v>46199</v>
      </c>
      <c r="B32" s="24" t="inlineStr">
        <is>
          <t>Fri</t>
        </is>
      </c>
      <c r="C32" s="25" t="n">
        <v>0.3069444444444445</v>
      </c>
      <c r="D32" s="25" t="n">
        <v>0.7875</v>
      </c>
      <c r="E32" s="26">
        <f>IF(B32="Sun", 0, IF(B32="Sat", 6, 12))</f>
        <v/>
      </c>
      <c r="F32" s="26">
        <f>IF(OR(D32="OFF", ISBLANK(D32)), 0, (D32 - C32)*24)</f>
        <v/>
      </c>
      <c r="G32" s="26">
        <f>IF(OR(B32="Sun", D32="OFF", ISBLANK(D32)), 0, MAX(0, (IF(B32="Sat", 14/24, 20/24) - D32)*24))</f>
        <v/>
      </c>
      <c r="H32" s="27" t="n">
        <v>85</v>
      </c>
      <c r="I32" s="28">
        <f>H32*7.45</f>
        <v/>
      </c>
      <c r="J32" s="28">
        <f>IF(F32&gt;0, I32/F32, 0)</f>
        <v/>
      </c>
      <c r="K32" s="28">
        <f>I32 + (G32*J32)</f>
        <v/>
      </c>
      <c r="L32" s="29">
        <f>G32*J32</f>
        <v/>
      </c>
      <c r="M32" s="25" t="n">
        <v>0.3069444444444445</v>
      </c>
      <c r="N32" s="25" t="n">
        <v>0.8333333333333334</v>
      </c>
      <c r="O32" s="26">
        <f>IF(B32="Sun", 0, IF(B32="Sat", 6, 12))</f>
        <v/>
      </c>
      <c r="P32" s="26">
        <f>IF(OR(N32="OFF", ISBLANK(N32)), 0, (N32 - M32)*24)</f>
        <v/>
      </c>
      <c r="Q32" s="26">
        <f>IF(OR(B32="Sun", N32="OFF", ISBLANK(N32)), 0, MAX(0, (IF(B32="Sat", 14/24, 20/24) - N32)*24))</f>
        <v/>
      </c>
      <c r="R32" s="27" t="n">
        <v>75</v>
      </c>
      <c r="S32" s="28">
        <f>R32*7.45</f>
        <v/>
      </c>
      <c r="T32" s="28">
        <f>IF(P32&gt;0, S32/P32, 0)</f>
        <v/>
      </c>
      <c r="U32" s="28">
        <f>S32 + (Q32*T32)</f>
        <v/>
      </c>
      <c r="V32" s="29">
        <f>Q32*T32</f>
        <v/>
      </c>
      <c r="W32" s="25" t="n">
        <v>0.3069444444444445</v>
      </c>
      <c r="X32" s="25" t="n">
        <v>0.7875</v>
      </c>
      <c r="Y32" s="26">
        <f>IF(B32="Sun", 0, IF(B32="Sat", 6, 12))</f>
        <v/>
      </c>
      <c r="Z32" s="26">
        <f>IF(OR(X32="OFF", ISBLANK(X32)), 0, (X32 - W32)*24)</f>
        <v/>
      </c>
      <c r="AA32" s="26">
        <f>IF(OR(B32="Sun", X32="OFF", ISBLANK(X32)), 0, MAX(0, (IF(B32="Sat", 14/24, 20/24) - X32)*24))</f>
        <v/>
      </c>
      <c r="AB32" s="27" t="n">
        <v>99</v>
      </c>
      <c r="AC32" s="28">
        <f>AB32*7.45</f>
        <v/>
      </c>
      <c r="AD32" s="28">
        <f>IF(Z32&gt;0, AC32/Z32, 0)</f>
        <v/>
      </c>
      <c r="AE32" s="28">
        <f>AC32 + (AA32*AD32)</f>
        <v/>
      </c>
      <c r="AF32" s="29">
        <f>AA32*AD32</f>
        <v/>
      </c>
      <c r="AG32" s="25" t="n">
        <v>0.3069444444444445</v>
      </c>
      <c r="AH32" s="25" t="n">
        <v>0.7354166666666667</v>
      </c>
      <c r="AI32" s="26">
        <f>IF(B32="Sun", 0, IF(B32="Sat", 6, 12))</f>
        <v/>
      </c>
      <c r="AJ32" s="26">
        <f>IF(OR(AH32="OFF", ISBLANK(AH32)), 0, (AH32 - AG32)*24)</f>
        <v/>
      </c>
      <c r="AK32" s="26">
        <f>IF(OR(B32="Sun", AH32="OFF", ISBLANK(AH32)), 0, MAX(0, (IF(B32="Sat", 14/24, 20/24) - AH32)*24))</f>
        <v/>
      </c>
      <c r="AL32" s="27" t="n">
        <v>73</v>
      </c>
      <c r="AM32" s="28">
        <f>AL32*7.45</f>
        <v/>
      </c>
      <c r="AN32" s="28">
        <f>IF(AJ32&gt;0, AM32/AJ32, 0)</f>
        <v/>
      </c>
      <c r="AO32" s="28">
        <f>AM32 + (AK32*AN32)</f>
        <v/>
      </c>
      <c r="AP32" s="29">
        <f>AK32*AN32</f>
        <v/>
      </c>
      <c r="AQ32" s="26">
        <f>E32+O32+Y32+AI32</f>
        <v/>
      </c>
      <c r="AR32" s="26">
        <f>F32+P32+Z32+AJ32</f>
        <v/>
      </c>
      <c r="AS32" s="30">
        <f>G32+Q32+AA32+AK32</f>
        <v/>
      </c>
      <c r="AT32" s="27">
        <f>H32+R32+AB32+AL32</f>
        <v/>
      </c>
      <c r="AU32" s="28">
        <f>AT32*7.45</f>
        <v/>
      </c>
      <c r="AV32" s="29">
        <f>I32+S32+AC32+AM32</f>
        <v/>
      </c>
      <c r="AW32" s="28">
        <f>K32+U32+AE32+AO32</f>
        <v/>
      </c>
      <c r="AX32" s="29">
        <f>L32+V32+AF32+AP32</f>
        <v/>
      </c>
      <c r="AY32" s="31">
        <f>IF(AW32&gt;0, AX32/AW32, 0)</f>
        <v/>
      </c>
    </row>
    <row r="33">
      <c r="A33" s="14" t="n">
        <v>46200</v>
      </c>
      <c r="B33" s="15" t="inlineStr">
        <is>
          <t>Sat</t>
        </is>
      </c>
      <c r="C33" s="16" t="n">
        <v>0.3152777777777778</v>
      </c>
      <c r="D33" s="16" t="n">
        <v>0.5833333333333334</v>
      </c>
      <c r="E33" s="17">
        <f>IF(B33="Sun", 0, IF(B33="Sat", 6, 12))</f>
        <v/>
      </c>
      <c r="F33" s="17">
        <f>IF(OR(D33="OFF", ISBLANK(D33)), 0, (D33 - C33)*24)</f>
        <v/>
      </c>
      <c r="G33" s="17">
        <f>IF(OR(B33="Sun", D33="OFF", ISBLANK(D33)), 0, MAX(0, (IF(B33="Sat", 14/24, 20/24) - D33)*24))</f>
        <v/>
      </c>
      <c r="H33" s="18" t="n">
        <v>36</v>
      </c>
      <c r="I33" s="19">
        <f>H33*7.45</f>
        <v/>
      </c>
      <c r="J33" s="19">
        <f>IF(F33&gt;0, I33/F33, 0)</f>
        <v/>
      </c>
      <c r="K33" s="19">
        <f>I33 + (G33*J33)</f>
        <v/>
      </c>
      <c r="L33" s="20">
        <f>G33*J33</f>
        <v/>
      </c>
      <c r="M33" s="16" t="n">
        <v>0.3152777777777778</v>
      </c>
      <c r="N33" s="16" t="n">
        <v>0.5833333333333334</v>
      </c>
      <c r="O33" s="17">
        <f>IF(B33="Sun", 0, IF(B33="Sat", 6, 12))</f>
        <v/>
      </c>
      <c r="P33" s="17">
        <f>IF(OR(N33="OFF", ISBLANK(N33)), 0, (N33 - M33)*24)</f>
        <v/>
      </c>
      <c r="Q33" s="17">
        <f>IF(OR(B33="Sun", N33="OFF", ISBLANK(N33)), 0, MAX(0, (IF(B33="Sat", 14/24, 20/24) - N33)*24))</f>
        <v/>
      </c>
      <c r="R33" s="18" t="n">
        <v>38</v>
      </c>
      <c r="S33" s="19">
        <f>R33*7.45</f>
        <v/>
      </c>
      <c r="T33" s="19">
        <f>IF(P33&gt;0, S33/P33, 0)</f>
        <v/>
      </c>
      <c r="U33" s="19">
        <f>S33 + (Q33*T33)</f>
        <v/>
      </c>
      <c r="V33" s="20">
        <f>Q33*T33</f>
        <v/>
      </c>
      <c r="W33" s="16" t="n">
        <v>0.3152777777777778</v>
      </c>
      <c r="X33" s="16" t="n">
        <v>0.5833333333333334</v>
      </c>
      <c r="Y33" s="17">
        <f>IF(B33="Sun", 0, IF(B33="Sat", 6, 12))</f>
        <v/>
      </c>
      <c r="Z33" s="17">
        <f>IF(OR(X33="OFF", ISBLANK(X33)), 0, (X33 - W33)*24)</f>
        <v/>
      </c>
      <c r="AA33" s="17">
        <f>IF(OR(B33="Sun", X33="OFF", ISBLANK(X33)), 0, MAX(0, (IF(B33="Sat", 14/24, 20/24) - X33)*24))</f>
        <v/>
      </c>
      <c r="AB33" s="18" t="n">
        <v>49</v>
      </c>
      <c r="AC33" s="19">
        <f>AB33*7.45</f>
        <v/>
      </c>
      <c r="AD33" s="19">
        <f>IF(Z33&gt;0, AC33/Z33, 0)</f>
        <v/>
      </c>
      <c r="AE33" s="19">
        <f>AC33 + (AA33*AD33)</f>
        <v/>
      </c>
      <c r="AF33" s="20">
        <f>AA33*AD33</f>
        <v/>
      </c>
      <c r="AG33" s="16" t="n">
        <v>0.3152777777777778</v>
      </c>
      <c r="AH33" s="16" t="n">
        <v>0.5833333333333334</v>
      </c>
      <c r="AI33" s="17">
        <f>IF(B33="Sun", 0, IF(B33="Sat", 6, 12))</f>
        <v/>
      </c>
      <c r="AJ33" s="17">
        <f>IF(OR(AH33="OFF", ISBLANK(AH33)), 0, (AH33 - AG33)*24)</f>
        <v/>
      </c>
      <c r="AK33" s="17">
        <f>IF(OR(B33="Sun", AH33="OFF", ISBLANK(AH33)), 0, MAX(0, (IF(B33="Sat", 14/24, 20/24) - AH33)*24))</f>
        <v/>
      </c>
      <c r="AL33" s="18" t="n">
        <v>45</v>
      </c>
      <c r="AM33" s="19">
        <f>AL33*7.45</f>
        <v/>
      </c>
      <c r="AN33" s="19">
        <f>IF(AJ33&gt;0, AM33/AJ33, 0)</f>
        <v/>
      </c>
      <c r="AO33" s="19">
        <f>AM33 + (AK33*AN33)</f>
        <v/>
      </c>
      <c r="AP33" s="20">
        <f>AK33*AN33</f>
        <v/>
      </c>
      <c r="AQ33" s="17">
        <f>E33+O33+Y33+AI33</f>
        <v/>
      </c>
      <c r="AR33" s="17">
        <f>F33+P33+Z33+AJ33</f>
        <v/>
      </c>
      <c r="AS33" s="21">
        <f>G33+Q33+AA33+AK33</f>
        <v/>
      </c>
      <c r="AT33" s="18">
        <f>H33+R33+AB33+AL33</f>
        <v/>
      </c>
      <c r="AU33" s="19">
        <f>AT33*7.45</f>
        <v/>
      </c>
      <c r="AV33" s="20">
        <f>I33+S33+AC33+AM33</f>
        <v/>
      </c>
      <c r="AW33" s="19">
        <f>K33+U33+AE33+AO33</f>
        <v/>
      </c>
      <c r="AX33" s="20">
        <f>L33+V33+AF33+AP33</f>
        <v/>
      </c>
      <c r="AY33" s="22">
        <f>IF(AW33&gt;0, AX33/AW33, 0)</f>
        <v/>
      </c>
    </row>
    <row r="34">
      <c r="A34" s="23" t="n">
        <v>46201</v>
      </c>
      <c r="B34" s="24" t="inlineStr">
        <is>
          <t>Sun</t>
        </is>
      </c>
      <c r="C34" s="24" t="inlineStr">
        <is>
          <t>OFF</t>
        </is>
      </c>
      <c r="D34" s="24" t="inlineStr">
        <is>
          <t>OFF</t>
        </is>
      </c>
      <c r="E34" s="26">
        <f>IF(B34="Sun", 0, IF(B34="Sat", 6, 12))</f>
        <v/>
      </c>
      <c r="F34" s="26">
        <f>IF(OR(D34="OFF", ISBLANK(D34)), 0, (D34 - C34)*24)</f>
        <v/>
      </c>
      <c r="G34" s="26">
        <f>IF(OR(B34="Sun", D34="OFF", ISBLANK(D34)), 0, MAX(0, (IF(B34="Sat", 14/24, 20/24) - D34)*24))</f>
        <v/>
      </c>
      <c r="H34" s="27" t="n">
        <v>0</v>
      </c>
      <c r="I34" s="28">
        <f>H34*7.45</f>
        <v/>
      </c>
      <c r="J34" s="28">
        <f>IF(F34&gt;0, I34/F34, 0)</f>
        <v/>
      </c>
      <c r="K34" s="28">
        <f>I34 + (G34*J34)</f>
        <v/>
      </c>
      <c r="L34" s="29">
        <f>G34*J34</f>
        <v/>
      </c>
      <c r="M34" s="24" t="inlineStr">
        <is>
          <t>OFF</t>
        </is>
      </c>
      <c r="N34" s="24" t="inlineStr">
        <is>
          <t>OFF</t>
        </is>
      </c>
      <c r="O34" s="26">
        <f>IF(B34="Sun", 0, IF(B34="Sat", 6, 12))</f>
        <v/>
      </c>
      <c r="P34" s="26">
        <f>IF(OR(N34="OFF", ISBLANK(N34)), 0, (N34 - M34)*24)</f>
        <v/>
      </c>
      <c r="Q34" s="26">
        <f>IF(OR(B34="Sun", N34="OFF", ISBLANK(N34)), 0, MAX(0, (IF(B34="Sat", 14/24, 20/24) - N34)*24))</f>
        <v/>
      </c>
      <c r="R34" s="27" t="n">
        <v>0</v>
      </c>
      <c r="S34" s="28">
        <f>R34*7.45</f>
        <v/>
      </c>
      <c r="T34" s="28">
        <f>IF(P34&gt;0, S34/P34, 0)</f>
        <v/>
      </c>
      <c r="U34" s="28">
        <f>S34 + (Q34*T34)</f>
        <v/>
      </c>
      <c r="V34" s="29">
        <f>Q34*T34</f>
        <v/>
      </c>
      <c r="W34" s="24" t="inlineStr">
        <is>
          <t>OFF</t>
        </is>
      </c>
      <c r="X34" s="24" t="inlineStr">
        <is>
          <t>OFF</t>
        </is>
      </c>
      <c r="Y34" s="26">
        <f>IF(B34="Sun", 0, IF(B34="Sat", 6, 12))</f>
        <v/>
      </c>
      <c r="Z34" s="26">
        <f>IF(OR(X34="OFF", ISBLANK(X34)), 0, (X34 - W34)*24)</f>
        <v/>
      </c>
      <c r="AA34" s="26">
        <f>IF(OR(B34="Sun", X34="OFF", ISBLANK(X34)), 0, MAX(0, (IF(B34="Sat", 14/24, 20/24) - X34)*24))</f>
        <v/>
      </c>
      <c r="AB34" s="27" t="n">
        <v>0</v>
      </c>
      <c r="AC34" s="28">
        <f>AB34*7.45</f>
        <v/>
      </c>
      <c r="AD34" s="28">
        <f>IF(Z34&gt;0, AC34/Z34, 0)</f>
        <v/>
      </c>
      <c r="AE34" s="28">
        <f>AC34 + (AA34*AD34)</f>
        <v/>
      </c>
      <c r="AF34" s="29">
        <f>AA34*AD34</f>
        <v/>
      </c>
      <c r="AG34" s="24" t="inlineStr">
        <is>
          <t>OFF</t>
        </is>
      </c>
      <c r="AH34" s="24" t="inlineStr">
        <is>
          <t>OFF</t>
        </is>
      </c>
      <c r="AI34" s="26">
        <f>IF(B34="Sun", 0, IF(B34="Sat", 6, 12))</f>
        <v/>
      </c>
      <c r="AJ34" s="26">
        <f>IF(OR(AH34="OFF", ISBLANK(AH34)), 0, (AH34 - AG34)*24)</f>
        <v/>
      </c>
      <c r="AK34" s="26">
        <f>IF(OR(B34="Sun", AH34="OFF", ISBLANK(AH34)), 0, MAX(0, (IF(B34="Sat", 14/24, 20/24) - AH34)*24))</f>
        <v/>
      </c>
      <c r="AL34" s="27" t="n">
        <v>0</v>
      </c>
      <c r="AM34" s="28">
        <f>AL34*7.45</f>
        <v/>
      </c>
      <c r="AN34" s="28">
        <f>IF(AJ34&gt;0, AM34/AJ34, 0)</f>
        <v/>
      </c>
      <c r="AO34" s="28">
        <f>AM34 + (AK34*AN34)</f>
        <v/>
      </c>
      <c r="AP34" s="29">
        <f>AK34*AN34</f>
        <v/>
      </c>
      <c r="AQ34" s="26">
        <f>E34+O34+Y34+AI34</f>
        <v/>
      </c>
      <c r="AR34" s="26">
        <f>F34+P34+Z34+AJ34</f>
        <v/>
      </c>
      <c r="AS34" s="30">
        <f>G34+Q34+AA34+AK34</f>
        <v/>
      </c>
      <c r="AT34" s="27">
        <f>H34+R34+AB34+AL34</f>
        <v/>
      </c>
      <c r="AU34" s="28">
        <f>AT34*7.45</f>
        <v/>
      </c>
      <c r="AV34" s="29">
        <f>I34+S34+AC34+AM34</f>
        <v/>
      </c>
      <c r="AW34" s="28">
        <f>K34+U34+AE34+AO34</f>
        <v/>
      </c>
      <c r="AX34" s="29">
        <f>L34+V34+AF34+AP34</f>
        <v/>
      </c>
      <c r="AY34" s="31">
        <f>IF(AW34&gt;0, AX34/AW34, 0)</f>
        <v/>
      </c>
    </row>
    <row r="35">
      <c r="A35" s="14" t="n">
        <v>46202</v>
      </c>
      <c r="B35" s="15" t="inlineStr">
        <is>
          <t>Mon</t>
        </is>
      </c>
      <c r="C35" s="16" t="n">
        <v>0.28125</v>
      </c>
      <c r="D35" s="16" t="n">
        <v>0.8194444444444444</v>
      </c>
      <c r="E35" s="17">
        <f>IF(B35="Sun", 0, IF(B35="Sat", 6, 12))</f>
        <v/>
      </c>
      <c r="F35" s="17">
        <f>IF(OR(D35="OFF", ISBLANK(D35)), 0, (D35 - C35)*24)</f>
        <v/>
      </c>
      <c r="G35" s="17">
        <f>IF(OR(B35="Sun", D35="OFF", ISBLANK(D35)), 0, MAX(0, (IF(B35="Sat", 14/24, 20/24) - D35)*24))</f>
        <v/>
      </c>
      <c r="H35" s="18" t="n">
        <v>114</v>
      </c>
      <c r="I35" s="19">
        <f>H35*7.45</f>
        <v/>
      </c>
      <c r="J35" s="19">
        <f>IF(F35&gt;0, I35/F35, 0)</f>
        <v/>
      </c>
      <c r="K35" s="19">
        <f>I35 + (G35*J35)</f>
        <v/>
      </c>
      <c r="L35" s="20">
        <f>G35*J35</f>
        <v/>
      </c>
      <c r="M35" s="16" t="n">
        <v>0.28125</v>
      </c>
      <c r="N35" s="16" t="n">
        <v>0.8333333333333334</v>
      </c>
      <c r="O35" s="17">
        <f>IF(B35="Sun", 0, IF(B35="Sat", 6, 12))</f>
        <v/>
      </c>
      <c r="P35" s="17">
        <f>IF(OR(N35="OFF", ISBLANK(N35)), 0, (N35 - M35)*24)</f>
        <v/>
      </c>
      <c r="Q35" s="17">
        <f>IF(OR(B35="Sun", N35="OFF", ISBLANK(N35)), 0, MAX(0, (IF(B35="Sat", 14/24, 20/24) - N35)*24))</f>
        <v/>
      </c>
      <c r="R35" s="18" t="n">
        <v>104</v>
      </c>
      <c r="S35" s="19">
        <f>R35*7.45</f>
        <v/>
      </c>
      <c r="T35" s="19">
        <f>IF(P35&gt;0, S35/P35, 0)</f>
        <v/>
      </c>
      <c r="U35" s="19">
        <f>S35 + (Q35*T35)</f>
        <v/>
      </c>
      <c r="V35" s="20">
        <f>Q35*T35</f>
        <v/>
      </c>
      <c r="W35" s="16" t="n">
        <v>0.28125</v>
      </c>
      <c r="X35" s="16" t="n">
        <v>0.8333333333333334</v>
      </c>
      <c r="Y35" s="17">
        <f>IF(B35="Sun", 0, IF(B35="Sat", 6, 12))</f>
        <v/>
      </c>
      <c r="Z35" s="17">
        <f>IF(OR(X35="OFF", ISBLANK(X35)), 0, (X35 - W35)*24)</f>
        <v/>
      </c>
      <c r="AA35" s="17">
        <f>IF(OR(B35="Sun", X35="OFF", ISBLANK(X35)), 0, MAX(0, (IF(B35="Sat", 14/24, 20/24) - X35)*24))</f>
        <v/>
      </c>
      <c r="AB35" s="18" t="n">
        <v>126</v>
      </c>
      <c r="AC35" s="19">
        <f>AB35*7.45</f>
        <v/>
      </c>
      <c r="AD35" s="19">
        <f>IF(Z35&gt;0, AC35/Z35, 0)</f>
        <v/>
      </c>
      <c r="AE35" s="19">
        <f>AC35 + (AA35*AD35)</f>
        <v/>
      </c>
      <c r="AF35" s="20">
        <f>AA35*AD35</f>
        <v/>
      </c>
      <c r="AG35" s="16" t="n">
        <v>0.28125</v>
      </c>
      <c r="AH35" s="16" t="n">
        <v>0.8194444444444444</v>
      </c>
      <c r="AI35" s="17">
        <f>IF(B35="Sun", 0, IF(B35="Sat", 6, 12))</f>
        <v/>
      </c>
      <c r="AJ35" s="17">
        <f>IF(OR(AH35="OFF", ISBLANK(AH35)), 0, (AH35 - AG35)*24)</f>
        <v/>
      </c>
      <c r="AK35" s="17">
        <f>IF(OR(B35="Sun", AH35="OFF", ISBLANK(AH35)), 0, MAX(0, (IF(B35="Sat", 14/24, 20/24) - AH35)*24))</f>
        <v/>
      </c>
      <c r="AL35" s="18" t="n">
        <v>119</v>
      </c>
      <c r="AM35" s="19">
        <f>AL35*7.45</f>
        <v/>
      </c>
      <c r="AN35" s="19">
        <f>IF(AJ35&gt;0, AM35/AJ35, 0)</f>
        <v/>
      </c>
      <c r="AO35" s="19">
        <f>AM35 + (AK35*AN35)</f>
        <v/>
      </c>
      <c r="AP35" s="20">
        <f>AK35*AN35</f>
        <v/>
      </c>
      <c r="AQ35" s="17">
        <f>E35+O35+Y35+AI35</f>
        <v/>
      </c>
      <c r="AR35" s="17">
        <f>F35+P35+Z35+AJ35</f>
        <v/>
      </c>
      <c r="AS35" s="21">
        <f>G35+Q35+AA35+AK35</f>
        <v/>
      </c>
      <c r="AT35" s="18">
        <f>H35+R35+AB35+AL35</f>
        <v/>
      </c>
      <c r="AU35" s="19">
        <f>AT35*7.45</f>
        <v/>
      </c>
      <c r="AV35" s="20">
        <f>I35+S35+AC35+AM35</f>
        <v/>
      </c>
      <c r="AW35" s="19">
        <f>K35+U35+AE35+AO35</f>
        <v/>
      </c>
      <c r="AX35" s="20">
        <f>L35+V35+AF35+AP35</f>
        <v/>
      </c>
      <c r="AY35" s="22">
        <f>IF(AW35&gt;0, AX35/AW35, 0)</f>
        <v/>
      </c>
    </row>
    <row r="36">
      <c r="A36" s="23" t="n">
        <v>46203</v>
      </c>
      <c r="B36" s="24" t="inlineStr">
        <is>
          <t>Tue</t>
        </is>
      </c>
      <c r="C36" s="25" t="n">
        <v>0.3020833333333333</v>
      </c>
      <c r="D36" s="25" t="n">
        <v>0.8333333333333334</v>
      </c>
      <c r="E36" s="26">
        <f>IF(B36="Sun", 0, IF(B36="Sat", 6, 12))</f>
        <v/>
      </c>
      <c r="F36" s="26">
        <f>IF(OR(D36="OFF", ISBLANK(D36)), 0, (D36 - C36)*24)</f>
        <v/>
      </c>
      <c r="G36" s="26">
        <f>IF(OR(B36="Sun", D36="OFF", ISBLANK(D36)), 0, MAX(0, (IF(B36="Sat", 14/24, 20/24) - D36)*24))</f>
        <v/>
      </c>
      <c r="H36" s="27" t="n">
        <v>94</v>
      </c>
      <c r="I36" s="28">
        <f>H36*7.45</f>
        <v/>
      </c>
      <c r="J36" s="28">
        <f>IF(F36&gt;0, I36/F36, 0)</f>
        <v/>
      </c>
      <c r="K36" s="28">
        <f>I36 + (G36*J36)</f>
        <v/>
      </c>
      <c r="L36" s="29">
        <f>G36*J36</f>
        <v/>
      </c>
      <c r="M36" s="25" t="n">
        <v>0.3020833333333333</v>
      </c>
      <c r="N36" s="25" t="n">
        <v>0.8333333333333334</v>
      </c>
      <c r="O36" s="26">
        <f>IF(B36="Sun", 0, IF(B36="Sat", 6, 12))</f>
        <v/>
      </c>
      <c r="P36" s="26">
        <f>IF(OR(N36="OFF", ISBLANK(N36)), 0, (N36 - M36)*24)</f>
        <v/>
      </c>
      <c r="Q36" s="26">
        <f>IF(OR(B36="Sun", N36="OFF", ISBLANK(N36)), 0, MAX(0, (IF(B36="Sat", 14/24, 20/24) - N36)*24))</f>
        <v/>
      </c>
      <c r="R36" s="27" t="n">
        <v>88</v>
      </c>
      <c r="S36" s="28">
        <f>R36*7.45</f>
        <v/>
      </c>
      <c r="T36" s="28">
        <f>IF(P36&gt;0, S36/P36, 0)</f>
        <v/>
      </c>
      <c r="U36" s="28">
        <f>S36 + (Q36*T36)</f>
        <v/>
      </c>
      <c r="V36" s="29">
        <f>Q36*T36</f>
        <v/>
      </c>
      <c r="W36" s="25" t="n">
        <v>0.3020833333333333</v>
      </c>
      <c r="X36" s="25" t="n">
        <v>0.7430555555555556</v>
      </c>
      <c r="Y36" s="26">
        <f>IF(B36="Sun", 0, IF(B36="Sat", 6, 12))</f>
        <v/>
      </c>
      <c r="Z36" s="26">
        <f>IF(OR(X36="OFF", ISBLANK(X36)), 0, (X36 - W36)*24)</f>
        <v/>
      </c>
      <c r="AA36" s="26">
        <f>IF(OR(B36="Sun", X36="OFF", ISBLANK(X36)), 0, MAX(0, (IF(B36="Sat", 14/24, 20/24) - X36)*24))</f>
        <v/>
      </c>
      <c r="AB36" s="27" t="n">
        <v>101</v>
      </c>
      <c r="AC36" s="28">
        <f>AB36*7.45</f>
        <v/>
      </c>
      <c r="AD36" s="28">
        <f>IF(Z36&gt;0, AC36/Z36, 0)</f>
        <v/>
      </c>
      <c r="AE36" s="28">
        <f>AC36 + (AA36*AD36)</f>
        <v/>
      </c>
      <c r="AF36" s="29">
        <f>AA36*AD36</f>
        <v/>
      </c>
      <c r="AG36" s="25" t="n">
        <v>0.3020833333333333</v>
      </c>
      <c r="AH36" s="25" t="n">
        <v>0.7430555555555556</v>
      </c>
      <c r="AI36" s="26">
        <f>IF(B36="Sun", 0, IF(B36="Sat", 6, 12))</f>
        <v/>
      </c>
      <c r="AJ36" s="26">
        <f>IF(OR(AH36="OFF", ISBLANK(AH36)), 0, (AH36 - AG36)*24)</f>
        <v/>
      </c>
      <c r="AK36" s="26">
        <f>IF(OR(B36="Sun", AH36="OFF", ISBLANK(AH36)), 0, MAX(0, (IF(B36="Sat", 14/24, 20/24) - AH36)*24))</f>
        <v/>
      </c>
      <c r="AL36" s="27" t="n">
        <v>111</v>
      </c>
      <c r="AM36" s="28">
        <f>AL36*7.45</f>
        <v/>
      </c>
      <c r="AN36" s="28">
        <f>IF(AJ36&gt;0, AM36/AJ36, 0)</f>
        <v/>
      </c>
      <c r="AO36" s="28">
        <f>AM36 + (AK36*AN36)</f>
        <v/>
      </c>
      <c r="AP36" s="29">
        <f>AK36*AN36</f>
        <v/>
      </c>
      <c r="AQ36" s="26">
        <f>E36+O36+Y36+AI36</f>
        <v/>
      </c>
      <c r="AR36" s="26">
        <f>F36+P36+Z36+AJ36</f>
        <v/>
      </c>
      <c r="AS36" s="30">
        <f>G36+Q36+AA36+AK36</f>
        <v/>
      </c>
      <c r="AT36" s="27">
        <f>H36+R36+AB36+AL36</f>
        <v/>
      </c>
      <c r="AU36" s="28">
        <f>AT36*7.45</f>
        <v/>
      </c>
      <c r="AV36" s="29">
        <f>I36+S36+AC36+AM36</f>
        <v/>
      </c>
      <c r="AW36" s="28">
        <f>K36+U36+AE36+AO36</f>
        <v/>
      </c>
      <c r="AX36" s="29">
        <f>L36+V36+AF36+AP36</f>
        <v/>
      </c>
      <c r="AY36" s="31">
        <f>IF(AW36&gt;0, AX36/AW36, 0)</f>
        <v/>
      </c>
    </row>
    <row r="37" ht="15" customHeight="1" s="38">
      <c r="A37" s="51" t="inlineStr">
        <is>
          <t>MONTH TOTAL</t>
        </is>
      </c>
      <c r="B37" s="108" t="n"/>
      <c r="C37" s="52" t="n"/>
      <c r="D37" s="52" t="n"/>
      <c r="E37" s="33">
        <f>SUM(E7:E36)</f>
        <v/>
      </c>
      <c r="F37" s="33">
        <f>SUM(F7:F36)</f>
        <v/>
      </c>
      <c r="G37" s="33">
        <f>SUM(G7:G36)</f>
        <v/>
      </c>
      <c r="H37" s="34">
        <f>SUM(H7:H36)</f>
        <v/>
      </c>
      <c r="I37" s="35">
        <f>SUM(I7:I36)</f>
        <v/>
      </c>
      <c r="J37" s="35">
        <f>AVERAGE(J7:J36)</f>
        <v/>
      </c>
      <c r="K37" s="35">
        <f>SUM(K7:K36)</f>
        <v/>
      </c>
      <c r="L37" s="35">
        <f>SUM(L7:L36)</f>
        <v/>
      </c>
      <c r="M37" s="52" t="n"/>
      <c r="N37" s="52" t="n"/>
      <c r="O37" s="33">
        <f>SUM(O7:O36)</f>
        <v/>
      </c>
      <c r="P37" s="33">
        <f>SUM(P7:P36)</f>
        <v/>
      </c>
      <c r="Q37" s="33">
        <f>SUM(Q7:Q36)</f>
        <v/>
      </c>
      <c r="R37" s="34">
        <f>SUM(R7:R36)</f>
        <v/>
      </c>
      <c r="S37" s="35">
        <f>SUM(S7:S36)</f>
        <v/>
      </c>
      <c r="T37" s="35">
        <f>AVERAGE(T7:T36)</f>
        <v/>
      </c>
      <c r="U37" s="35">
        <f>SUM(U7:U36)</f>
        <v/>
      </c>
      <c r="V37" s="35">
        <f>SUM(V7:V36)</f>
        <v/>
      </c>
      <c r="W37" s="52" t="n"/>
      <c r="X37" s="52" t="n"/>
      <c r="Y37" s="33">
        <f>SUM(Y7:Y36)</f>
        <v/>
      </c>
      <c r="Z37" s="33">
        <f>SUM(Z7:Z36)</f>
        <v/>
      </c>
      <c r="AA37" s="33">
        <f>SUM(AA7:AA36)</f>
        <v/>
      </c>
      <c r="AB37" s="34">
        <f>SUM(AB7:AB36)</f>
        <v/>
      </c>
      <c r="AC37" s="35">
        <f>SUM(AC7:AC36)</f>
        <v/>
      </c>
      <c r="AD37" s="35">
        <f>AVERAGE(AD7:AD36)</f>
        <v/>
      </c>
      <c r="AE37" s="35">
        <f>SUM(AE7:AE36)</f>
        <v/>
      </c>
      <c r="AF37" s="35">
        <f>SUM(AF7:AF36)</f>
        <v/>
      </c>
      <c r="AG37" s="52" t="n"/>
      <c r="AH37" s="52" t="n"/>
      <c r="AI37" s="33">
        <f>SUM(AI7:AI36)</f>
        <v/>
      </c>
      <c r="AJ37" s="33">
        <f>SUM(AJ7:AJ36)</f>
        <v/>
      </c>
      <c r="AK37" s="33">
        <f>SUM(AK7:AK36)</f>
        <v/>
      </c>
      <c r="AL37" s="34">
        <f>SUM(AL7:AL36)</f>
        <v/>
      </c>
      <c r="AM37" s="35">
        <f>SUM(AM7:AM36)</f>
        <v/>
      </c>
      <c r="AN37" s="35">
        <f>AVERAGE(AN7:AN36)</f>
        <v/>
      </c>
      <c r="AO37" s="35">
        <f>SUM(AO7:AO36)</f>
        <v/>
      </c>
      <c r="AP37" s="35">
        <f>SUM(AP7:AP36)</f>
        <v/>
      </c>
      <c r="AQ37" s="33">
        <f>SUM(AQ7:AQ36)</f>
        <v/>
      </c>
      <c r="AR37" s="33">
        <f>SUM(AR7:AR36)</f>
        <v/>
      </c>
      <c r="AS37" s="33">
        <f>SUM(AS7:AS36)</f>
        <v/>
      </c>
      <c r="AT37" s="34">
        <f>SUM(AT7:AT36)</f>
        <v/>
      </c>
      <c r="AU37" s="35">
        <f>SUM(AU7:AU36)</f>
        <v/>
      </c>
      <c r="AV37" s="35">
        <f>SUM(AV7:AV36)</f>
        <v/>
      </c>
      <c r="AW37" s="35">
        <f>SUM(AW7:AW36)</f>
        <v/>
      </c>
      <c r="AX37" s="35">
        <f>SUM(AX7:AX36)</f>
        <v/>
      </c>
      <c r="AY37" s="36">
        <f>AVERAGE(AY7:AY36)</f>
        <v/>
      </c>
    </row>
  </sheetData>
  <mergeCells count="7">
    <mergeCell ref="C5:L5"/>
    <mergeCell ref="AG5:AP5"/>
    <mergeCell ref="W5:AF5"/>
    <mergeCell ref="M5:V5"/>
    <mergeCell ref="AQ5:AY5"/>
    <mergeCell ref="A5:B5"/>
    <mergeCell ref="A37:B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38"/>
  <sheetViews>
    <sheetView showGridLines="1" workbookViewId="0">
      <selection activeCell="H15" sqref="H15"/>
    </sheetView>
  </sheetViews>
  <sheetFormatPr baseColWidth="8" defaultRowHeight="14.5"/>
  <cols>
    <col width="9.36328125" bestFit="1" customWidth="1" style="38" min="1" max="1"/>
    <col width="4.1796875" bestFit="1" customWidth="1" style="38" min="2" max="2"/>
    <col width="7.26953125" bestFit="1" customWidth="1" style="38" min="3" max="3"/>
    <col width="7.7265625" bestFit="1" customWidth="1" style="38" min="4" max="4"/>
    <col width="8.08984375" bestFit="1" customWidth="1" style="38" min="5" max="5"/>
    <col width="11.6328125" bestFit="1" customWidth="1" style="38" min="6" max="6"/>
    <col width="8.08984375" bestFit="1" customWidth="1" style="38" min="7" max="7"/>
    <col width="15.90625" bestFit="1" customWidth="1" style="38" min="8" max="8"/>
    <col width="12.26953125" bestFit="1" customWidth="1" style="38" min="9" max="9"/>
    <col width="10.6328125" bestFit="1" customWidth="1" style="38" min="10" max="10"/>
    <col width="14.08984375" bestFit="1" customWidth="1" style="38" min="11" max="11"/>
    <col width="12" bestFit="1" customWidth="1" style="38" min="12" max="12"/>
    <col width="7.26953125" bestFit="1" customWidth="1" style="38" min="13" max="13"/>
    <col width="7.7265625" bestFit="1" customWidth="1" style="38" min="14" max="14"/>
    <col width="8.08984375" bestFit="1" customWidth="1" style="38" min="15" max="15"/>
    <col width="11.6328125" bestFit="1" customWidth="1" style="38" min="16" max="16"/>
    <col width="8.08984375" bestFit="1" customWidth="1" style="38" min="17" max="17"/>
    <col width="15.90625" bestFit="1" customWidth="1" style="38" min="18" max="18"/>
    <col width="12.26953125" bestFit="1" customWidth="1" style="38" min="19" max="19"/>
    <col width="10.6328125" bestFit="1" customWidth="1" style="38" min="20" max="20"/>
    <col width="14.08984375" bestFit="1" customWidth="1" style="38" min="21" max="21"/>
    <col width="12" bestFit="1" customWidth="1" style="38" min="22" max="22"/>
    <col width="7.26953125" bestFit="1" customWidth="1" style="38" min="23" max="23"/>
    <col width="7.7265625" bestFit="1" customWidth="1" style="38" min="24" max="24"/>
    <col width="8.08984375" bestFit="1" customWidth="1" style="38" min="25" max="25"/>
    <col width="11.6328125" bestFit="1" customWidth="1" style="38" min="26" max="26"/>
    <col width="8.08984375" bestFit="1" customWidth="1" style="38" min="27" max="27"/>
    <col width="15.90625" bestFit="1" customWidth="1" style="38" min="28" max="28"/>
    <col width="12.26953125" bestFit="1" customWidth="1" style="38" min="29" max="29"/>
    <col width="10.6328125" bestFit="1" customWidth="1" style="38" min="30" max="30"/>
    <col width="14.08984375" bestFit="1" customWidth="1" style="38" min="31" max="31"/>
    <col width="12" bestFit="1" customWidth="1" style="38" min="32" max="32"/>
    <col width="7.26953125" bestFit="1" customWidth="1" style="38" min="33" max="33"/>
    <col width="7.7265625" bestFit="1" customWidth="1" style="38" min="34" max="34"/>
    <col width="8.08984375" bestFit="1" customWidth="1" style="38" min="35" max="35"/>
    <col width="11.6328125" bestFit="1" customWidth="1" style="38" min="36" max="36"/>
    <col width="8.08984375" bestFit="1" customWidth="1" style="38" min="37" max="37"/>
    <col width="15.90625" bestFit="1" customWidth="1" style="38" min="38" max="38"/>
    <col width="12.26953125" bestFit="1" customWidth="1" style="38" min="39" max="39"/>
    <col width="10.6328125" bestFit="1" customWidth="1" style="38" min="40" max="40"/>
    <col width="14.08984375" bestFit="1" customWidth="1" style="38" min="41" max="41"/>
    <col width="12" bestFit="1" customWidth="1" style="38" min="42" max="42"/>
    <col width="11" bestFit="1" customWidth="1" style="38" min="43" max="43"/>
    <col width="14.6328125" bestFit="1" customWidth="1" style="38" min="44" max="44"/>
    <col width="11" bestFit="1" customWidth="1" style="38" min="45" max="45"/>
    <col width="18.90625" bestFit="1" customWidth="1" style="38" min="46" max="46"/>
    <col width="11.36328125" bestFit="1" customWidth="1" style="38" min="47" max="47"/>
    <col width="15.26953125" bestFit="1" customWidth="1" style="38" min="48" max="48"/>
    <col width="17.08984375" bestFit="1" customWidth="1" style="38" min="49" max="49"/>
    <col width="16.26953125" bestFit="1" customWidth="1" style="38" min="50" max="50"/>
    <col width="8.1796875" bestFit="1" customWidth="1" style="38" min="51" max="51"/>
  </cols>
  <sheetData>
    <row r="1" ht="22.5" customHeight="1" s="38">
      <c r="A1" s="1" t="inlineStr">
        <is>
          <t>AHU DAILY SAVINGS &amp; KWH COST REPORT - JULY 2026</t>
        </is>
      </c>
    </row>
    <row r="2">
      <c r="A2" s="2" t="inlineStr">
        <is>
          <t>Operating Schedule: Mon-Fri 8:00 AM to 8:00 PM (12 hrs/AHU) | Sat 8:00 AM to 2:00 PM (6 hrs/AHU) | Sun Off</t>
        </is>
      </c>
    </row>
    <row r="3">
      <c r="A3" s="2" t="inlineStr">
        <is>
          <t>Logic: KWH Rate = Rs. 7.45 | Hourly Rate = KWH Cost / Actual Run Hrs | Full Cost = KWH Cost + (Saved Hrs * Hourly Rate) | Saving = Saved Hrs * Hourly Rate</t>
        </is>
      </c>
    </row>
    <row r="5">
      <c r="A5" s="53" t="inlineStr">
        <is>
          <t>Date &amp; Day</t>
        </is>
      </c>
      <c r="B5" s="106" t="n"/>
      <c r="C5" s="53" t="inlineStr">
        <is>
          <t>AHU-1 (CFM 26500)</t>
        </is>
      </c>
      <c r="D5" s="107" t="n"/>
      <c r="E5" s="107" t="n"/>
      <c r="F5" s="107" t="n"/>
      <c r="G5" s="107" t="n"/>
      <c r="H5" s="107" t="n"/>
      <c r="I5" s="107" t="n"/>
      <c r="J5" s="107" t="n"/>
      <c r="K5" s="107" t="n"/>
      <c r="L5" s="106" t="n"/>
      <c r="M5" s="53" t="inlineStr">
        <is>
          <t>AHU-2 (CFM 26700)</t>
        </is>
      </c>
      <c r="N5" s="107" t="n"/>
      <c r="O5" s="107" t="n"/>
      <c r="P5" s="107" t="n"/>
      <c r="Q5" s="107" t="n"/>
      <c r="R5" s="107" t="n"/>
      <c r="S5" s="107" t="n"/>
      <c r="T5" s="107" t="n"/>
      <c r="U5" s="107" t="n"/>
      <c r="V5" s="106" t="n"/>
      <c r="W5" s="53" t="inlineStr">
        <is>
          <t>AHU-3 (CFM 28000)</t>
        </is>
      </c>
      <c r="X5" s="107" t="n"/>
      <c r="Y5" s="107" t="n"/>
      <c r="Z5" s="107" t="n"/>
      <c r="AA5" s="107" t="n"/>
      <c r="AB5" s="107" t="n"/>
      <c r="AC5" s="107" t="n"/>
      <c r="AD5" s="107" t="n"/>
      <c r="AE5" s="107" t="n"/>
      <c r="AF5" s="106" t="n"/>
      <c r="AG5" s="53" t="inlineStr">
        <is>
          <t>AHU-4 (CFM 28500)</t>
        </is>
      </c>
      <c r="AH5" s="107" t="n"/>
      <c r="AI5" s="107" t="n"/>
      <c r="AJ5" s="107" t="n"/>
      <c r="AK5" s="107" t="n"/>
      <c r="AL5" s="107" t="n"/>
      <c r="AM5" s="107" t="n"/>
      <c r="AN5" s="107" t="n"/>
      <c r="AO5" s="107" t="n"/>
      <c r="AP5" s="106" t="n"/>
      <c r="AQ5" s="53" t="inlineStr">
        <is>
          <t>DAILY TOTAL COMBINED SUMMARY (ALL AHUs)</t>
        </is>
      </c>
      <c r="AR5" s="107" t="n"/>
      <c r="AS5" s="107" t="n"/>
      <c r="AT5" s="107" t="n"/>
      <c r="AU5" s="107" t="n"/>
      <c r="AV5" s="107" t="n"/>
      <c r="AW5" s="107" t="n"/>
      <c r="AX5" s="107" t="n"/>
      <c r="AY5" s="106" t="n"/>
    </row>
    <row r="6">
      <c r="A6" s="55" t="inlineStr">
        <is>
          <t>Date</t>
        </is>
      </c>
      <c r="B6" s="55" t="inlineStr">
        <is>
          <t>Day</t>
        </is>
      </c>
      <c r="C6" s="55" t="inlineStr">
        <is>
          <t>ON Time</t>
        </is>
      </c>
      <c r="D6" s="55" t="inlineStr">
        <is>
          <t>OFF Time</t>
        </is>
      </c>
      <c r="E6" s="55" t="inlineStr">
        <is>
          <t>Sched Hrs</t>
        </is>
      </c>
      <c r="F6" s="55" t="inlineStr">
        <is>
          <t>Actual Run Hrs</t>
        </is>
      </c>
      <c r="G6" s="55" t="inlineStr">
        <is>
          <t>Saved Hrs</t>
        </is>
      </c>
      <c r="H6" s="55" t="inlineStr">
        <is>
          <t>Consumption (KWH)</t>
        </is>
      </c>
      <c r="I6" s="55" t="inlineStr">
        <is>
          <t>Actual Cost (Rs)</t>
        </is>
      </c>
      <c r="J6" s="55" t="inlineStr">
        <is>
          <t>Cost / Hr (Rs)</t>
        </is>
      </c>
      <c r="K6" s="55" t="inlineStr">
        <is>
          <t>Full Cost 8PM (Rs)</t>
        </is>
      </c>
      <c r="L6" s="55" t="inlineStr">
        <is>
          <t>Cost Saved (Rs)</t>
        </is>
      </c>
      <c r="M6" s="55" t="inlineStr">
        <is>
          <t>ON Time</t>
        </is>
      </c>
      <c r="N6" s="55" t="inlineStr">
        <is>
          <t>OFF Time</t>
        </is>
      </c>
      <c r="O6" s="55" t="inlineStr">
        <is>
          <t>Sched Hrs</t>
        </is>
      </c>
      <c r="P6" s="55" t="inlineStr">
        <is>
          <t>Actual Run Hrs</t>
        </is>
      </c>
      <c r="Q6" s="55" t="inlineStr">
        <is>
          <t>Saved Hrs</t>
        </is>
      </c>
      <c r="R6" s="55" t="inlineStr">
        <is>
          <t>Consumption (KWH)</t>
        </is>
      </c>
      <c r="S6" s="55" t="inlineStr">
        <is>
          <t>Actual Cost (Rs)</t>
        </is>
      </c>
      <c r="T6" s="55" t="inlineStr">
        <is>
          <t>Cost / Hr (Rs)</t>
        </is>
      </c>
      <c r="U6" s="55" t="inlineStr">
        <is>
          <t>Full Cost 8PM (Rs)</t>
        </is>
      </c>
      <c r="V6" s="55" t="inlineStr">
        <is>
          <t>Cost Saved (Rs)</t>
        </is>
      </c>
      <c r="W6" s="55" t="inlineStr">
        <is>
          <t>ON Time</t>
        </is>
      </c>
      <c r="X6" s="55" t="inlineStr">
        <is>
          <t>OFF Time</t>
        </is>
      </c>
      <c r="Y6" s="55" t="inlineStr">
        <is>
          <t>Sched Hrs</t>
        </is>
      </c>
      <c r="Z6" s="55" t="inlineStr">
        <is>
          <t>Actual Run Hrs</t>
        </is>
      </c>
      <c r="AA6" s="55" t="inlineStr">
        <is>
          <t>Saved Hrs</t>
        </is>
      </c>
      <c r="AB6" s="55" t="inlineStr">
        <is>
          <t>Consumption (KWH)</t>
        </is>
      </c>
      <c r="AC6" s="55" t="inlineStr">
        <is>
          <t>Actual Cost (Rs)</t>
        </is>
      </c>
      <c r="AD6" s="55" t="inlineStr">
        <is>
          <t>Cost / Hr (Rs)</t>
        </is>
      </c>
      <c r="AE6" s="55" t="inlineStr">
        <is>
          <t>Full Cost 8PM (Rs)</t>
        </is>
      </c>
      <c r="AF6" s="55" t="inlineStr">
        <is>
          <t>Cost Saved (Rs)</t>
        </is>
      </c>
      <c r="AG6" s="55" t="inlineStr">
        <is>
          <t>ON Time</t>
        </is>
      </c>
      <c r="AH6" s="55" t="inlineStr">
        <is>
          <t>OFF Time</t>
        </is>
      </c>
      <c r="AI6" s="55" t="inlineStr">
        <is>
          <t>Sched Hrs</t>
        </is>
      </c>
      <c r="AJ6" s="55" t="inlineStr">
        <is>
          <t>Actual Run Hrs</t>
        </is>
      </c>
      <c r="AK6" s="55" t="inlineStr">
        <is>
          <t>Saved Hrs</t>
        </is>
      </c>
      <c r="AL6" s="55" t="inlineStr">
        <is>
          <t>Consumption (KWH)</t>
        </is>
      </c>
      <c r="AM6" s="55" t="inlineStr">
        <is>
          <t>Actual Cost (Rs)</t>
        </is>
      </c>
      <c r="AN6" s="55" t="inlineStr">
        <is>
          <t>Cost / Hr (Rs)</t>
        </is>
      </c>
      <c r="AO6" s="55" t="inlineStr">
        <is>
          <t>Full Cost 8PM (Rs)</t>
        </is>
      </c>
      <c r="AP6" s="55" t="inlineStr">
        <is>
          <t>Cost Saved (Rs)</t>
        </is>
      </c>
      <c r="AQ6" s="55" t="inlineStr">
        <is>
          <t>Tot Sched Hrs</t>
        </is>
      </c>
      <c r="AR6" s="55" t="inlineStr">
        <is>
          <t>Tot Actual Run Hrs</t>
        </is>
      </c>
      <c r="AS6" s="55" t="inlineStr">
        <is>
          <t>Tot Saved Hrs</t>
        </is>
      </c>
      <c r="AT6" s="55" t="inlineStr">
        <is>
          <t>Tot Consumption (KWH)</t>
        </is>
      </c>
      <c r="AU6" s="55" t="inlineStr">
        <is>
          <t>KWH Cost (Rs)</t>
        </is>
      </c>
      <c r="AV6" s="55" t="inlineStr">
        <is>
          <t>Tot Actual Cost (Rs)</t>
        </is>
      </c>
      <c r="AW6" s="55" t="inlineStr">
        <is>
          <t>Tot Full Cost 8PM (Rs)</t>
        </is>
      </c>
      <c r="AX6" s="55" t="inlineStr">
        <is>
          <t>Total Cost Saved (Rs)</t>
        </is>
      </c>
      <c r="AY6" s="55" t="inlineStr">
        <is>
          <t>Savings %</t>
        </is>
      </c>
    </row>
    <row r="7">
      <c r="A7" s="56" t="n">
        <v>46204</v>
      </c>
      <c r="B7" s="57" t="inlineStr">
        <is>
          <t>Wed</t>
        </is>
      </c>
      <c r="C7" s="58" t="n">
        <v>0.3055555555555556</v>
      </c>
      <c r="D7" s="58" t="n">
        <v>0.8333333333333334</v>
      </c>
      <c r="E7" s="59">
        <f>IF(B7="Sun", 0, IF(B7="Sat", 6, 12))</f>
        <v/>
      </c>
      <c r="F7" s="59">
        <f>IF(OR(D7="OFF", ISBLANK(D7)), 0, (D7 - C7)*24)</f>
        <v/>
      </c>
      <c r="G7" s="59">
        <f>IF(OR(B7="Sun", D7="OFF", ISBLANK(D7)), 0, MAX(0, (IF(B7="Sat", 14/24, 20/24) - D7)*24))</f>
        <v/>
      </c>
      <c r="H7" s="60" t="n">
        <v>107</v>
      </c>
      <c r="I7" s="61">
        <f>H7*7.45</f>
        <v/>
      </c>
      <c r="J7" s="61">
        <f>IF(F7&gt;0, I7/F7, 0)</f>
        <v/>
      </c>
      <c r="K7" s="61">
        <f>I7 + (G7*J7)</f>
        <v/>
      </c>
      <c r="L7" s="62">
        <f>G7*J7</f>
        <v/>
      </c>
      <c r="M7" s="58" t="n">
        <v>0.3055555555555556</v>
      </c>
      <c r="N7" s="58" t="n">
        <v>0.8333333333333334</v>
      </c>
      <c r="O7" s="59">
        <f>IF(B7="Sun", 0, IF(B7="Sat", 6, 12))</f>
        <v/>
      </c>
      <c r="P7" s="59">
        <f>IF(OR(N7="OFF", ISBLANK(N7)), 0, (N7 - M7)*24)</f>
        <v/>
      </c>
      <c r="Q7" s="59">
        <f>IF(OR(B7="Sun", N7="OFF", ISBLANK(N7)), 0, MAX(0, (IF(B7="Sat", 14/24, 20/24) - N7)*24))</f>
        <v/>
      </c>
      <c r="R7" s="60" t="n">
        <v>90</v>
      </c>
      <c r="S7" s="61">
        <f>R7*7.45</f>
        <v/>
      </c>
      <c r="T7" s="61">
        <f>IF(P7&gt;0, S7/P7, 0)</f>
        <v/>
      </c>
      <c r="U7" s="61">
        <f>S7 + (Q7*T7)</f>
        <v/>
      </c>
      <c r="V7" s="62">
        <f>Q7*T7</f>
        <v/>
      </c>
      <c r="W7" s="58" t="n">
        <v>0.3055555555555556</v>
      </c>
      <c r="X7" s="58" t="n">
        <v>0.7708333333333334</v>
      </c>
      <c r="Y7" s="59">
        <f>IF(B7="Sun", 0, IF(B7="Sat", 6, 12))</f>
        <v/>
      </c>
      <c r="Z7" s="59">
        <f>IF(OR(X7="OFF", ISBLANK(X7)), 0, (X7 - W7)*24)</f>
        <v/>
      </c>
      <c r="AA7" s="59">
        <f>IF(OR(B7="Sun", X7="OFF", ISBLANK(X7)), 0, MAX(0, (IF(B7="Sat", 14/24, 20/24) - X7)*24))</f>
        <v/>
      </c>
      <c r="AB7" s="60" t="n">
        <v>89</v>
      </c>
      <c r="AC7" s="61">
        <f>AB7*7.45</f>
        <v/>
      </c>
      <c r="AD7" s="61">
        <f>IF(Z7&gt;0, AC7/Z7, 0)</f>
        <v/>
      </c>
      <c r="AE7" s="61">
        <f>AC7 + (AA7*AD7)</f>
        <v/>
      </c>
      <c r="AF7" s="62">
        <f>AA7*AD7</f>
        <v/>
      </c>
      <c r="AG7" s="58" t="n">
        <v>0.3055555555555556</v>
      </c>
      <c r="AH7" s="58" t="n">
        <v>0.7777777777777778</v>
      </c>
      <c r="AI7" s="59">
        <f>IF(B7="Sun", 0, IF(B7="Sat", 6, 12))</f>
        <v/>
      </c>
      <c r="AJ7" s="59">
        <f>IF(OR(AH7="OFF", ISBLANK(AH7)), 0, (AH7 - AG7)*24)</f>
        <v/>
      </c>
      <c r="AK7" s="59">
        <f>IF(OR(B7="Sun", AH7="OFF", ISBLANK(AH7)), 0, MAX(0, (IF(B7="Sat", 14/24, 20/24) - AH7)*24))</f>
        <v/>
      </c>
      <c r="AL7" s="60" t="n">
        <v>103</v>
      </c>
      <c r="AM7" s="61">
        <f>AL7*7.45</f>
        <v/>
      </c>
      <c r="AN7" s="61">
        <f>IF(AJ7&gt;0, AM7/AJ7, 0)</f>
        <v/>
      </c>
      <c r="AO7" s="61">
        <f>AM7 + (AK7*AN7)</f>
        <v/>
      </c>
      <c r="AP7" s="62">
        <f>AK7*AN7</f>
        <v/>
      </c>
      <c r="AQ7" s="59">
        <f>E7+O7+Y7+AI7</f>
        <v/>
      </c>
      <c r="AR7" s="59">
        <f>F7+P7+Z7+AJ7</f>
        <v/>
      </c>
      <c r="AS7" s="63">
        <f>G7+Q7+AA7+AK7</f>
        <v/>
      </c>
      <c r="AT7" s="60">
        <f>H7+R7+AB7+AL7</f>
        <v/>
      </c>
      <c r="AU7" s="61">
        <f>AT7*7.45</f>
        <v/>
      </c>
      <c r="AV7" s="62">
        <f>I7+S7+AC7+AM7</f>
        <v/>
      </c>
      <c r="AW7" s="61">
        <f>K7+U7+AE7+AO7</f>
        <v/>
      </c>
      <c r="AX7" s="62">
        <f>L7+V7+AF7+AP7</f>
        <v/>
      </c>
      <c r="AY7" s="64">
        <f>IF(AW7&gt;0, AX7/AW7, 0)</f>
        <v/>
      </c>
    </row>
    <row r="8">
      <c r="A8" s="65" t="n">
        <v>46205</v>
      </c>
      <c r="B8" s="66" t="inlineStr">
        <is>
          <t>Thu</t>
        </is>
      </c>
      <c r="C8" s="73" t="n">
        <v>0.2708333333333333</v>
      </c>
      <c r="D8" s="73" t="n">
        <v>0.8055555555555556</v>
      </c>
      <c r="E8" s="67">
        <f>IF(B8="Sun", 0, IF(B8="Sat", 6, 12))</f>
        <v/>
      </c>
      <c r="F8" s="67">
        <f>IF(OR(D8="OFF", ISBLANK(D8)), 0, (D8 - C8)*24)</f>
        <v/>
      </c>
      <c r="G8" s="67">
        <f>IF(OR(B8="Sun", D8="OFF", ISBLANK(D8)), 0, MAX(0, (IF(B8="Sat", 14/24, 20/24) - D8)*24))</f>
        <v/>
      </c>
      <c r="H8" s="68" t="n">
        <v>98</v>
      </c>
      <c r="I8" s="69">
        <f>H8*7.45</f>
        <v/>
      </c>
      <c r="J8" s="69">
        <f>IF(F8&gt;0, I8/F8, 0)</f>
        <v/>
      </c>
      <c r="K8" s="69">
        <f>I8 + (G8*J8)</f>
        <v/>
      </c>
      <c r="L8" s="70">
        <f>G8*J8</f>
        <v/>
      </c>
      <c r="M8" s="73" t="n">
        <v>0.2708333333333333</v>
      </c>
      <c r="N8" s="73" t="n">
        <v>0.8055555555555556</v>
      </c>
      <c r="O8" s="67">
        <f>IF(B8="Sun", 0, IF(B8="Sat", 6, 12))</f>
        <v/>
      </c>
      <c r="P8" s="67">
        <f>IF(OR(N8="OFF", ISBLANK(N8)), 0, (N8 - M8)*24)</f>
        <v/>
      </c>
      <c r="Q8" s="67">
        <f>IF(OR(B8="Sun", N8="OFF", ISBLANK(N8)), 0, MAX(0, (IF(B8="Sat", 14/24, 20/24) - N8)*24))</f>
        <v/>
      </c>
      <c r="R8" s="68" t="n">
        <v>75</v>
      </c>
      <c r="S8" s="69">
        <f>R8*7.45</f>
        <v/>
      </c>
      <c r="T8" s="69">
        <f>IF(P8&gt;0, S8/P8, 0)</f>
        <v/>
      </c>
      <c r="U8" s="69">
        <f>S8 + (Q8*T8)</f>
        <v/>
      </c>
      <c r="V8" s="70">
        <f>Q8*T8</f>
        <v/>
      </c>
      <c r="W8" s="73" t="n">
        <v>0.2708333333333333</v>
      </c>
      <c r="X8" s="73" t="n">
        <v>0.7430555555555556</v>
      </c>
      <c r="Y8" s="67">
        <f>IF(B8="Sun", 0, IF(B8="Sat", 6, 12))</f>
        <v/>
      </c>
      <c r="Z8" s="67">
        <f>IF(OR(X8="OFF", ISBLANK(X8)), 0, (X8 - W8)*24)</f>
        <v/>
      </c>
      <c r="AA8" s="67">
        <f>IF(OR(B8="Sun", X8="OFF", ISBLANK(X8)), 0, MAX(0, (IF(B8="Sat", 14/24, 20/24) - X8)*24))</f>
        <v/>
      </c>
      <c r="AB8" s="68" t="n">
        <v>88</v>
      </c>
      <c r="AC8" s="69">
        <f>AB8*7.45</f>
        <v/>
      </c>
      <c r="AD8" s="69">
        <f>IF(Z8&gt;0, AC8/Z8, 0)</f>
        <v/>
      </c>
      <c r="AE8" s="69">
        <f>AC8 + (AA8*AD8)</f>
        <v/>
      </c>
      <c r="AF8" s="70">
        <f>AA8*AD8</f>
        <v/>
      </c>
      <c r="AG8" s="73" t="n">
        <v>0.2708333333333333</v>
      </c>
      <c r="AH8" s="73" t="n">
        <v>0.7430555555555556</v>
      </c>
      <c r="AI8" s="67">
        <f>IF(B8="Sun", 0, IF(B8="Sat", 6, 12))</f>
        <v/>
      </c>
      <c r="AJ8" s="67">
        <f>IF(OR(AH8="OFF", ISBLANK(AH8)), 0, (AH8 - AG8)*24)</f>
        <v/>
      </c>
      <c r="AK8" s="67">
        <f>IF(OR(B8="Sun", AH8="OFF", ISBLANK(AH8)), 0, MAX(0, (IF(B8="Sat", 14/24, 20/24) - AH8)*24))</f>
        <v/>
      </c>
      <c r="AL8" s="68" t="n">
        <v>97</v>
      </c>
      <c r="AM8" s="69">
        <f>AL8*7.45</f>
        <v/>
      </c>
      <c r="AN8" s="69">
        <f>IF(AJ8&gt;0, AM8/AJ8, 0)</f>
        <v/>
      </c>
      <c r="AO8" s="69">
        <f>AM8 + (AK8*AN8)</f>
        <v/>
      </c>
      <c r="AP8" s="70">
        <f>AK8*AN8</f>
        <v/>
      </c>
      <c r="AQ8" s="67">
        <f>E8+O8+Y8+AI8</f>
        <v/>
      </c>
      <c r="AR8" s="67">
        <f>F8+P8+Z8+AJ8</f>
        <v/>
      </c>
      <c r="AS8" s="71">
        <f>G8+Q8+AA8+AK8</f>
        <v/>
      </c>
      <c r="AT8" s="68">
        <f>H8+R8+AB8+AL8</f>
        <v/>
      </c>
      <c r="AU8" s="69">
        <f>AT8*7.45</f>
        <v/>
      </c>
      <c r="AV8" s="70">
        <f>I8+S8+AC8+AM8</f>
        <v/>
      </c>
      <c r="AW8" s="69">
        <f>K8+U8+AE8+AO8</f>
        <v/>
      </c>
      <c r="AX8" s="70">
        <f>L8+V8+AF8+AP8</f>
        <v/>
      </c>
      <c r="AY8" s="72">
        <f>IF(AW8&gt;0, AX8/AW8, 0)</f>
        <v/>
      </c>
    </row>
    <row r="9">
      <c r="A9" s="56" t="n">
        <v>46206</v>
      </c>
      <c r="B9" s="57" t="inlineStr">
        <is>
          <t>Fri</t>
        </is>
      </c>
      <c r="C9" s="58" t="n">
        <v>0.3069444444444445</v>
      </c>
      <c r="D9" s="58" t="n">
        <v>0.7729166666666667</v>
      </c>
      <c r="E9" s="59">
        <f>IF(B9="Sun", 0, IF(B9="Sat", 6, 12))</f>
        <v/>
      </c>
      <c r="F9" s="59">
        <f>IF(OR(D9="OFF", ISBLANK(D9)), 0, (D9 - C9)*24)</f>
        <v/>
      </c>
      <c r="G9" s="59">
        <f>IF(OR(B9="Sun", D9="OFF", ISBLANK(D9)), 0, MAX(0, (IF(B9="Sat", 14/24, 20/24) - D9)*24))</f>
        <v/>
      </c>
      <c r="H9" s="60" t="n">
        <v>87</v>
      </c>
      <c r="I9" s="61">
        <f>H9*7.45</f>
        <v/>
      </c>
      <c r="J9" s="61">
        <f>IF(F9&gt;0, I9/F9, 0)</f>
        <v/>
      </c>
      <c r="K9" s="61">
        <f>I9 + (G9*J9)</f>
        <v/>
      </c>
      <c r="L9" s="62">
        <f>G9*J9</f>
        <v/>
      </c>
      <c r="M9" s="58" t="n">
        <v>0.3069444444444445</v>
      </c>
      <c r="N9" s="58" t="n">
        <v>0.825</v>
      </c>
      <c r="O9" s="59">
        <f>IF(B9="Sun", 0, IF(B9="Sat", 6, 12))</f>
        <v/>
      </c>
      <c r="P9" s="59">
        <f>IF(OR(N9="OFF", ISBLANK(N9)), 0, (N9 - M9)*24)</f>
        <v/>
      </c>
      <c r="Q9" s="59">
        <f>IF(OR(B9="Sun", N9="OFF", ISBLANK(N9)), 0, MAX(0, (IF(B9="Sat", 14/24, 20/24) - N9)*24))</f>
        <v/>
      </c>
      <c r="R9" s="60" t="n">
        <v>60</v>
      </c>
      <c r="S9" s="61">
        <f>R9*7.45</f>
        <v/>
      </c>
      <c r="T9" s="61">
        <f>IF(P9&gt;0, S9/P9, 0)</f>
        <v/>
      </c>
      <c r="U9" s="61">
        <f>S9 + (Q9*T9)</f>
        <v/>
      </c>
      <c r="V9" s="62">
        <f>Q9*T9</f>
        <v/>
      </c>
      <c r="W9" s="58" t="n">
        <v>0.3069444444444445</v>
      </c>
      <c r="X9" s="58" t="n">
        <v>0.7729166666666667</v>
      </c>
      <c r="Y9" s="59">
        <f>IF(B9="Sun", 0, IF(B9="Sat", 6, 12))</f>
        <v/>
      </c>
      <c r="Z9" s="59">
        <f>IF(OR(X9="OFF", ISBLANK(X9)), 0, (X9 - W9)*24)</f>
        <v/>
      </c>
      <c r="AA9" s="59">
        <f>IF(OR(B9="Sun", X9="OFF", ISBLANK(X9)), 0, MAX(0, (IF(B9="Sat", 14/24, 20/24) - X9)*24))</f>
        <v/>
      </c>
      <c r="AB9" s="60" t="n">
        <v>102</v>
      </c>
      <c r="AC9" s="61">
        <f>AB9*7.45</f>
        <v/>
      </c>
      <c r="AD9" s="61">
        <f>IF(Z9&gt;0, AC9/Z9, 0)</f>
        <v/>
      </c>
      <c r="AE9" s="61">
        <f>AC9 + (AA9*AD9)</f>
        <v/>
      </c>
      <c r="AF9" s="62">
        <f>AA9*AD9</f>
        <v/>
      </c>
      <c r="AG9" s="58" t="n">
        <v>0.3069444444444445</v>
      </c>
      <c r="AH9" s="58" t="n">
        <v>0.7729166666666667</v>
      </c>
      <c r="AI9" s="59">
        <f>IF(B9="Sun", 0, IF(B9="Sat", 6, 12))</f>
        <v/>
      </c>
      <c r="AJ9" s="59">
        <f>IF(OR(AH9="OFF", ISBLANK(AH9)), 0, (AH9 - AG9)*24)</f>
        <v/>
      </c>
      <c r="AK9" s="59">
        <f>IF(OR(B9="Sun", AH9="OFF", ISBLANK(AH9)), 0, MAX(0, (IF(B9="Sat", 14/24, 20/24) - AH9)*24))</f>
        <v/>
      </c>
      <c r="AL9" s="60" t="n">
        <v>97</v>
      </c>
      <c r="AM9" s="61">
        <f>AL9*7.45</f>
        <v/>
      </c>
      <c r="AN9" s="61">
        <f>IF(AJ9&gt;0, AM9/AJ9, 0)</f>
        <v/>
      </c>
      <c r="AO9" s="61">
        <f>AM9 + (AK9*AN9)</f>
        <v/>
      </c>
      <c r="AP9" s="62">
        <f>AK9*AN9</f>
        <v/>
      </c>
      <c r="AQ9" s="59">
        <f>E9+O9+Y9+AI9</f>
        <v/>
      </c>
      <c r="AR9" s="59">
        <f>F9+P9+Z9+AJ9</f>
        <v/>
      </c>
      <c r="AS9" s="63">
        <f>G9+Q9+AA9+AK9</f>
        <v/>
      </c>
      <c r="AT9" s="60">
        <f>H9+R9+AB9+AL9</f>
        <v/>
      </c>
      <c r="AU9" s="61">
        <f>AT9*7.45</f>
        <v/>
      </c>
      <c r="AV9" s="62">
        <f>I9+S9+AC9+AM9</f>
        <v/>
      </c>
      <c r="AW9" s="61">
        <f>K9+U9+AE9+AO9</f>
        <v/>
      </c>
      <c r="AX9" s="62">
        <f>L9+V9+AF9+AP9</f>
        <v/>
      </c>
      <c r="AY9" s="64">
        <f>IF(AW9&gt;0, AX9/AW9, 0)</f>
        <v/>
      </c>
    </row>
    <row r="10">
      <c r="A10" s="65" t="n">
        <v>46207</v>
      </c>
      <c r="B10" s="66" t="inlineStr">
        <is>
          <t>Sat</t>
        </is>
      </c>
      <c r="C10" s="73" t="n">
        <v>0.3138888888888889</v>
      </c>
      <c r="D10" s="73" t="n">
        <v>0.5833333333333334</v>
      </c>
      <c r="E10" s="67">
        <f>IF(B10="Sun", 0, IF(B10="Sat", 6, 12))</f>
        <v/>
      </c>
      <c r="F10" s="67">
        <f>IF(OR(D10="OFF", ISBLANK(D10)), 0, (D10 - C10)*24)</f>
        <v/>
      </c>
      <c r="G10" s="67">
        <f>IF(OR(B10="Sun", D10="OFF", ISBLANK(D10)), 0, MAX(0, (IF(B10="Sat", 14/24, 20/24) - D10)*24))</f>
        <v/>
      </c>
      <c r="H10" s="68" t="n">
        <v>46</v>
      </c>
      <c r="I10" s="69">
        <f>H10*7.45</f>
        <v/>
      </c>
      <c r="J10" s="69">
        <f>IF(F10&gt;0, I10/F10, 0)</f>
        <v/>
      </c>
      <c r="K10" s="69">
        <f>I10 + (G10*J10)</f>
        <v/>
      </c>
      <c r="L10" s="70">
        <f>G10*J10</f>
        <v/>
      </c>
      <c r="M10" s="73" t="n">
        <v>0.3138888888888889</v>
      </c>
      <c r="N10" s="73" t="n">
        <v>0.5833333333333334</v>
      </c>
      <c r="O10" s="67">
        <f>IF(B10="Sun", 0, IF(B10="Sat", 6, 12))</f>
        <v/>
      </c>
      <c r="P10" s="67">
        <f>IF(OR(N10="OFF", ISBLANK(N10)), 0, (N10 - M10)*24)</f>
        <v/>
      </c>
      <c r="Q10" s="67">
        <f>IF(OR(B10="Sun", N10="OFF", ISBLANK(N10)), 0, MAX(0, (IF(B10="Sat", 14/24, 20/24) - N10)*24))</f>
        <v/>
      </c>
      <c r="R10" s="68" t="n">
        <v>29</v>
      </c>
      <c r="S10" s="69">
        <f>R10*7.45</f>
        <v/>
      </c>
      <c r="T10" s="69">
        <f>IF(P10&gt;0, S10/P10, 0)</f>
        <v/>
      </c>
      <c r="U10" s="69">
        <f>S10 + (Q10*T10)</f>
        <v/>
      </c>
      <c r="V10" s="70">
        <f>Q10*T10</f>
        <v/>
      </c>
      <c r="W10" s="73" t="n">
        <v>0.3138888888888889</v>
      </c>
      <c r="X10" s="73" t="n">
        <v>0.5833333333333334</v>
      </c>
      <c r="Y10" s="67">
        <f>IF(B10="Sun", 0, IF(B10="Sat", 6, 12))</f>
        <v/>
      </c>
      <c r="Z10" s="67">
        <f>IF(OR(X10="OFF", ISBLANK(X10)), 0, (X10 - W10)*24)</f>
        <v/>
      </c>
      <c r="AA10" s="67">
        <f>IF(OR(B10="Sun", X10="OFF", ISBLANK(X10)), 0, MAX(0, (IF(B10="Sat", 14/24, 20/24) - X10)*24))</f>
        <v/>
      </c>
      <c r="AB10" s="68" t="n">
        <v>55</v>
      </c>
      <c r="AC10" s="69">
        <f>AB10*7.45</f>
        <v/>
      </c>
      <c r="AD10" s="69">
        <f>IF(Z10&gt;0, AC10/Z10, 0)</f>
        <v/>
      </c>
      <c r="AE10" s="69">
        <f>AC10 + (AA10*AD10)</f>
        <v/>
      </c>
      <c r="AF10" s="70">
        <f>AA10*AD10</f>
        <v/>
      </c>
      <c r="AG10" s="73" t="n">
        <v>0.3138888888888889</v>
      </c>
      <c r="AH10" s="73" t="n">
        <v>0.5833333333333334</v>
      </c>
      <c r="AI10" s="67">
        <f>IF(B10="Sun", 0, IF(B10="Sat", 6, 12))</f>
        <v/>
      </c>
      <c r="AJ10" s="67">
        <f>IF(OR(AH10="OFF", ISBLANK(AH10)), 0, (AH10 - AG10)*24)</f>
        <v/>
      </c>
      <c r="AK10" s="67">
        <f>IF(OR(B10="Sun", AH10="OFF", ISBLANK(AH10)), 0, MAX(0, (IF(B10="Sat", 14/24, 20/24) - AH10)*24))</f>
        <v/>
      </c>
      <c r="AL10" s="68" t="n">
        <v>57</v>
      </c>
      <c r="AM10" s="69">
        <f>AL10*7.45</f>
        <v/>
      </c>
      <c r="AN10" s="69">
        <f>IF(AJ10&gt;0, AM10/AJ10, 0)</f>
        <v/>
      </c>
      <c r="AO10" s="69">
        <f>AM10 + (AK10*AN10)</f>
        <v/>
      </c>
      <c r="AP10" s="70">
        <f>AK10*AN10</f>
        <v/>
      </c>
      <c r="AQ10" s="67">
        <f>E10+O10+Y10+AI10</f>
        <v/>
      </c>
      <c r="AR10" s="67">
        <f>F10+P10+Z10+AJ10</f>
        <v/>
      </c>
      <c r="AS10" s="71">
        <f>G10+Q10+AA10+AK10</f>
        <v/>
      </c>
      <c r="AT10" s="68">
        <f>H10+R10+AB10+AL10</f>
        <v/>
      </c>
      <c r="AU10" s="69">
        <f>AT10*7.45</f>
        <v/>
      </c>
      <c r="AV10" s="70">
        <f>I10+S10+AC10+AM10</f>
        <v/>
      </c>
      <c r="AW10" s="69">
        <f>K10+U10+AE10+AO10</f>
        <v/>
      </c>
      <c r="AX10" s="70">
        <f>L10+V10+AF10+AP10</f>
        <v/>
      </c>
      <c r="AY10" s="72">
        <f>IF(AW10&gt;0, AX10/AW10, 0)</f>
        <v/>
      </c>
    </row>
    <row r="11">
      <c r="A11" s="56" t="n">
        <v>46208</v>
      </c>
      <c r="B11" s="57" t="inlineStr">
        <is>
          <t>Sun</t>
        </is>
      </c>
      <c r="C11" s="57" t="inlineStr">
        <is>
          <t>OFF</t>
        </is>
      </c>
      <c r="D11" s="57" t="inlineStr">
        <is>
          <t>OFF</t>
        </is>
      </c>
      <c r="E11" s="59">
        <f>IF(B11="Sun", 0, IF(B11="Sat", 6, 12))</f>
        <v/>
      </c>
      <c r="F11" s="59">
        <f>IF(OR(D11="OFF", ISBLANK(D11)), 0, (D11 - C11)*24)</f>
        <v/>
      </c>
      <c r="G11" s="59">
        <f>IF(OR(B11="Sun", D11="OFF", ISBLANK(D11)), 0, MAX(0, (IF(B11="Sat", 14/24, 20/24) - D11)*24))</f>
        <v/>
      </c>
      <c r="H11" s="60" t="n">
        <v>0</v>
      </c>
      <c r="I11" s="61">
        <f>H11*7.45</f>
        <v/>
      </c>
      <c r="J11" s="61">
        <f>IF(F11&gt;0, I11/F11, 0)</f>
        <v/>
      </c>
      <c r="K11" s="61">
        <f>I11 + (G11*J11)</f>
        <v/>
      </c>
      <c r="L11" s="62">
        <f>G11*J11</f>
        <v/>
      </c>
      <c r="M11" s="57" t="inlineStr">
        <is>
          <t>OFF</t>
        </is>
      </c>
      <c r="N11" s="57" t="inlineStr">
        <is>
          <t>OFF</t>
        </is>
      </c>
      <c r="O11" s="59">
        <f>IF(B11="Sun", 0, IF(B11="Sat", 6, 12))</f>
        <v/>
      </c>
      <c r="P11" s="59">
        <f>IF(OR(N11="OFF", ISBLANK(N11)), 0, (N11 - M11)*24)</f>
        <v/>
      </c>
      <c r="Q11" s="59">
        <f>IF(OR(B11="Sun", N11="OFF", ISBLANK(N11)), 0, MAX(0, (IF(B11="Sat", 14/24, 20/24) - N11)*24))</f>
        <v/>
      </c>
      <c r="R11" s="60" t="n">
        <v>0</v>
      </c>
      <c r="S11" s="61">
        <f>R11*7.45</f>
        <v/>
      </c>
      <c r="T11" s="61">
        <f>IF(P11&gt;0, S11/P11, 0)</f>
        <v/>
      </c>
      <c r="U11" s="61">
        <f>S11 + (Q11*T11)</f>
        <v/>
      </c>
      <c r="V11" s="62">
        <f>Q11*T11</f>
        <v/>
      </c>
      <c r="W11" s="57" t="inlineStr">
        <is>
          <t>OFF</t>
        </is>
      </c>
      <c r="X11" s="57" t="inlineStr">
        <is>
          <t>OFF</t>
        </is>
      </c>
      <c r="Y11" s="59">
        <f>IF(B11="Sun", 0, IF(B11="Sat", 6, 12))</f>
        <v/>
      </c>
      <c r="Z11" s="59">
        <f>IF(OR(X11="OFF", ISBLANK(X11)), 0, (X11 - W11)*24)</f>
        <v/>
      </c>
      <c r="AA11" s="59">
        <f>IF(OR(B11="Sun", X11="OFF", ISBLANK(X11)), 0, MAX(0, (IF(B11="Sat", 14/24, 20/24) - X11)*24))</f>
        <v/>
      </c>
      <c r="AB11" s="60" t="n">
        <v>0</v>
      </c>
      <c r="AC11" s="61">
        <f>AB11*7.45</f>
        <v/>
      </c>
      <c r="AD11" s="61">
        <f>IF(Z11&gt;0, AC11/Z11, 0)</f>
        <v/>
      </c>
      <c r="AE11" s="61">
        <f>AC11 + (AA11*AD11)</f>
        <v/>
      </c>
      <c r="AF11" s="62">
        <f>AA11*AD11</f>
        <v/>
      </c>
      <c r="AG11" s="57" t="inlineStr">
        <is>
          <t>OFF</t>
        </is>
      </c>
      <c r="AH11" s="57" t="inlineStr">
        <is>
          <t>OFF</t>
        </is>
      </c>
      <c r="AI11" s="59">
        <f>IF(B11="Sun", 0, IF(B11="Sat", 6, 12))</f>
        <v/>
      </c>
      <c r="AJ11" s="59">
        <f>IF(OR(AH11="OFF", ISBLANK(AH11)), 0, (AH11 - AG11)*24)</f>
        <v/>
      </c>
      <c r="AK11" s="59">
        <f>IF(OR(B11="Sun", AH11="OFF", ISBLANK(AH11)), 0, MAX(0, (IF(B11="Sat", 14/24, 20/24) - AH11)*24))</f>
        <v/>
      </c>
      <c r="AL11" s="60" t="n">
        <v>0</v>
      </c>
      <c r="AM11" s="61">
        <f>AL11*7.45</f>
        <v/>
      </c>
      <c r="AN11" s="61">
        <f>IF(AJ11&gt;0, AM11/AJ11, 0)</f>
        <v/>
      </c>
      <c r="AO11" s="61">
        <f>AM11 + (AK11*AN11)</f>
        <v/>
      </c>
      <c r="AP11" s="62">
        <f>AK11*AN11</f>
        <v/>
      </c>
      <c r="AQ11" s="59">
        <f>E11+O11+Y11+AI11</f>
        <v/>
      </c>
      <c r="AR11" s="59">
        <f>F11+P11+Z11+AJ11</f>
        <v/>
      </c>
      <c r="AS11" s="63">
        <f>G11+Q11+AA11+AK11</f>
        <v/>
      </c>
      <c r="AT11" s="60">
        <f>H11+R11+AB11+AL11</f>
        <v/>
      </c>
      <c r="AU11" s="61">
        <f>AT11*7.45</f>
        <v/>
      </c>
      <c r="AV11" s="62">
        <f>I11+S11+AC11+AM11</f>
        <v/>
      </c>
      <c r="AW11" s="61">
        <f>K11+U11+AE11+AO11</f>
        <v/>
      </c>
      <c r="AX11" s="62">
        <f>L11+V11+AF11+AP11</f>
        <v/>
      </c>
      <c r="AY11" s="64">
        <f>IF(AW11&gt;0, AX11/AW11, 0)</f>
        <v/>
      </c>
    </row>
    <row r="12">
      <c r="A12" s="65" t="n">
        <v>46209</v>
      </c>
      <c r="B12" s="66" t="inlineStr">
        <is>
          <t>Mon</t>
        </is>
      </c>
      <c r="C12" s="73" t="n">
        <v>0.2708333333333333</v>
      </c>
      <c r="D12" s="73" t="n">
        <v>0.8006944444444445</v>
      </c>
      <c r="E12" s="67">
        <f>IF(B12="Sun", 0, IF(B12="Sat", 6, 12))</f>
        <v/>
      </c>
      <c r="F12" s="67">
        <f>IF(OR(D12="OFF", ISBLANK(D12)), 0, (D12 - C12)*24)</f>
        <v/>
      </c>
      <c r="G12" s="67">
        <f>IF(OR(B12="Sun", D12="OFF", ISBLANK(D12)), 0, MAX(0, (IF(B12="Sat", 14/24, 20/24) - D12)*24))</f>
        <v/>
      </c>
      <c r="H12" s="68" t="n">
        <v>108</v>
      </c>
      <c r="I12" s="69">
        <f>H12*7.45</f>
        <v/>
      </c>
      <c r="J12" s="69">
        <f>IF(F12&gt;0, I12/F12, 0)</f>
        <v/>
      </c>
      <c r="K12" s="69">
        <f>I12 + (G12*J12)</f>
        <v/>
      </c>
      <c r="L12" s="70">
        <f>G12*J12</f>
        <v/>
      </c>
      <c r="M12" s="73" t="n">
        <v>0.2708333333333333</v>
      </c>
      <c r="N12" s="73" t="n">
        <v>0.8006944444444445</v>
      </c>
      <c r="O12" s="67">
        <f>IF(B12="Sun", 0, IF(B12="Sat", 6, 12))</f>
        <v/>
      </c>
      <c r="P12" s="67">
        <f>IF(OR(N12="OFF", ISBLANK(N12)), 0, (N12 - M12)*24)</f>
        <v/>
      </c>
      <c r="Q12" s="67">
        <f>IF(OR(B12="Sun", N12="OFF", ISBLANK(N12)), 0, MAX(0, (IF(B12="Sat", 14/24, 20/24) - N12)*24))</f>
        <v/>
      </c>
      <c r="R12" s="68" t="n">
        <v>67</v>
      </c>
      <c r="S12" s="69">
        <f>R12*7.45</f>
        <v/>
      </c>
      <c r="T12" s="69">
        <f>IF(P12&gt;0, S12/P12, 0)</f>
        <v/>
      </c>
      <c r="U12" s="69">
        <f>S12 + (Q12*T12)</f>
        <v/>
      </c>
      <c r="V12" s="70">
        <f>Q12*T12</f>
        <v/>
      </c>
      <c r="W12" s="73" t="n">
        <v>0.2708333333333333</v>
      </c>
      <c r="X12" s="73" t="n">
        <v>0.7715277777777778</v>
      </c>
      <c r="Y12" s="67">
        <f>IF(B12="Sun", 0, IF(B12="Sat", 6, 12))</f>
        <v/>
      </c>
      <c r="Z12" s="67">
        <f>IF(OR(X12="OFF", ISBLANK(X12)), 0, (X12 - W12)*24)</f>
        <v/>
      </c>
      <c r="AA12" s="67">
        <f>IF(OR(B12="Sun", X12="OFF", ISBLANK(X12)), 0, MAX(0, (IF(B12="Sat", 14/24, 20/24) - X12)*24))</f>
        <v/>
      </c>
      <c r="AB12" s="68" t="n">
        <v>123</v>
      </c>
      <c r="AC12" s="69">
        <f>AB12*7.45</f>
        <v/>
      </c>
      <c r="AD12" s="69">
        <f>IF(Z12&gt;0, AC12/Z12, 0)</f>
        <v/>
      </c>
      <c r="AE12" s="69">
        <f>AC12 + (AA12*AD12)</f>
        <v/>
      </c>
      <c r="AF12" s="70">
        <f>AA12*AD12</f>
        <v/>
      </c>
      <c r="AG12" s="73" t="n">
        <v>0.2708333333333333</v>
      </c>
      <c r="AH12" s="73" t="n">
        <v>0.7715277777777778</v>
      </c>
      <c r="AI12" s="67">
        <f>IF(B12="Sun", 0, IF(B12="Sat", 6, 12))</f>
        <v/>
      </c>
      <c r="AJ12" s="67">
        <f>IF(OR(AH12="OFF", ISBLANK(AH12)), 0, (AH12 - AG12)*24)</f>
        <v/>
      </c>
      <c r="AK12" s="67">
        <f>IF(OR(B12="Sun", AH12="OFF", ISBLANK(AH12)), 0, MAX(0, (IF(B12="Sat", 14/24, 20/24) - AH12)*24))</f>
        <v/>
      </c>
      <c r="AL12" s="68" t="n">
        <v>112</v>
      </c>
      <c r="AM12" s="69">
        <f>AL12*7.45</f>
        <v/>
      </c>
      <c r="AN12" s="69">
        <f>IF(AJ12&gt;0, AM12/AJ12, 0)</f>
        <v/>
      </c>
      <c r="AO12" s="69">
        <f>AM12 + (AK12*AN12)</f>
        <v/>
      </c>
      <c r="AP12" s="70">
        <f>AK12*AN12</f>
        <v/>
      </c>
      <c r="AQ12" s="67">
        <f>E12+O12+Y12+AI12</f>
        <v/>
      </c>
      <c r="AR12" s="67">
        <f>F12+P12+Z12+AJ12</f>
        <v/>
      </c>
      <c r="AS12" s="71">
        <f>G12+Q12+AA12+AK12</f>
        <v/>
      </c>
      <c r="AT12" s="68">
        <f>H12+R12+AB12+AL12</f>
        <v/>
      </c>
      <c r="AU12" s="69">
        <f>AT12*7.45</f>
        <v/>
      </c>
      <c r="AV12" s="70">
        <f>I12+S12+AC12+AM12</f>
        <v/>
      </c>
      <c r="AW12" s="69">
        <f>K12+U12+AE12+AO12</f>
        <v/>
      </c>
      <c r="AX12" s="70">
        <f>L12+V12+AF12+AP12</f>
        <v/>
      </c>
      <c r="AY12" s="72">
        <f>IF(AW12&gt;0, AX12/AW12, 0)</f>
        <v/>
      </c>
    </row>
    <row r="13">
      <c r="A13" s="56" t="n">
        <v>46210</v>
      </c>
      <c r="B13" s="57" t="inlineStr">
        <is>
          <t>Tue</t>
        </is>
      </c>
      <c r="C13" s="58" t="n">
        <v>0.2777777777777778</v>
      </c>
      <c r="D13" s="58" t="n">
        <v>0.8159722222222222</v>
      </c>
      <c r="E13" s="59">
        <f>IF(B13="Sun", 0, IF(B13="Sat", 6, 12))</f>
        <v/>
      </c>
      <c r="F13" s="59">
        <f>IF(OR(D13="OFF", ISBLANK(D13)), 0, (D13 - C13)*24)</f>
        <v/>
      </c>
      <c r="G13" s="59">
        <f>IF(OR(B13="Sun", D13="OFF", ISBLANK(D13)), 0, MAX(0, (IF(B13="Sat", 14/24, 20/24) - D13)*24))</f>
        <v/>
      </c>
      <c r="H13" s="60" t="n">
        <v>103</v>
      </c>
      <c r="I13" s="61">
        <f>H13*7.45</f>
        <v/>
      </c>
      <c r="J13" s="61">
        <f>IF(F13&gt;0, I13/F13, 0)</f>
        <v/>
      </c>
      <c r="K13" s="61">
        <f>I13 + (G13*J13)</f>
        <v/>
      </c>
      <c r="L13" s="62">
        <f>G13*J13</f>
        <v/>
      </c>
      <c r="M13" s="58" t="n">
        <v>0.2777777777777778</v>
      </c>
      <c r="N13" s="58" t="n">
        <v>0.8263888888888888</v>
      </c>
      <c r="O13" s="59">
        <f>IF(B13="Sun", 0, IF(B13="Sat", 6, 12))</f>
        <v/>
      </c>
      <c r="P13" s="59">
        <f>IF(OR(N13="OFF", ISBLANK(N13)), 0, (N13 - M13)*24)</f>
        <v/>
      </c>
      <c r="Q13" s="59">
        <f>IF(OR(B13="Sun", N13="OFF", ISBLANK(N13)), 0, MAX(0, (IF(B13="Sat", 14/24, 20/24) - N13)*24))</f>
        <v/>
      </c>
      <c r="R13" s="60" t="n">
        <v>53</v>
      </c>
      <c r="S13" s="61">
        <f>R13*7.45</f>
        <v/>
      </c>
      <c r="T13" s="61">
        <f>IF(P13&gt;0, S13/P13, 0)</f>
        <v/>
      </c>
      <c r="U13" s="61">
        <f>S13 + (Q13*T13)</f>
        <v/>
      </c>
      <c r="V13" s="62">
        <f>Q13*T13</f>
        <v/>
      </c>
      <c r="W13" s="58" t="n">
        <v>0.2777777777777778</v>
      </c>
      <c r="X13" s="58" t="n">
        <v>0.8159722222222222</v>
      </c>
      <c r="Y13" s="59">
        <f>IF(B13="Sun", 0, IF(B13="Sat", 6, 12))</f>
        <v/>
      </c>
      <c r="Z13" s="59">
        <f>IF(OR(X13="OFF", ISBLANK(X13)), 0, (X13 - W13)*24)</f>
        <v/>
      </c>
      <c r="AA13" s="59">
        <f>IF(OR(B13="Sun", X13="OFF", ISBLANK(X13)), 0, MAX(0, (IF(B13="Sat", 14/24, 20/24) - X13)*24))</f>
        <v/>
      </c>
      <c r="AB13" s="60" t="n">
        <v>110</v>
      </c>
      <c r="AC13" s="61">
        <f>AB13*7.45</f>
        <v/>
      </c>
      <c r="AD13" s="61">
        <f>IF(Z13&gt;0, AC13/Z13, 0)</f>
        <v/>
      </c>
      <c r="AE13" s="61">
        <f>AC13 + (AA13*AD13)</f>
        <v/>
      </c>
      <c r="AF13" s="62">
        <f>AA13*AD13</f>
        <v/>
      </c>
      <c r="AG13" s="58" t="n">
        <v>0.2777777777777778</v>
      </c>
      <c r="AH13" s="58" t="n">
        <v>0.8159722222222222</v>
      </c>
      <c r="AI13" s="59">
        <f>IF(B13="Sun", 0, IF(B13="Sat", 6, 12))</f>
        <v/>
      </c>
      <c r="AJ13" s="59">
        <f>IF(OR(AH13="OFF", ISBLANK(AH13)), 0, (AH13 - AG13)*24)</f>
        <v/>
      </c>
      <c r="AK13" s="59">
        <f>IF(OR(B13="Sun", AH13="OFF", ISBLANK(AH13)), 0, MAX(0, (IF(B13="Sat", 14/24, 20/24) - AH13)*24))</f>
        <v/>
      </c>
      <c r="AL13" s="60" t="n">
        <v>107</v>
      </c>
      <c r="AM13" s="61">
        <f>AL13*7.45</f>
        <v/>
      </c>
      <c r="AN13" s="61">
        <f>IF(AJ13&gt;0, AM13/AJ13, 0)</f>
        <v/>
      </c>
      <c r="AO13" s="61">
        <f>AM13 + (AK13*AN13)</f>
        <v/>
      </c>
      <c r="AP13" s="62">
        <f>AK13*AN13</f>
        <v/>
      </c>
      <c r="AQ13" s="59">
        <f>E13+O13+Y13+AI13</f>
        <v/>
      </c>
      <c r="AR13" s="59">
        <f>F13+P13+Z13+AJ13</f>
        <v/>
      </c>
      <c r="AS13" s="63">
        <f>G13+Q13+AA13+AK13</f>
        <v/>
      </c>
      <c r="AT13" s="60">
        <f>H13+R13+AB13+AL13</f>
        <v/>
      </c>
      <c r="AU13" s="61">
        <f>AT13*7.45</f>
        <v/>
      </c>
      <c r="AV13" s="62">
        <f>I13+S13+AC13+AM13</f>
        <v/>
      </c>
      <c r="AW13" s="61">
        <f>K13+U13+AE13+AO13</f>
        <v/>
      </c>
      <c r="AX13" s="62">
        <f>L13+V13+AF13+AP13</f>
        <v/>
      </c>
      <c r="AY13" s="64">
        <f>IF(AW13&gt;0, AX13/AW13, 0)</f>
        <v/>
      </c>
    </row>
    <row r="14">
      <c r="A14" s="65" t="n">
        <v>46211</v>
      </c>
      <c r="B14" s="66" t="inlineStr">
        <is>
          <t>Wed</t>
        </is>
      </c>
      <c r="C14" s="73" t="n">
        <v>0.2916666666666667</v>
      </c>
      <c r="D14" s="73" t="n">
        <v>0.8194444444444444</v>
      </c>
      <c r="E14" s="67">
        <f>IF(B14="Sun", 0, IF(B14="Sat", 6, 12))</f>
        <v/>
      </c>
      <c r="F14" s="67">
        <f>IF(OR(D14="OFF", ISBLANK(D14)), 0, (D14 - C14)*24)</f>
        <v/>
      </c>
      <c r="G14" s="67">
        <f>IF(OR(B14="Sun", D14="OFF", ISBLANK(D14)), 0, MAX(0, (IF(B14="Sat", 14/24, 20/24) - D14)*24))</f>
        <v/>
      </c>
      <c r="H14" s="68" t="n">
        <v>92</v>
      </c>
      <c r="I14" s="69">
        <f>H14*7.45</f>
        <v/>
      </c>
      <c r="J14" s="69">
        <f>IF(F14&gt;0, I14/F14, 0)</f>
        <v/>
      </c>
      <c r="K14" s="69">
        <f>I14 + (G14*J14)</f>
        <v/>
      </c>
      <c r="L14" s="70">
        <f>G14*J14</f>
        <v/>
      </c>
      <c r="M14" s="73" t="n">
        <v>0.2916666666666667</v>
      </c>
      <c r="N14" s="73" t="n">
        <v>0.8194444444444444</v>
      </c>
      <c r="O14" s="67">
        <f>IF(B14="Sun", 0, IF(B14="Sat", 6, 12))</f>
        <v/>
      </c>
      <c r="P14" s="67">
        <f>IF(OR(N14="OFF", ISBLANK(N14)), 0, (N14 - M14)*24)</f>
        <v/>
      </c>
      <c r="Q14" s="67">
        <f>IF(OR(B14="Sun", N14="OFF", ISBLANK(N14)), 0, MAX(0, (IF(B14="Sat", 14/24, 20/24) - N14)*24))</f>
        <v/>
      </c>
      <c r="R14" s="68" t="n">
        <v>50</v>
      </c>
      <c r="S14" s="69">
        <f>R14*7.45</f>
        <v/>
      </c>
      <c r="T14" s="69">
        <f>IF(P14&gt;0, S14/P14, 0)</f>
        <v/>
      </c>
      <c r="U14" s="69">
        <f>S14 + (Q14*T14)</f>
        <v/>
      </c>
      <c r="V14" s="70">
        <f>Q14*T14</f>
        <v/>
      </c>
      <c r="W14" s="73" t="n">
        <v>0.2916666666666667</v>
      </c>
      <c r="X14" s="73" t="n">
        <v>0.75</v>
      </c>
      <c r="Y14" s="67">
        <f>IF(B14="Sun", 0, IF(B14="Sat", 6, 12))</f>
        <v/>
      </c>
      <c r="Z14" s="67">
        <f>IF(OR(X14="OFF", ISBLANK(X14)), 0, (X14 - W14)*24)</f>
        <v/>
      </c>
      <c r="AA14" s="67">
        <f>IF(OR(B14="Sun", X14="OFF", ISBLANK(X14)), 0, MAX(0, (IF(B14="Sat", 14/24, 20/24) - X14)*24))</f>
        <v/>
      </c>
      <c r="AB14" s="68" t="n">
        <v>105</v>
      </c>
      <c r="AC14" s="69">
        <f>AB14*7.45</f>
        <v/>
      </c>
      <c r="AD14" s="69">
        <f>IF(Z14&gt;0, AC14/Z14, 0)</f>
        <v/>
      </c>
      <c r="AE14" s="69">
        <f>AC14 + (AA14*AD14)</f>
        <v/>
      </c>
      <c r="AF14" s="70">
        <f>AA14*AD14</f>
        <v/>
      </c>
      <c r="AG14" s="73" t="n">
        <v>0.3097222222222222</v>
      </c>
      <c r="AH14" s="73" t="n">
        <v>0.75</v>
      </c>
      <c r="AI14" s="67">
        <f>IF(B14="Sun", 0, IF(B14="Sat", 6, 12))</f>
        <v/>
      </c>
      <c r="AJ14" s="67">
        <f>IF(OR(AH14="OFF", ISBLANK(AH14)), 0, (AH14 - AG14)*24)</f>
        <v/>
      </c>
      <c r="AK14" s="67">
        <f>IF(OR(B14="Sun", AH14="OFF", ISBLANK(AH14)), 0, MAX(0, (IF(B14="Sat", 14/24, 20/24) - AH14)*24))</f>
        <v/>
      </c>
      <c r="AL14" s="68" t="n">
        <v>104</v>
      </c>
      <c r="AM14" s="69">
        <f>AL14*7.45</f>
        <v/>
      </c>
      <c r="AN14" s="69">
        <f>IF(AJ14&gt;0, AM14/AJ14, 0)</f>
        <v/>
      </c>
      <c r="AO14" s="69">
        <f>AM14 + (AK14*AN14)</f>
        <v/>
      </c>
      <c r="AP14" s="70">
        <f>AK14*AN14</f>
        <v/>
      </c>
      <c r="AQ14" s="67">
        <f>E14+O14+Y14+AI14</f>
        <v/>
      </c>
      <c r="AR14" s="67">
        <f>F14+P14+Z14+AJ14</f>
        <v/>
      </c>
      <c r="AS14" s="71">
        <f>G14+Q14+AA14+AK14</f>
        <v/>
      </c>
      <c r="AT14" s="68">
        <f>H14+R14+AB14+AL14</f>
        <v/>
      </c>
      <c r="AU14" s="69">
        <f>AT14*7.45</f>
        <v/>
      </c>
      <c r="AV14" s="70">
        <f>I14+S14+AC14+AM14</f>
        <v/>
      </c>
      <c r="AW14" s="69">
        <f>K14+U14+AE14+AO14</f>
        <v/>
      </c>
      <c r="AX14" s="70">
        <f>L14+V14+AF14+AP14</f>
        <v/>
      </c>
      <c r="AY14" s="72">
        <f>IF(AW14&gt;0, AX14/AW14, 0)</f>
        <v/>
      </c>
    </row>
    <row r="15">
      <c r="A15" s="56" t="n">
        <v>46212</v>
      </c>
      <c r="B15" s="57" t="inlineStr">
        <is>
          <t>Thu</t>
        </is>
      </c>
      <c r="C15" s="58" t="n">
        <v>0.3263888888888889</v>
      </c>
      <c r="D15" s="58" t="n">
        <v>0.8333333333333334</v>
      </c>
      <c r="E15" s="59">
        <f>IF(B15="Sun", 0, IF(B15="Sat", 6, 12))</f>
        <v/>
      </c>
      <c r="F15" s="59">
        <f>IF(OR(D15="OFF", ISBLANK(D15)), 0, (D15 - C15)*24)</f>
        <v/>
      </c>
      <c r="G15" s="59">
        <f>IF(OR(B15="Sun", D15="OFF", ISBLANK(D15)), 0, MAX(0, (IF(B15="Sat", 14/24, 20/24) - D15)*24))</f>
        <v/>
      </c>
      <c r="H15" s="60" t="n">
        <v>97</v>
      </c>
      <c r="I15" s="61">
        <f>H15*7.45</f>
        <v/>
      </c>
      <c r="J15" s="61">
        <f>IF(F15&gt;0, I15/F15, 0)</f>
        <v/>
      </c>
      <c r="K15" s="61">
        <f>I15 + (G15*J15)</f>
        <v/>
      </c>
      <c r="L15" s="62">
        <f>G15*J15</f>
        <v/>
      </c>
      <c r="M15" s="58" t="n">
        <v>0.3263888888888889</v>
      </c>
      <c r="N15" s="58" t="n">
        <v>0.8333333333333334</v>
      </c>
      <c r="O15" s="59">
        <f>IF(B15="Sun", 0, IF(B15="Sat", 6, 12))</f>
        <v/>
      </c>
      <c r="P15" s="59">
        <f>IF(OR(N15="OFF", ISBLANK(N15)), 0, (N15 - M15)*24)</f>
        <v/>
      </c>
      <c r="Q15" s="59">
        <f>IF(OR(B15="Sun", N15="OFF", ISBLANK(N15)), 0, MAX(0, (IF(B15="Sat", 14/24, 20/24) - N15)*24))</f>
        <v/>
      </c>
      <c r="R15" s="60" t="n">
        <v>47</v>
      </c>
      <c r="S15" s="61">
        <f>R15*7.45</f>
        <v/>
      </c>
      <c r="T15" s="61">
        <f>IF(P15&gt;0, S15/P15, 0)</f>
        <v/>
      </c>
      <c r="U15" s="61">
        <f>S15 + (Q15*T15)</f>
        <v/>
      </c>
      <c r="V15" s="62">
        <f>Q15*T15</f>
        <v/>
      </c>
      <c r="W15" s="58" t="n">
        <v>0.3263888888888889</v>
      </c>
      <c r="X15" s="58" t="n">
        <v>0.75</v>
      </c>
      <c r="Y15" s="59">
        <f>IF(B15="Sun", 0, IF(B15="Sat", 6, 12))</f>
        <v/>
      </c>
      <c r="Z15" s="59">
        <f>IF(OR(X15="OFF", ISBLANK(X15)), 0, (X15 - W15)*24)</f>
        <v/>
      </c>
      <c r="AA15" s="59">
        <f>IF(OR(B15="Sun", X15="OFF", ISBLANK(X15)), 0, MAX(0, (IF(B15="Sat", 14/24, 20/24) - X15)*24))</f>
        <v/>
      </c>
      <c r="AB15" s="60" t="n">
        <v>79</v>
      </c>
      <c r="AC15" s="61">
        <f>AB15*7.45</f>
        <v/>
      </c>
      <c r="AD15" s="61">
        <f>IF(Z15&gt;0, AC15/Z15, 0)</f>
        <v/>
      </c>
      <c r="AE15" s="61">
        <f>AC15 + (AA15*AD15)</f>
        <v/>
      </c>
      <c r="AF15" s="62">
        <f>AA15*AD15</f>
        <v/>
      </c>
      <c r="AG15" s="58" t="n">
        <v>0.3263888888888889</v>
      </c>
      <c r="AH15" s="58" t="n">
        <v>0.75</v>
      </c>
      <c r="AI15" s="59">
        <f>IF(B15="Sun", 0, IF(B15="Sat", 6, 12))</f>
        <v/>
      </c>
      <c r="AJ15" s="59">
        <f>IF(OR(AH15="OFF", ISBLANK(AH15)), 0, (AH15 - AG15)*24)</f>
        <v/>
      </c>
      <c r="AK15" s="59">
        <f>IF(OR(B15="Sun", AH15="OFF", ISBLANK(AH15)), 0, MAX(0, (IF(B15="Sat", 14/24, 20/24) - AH15)*24))</f>
        <v/>
      </c>
      <c r="AL15" s="60" t="n">
        <v>87</v>
      </c>
      <c r="AM15" s="61">
        <f>AL15*7.45</f>
        <v/>
      </c>
      <c r="AN15" s="61">
        <f>IF(AJ15&gt;0, AM15/AJ15, 0)</f>
        <v/>
      </c>
      <c r="AO15" s="61">
        <f>AM15 + (AK15*AN15)</f>
        <v/>
      </c>
      <c r="AP15" s="62">
        <f>AK15*AN15</f>
        <v/>
      </c>
      <c r="AQ15" s="59">
        <f>E15+O15+Y15+AI15</f>
        <v/>
      </c>
      <c r="AR15" s="59">
        <f>F15+P15+Z15+AJ15</f>
        <v/>
      </c>
      <c r="AS15" s="63">
        <f>G15+Q15+AA15+AK15</f>
        <v/>
      </c>
      <c r="AT15" s="60">
        <f>H15+R15+AB15+AL15</f>
        <v/>
      </c>
      <c r="AU15" s="61">
        <f>AT15*7.45</f>
        <v/>
      </c>
      <c r="AV15" s="62">
        <f>I15+S15+AC15+AM15</f>
        <v/>
      </c>
      <c r="AW15" s="61">
        <f>K15+U15+AE15+AO15</f>
        <v/>
      </c>
      <c r="AX15" s="62">
        <f>L15+V15+AF15+AP15</f>
        <v/>
      </c>
      <c r="AY15" s="64">
        <f>IF(AW15&gt;0, AX15/AW15, 0)</f>
        <v/>
      </c>
    </row>
    <row r="16">
      <c r="A16" s="65" t="n">
        <v>46213</v>
      </c>
      <c r="B16" s="66" t="inlineStr">
        <is>
          <t>Fri</t>
        </is>
      </c>
      <c r="C16" s="73" t="n">
        <v>0.3194444444444444</v>
      </c>
      <c r="D16" s="73" t="n">
        <v>0.7416666666666667</v>
      </c>
      <c r="E16" s="67">
        <f>IF(B16="Sun", 0, IF(B16="Sat", 6, 12))</f>
        <v/>
      </c>
      <c r="F16" s="67">
        <f>IF(OR(D16="OFF", ISBLANK(D16)), 0, (D16 - C16)*24)</f>
        <v/>
      </c>
      <c r="G16" s="67">
        <f>IF(OR(B16="Sun", D16="OFF", ISBLANK(D16)), 0, MAX(0, (IF(B16="Sat", 14/24, 20/24) - D16)*24))</f>
        <v/>
      </c>
      <c r="H16" s="68" t="n">
        <v>77</v>
      </c>
      <c r="I16" s="69">
        <f>H16*7.45</f>
        <v/>
      </c>
      <c r="J16" s="69">
        <f>IF(F16&gt;0, I16/F16, 0)</f>
        <v/>
      </c>
      <c r="K16" s="69">
        <f>I16 + (G16*J16)</f>
        <v/>
      </c>
      <c r="L16" s="70">
        <f>G16*J16</f>
        <v/>
      </c>
      <c r="M16" s="73" t="n">
        <v>0.3194444444444444</v>
      </c>
      <c r="N16" s="73" t="n">
        <v>0.7493055555555556</v>
      </c>
      <c r="O16" s="67">
        <f>IF(B16="Sun", 0, IF(B16="Sat", 6, 12))</f>
        <v/>
      </c>
      <c r="P16" s="67">
        <f>IF(OR(N16="OFF", ISBLANK(N16)), 0, (N16 - M16)*24)</f>
        <v/>
      </c>
      <c r="Q16" s="67">
        <f>IF(OR(B16="Sun", N16="OFF", ISBLANK(N16)), 0, MAX(0, (IF(B16="Sat", 14/24, 20/24) - N16)*24))</f>
        <v/>
      </c>
      <c r="R16" s="68" t="n">
        <v>40</v>
      </c>
      <c r="S16" s="69">
        <f>R16*7.45</f>
        <v/>
      </c>
      <c r="T16" s="69">
        <f>IF(P16&gt;0, S16/P16, 0)</f>
        <v/>
      </c>
      <c r="U16" s="69">
        <f>S16 + (Q16*T16)</f>
        <v/>
      </c>
      <c r="V16" s="70">
        <f>Q16*T16</f>
        <v/>
      </c>
      <c r="W16" s="73" t="n">
        <v>0.3194444444444444</v>
      </c>
      <c r="X16" s="73" t="n">
        <v>0.7638888888888888</v>
      </c>
      <c r="Y16" s="67">
        <f>IF(B16="Sun", 0, IF(B16="Sat", 6, 12))</f>
        <v/>
      </c>
      <c r="Z16" s="67">
        <f>IF(OR(X16="OFF", ISBLANK(X16)), 0, (X16 - W16)*24)</f>
        <v/>
      </c>
      <c r="AA16" s="67">
        <f>IF(OR(B16="Sun", X16="OFF", ISBLANK(X16)), 0, MAX(0, (IF(B16="Sat", 14/24, 20/24) - X16)*24))</f>
        <v/>
      </c>
      <c r="AB16" s="68" t="n">
        <v>103</v>
      </c>
      <c r="AC16" s="69">
        <f>AB16*7.45</f>
        <v/>
      </c>
      <c r="AD16" s="69">
        <f>IF(Z16&gt;0, AC16/Z16, 0)</f>
        <v/>
      </c>
      <c r="AE16" s="69">
        <f>AC16 + (AA16*AD16)</f>
        <v/>
      </c>
      <c r="AF16" s="70">
        <f>AA16*AD16</f>
        <v/>
      </c>
      <c r="AG16" s="73" t="n">
        <v>0.3194444444444444</v>
      </c>
      <c r="AH16" s="73" t="n">
        <v>0.7416666666666667</v>
      </c>
      <c r="AI16" s="67">
        <f>IF(B16="Sun", 0, IF(B16="Sat", 6, 12))</f>
        <v/>
      </c>
      <c r="AJ16" s="67">
        <f>IF(OR(AH16="OFF", ISBLANK(AH16)), 0, (AH16 - AG16)*24)</f>
        <v/>
      </c>
      <c r="AK16" s="67">
        <f>IF(OR(B16="Sun", AH16="OFF", ISBLANK(AH16)), 0, MAX(0, (IF(B16="Sat", 14/24, 20/24) - AH16)*24))</f>
        <v/>
      </c>
      <c r="AL16" s="68" t="n">
        <v>89</v>
      </c>
      <c r="AM16" s="69">
        <f>AL16*7.45</f>
        <v/>
      </c>
      <c r="AN16" s="69">
        <f>IF(AJ16&gt;0, AM16/AJ16, 0)</f>
        <v/>
      </c>
      <c r="AO16" s="69">
        <f>AM16 + (AK16*AN16)</f>
        <v/>
      </c>
      <c r="AP16" s="70">
        <f>AK16*AN16</f>
        <v/>
      </c>
      <c r="AQ16" s="67">
        <f>E16+O16+Y16+AI16</f>
        <v/>
      </c>
      <c r="AR16" s="67">
        <f>F16+P16+Z16+AJ16</f>
        <v/>
      </c>
      <c r="AS16" s="71">
        <f>G16+Q16+AA16+AK16</f>
        <v/>
      </c>
      <c r="AT16" s="68">
        <f>H16+R16+AB16+AL16</f>
        <v/>
      </c>
      <c r="AU16" s="69">
        <f>AT16*7.45</f>
        <v/>
      </c>
      <c r="AV16" s="70">
        <f>I16+S16+AC16+AM16</f>
        <v/>
      </c>
      <c r="AW16" s="69">
        <f>K16+U16+AE16+AO16</f>
        <v/>
      </c>
      <c r="AX16" s="70">
        <f>L16+V16+AF16+AP16</f>
        <v/>
      </c>
      <c r="AY16" s="72">
        <f>IF(AW16&gt;0, AX16/AW16, 0)</f>
        <v/>
      </c>
    </row>
    <row r="17">
      <c r="A17" s="56" t="n">
        <v>46214</v>
      </c>
      <c r="B17" s="57" t="inlineStr">
        <is>
          <t>Sat</t>
        </is>
      </c>
      <c r="C17" s="58" t="n">
        <v>0.3333333333333333</v>
      </c>
      <c r="D17" s="58" t="n">
        <v>0.5833333333333334</v>
      </c>
      <c r="E17" s="59">
        <f>IF(B17="Sun", 0, IF(B17="Sat", 6, 12))</f>
        <v/>
      </c>
      <c r="F17" s="59">
        <f>IF(OR(D17="OFF", ISBLANK(D17)), 0, (D17 - C17)*24)</f>
        <v/>
      </c>
      <c r="G17" s="59">
        <f>IF(OR(B17="Sun", D17="OFF", ISBLANK(D17)), 0, MAX(0, (IF(B17="Sat", 14/24, 20/24) - D17)*24))</f>
        <v/>
      </c>
      <c r="H17" s="60" t="n">
        <v>49</v>
      </c>
      <c r="I17" s="61">
        <f>H17*7.45</f>
        <v/>
      </c>
      <c r="J17" s="61">
        <f>IF(F17&gt;0, I17/F17, 0)</f>
        <v/>
      </c>
      <c r="K17" s="61">
        <f>I17 + (G17*J17)</f>
        <v/>
      </c>
      <c r="L17" s="62">
        <f>G17*J17</f>
        <v/>
      </c>
      <c r="M17" s="58" t="n">
        <v>0.3333333333333333</v>
      </c>
      <c r="N17" s="58" t="n">
        <v>0.5833333333333334</v>
      </c>
      <c r="O17" s="59">
        <f>IF(B17="Sun", 0, IF(B17="Sat", 6, 12))</f>
        <v/>
      </c>
      <c r="P17" s="59">
        <f>IF(OR(N17="OFF", ISBLANK(N17)), 0, (N17 - M17)*24)</f>
        <v/>
      </c>
      <c r="Q17" s="59">
        <f>IF(OR(B17="Sun", N17="OFF", ISBLANK(N17)), 0, MAX(0, (IF(B17="Sat", 14/24, 20/24) - N17)*24))</f>
        <v/>
      </c>
      <c r="R17" s="60" t="n">
        <v>33</v>
      </c>
      <c r="S17" s="61">
        <f>R17*7.45</f>
        <v/>
      </c>
      <c r="T17" s="61">
        <f>IF(P17&gt;0, S17/P17, 0)</f>
        <v/>
      </c>
      <c r="U17" s="61">
        <f>S17 + (Q17*T17)</f>
        <v/>
      </c>
      <c r="V17" s="62">
        <f>Q17*T17</f>
        <v/>
      </c>
      <c r="W17" s="58" t="n">
        <v>0.3333333333333333</v>
      </c>
      <c r="X17" s="58" t="n">
        <v>0.5833333333333334</v>
      </c>
      <c r="Y17" s="59">
        <f>IF(B17="Sun", 0, IF(B17="Sat", 6, 12))</f>
        <v/>
      </c>
      <c r="Z17" s="59">
        <f>IF(OR(X17="OFF", ISBLANK(X17)), 0, (X17 - W17)*24)</f>
        <v/>
      </c>
      <c r="AA17" s="59">
        <f>IF(OR(B17="Sun", X17="OFF", ISBLANK(X17)), 0, MAX(0, (IF(B17="Sat", 14/24, 20/24) - X17)*24))</f>
        <v/>
      </c>
      <c r="AB17" s="60" t="n">
        <v>56</v>
      </c>
      <c r="AC17" s="61">
        <f>AB17*7.45</f>
        <v/>
      </c>
      <c r="AD17" s="61">
        <f>IF(Z17&gt;0, AC17/Z17, 0)</f>
        <v/>
      </c>
      <c r="AE17" s="61">
        <f>AC17 + (AA17*AD17)</f>
        <v/>
      </c>
      <c r="AF17" s="62">
        <f>AA17*AD17</f>
        <v/>
      </c>
      <c r="AG17" s="58" t="n">
        <v>0.3333333333333333</v>
      </c>
      <c r="AH17" s="58" t="n">
        <v>0.5833333333333334</v>
      </c>
      <c r="AI17" s="59">
        <f>IF(B17="Sun", 0, IF(B17="Sat", 6, 12))</f>
        <v/>
      </c>
      <c r="AJ17" s="59">
        <f>IF(OR(AH17="OFF", ISBLANK(AH17)), 0, (AH17 - AG17)*24)</f>
        <v/>
      </c>
      <c r="AK17" s="59">
        <f>IF(OR(B17="Sun", AH17="OFF", ISBLANK(AH17)), 0, MAX(0, (IF(B17="Sat", 14/24, 20/24) - AH17)*24))</f>
        <v/>
      </c>
      <c r="AL17" s="60" t="n">
        <v>52</v>
      </c>
      <c r="AM17" s="61">
        <f>AL17*7.45</f>
        <v/>
      </c>
      <c r="AN17" s="61">
        <f>IF(AJ17&gt;0, AM17/AJ17, 0)</f>
        <v/>
      </c>
      <c r="AO17" s="61">
        <f>AM17 + (AK17*AN17)</f>
        <v/>
      </c>
      <c r="AP17" s="62">
        <f>AK17*AN17</f>
        <v/>
      </c>
      <c r="AQ17" s="59">
        <f>E17+O17+Y17+AI17</f>
        <v/>
      </c>
      <c r="AR17" s="59">
        <f>F17+P17+Z17+AJ17</f>
        <v/>
      </c>
      <c r="AS17" s="63">
        <f>G17+Q17+AA17+AK17</f>
        <v/>
      </c>
      <c r="AT17" s="60">
        <f>H17+R17+AB17+AL17</f>
        <v/>
      </c>
      <c r="AU17" s="61">
        <f>AT17*7.45</f>
        <v/>
      </c>
      <c r="AV17" s="62">
        <f>I17+S17+AC17+AM17</f>
        <v/>
      </c>
      <c r="AW17" s="61">
        <f>K17+U17+AE17+AO17</f>
        <v/>
      </c>
      <c r="AX17" s="62">
        <f>L17+V17+AF17+AP17</f>
        <v/>
      </c>
      <c r="AY17" s="64">
        <f>IF(AW17&gt;0, AX17/AW17, 0)</f>
        <v/>
      </c>
    </row>
    <row r="18">
      <c r="A18" s="65" t="n">
        <v>46215</v>
      </c>
      <c r="B18" s="66" t="inlineStr">
        <is>
          <t>Sun</t>
        </is>
      </c>
      <c r="C18" s="66" t="inlineStr">
        <is>
          <t>OFF</t>
        </is>
      </c>
      <c r="D18" s="66" t="inlineStr">
        <is>
          <t>OFF</t>
        </is>
      </c>
      <c r="E18" s="67">
        <f>IF(B18="Sun", 0, IF(B18="Sat", 6, 12))</f>
        <v/>
      </c>
      <c r="F18" s="67">
        <f>IF(OR(D18="OFF", ISBLANK(D18)), 0, (D18 - C18)*24)</f>
        <v/>
      </c>
      <c r="G18" s="67">
        <f>IF(OR(B18="Sun", D18="OFF", ISBLANK(D18)), 0, MAX(0, (IF(B18="Sat", 14/24, 20/24) - D18)*24))</f>
        <v/>
      </c>
      <c r="H18" s="68" t="n">
        <v>0</v>
      </c>
      <c r="I18" s="69">
        <f>H18*7.45</f>
        <v/>
      </c>
      <c r="J18" s="69">
        <f>IF(F18&gt;0, I18/F18, 0)</f>
        <v/>
      </c>
      <c r="K18" s="69">
        <f>I18 + (G18*J18)</f>
        <v/>
      </c>
      <c r="L18" s="70">
        <f>G18*J18</f>
        <v/>
      </c>
      <c r="M18" s="66" t="inlineStr">
        <is>
          <t>OFF</t>
        </is>
      </c>
      <c r="N18" s="66" t="inlineStr">
        <is>
          <t>OFF</t>
        </is>
      </c>
      <c r="O18" s="67">
        <f>IF(B18="Sun", 0, IF(B18="Sat", 6, 12))</f>
        <v/>
      </c>
      <c r="P18" s="67">
        <f>IF(OR(N18="OFF", ISBLANK(N18)), 0, (N18 - M18)*24)</f>
        <v/>
      </c>
      <c r="Q18" s="67">
        <f>IF(OR(B18="Sun", N18="OFF", ISBLANK(N18)), 0, MAX(0, (IF(B18="Sat", 14/24, 20/24) - N18)*24))</f>
        <v/>
      </c>
      <c r="R18" s="68" t="n">
        <v>0</v>
      </c>
      <c r="S18" s="69">
        <f>R18*7.45</f>
        <v/>
      </c>
      <c r="T18" s="69">
        <f>IF(P18&gt;0, S18/P18, 0)</f>
        <v/>
      </c>
      <c r="U18" s="69">
        <f>S18 + (Q18*T18)</f>
        <v/>
      </c>
      <c r="V18" s="70">
        <f>Q18*T18</f>
        <v/>
      </c>
      <c r="W18" s="66" t="inlineStr">
        <is>
          <t>OFF</t>
        </is>
      </c>
      <c r="X18" s="66" t="inlineStr">
        <is>
          <t>OFF</t>
        </is>
      </c>
      <c r="Y18" s="67">
        <f>IF(B18="Sun", 0, IF(B18="Sat", 6, 12))</f>
        <v/>
      </c>
      <c r="Z18" s="67">
        <f>IF(OR(X18="OFF", ISBLANK(X18)), 0, (X18 - W18)*24)</f>
        <v/>
      </c>
      <c r="AA18" s="67">
        <f>IF(OR(B18="Sun", X18="OFF", ISBLANK(X18)), 0, MAX(0, (IF(B18="Sat", 14/24, 20/24) - X18)*24))</f>
        <v/>
      </c>
      <c r="AB18" s="68" t="n">
        <v>0</v>
      </c>
      <c r="AC18" s="69">
        <f>AB18*7.45</f>
        <v/>
      </c>
      <c r="AD18" s="69">
        <f>IF(Z18&gt;0, AC18/Z18, 0)</f>
        <v/>
      </c>
      <c r="AE18" s="69">
        <f>AC18 + (AA18*AD18)</f>
        <v/>
      </c>
      <c r="AF18" s="70">
        <f>AA18*AD18</f>
        <v/>
      </c>
      <c r="AG18" s="66" t="inlineStr">
        <is>
          <t>OFF</t>
        </is>
      </c>
      <c r="AH18" s="66" t="inlineStr">
        <is>
          <t>OFF</t>
        </is>
      </c>
      <c r="AI18" s="67">
        <f>IF(B18="Sun", 0, IF(B18="Sat", 6, 12))</f>
        <v/>
      </c>
      <c r="AJ18" s="67">
        <f>IF(OR(AH18="OFF", ISBLANK(AH18)), 0, (AH18 - AG18)*24)</f>
        <v/>
      </c>
      <c r="AK18" s="67">
        <f>IF(OR(B18="Sun", AH18="OFF", ISBLANK(AH18)), 0, MAX(0, (IF(B18="Sat", 14/24, 20/24) - AH18)*24))</f>
        <v/>
      </c>
      <c r="AL18" s="68" t="n">
        <v>0</v>
      </c>
      <c r="AM18" s="69">
        <f>AL18*7.45</f>
        <v/>
      </c>
      <c r="AN18" s="69">
        <f>IF(AJ18&gt;0, AM18/AJ18, 0)</f>
        <v/>
      </c>
      <c r="AO18" s="69">
        <f>AM18 + (AK18*AN18)</f>
        <v/>
      </c>
      <c r="AP18" s="70">
        <f>AK18*AN18</f>
        <v/>
      </c>
      <c r="AQ18" s="67">
        <f>E18+O18+Y18+AI18</f>
        <v/>
      </c>
      <c r="AR18" s="67">
        <f>F18+P18+Z18+AJ18</f>
        <v/>
      </c>
      <c r="AS18" s="71">
        <f>G18+Q18+AA18+AK18</f>
        <v/>
      </c>
      <c r="AT18" s="68">
        <f>H18+R18+AB18+AL18</f>
        <v/>
      </c>
      <c r="AU18" s="69">
        <f>AT18*7.45</f>
        <v/>
      </c>
      <c r="AV18" s="70">
        <f>I18+S18+AC18+AM18</f>
        <v/>
      </c>
      <c r="AW18" s="69">
        <f>K18+U18+AE18+AO18</f>
        <v/>
      </c>
      <c r="AX18" s="70">
        <f>L18+V18+AF18+AP18</f>
        <v/>
      </c>
      <c r="AY18" s="72">
        <f>IF(AW18&gt;0, AX18/AW18, 0)</f>
        <v/>
      </c>
    </row>
    <row r="19">
      <c r="A19" s="56" t="n">
        <v>46216</v>
      </c>
      <c r="B19" s="57" t="inlineStr">
        <is>
          <t>Mon</t>
        </is>
      </c>
      <c r="C19" s="58" t="n">
        <v>0.3055555555555556</v>
      </c>
      <c r="D19" s="58" t="n">
        <v>0.8069444444444445</v>
      </c>
      <c r="E19" s="59">
        <f>IF(B19="Sun", 0, IF(B19="Sat", 6, 12))</f>
        <v/>
      </c>
      <c r="F19" s="59">
        <f>IF(OR(D19="OFF", ISBLANK(D19)), 0, (D19 - C19)*24)</f>
        <v/>
      </c>
      <c r="G19" s="59">
        <f>IF(OR(B19="Sun", D19="OFF", ISBLANK(D19)), 0, MAX(0, (IF(B19="Sat", 14/24, 20/24) - D19)*24))</f>
        <v/>
      </c>
      <c r="H19" s="60" t="n">
        <v>98</v>
      </c>
      <c r="I19" s="61">
        <f>H19*7.45</f>
        <v/>
      </c>
      <c r="J19" s="61">
        <f>IF(F19&gt;0, I19/F19, 0)</f>
        <v/>
      </c>
      <c r="K19" s="61">
        <f>I19 + (G19*J19)</f>
        <v/>
      </c>
      <c r="L19" s="62">
        <f>G19*J19</f>
        <v/>
      </c>
      <c r="M19" s="58" t="n">
        <v>0.3055555555555556</v>
      </c>
      <c r="N19" s="58" t="n">
        <v>0.8340277777777778</v>
      </c>
      <c r="O19" s="59">
        <f>IF(B19="Sun", 0, IF(B19="Sat", 6, 12))</f>
        <v/>
      </c>
      <c r="P19" s="59">
        <f>IF(OR(N19="OFF", ISBLANK(N19)), 0, (N19 - M19)*24)</f>
        <v/>
      </c>
      <c r="Q19" s="59">
        <f>IF(OR(B19="Sun", N19="OFF", ISBLANK(N19)), 0, MAX(0, (IF(B19="Sat", 14/24, 20/24) - N19)*24))</f>
        <v/>
      </c>
      <c r="R19" s="60" t="n">
        <v>60</v>
      </c>
      <c r="S19" s="61">
        <f>R19*7.45</f>
        <v/>
      </c>
      <c r="T19" s="61">
        <f>IF(P19&gt;0, S19/P19, 0)</f>
        <v/>
      </c>
      <c r="U19" s="61">
        <f>S19 + (Q19*T19)</f>
        <v/>
      </c>
      <c r="V19" s="62">
        <f>Q19*T19</f>
        <v/>
      </c>
      <c r="W19" s="58" t="n">
        <v>0.3055555555555556</v>
      </c>
      <c r="X19" s="58" t="n">
        <v>0.8069444444444445</v>
      </c>
      <c r="Y19" s="59">
        <f>IF(B19="Sun", 0, IF(B19="Sat", 6, 12))</f>
        <v/>
      </c>
      <c r="Z19" s="59">
        <f>IF(OR(X19="OFF", ISBLANK(X19)), 0, (X19 - W19)*24)</f>
        <v/>
      </c>
      <c r="AA19" s="59">
        <f>IF(OR(B19="Sun", X19="OFF", ISBLANK(X19)), 0, MAX(0, (IF(B19="Sat", 14/24, 20/24) - X19)*24))</f>
        <v/>
      </c>
      <c r="AB19" s="60" t="n">
        <v>104</v>
      </c>
      <c r="AC19" s="61">
        <f>AB19*7.45</f>
        <v/>
      </c>
      <c r="AD19" s="61">
        <f>IF(Z19&gt;0, AC19/Z19, 0)</f>
        <v/>
      </c>
      <c r="AE19" s="61">
        <f>AC19 + (AA19*AD19)</f>
        <v/>
      </c>
      <c r="AF19" s="62">
        <f>AA19*AD19</f>
        <v/>
      </c>
      <c r="AG19" s="58" t="n">
        <v>0.3055555555555556</v>
      </c>
      <c r="AH19" s="58" t="n">
        <v>0.7770833333333333</v>
      </c>
      <c r="AI19" s="59">
        <f>IF(B19="Sun", 0, IF(B19="Sat", 6, 12))</f>
        <v/>
      </c>
      <c r="AJ19" s="59">
        <f>IF(OR(AH19="OFF", ISBLANK(AH19)), 0, (AH19 - AG19)*24)</f>
        <v/>
      </c>
      <c r="AK19" s="59">
        <f>IF(OR(B19="Sun", AH19="OFF", ISBLANK(AH19)), 0, MAX(0, (IF(B19="Sat", 14/24, 20/24) - AH19)*24))</f>
        <v/>
      </c>
      <c r="AL19" s="60" t="n">
        <v>87</v>
      </c>
      <c r="AM19" s="61">
        <f>AL19*7.45</f>
        <v/>
      </c>
      <c r="AN19" s="61">
        <f>IF(AJ19&gt;0, AM19/AJ19, 0)</f>
        <v/>
      </c>
      <c r="AO19" s="61">
        <f>AM19 + (AK19*AN19)</f>
        <v/>
      </c>
      <c r="AP19" s="62">
        <f>AK19*AN19</f>
        <v/>
      </c>
      <c r="AQ19" s="59">
        <f>E19+O19+Y19+AI19</f>
        <v/>
      </c>
      <c r="AR19" s="59">
        <f>F19+P19+Z19+AJ19</f>
        <v/>
      </c>
      <c r="AS19" s="63">
        <f>G19+Q19+AA19+AK19</f>
        <v/>
      </c>
      <c r="AT19" s="60">
        <f>H19+R19+AB19+AL19</f>
        <v/>
      </c>
      <c r="AU19" s="61">
        <f>AT19*7.45</f>
        <v/>
      </c>
      <c r="AV19" s="62">
        <f>I19+S19+AC19+AM19</f>
        <v/>
      </c>
      <c r="AW19" s="61">
        <f>K19+U19+AE19+AO19</f>
        <v/>
      </c>
      <c r="AX19" s="62">
        <f>L19+V19+AF19+AP19</f>
        <v/>
      </c>
      <c r="AY19" s="64">
        <f>IF(AW19&gt;0, AX19/AW19, 0)</f>
        <v/>
      </c>
    </row>
    <row r="20">
      <c r="A20" s="65" t="n">
        <v>46217</v>
      </c>
      <c r="B20" s="66" t="inlineStr">
        <is>
          <t>Tue</t>
        </is>
      </c>
      <c r="C20" s="73" t="n">
        <v>0.2777777777777778</v>
      </c>
      <c r="D20" s="73" t="n">
        <v>0.7618055555555555</v>
      </c>
      <c r="E20" s="67">
        <f>IF(B20="Sun", 0, IF(B20="Sat", 6, 12))</f>
        <v/>
      </c>
      <c r="F20" s="67">
        <f>IF(OR(D20="OFF", ISBLANK(D20)), 0, (D20 - C20)*24)</f>
        <v/>
      </c>
      <c r="G20" s="67">
        <f>IF(OR(B20="Sun", D20="OFF", ISBLANK(D20)), 0, MAX(0, (IF(B20="Sat", 14/24, 20/24) - D20)*24))</f>
        <v/>
      </c>
      <c r="H20" s="68" t="n">
        <v>91</v>
      </c>
      <c r="I20" s="69">
        <f>H20*7.45</f>
        <v/>
      </c>
      <c r="J20" s="69">
        <f>IF(F20&gt;0, I20/F20, 0)</f>
        <v/>
      </c>
      <c r="K20" s="69">
        <f>I20 + (G20*J20)</f>
        <v/>
      </c>
      <c r="L20" s="70">
        <f>G20*J20</f>
        <v/>
      </c>
      <c r="M20" s="73" t="n">
        <v>0.2777777777777778</v>
      </c>
      <c r="N20" s="73" t="n">
        <v>0.8333333333333334</v>
      </c>
      <c r="O20" s="67">
        <f>IF(B20="Sun", 0, IF(B20="Sat", 6, 12))</f>
        <v/>
      </c>
      <c r="P20" s="67">
        <f>IF(OR(N20="OFF", ISBLANK(N20)), 0, (N20 - M20)*24)</f>
        <v/>
      </c>
      <c r="Q20" s="67">
        <f>IF(OR(B20="Sun", N20="OFF", ISBLANK(N20)), 0, MAX(0, (IF(B20="Sat", 14/24, 20/24) - N20)*24))</f>
        <v/>
      </c>
      <c r="R20" s="68" t="n">
        <v>63</v>
      </c>
      <c r="S20" s="69">
        <f>R20*7.45</f>
        <v/>
      </c>
      <c r="T20" s="69">
        <f>IF(P20&gt;0, S20/P20, 0)</f>
        <v/>
      </c>
      <c r="U20" s="69">
        <f>S20 + (Q20*T20)</f>
        <v/>
      </c>
      <c r="V20" s="70">
        <f>Q20*T20</f>
        <v/>
      </c>
      <c r="W20" s="73" t="n">
        <v>0.2777777777777778</v>
      </c>
      <c r="X20" s="73" t="n">
        <v>0.7881944444444444</v>
      </c>
      <c r="Y20" s="67">
        <f>IF(B20="Sun", 0, IF(B20="Sat", 6, 12))</f>
        <v/>
      </c>
      <c r="Z20" s="67">
        <f>IF(OR(X20="OFF", ISBLANK(X20)), 0, (X20 - W20)*24)</f>
        <v/>
      </c>
      <c r="AA20" s="67">
        <f>IF(OR(B20="Sun", X20="OFF", ISBLANK(X20)), 0, MAX(0, (IF(B20="Sat", 14/24, 20/24) - X20)*24))</f>
        <v/>
      </c>
      <c r="AB20" s="68" t="n">
        <v>105</v>
      </c>
      <c r="AC20" s="69">
        <f>AB20*7.45</f>
        <v/>
      </c>
      <c r="AD20" s="69">
        <f>IF(Z20&gt;0, AC20/Z20, 0)</f>
        <v/>
      </c>
      <c r="AE20" s="69">
        <f>AC20 + (AA20*AD20)</f>
        <v/>
      </c>
      <c r="AF20" s="70">
        <f>AA20*AD20</f>
        <v/>
      </c>
      <c r="AG20" s="73" t="n">
        <v>0.2777777777777778</v>
      </c>
      <c r="AH20" s="73" t="n">
        <v>0.74375</v>
      </c>
      <c r="AI20" s="67">
        <f>IF(B20="Sun", 0, IF(B20="Sat", 6, 12))</f>
        <v/>
      </c>
      <c r="AJ20" s="67">
        <f>IF(OR(AH20="OFF", ISBLANK(AH20)), 0, (AH20 - AG20)*24)</f>
        <v/>
      </c>
      <c r="AK20" s="67">
        <f>IF(OR(B20="Sun", AH20="OFF", ISBLANK(AH20)), 0, MAX(0, (IF(B20="Sat", 14/24, 20/24) - AH20)*24))</f>
        <v/>
      </c>
      <c r="AL20" s="68" t="n">
        <v>78</v>
      </c>
      <c r="AM20" s="69">
        <f>AL20*7.45</f>
        <v/>
      </c>
      <c r="AN20" s="69">
        <f>IF(AJ20&gt;0, AM20/AJ20, 0)</f>
        <v/>
      </c>
      <c r="AO20" s="69">
        <f>AM20 + (AK20*AN20)</f>
        <v/>
      </c>
      <c r="AP20" s="70">
        <f>AK20*AN20</f>
        <v/>
      </c>
      <c r="AQ20" s="67">
        <f>E20+O20+Y20+AI20</f>
        <v/>
      </c>
      <c r="AR20" s="67">
        <f>F20+P20+Z20+AJ20</f>
        <v/>
      </c>
      <c r="AS20" s="71">
        <f>G20+Q20+AA20+AK20</f>
        <v/>
      </c>
      <c r="AT20" s="68">
        <f>H20+R20+AB20+AL20</f>
        <v/>
      </c>
      <c r="AU20" s="69">
        <f>AT20*7.45</f>
        <v/>
      </c>
      <c r="AV20" s="70">
        <f>I20+S20+AC20+AM20</f>
        <v/>
      </c>
      <c r="AW20" s="69">
        <f>K20+U20+AE20+AO20</f>
        <v/>
      </c>
      <c r="AX20" s="70">
        <f>L20+V20+AF20+AP20</f>
        <v/>
      </c>
      <c r="AY20" s="72">
        <f>IF(AW20&gt;0, AX20/AW20, 0)</f>
        <v/>
      </c>
    </row>
    <row r="21">
      <c r="A21" s="56" t="n">
        <v>46218</v>
      </c>
      <c r="B21" s="57" t="inlineStr">
        <is>
          <t>Wed</t>
        </is>
      </c>
      <c r="C21" s="58" t="n">
        <v>0.3125</v>
      </c>
      <c r="D21" s="58" t="n">
        <v>0.7951388888888888</v>
      </c>
      <c r="E21" s="59">
        <f>IF(B21="Sun", 0, IF(B21="Sat", 6, 12))</f>
        <v/>
      </c>
      <c r="F21" s="59">
        <f>IF(OR(D21="OFF", ISBLANK(D21)), 0, (D21 - C21)*24)</f>
        <v/>
      </c>
      <c r="G21" s="59">
        <f>IF(OR(B21="Sun", D21="OFF", ISBLANK(D21)), 0, MAX(0, (IF(B21="Sat", 14/24, 20/24) - D21)*24))</f>
        <v/>
      </c>
      <c r="H21" s="60" t="n">
        <v>81</v>
      </c>
      <c r="I21" s="61">
        <f>H21*7.45</f>
        <v/>
      </c>
      <c r="J21" s="61">
        <f>IF(F21&gt;0, I21/F21, 0)</f>
        <v/>
      </c>
      <c r="K21" s="61">
        <f>I21 + (G21*J21)</f>
        <v/>
      </c>
      <c r="L21" s="62">
        <f>G21*J21</f>
        <v/>
      </c>
      <c r="M21" s="58" t="n">
        <v>0.3125</v>
      </c>
      <c r="N21" s="58" t="n">
        <v>0.7951388888888888</v>
      </c>
      <c r="O21" s="59">
        <f>IF(B21="Sun", 0, IF(B21="Sat", 6, 12))</f>
        <v/>
      </c>
      <c r="P21" s="59">
        <f>IF(OR(N21="OFF", ISBLANK(N21)), 0, (N21 - M21)*24)</f>
        <v/>
      </c>
      <c r="Q21" s="59">
        <f>IF(OR(B21="Sun", N21="OFF", ISBLANK(N21)), 0, MAX(0, (IF(B21="Sat", 14/24, 20/24) - N21)*24))</f>
        <v/>
      </c>
      <c r="R21" s="60" t="n">
        <v>50</v>
      </c>
      <c r="S21" s="61">
        <f>R21*7.45</f>
        <v/>
      </c>
      <c r="T21" s="61">
        <f>IF(P21&gt;0, S21/P21, 0)</f>
        <v/>
      </c>
      <c r="U21" s="61">
        <f>S21 + (Q21*T21)</f>
        <v/>
      </c>
      <c r="V21" s="62">
        <f>Q21*T21</f>
        <v/>
      </c>
      <c r="W21" s="58" t="n">
        <v>0.3125</v>
      </c>
      <c r="X21" s="58" t="n">
        <v>0.7951388888888888</v>
      </c>
      <c r="Y21" s="59">
        <f>IF(B21="Sun", 0, IF(B21="Sat", 6, 12))</f>
        <v/>
      </c>
      <c r="Z21" s="59">
        <f>IF(OR(X21="OFF", ISBLANK(X21)), 0, (X21 - W21)*24)</f>
        <v/>
      </c>
      <c r="AA21" s="59">
        <f>IF(OR(B21="Sun", X21="OFF", ISBLANK(X21)), 0, MAX(0, (IF(B21="Sat", 14/24, 20/24) - X21)*24))</f>
        <v/>
      </c>
      <c r="AB21" s="60" t="n">
        <v>94</v>
      </c>
      <c r="AC21" s="61">
        <f>AB21*7.45</f>
        <v/>
      </c>
      <c r="AD21" s="61">
        <f>IF(Z21&gt;0, AC21/Z21, 0)</f>
        <v/>
      </c>
      <c r="AE21" s="61">
        <f>AC21 + (AA21*AD21)</f>
        <v/>
      </c>
      <c r="AF21" s="62">
        <f>AA21*AD21</f>
        <v/>
      </c>
      <c r="AG21" s="58" t="n">
        <v>0.3125</v>
      </c>
      <c r="AH21" s="58" t="n">
        <v>0.8013888888888889</v>
      </c>
      <c r="AI21" s="59">
        <f>IF(B21="Sun", 0, IF(B21="Sat", 6, 12))</f>
        <v/>
      </c>
      <c r="AJ21" s="59">
        <f>IF(OR(AH21="OFF", ISBLANK(AH21)), 0, (AH21 - AG21)*24)</f>
        <v/>
      </c>
      <c r="AK21" s="59">
        <f>IF(OR(B21="Sun", AH21="OFF", ISBLANK(AH21)), 0, MAX(0, (IF(B21="Sat", 14/24, 20/24) - AH21)*24))</f>
        <v/>
      </c>
      <c r="AL21" s="60" t="n">
        <v>85</v>
      </c>
      <c r="AM21" s="61">
        <f>AL21*7.45</f>
        <v/>
      </c>
      <c r="AN21" s="61">
        <f>IF(AJ21&gt;0, AM21/AJ21, 0)</f>
        <v/>
      </c>
      <c r="AO21" s="61">
        <f>AM21 + (AK21*AN21)</f>
        <v/>
      </c>
      <c r="AP21" s="62">
        <f>AK21*AN21</f>
        <v/>
      </c>
      <c r="AQ21" s="59">
        <f>E21+O21+Y21+AI21</f>
        <v/>
      </c>
      <c r="AR21" s="59">
        <f>F21+P21+Z21+AJ21</f>
        <v/>
      </c>
      <c r="AS21" s="63">
        <f>G21+Q21+AA21+AK21</f>
        <v/>
      </c>
      <c r="AT21" s="60">
        <f>H21+R21+AB21+AL21</f>
        <v/>
      </c>
      <c r="AU21" s="61">
        <f>AT21*7.45</f>
        <v/>
      </c>
      <c r="AV21" s="62">
        <f>I21+S21+AC21+AM21</f>
        <v/>
      </c>
      <c r="AW21" s="61">
        <f>K21+U21+AE21+AO21</f>
        <v/>
      </c>
      <c r="AX21" s="62">
        <f>L21+V21+AF21+AP21</f>
        <v/>
      </c>
      <c r="AY21" s="64">
        <f>IF(AW21&gt;0, AX21/AW21, 0)</f>
        <v/>
      </c>
    </row>
    <row r="22">
      <c r="A22" s="65" t="n">
        <v>46219</v>
      </c>
      <c r="B22" s="66" t="inlineStr">
        <is>
          <t>Thu</t>
        </is>
      </c>
      <c r="C22" s="73" t="n">
        <v>0.2972222222222222</v>
      </c>
      <c r="D22" s="73" t="n">
        <v>0.8027777777777778</v>
      </c>
      <c r="E22" s="67">
        <f>IF(B22="Sun", 0, IF(B22="Sat", 6, 12))</f>
        <v/>
      </c>
      <c r="F22" s="67">
        <f>IF(OR(D22="OFF", ISBLANK(D22)), 0, (D22 - C22)*24)</f>
        <v/>
      </c>
      <c r="G22" s="67">
        <f>IF(OR(B22="Sun", D22="OFF", ISBLANK(D22)), 0, MAX(0, (IF(B22="Sat", 14/24, 20/24) - D22)*24))</f>
        <v/>
      </c>
      <c r="H22" s="68" t="n">
        <v>81</v>
      </c>
      <c r="I22" s="69">
        <f>H22*7.45</f>
        <v/>
      </c>
      <c r="J22" s="69">
        <f>IF(F22&gt;0, I22/F22, 0)</f>
        <v/>
      </c>
      <c r="K22" s="69">
        <f>I22 + (G22*J22)</f>
        <v/>
      </c>
      <c r="L22" s="70">
        <f>G22*J22</f>
        <v/>
      </c>
      <c r="M22" s="73" t="n">
        <v>0.2972222222222222</v>
      </c>
      <c r="N22" s="73" t="n">
        <v>0.8340277777777778</v>
      </c>
      <c r="O22" s="67">
        <f>IF(B22="Sun", 0, IF(B22="Sat", 6, 12))</f>
        <v/>
      </c>
      <c r="P22" s="67">
        <f>IF(OR(N22="OFF", ISBLANK(N22)), 0, (N22 - M22)*24)</f>
        <v/>
      </c>
      <c r="Q22" s="67">
        <f>IF(OR(B22="Sun", N22="OFF", ISBLANK(N22)), 0, MAX(0, (IF(B22="Sat", 14/24, 20/24) - N22)*24))</f>
        <v/>
      </c>
      <c r="R22" s="68" t="n">
        <v>54</v>
      </c>
      <c r="S22" s="69">
        <f>R22*7.45</f>
        <v/>
      </c>
      <c r="T22" s="69">
        <f>IF(P22&gt;0, S22/P22, 0)</f>
        <v/>
      </c>
      <c r="U22" s="69">
        <f>S22 + (Q22*T22)</f>
        <v/>
      </c>
      <c r="V22" s="70">
        <f>Q22*T22</f>
        <v/>
      </c>
      <c r="W22" s="73" t="n">
        <v>0.2972222222222222</v>
      </c>
      <c r="X22" s="73" t="n">
        <v>0.8340277777777778</v>
      </c>
      <c r="Y22" s="67">
        <f>IF(B22="Sun", 0, IF(B22="Sat", 6, 12))</f>
        <v/>
      </c>
      <c r="Z22" s="67">
        <f>IF(OR(X22="OFF", ISBLANK(X22)), 0, (X22 - W22)*24)</f>
        <v/>
      </c>
      <c r="AA22" s="67">
        <f>IF(OR(B22="Sun", X22="OFF", ISBLANK(X22)), 0, MAX(0, (IF(B22="Sat", 14/24, 20/24) - X22)*24))</f>
        <v/>
      </c>
      <c r="AB22" s="68" t="n">
        <v>109</v>
      </c>
      <c r="AC22" s="69">
        <f>AB22*7.45</f>
        <v/>
      </c>
      <c r="AD22" s="69">
        <f>IF(Z22&gt;0, AC22/Z22, 0)</f>
        <v/>
      </c>
      <c r="AE22" s="69">
        <f>AC22 + (AA22*AD22)</f>
        <v/>
      </c>
      <c r="AF22" s="70">
        <f>AA22*AD22</f>
        <v/>
      </c>
      <c r="AG22" s="73" t="n">
        <v>0.2972222222222222</v>
      </c>
      <c r="AH22" s="73" t="n">
        <v>0.7770833333333333</v>
      </c>
      <c r="AI22" s="67">
        <f>IF(B22="Sun", 0, IF(B22="Sat", 6, 12))</f>
        <v/>
      </c>
      <c r="AJ22" s="67">
        <f>IF(OR(AH22="OFF", ISBLANK(AH22)), 0, (AH22 - AG22)*24)</f>
        <v/>
      </c>
      <c r="AK22" s="67">
        <f>IF(OR(B22="Sun", AH22="OFF", ISBLANK(AH22)), 0, MAX(0, (IF(B22="Sat", 14/24, 20/24) - AH22)*24))</f>
        <v/>
      </c>
      <c r="AL22" s="68" t="n">
        <v>76</v>
      </c>
      <c r="AM22" s="69">
        <f>AL22*7.45</f>
        <v/>
      </c>
      <c r="AN22" s="69">
        <f>IF(AJ22&gt;0, AM22/AJ22, 0)</f>
        <v/>
      </c>
      <c r="AO22" s="69">
        <f>AM22 + (AK22*AN22)</f>
        <v/>
      </c>
      <c r="AP22" s="70">
        <f>AK22*AN22</f>
        <v/>
      </c>
      <c r="AQ22" s="67">
        <f>E22+O22+Y22+AI22</f>
        <v/>
      </c>
      <c r="AR22" s="67">
        <f>F22+P22+Z22+AJ22</f>
        <v/>
      </c>
      <c r="AS22" s="71">
        <f>G22+Q22+AA22+AK22</f>
        <v/>
      </c>
      <c r="AT22" s="68">
        <f>H22+R22+AB22+AL22</f>
        <v/>
      </c>
      <c r="AU22" s="69">
        <f>AT22*7.45</f>
        <v/>
      </c>
      <c r="AV22" s="70">
        <f>I22+S22+AC22+AM22</f>
        <v/>
      </c>
      <c r="AW22" s="69">
        <f>K22+U22+AE22+AO22</f>
        <v/>
      </c>
      <c r="AX22" s="70">
        <f>L22+V22+AF22+AP22</f>
        <v/>
      </c>
      <c r="AY22" s="72">
        <f>IF(AW22&gt;0, AX22/AW22, 0)</f>
        <v/>
      </c>
    </row>
    <row r="23">
      <c r="A23" s="56" t="n">
        <v>46220</v>
      </c>
      <c r="B23" s="57" t="inlineStr">
        <is>
          <t>Fri</t>
        </is>
      </c>
      <c r="C23" s="58" t="n">
        <v>0.2916666666666667</v>
      </c>
      <c r="D23" s="58" t="n">
        <v>0.8333333333333334</v>
      </c>
      <c r="E23" s="59">
        <f>IF(B23="Sun", 0, IF(B23="Sat", 6, 12))</f>
        <v/>
      </c>
      <c r="F23" s="59">
        <f>IF(OR(D23="OFF", ISBLANK(D23)), 0, (D23 - C23)*24)</f>
        <v/>
      </c>
      <c r="G23" s="59">
        <f>IF(OR(B23="Sun", D23="OFF", ISBLANK(D23)), 0, MAX(0, (IF(B23="Sat", 14/24, 20/24) - D23)*24))</f>
        <v/>
      </c>
      <c r="H23" s="60" t="n">
        <v>82</v>
      </c>
      <c r="I23" s="61">
        <f>H23*7.45</f>
        <v/>
      </c>
      <c r="J23" s="61">
        <f>IF(F23&gt;0, I23/F23, 0)</f>
        <v/>
      </c>
      <c r="K23" s="61">
        <f>I23 + (G23*J23)</f>
        <v/>
      </c>
      <c r="L23" s="62">
        <f>G23*J23</f>
        <v/>
      </c>
      <c r="M23" s="58" t="n">
        <v>0.2916666666666667</v>
      </c>
      <c r="N23" s="58" t="n">
        <v>0.8333333333333334</v>
      </c>
      <c r="O23" s="59">
        <f>IF(B23="Sun", 0, IF(B23="Sat", 6, 12))</f>
        <v/>
      </c>
      <c r="P23" s="59">
        <f>IF(OR(N23="OFF", ISBLANK(N23)), 0, (N23 - M23)*24)</f>
        <v/>
      </c>
      <c r="Q23" s="59">
        <f>IF(OR(B23="Sun", N23="OFF", ISBLANK(N23)), 0, MAX(0, (IF(B23="Sat", 14/24, 20/24) - N23)*24))</f>
        <v/>
      </c>
      <c r="R23" s="60" t="n">
        <v>50</v>
      </c>
      <c r="S23" s="61">
        <f>R23*7.45</f>
        <v/>
      </c>
      <c r="T23" s="61">
        <f>IF(P23&gt;0, S23/P23, 0)</f>
        <v/>
      </c>
      <c r="U23" s="61">
        <f>S23 + (Q23*T23)</f>
        <v/>
      </c>
      <c r="V23" s="62">
        <f>Q23*T23</f>
        <v/>
      </c>
      <c r="W23" s="58" t="n">
        <v>0.2916666666666667</v>
      </c>
      <c r="X23" s="58" t="n">
        <v>0.7465277777777778</v>
      </c>
      <c r="Y23" s="59">
        <f>IF(B23="Sun", 0, IF(B23="Sat", 6, 12))</f>
        <v/>
      </c>
      <c r="Z23" s="59">
        <f>IF(OR(X23="OFF", ISBLANK(X23)), 0, (X23 - W23)*24)</f>
        <v/>
      </c>
      <c r="AA23" s="59">
        <f>IF(OR(B23="Sun", X23="OFF", ISBLANK(X23)), 0, MAX(0, (IF(B23="Sat", 14/24, 20/24) - X23)*24))</f>
        <v/>
      </c>
      <c r="AB23" s="60" t="n">
        <v>89</v>
      </c>
      <c r="AC23" s="61">
        <f>AB23*7.45</f>
        <v/>
      </c>
      <c r="AD23" s="61">
        <f>IF(Z23&gt;0, AC23/Z23, 0)</f>
        <v/>
      </c>
      <c r="AE23" s="61">
        <f>AC23 + (AA23*AD23)</f>
        <v/>
      </c>
      <c r="AF23" s="62">
        <f>AA23*AD23</f>
        <v/>
      </c>
      <c r="AG23" s="58" t="n">
        <v>0.2916666666666667</v>
      </c>
      <c r="AH23" s="58" t="n">
        <v>0.7465277777777778</v>
      </c>
      <c r="AI23" s="59">
        <f>IF(B23="Sun", 0, IF(B23="Sat", 6, 12))</f>
        <v/>
      </c>
      <c r="AJ23" s="59">
        <f>IF(OR(AH23="OFF", ISBLANK(AH23)), 0, (AH23 - AG23)*24)</f>
        <v/>
      </c>
      <c r="AK23" s="59">
        <f>IF(OR(B23="Sun", AH23="OFF", ISBLANK(AH23)), 0, MAX(0, (IF(B23="Sat", 14/24, 20/24) - AH23)*24))</f>
        <v/>
      </c>
      <c r="AL23" s="60" t="n">
        <v>74</v>
      </c>
      <c r="AM23" s="61">
        <f>AL23*7.45</f>
        <v/>
      </c>
      <c r="AN23" s="61">
        <f>IF(AJ23&gt;0, AM23/AJ23, 0)</f>
        <v/>
      </c>
      <c r="AO23" s="61">
        <f>AM23 + (AK23*AN23)</f>
        <v/>
      </c>
      <c r="AP23" s="62">
        <f>AK23*AN23</f>
        <v/>
      </c>
      <c r="AQ23" s="59">
        <f>E23+O23+Y23+AI23</f>
        <v/>
      </c>
      <c r="AR23" s="59">
        <f>F23+P23+Z23+AJ23</f>
        <v/>
      </c>
      <c r="AS23" s="63">
        <f>G23+Q23+AA23+AK23</f>
        <v/>
      </c>
      <c r="AT23" s="60">
        <f>H23+R23+AB23+AL23</f>
        <v/>
      </c>
      <c r="AU23" s="61">
        <f>AT23*7.45</f>
        <v/>
      </c>
      <c r="AV23" s="62">
        <f>I23+S23+AC23+AM23</f>
        <v/>
      </c>
      <c r="AW23" s="61">
        <f>K23+U23+AE23+AO23</f>
        <v/>
      </c>
      <c r="AX23" s="62">
        <f>L23+V23+AF23+AP23</f>
        <v/>
      </c>
      <c r="AY23" s="64">
        <f>IF(AW23&gt;0, AX23/AW23, 0)</f>
        <v/>
      </c>
    </row>
    <row r="24">
      <c r="A24" s="65" t="n">
        <v>46221</v>
      </c>
      <c r="B24" s="66" t="inlineStr">
        <is>
          <t>Sat</t>
        </is>
      </c>
      <c r="C24" s="73" t="n">
        <v>0.3125</v>
      </c>
      <c r="D24" s="73" t="n">
        <v>0.5833333333333334</v>
      </c>
      <c r="E24" s="67">
        <f>IF(B24="Sun", 0, IF(B24="Sat", 6, 12))</f>
        <v/>
      </c>
      <c r="F24" s="67">
        <f>IF(OR(D24="OFF", ISBLANK(D24)), 0, (D24 - C24)*24)</f>
        <v/>
      </c>
      <c r="G24" s="67">
        <f>IF(OR(B24="Sun", D24="OFF", ISBLANK(D24)), 0, MAX(0, (IF(B24="Sat", 14/24, 20/24) - D24)*24))</f>
        <v/>
      </c>
      <c r="H24" s="68" t="n">
        <v>44</v>
      </c>
      <c r="I24" s="69">
        <f>H24*7.45</f>
        <v/>
      </c>
      <c r="J24" s="69">
        <f>IF(F24&gt;0, I24/F24, 0)</f>
        <v/>
      </c>
      <c r="K24" s="69">
        <f>I24 + (G24*J24)</f>
        <v/>
      </c>
      <c r="L24" s="70">
        <f>G24*J24</f>
        <v/>
      </c>
      <c r="M24" s="73" t="n">
        <v>0.3125</v>
      </c>
      <c r="N24" s="73" t="n">
        <v>0.5833333333333334</v>
      </c>
      <c r="O24" s="67">
        <f>IF(B24="Sun", 0, IF(B24="Sat", 6, 12))</f>
        <v/>
      </c>
      <c r="P24" s="67">
        <f>IF(OR(N24="OFF", ISBLANK(N24)), 0, (N24 - M24)*24)</f>
        <v/>
      </c>
      <c r="Q24" s="67">
        <f>IF(OR(B24="Sun", N24="OFF", ISBLANK(N24)), 0, MAX(0, (IF(B24="Sat", 14/24, 20/24) - N24)*24))</f>
        <v/>
      </c>
      <c r="R24" s="68" t="n">
        <v>29</v>
      </c>
      <c r="S24" s="69">
        <f>R24*7.45</f>
        <v/>
      </c>
      <c r="T24" s="69">
        <f>IF(P24&gt;0, S24/P24, 0)</f>
        <v/>
      </c>
      <c r="U24" s="69">
        <f>S24 + (Q24*T24)</f>
        <v/>
      </c>
      <c r="V24" s="70">
        <f>Q24*T24</f>
        <v/>
      </c>
      <c r="W24" s="73" t="n">
        <v>0.3125</v>
      </c>
      <c r="X24" s="73" t="n">
        <v>0.5833333333333334</v>
      </c>
      <c r="Y24" s="67">
        <f>IF(B24="Sun", 0, IF(B24="Sat", 6, 12))</f>
        <v/>
      </c>
      <c r="Z24" s="67">
        <f>IF(OR(X24="OFF", ISBLANK(X24)), 0, (X24 - W24)*24)</f>
        <v/>
      </c>
      <c r="AA24" s="67">
        <f>IF(OR(B24="Sun", X24="OFF", ISBLANK(X24)), 0, MAX(0, (IF(B24="Sat", 14/24, 20/24) - X24)*24))</f>
        <v/>
      </c>
      <c r="AB24" s="68" t="n">
        <v>52</v>
      </c>
      <c r="AC24" s="69">
        <f>AB24*7.45</f>
        <v/>
      </c>
      <c r="AD24" s="69">
        <f>IF(Z24&gt;0, AC24/Z24, 0)</f>
        <v/>
      </c>
      <c r="AE24" s="69">
        <f>AC24 + (AA24*AD24)</f>
        <v/>
      </c>
      <c r="AF24" s="70">
        <f>AA24*AD24</f>
        <v/>
      </c>
      <c r="AG24" s="73" t="n">
        <v>0.3125</v>
      </c>
      <c r="AH24" s="73" t="n">
        <v>0.4861111111111111</v>
      </c>
      <c r="AI24" s="67">
        <f>IF(B24="Sun", 0, IF(B24="Sat", 6, 12))</f>
        <v/>
      </c>
      <c r="AJ24" s="67">
        <f>IF(OR(AH24="OFF", ISBLANK(AH24)), 0, (AH24 - AG24)*24)</f>
        <v/>
      </c>
      <c r="AK24" s="67">
        <f>IF(OR(B24="Sun", AH24="OFF", ISBLANK(AH24)), 0, MAX(0, (IF(B24="Sat", 14/24, 20/24) - AH24)*24))</f>
        <v/>
      </c>
      <c r="AL24" s="68" t="n">
        <v>30</v>
      </c>
      <c r="AM24" s="69">
        <f>AL24*7.45</f>
        <v/>
      </c>
      <c r="AN24" s="69">
        <f>IF(AJ24&gt;0, AM24/AJ24, 0)</f>
        <v/>
      </c>
      <c r="AO24" s="69">
        <f>AM24 + (AK24*AN24)</f>
        <v/>
      </c>
      <c r="AP24" s="70">
        <f>AK24*AN24</f>
        <v/>
      </c>
      <c r="AQ24" s="67">
        <f>E24+O24+Y24+AI24</f>
        <v/>
      </c>
      <c r="AR24" s="67">
        <f>F24+P24+Z24+AJ24</f>
        <v/>
      </c>
      <c r="AS24" s="71">
        <f>G24+Q24+AA24+AK24</f>
        <v/>
      </c>
      <c r="AT24" s="68">
        <f>H24+R24+AB24+AL24</f>
        <v/>
      </c>
      <c r="AU24" s="69">
        <f>AT24*7.45</f>
        <v/>
      </c>
      <c r="AV24" s="70">
        <f>I24+S24+AC24+AM24</f>
        <v/>
      </c>
      <c r="AW24" s="69">
        <f>K24+U24+AE24+AO24</f>
        <v/>
      </c>
      <c r="AX24" s="70">
        <f>L24+V24+AF24+AP24</f>
        <v/>
      </c>
      <c r="AY24" s="72">
        <f>IF(AW24&gt;0, AX24/AW24, 0)</f>
        <v/>
      </c>
    </row>
    <row r="25">
      <c r="A25" s="56" t="n">
        <v>46222</v>
      </c>
      <c r="B25" s="57" t="inlineStr">
        <is>
          <t>Sun</t>
        </is>
      </c>
      <c r="C25" s="57" t="inlineStr">
        <is>
          <t>OFF</t>
        </is>
      </c>
      <c r="D25" s="57" t="inlineStr">
        <is>
          <t>OFF</t>
        </is>
      </c>
      <c r="E25" s="59">
        <f>IF(B25="Sun", 0, IF(B25="Sat", 6, 12))</f>
        <v/>
      </c>
      <c r="F25" s="59">
        <f>IF(OR(D25="OFF", ISBLANK(D25)), 0, (D25 - C25)*24)</f>
        <v/>
      </c>
      <c r="G25" s="59">
        <f>IF(OR(B25="Sun", D25="OFF", ISBLANK(D25)), 0, MAX(0, (IF(B25="Sat", 14/24, 20/24) - D25)*24))</f>
        <v/>
      </c>
      <c r="H25" s="60" t="n">
        <v>0</v>
      </c>
      <c r="I25" s="61">
        <f>H25*7.45</f>
        <v/>
      </c>
      <c r="J25" s="61">
        <f>IF(F25&gt;0, I25/F25, 0)</f>
        <v/>
      </c>
      <c r="K25" s="61">
        <f>I25 + (G25*J25)</f>
        <v/>
      </c>
      <c r="L25" s="62">
        <f>G25*J25</f>
        <v/>
      </c>
      <c r="M25" s="57" t="inlineStr">
        <is>
          <t>OFF</t>
        </is>
      </c>
      <c r="N25" s="57" t="inlineStr">
        <is>
          <t>OFF</t>
        </is>
      </c>
      <c r="O25" s="59">
        <f>IF(B25="Sun", 0, IF(B25="Sat", 6, 12))</f>
        <v/>
      </c>
      <c r="P25" s="59">
        <f>IF(OR(N25="OFF", ISBLANK(N25)), 0, (N25 - M25)*24)</f>
        <v/>
      </c>
      <c r="Q25" s="59">
        <f>IF(OR(B25="Sun", N25="OFF", ISBLANK(N25)), 0, MAX(0, (IF(B25="Sat", 14/24, 20/24) - N25)*24))</f>
        <v/>
      </c>
      <c r="R25" s="60" t="n">
        <v>0</v>
      </c>
      <c r="S25" s="61">
        <f>R25*7.45</f>
        <v/>
      </c>
      <c r="T25" s="61">
        <f>IF(P25&gt;0, S25/P25, 0)</f>
        <v/>
      </c>
      <c r="U25" s="61">
        <f>S25 + (Q25*T25)</f>
        <v/>
      </c>
      <c r="V25" s="62">
        <f>Q25*T25</f>
        <v/>
      </c>
      <c r="W25" s="57" t="inlineStr">
        <is>
          <t>OFF</t>
        </is>
      </c>
      <c r="X25" s="57" t="inlineStr">
        <is>
          <t>OFF</t>
        </is>
      </c>
      <c r="Y25" s="59">
        <f>IF(B25="Sun", 0, IF(B25="Sat", 6, 12))</f>
        <v/>
      </c>
      <c r="Z25" s="59">
        <f>IF(OR(X25="OFF", ISBLANK(X25)), 0, (X25 - W25)*24)</f>
        <v/>
      </c>
      <c r="AA25" s="59">
        <f>IF(OR(B25="Sun", X25="OFF", ISBLANK(X25)), 0, MAX(0, (IF(B25="Sat", 14/24, 20/24) - X25)*24))</f>
        <v/>
      </c>
      <c r="AB25" s="60" t="n">
        <v>0</v>
      </c>
      <c r="AC25" s="61">
        <f>AB25*7.45</f>
        <v/>
      </c>
      <c r="AD25" s="61">
        <f>IF(Z25&gt;0, AC25/Z25, 0)</f>
        <v/>
      </c>
      <c r="AE25" s="61">
        <f>AC25 + (AA25*AD25)</f>
        <v/>
      </c>
      <c r="AF25" s="62">
        <f>AA25*AD25</f>
        <v/>
      </c>
      <c r="AG25" s="57" t="inlineStr">
        <is>
          <t>OFF</t>
        </is>
      </c>
      <c r="AH25" s="57" t="inlineStr">
        <is>
          <t>OFF</t>
        </is>
      </c>
      <c r="AI25" s="59">
        <f>IF(B25="Sun", 0, IF(B25="Sat", 6, 12))</f>
        <v/>
      </c>
      <c r="AJ25" s="59">
        <f>IF(OR(AH25="OFF", ISBLANK(AH25)), 0, (AH25 - AG25)*24)</f>
        <v/>
      </c>
      <c r="AK25" s="59">
        <f>IF(OR(B25="Sun", AH25="OFF", ISBLANK(AH25)), 0, MAX(0, (IF(B25="Sat", 14/24, 20/24) - AH25)*24))</f>
        <v/>
      </c>
      <c r="AL25" s="60" t="n">
        <v>0</v>
      </c>
      <c r="AM25" s="61">
        <f>AL25*7.45</f>
        <v/>
      </c>
      <c r="AN25" s="61">
        <f>IF(AJ25&gt;0, AM25/AJ25, 0)</f>
        <v/>
      </c>
      <c r="AO25" s="61">
        <f>AM25 + (AK25*AN25)</f>
        <v/>
      </c>
      <c r="AP25" s="62">
        <f>AK25*AN25</f>
        <v/>
      </c>
      <c r="AQ25" s="59">
        <f>E25+O25+Y25+AI25</f>
        <v/>
      </c>
      <c r="AR25" s="59">
        <f>F25+P25+Z25+AJ25</f>
        <v/>
      </c>
      <c r="AS25" s="63">
        <f>G25+Q25+AA25+AK25</f>
        <v/>
      </c>
      <c r="AT25" s="60">
        <f>H25+R25+AB25+AL25</f>
        <v/>
      </c>
      <c r="AU25" s="61">
        <f>AT25*7.45</f>
        <v/>
      </c>
      <c r="AV25" s="62">
        <f>I25+S25+AC25+AM25</f>
        <v/>
      </c>
      <c r="AW25" s="61">
        <f>K25+U25+AE25+AO25</f>
        <v/>
      </c>
      <c r="AX25" s="62">
        <f>L25+V25+AF25+AP25</f>
        <v/>
      </c>
      <c r="AY25" s="64">
        <f>IF(AW25&gt;0, AX25/AW25, 0)</f>
        <v/>
      </c>
    </row>
    <row r="26">
      <c r="A26" s="65" t="n">
        <v>46223</v>
      </c>
      <c r="B26" s="66" t="inlineStr">
        <is>
          <t>Mon</t>
        </is>
      </c>
      <c r="C26" s="73" t="n">
        <v>0.2916666666666667</v>
      </c>
      <c r="D26" s="73" t="n">
        <v>0.8333333333333334</v>
      </c>
      <c r="E26" s="67">
        <f>IF(B26="Sun", 0, IF(B26="Sat", 6, 12))</f>
        <v/>
      </c>
      <c r="F26" s="67">
        <f>IF(OR(D26="OFF", ISBLANK(D26)), 0, (D26 - C26)*24)</f>
        <v/>
      </c>
      <c r="G26" s="67">
        <f>IF(OR(B26="Sun", D26="OFF", ISBLANK(D26)), 0, MAX(0, (IF(B26="Sat", 14/24, 20/24) - D26)*24))</f>
        <v/>
      </c>
      <c r="H26" s="68" t="n">
        <v>106</v>
      </c>
      <c r="I26" s="69">
        <f>H26*7.45</f>
        <v/>
      </c>
      <c r="J26" s="69">
        <f>IF(F26&gt;0, I26/F26, 0)</f>
        <v/>
      </c>
      <c r="K26" s="69">
        <f>I26 + (G26*J26)</f>
        <v/>
      </c>
      <c r="L26" s="70">
        <f>G26*J26</f>
        <v/>
      </c>
      <c r="M26" s="73" t="n">
        <v>0.2916666666666667</v>
      </c>
      <c r="N26" s="73" t="n">
        <v>0.8333333333333334</v>
      </c>
      <c r="O26" s="67">
        <f>IF(B26="Sun", 0, IF(B26="Sat", 6, 12))</f>
        <v/>
      </c>
      <c r="P26" s="67">
        <f>IF(OR(N26="OFF", ISBLANK(N26)), 0, (N26 - M26)*24)</f>
        <v/>
      </c>
      <c r="Q26" s="67">
        <f>IF(OR(B26="Sun", N26="OFF", ISBLANK(N26)), 0, MAX(0, (IF(B26="Sat", 14/24, 20/24) - N26)*24))</f>
        <v/>
      </c>
      <c r="R26" s="68" t="n">
        <v>65</v>
      </c>
      <c r="S26" s="69">
        <f>R26*7.45</f>
        <v/>
      </c>
      <c r="T26" s="69">
        <f>IF(P26&gt;0, S26/P26, 0)</f>
        <v/>
      </c>
      <c r="U26" s="69">
        <f>S26 + (Q26*T26)</f>
        <v/>
      </c>
      <c r="V26" s="70">
        <f>Q26*T26</f>
        <v/>
      </c>
      <c r="W26" s="73" t="n">
        <v>0.2916666666666667</v>
      </c>
      <c r="X26" s="73" t="n">
        <v>0.7881944444444444</v>
      </c>
      <c r="Y26" s="67">
        <f>IF(B26="Sun", 0, IF(B26="Sat", 6, 12))</f>
        <v/>
      </c>
      <c r="Z26" s="67">
        <f>IF(OR(X26="OFF", ISBLANK(X26)), 0, (X26 - W26)*24)</f>
        <v/>
      </c>
      <c r="AA26" s="67">
        <f>IF(OR(B26="Sun", X26="OFF", ISBLANK(X26)), 0, MAX(0, (IF(B26="Sat", 14/24, 20/24) - X26)*24))</f>
        <v/>
      </c>
      <c r="AB26" s="68" t="n">
        <v>100</v>
      </c>
      <c r="AC26" s="69">
        <f>AB26*7.45</f>
        <v/>
      </c>
      <c r="AD26" s="69">
        <f>IF(Z26&gt;0, AC26/Z26, 0)</f>
        <v/>
      </c>
      <c r="AE26" s="69">
        <f>AC26 + (AA26*AD26)</f>
        <v/>
      </c>
      <c r="AF26" s="70">
        <f>AA26*AD26</f>
        <v/>
      </c>
      <c r="AG26" s="73" t="n">
        <v>0.2916666666666667</v>
      </c>
      <c r="AH26" s="73" t="n">
        <v>0.7881944444444444</v>
      </c>
      <c r="AI26" s="67">
        <f>IF(B26="Sun", 0, IF(B26="Sat", 6, 12))</f>
        <v/>
      </c>
      <c r="AJ26" s="67">
        <f>IF(OR(AH26="OFF", ISBLANK(AH26)), 0, (AH26 - AG26)*24)</f>
        <v/>
      </c>
      <c r="AK26" s="67">
        <f>IF(OR(B26="Sun", AH26="OFF", ISBLANK(AH26)), 0, MAX(0, (IF(B26="Sat", 14/24, 20/24) - AH26)*24))</f>
        <v/>
      </c>
      <c r="AL26" s="68" t="n">
        <v>83</v>
      </c>
      <c r="AM26" s="69">
        <f>AL26*7.45</f>
        <v/>
      </c>
      <c r="AN26" s="69">
        <f>IF(AJ26&gt;0, AM26/AJ26, 0)</f>
        <v/>
      </c>
      <c r="AO26" s="69">
        <f>AM26 + (AK26*AN26)</f>
        <v/>
      </c>
      <c r="AP26" s="70">
        <f>AK26*AN26</f>
        <v/>
      </c>
      <c r="AQ26" s="67">
        <f>E26+O26+Y26+AI26</f>
        <v/>
      </c>
      <c r="AR26" s="67">
        <f>F26+P26+Z26+AJ26</f>
        <v/>
      </c>
      <c r="AS26" s="71">
        <f>G26+Q26+AA26+AK26</f>
        <v/>
      </c>
      <c r="AT26" s="68">
        <f>H26+R26+AB26+AL26</f>
        <v/>
      </c>
      <c r="AU26" s="69">
        <f>AT26*7.45</f>
        <v/>
      </c>
      <c r="AV26" s="70">
        <f>I26+S26+AC26+AM26</f>
        <v/>
      </c>
      <c r="AW26" s="69">
        <f>K26+U26+AE26+AO26</f>
        <v/>
      </c>
      <c r="AX26" s="70">
        <f>L26+V26+AF26+AP26</f>
        <v/>
      </c>
      <c r="AY26" s="72">
        <f>IF(AW26&gt;0, AX26/AW26, 0)</f>
        <v/>
      </c>
    </row>
    <row r="27">
      <c r="A27" s="56" t="n">
        <v>46224</v>
      </c>
      <c r="B27" s="57" t="inlineStr">
        <is>
          <t>Tue</t>
        </is>
      </c>
      <c r="C27" s="58" t="n">
        <v>0.2930555555555556</v>
      </c>
      <c r="D27" s="58" t="n">
        <v>0.7930555555555555</v>
      </c>
      <c r="E27" s="59">
        <f>IF(B27="Sun", 0, IF(B27="Sat", 6, 12))</f>
        <v/>
      </c>
      <c r="F27" s="59">
        <f>IF(OR(D27="OFF", ISBLANK(D27)), 0, (D27 - C27)*24)</f>
        <v/>
      </c>
      <c r="G27" s="59">
        <f>IF(OR(B27="Sun", D27="OFF", ISBLANK(D27)), 0, MAX(0, (IF(B27="Sat", 14/24, 20/24) - D27)*24))</f>
        <v/>
      </c>
      <c r="H27" s="60" t="n">
        <v>98</v>
      </c>
      <c r="I27" s="61">
        <f>H27*7.45</f>
        <v/>
      </c>
      <c r="J27" s="61">
        <f>IF(F27&gt;0, I27/F27, 0)</f>
        <v/>
      </c>
      <c r="K27" s="61">
        <f>I27 + (G27*J27)</f>
        <v/>
      </c>
      <c r="L27" s="62">
        <f>G27*J27</f>
        <v/>
      </c>
      <c r="M27" s="58" t="n">
        <v>0.2930555555555556</v>
      </c>
      <c r="N27" s="58" t="n">
        <v>0.7930555555555555</v>
      </c>
      <c r="O27" s="59">
        <f>IF(B27="Sun", 0, IF(B27="Sat", 6, 12))</f>
        <v/>
      </c>
      <c r="P27" s="59">
        <f>IF(OR(N27="OFF", ISBLANK(N27)), 0, (N27 - M27)*24)</f>
        <v/>
      </c>
      <c r="Q27" s="59">
        <f>IF(OR(B27="Sun", N27="OFF", ISBLANK(N27)), 0, MAX(0, (IF(B27="Sat", 14/24, 20/24) - N27)*24))</f>
        <v/>
      </c>
      <c r="R27" s="60" t="n">
        <v>50</v>
      </c>
      <c r="S27" s="61">
        <f>R27*7.45</f>
        <v/>
      </c>
      <c r="T27" s="61">
        <f>IF(P27&gt;0, S27/P27, 0)</f>
        <v/>
      </c>
      <c r="U27" s="61">
        <f>S27 + (Q27*T27)</f>
        <v/>
      </c>
      <c r="V27" s="62">
        <f>Q27*T27</f>
        <v/>
      </c>
      <c r="W27" s="58" t="n">
        <v>0.2930555555555556</v>
      </c>
      <c r="X27" s="58" t="n">
        <v>0.7930555555555555</v>
      </c>
      <c r="Y27" s="59">
        <f>IF(B27="Sun", 0, IF(B27="Sat", 6, 12))</f>
        <v/>
      </c>
      <c r="Z27" s="59">
        <f>IF(OR(X27="OFF", ISBLANK(X27)), 0, (X27 - W27)*24)</f>
        <v/>
      </c>
      <c r="AA27" s="59">
        <f>IF(OR(B27="Sun", X27="OFF", ISBLANK(X27)), 0, MAX(0, (IF(B27="Sat", 14/24, 20/24) - X27)*24))</f>
        <v/>
      </c>
      <c r="AB27" s="60" t="n">
        <v>105</v>
      </c>
      <c r="AC27" s="61">
        <f>AB27*7.45</f>
        <v/>
      </c>
      <c r="AD27" s="61">
        <f>IF(Z27&gt;0, AC27/Z27, 0)</f>
        <v/>
      </c>
      <c r="AE27" s="61">
        <f>AC27 + (AA27*AD27)</f>
        <v/>
      </c>
      <c r="AF27" s="62">
        <f>AA27*AD27</f>
        <v/>
      </c>
      <c r="AG27" s="58" t="n">
        <v>0.2930555555555556</v>
      </c>
      <c r="AH27" s="58" t="n">
        <v>0.8333333333333334</v>
      </c>
      <c r="AI27" s="59">
        <f>IF(B27="Sun", 0, IF(B27="Sat", 6, 12))</f>
        <v/>
      </c>
      <c r="AJ27" s="59">
        <f>IF(OR(AH27="OFF", ISBLANK(AH27)), 0, (AH27 - AG27)*24)</f>
        <v/>
      </c>
      <c r="AK27" s="59">
        <f>IF(OR(B27="Sun", AH27="OFF", ISBLANK(AH27)), 0, MAX(0, (IF(B27="Sat", 14/24, 20/24) - AH27)*24))</f>
        <v/>
      </c>
      <c r="AL27" s="60" t="n">
        <v>74</v>
      </c>
      <c r="AM27" s="61">
        <f>AL27*7.45</f>
        <v/>
      </c>
      <c r="AN27" s="61">
        <f>IF(AJ27&gt;0, AM27/AJ27, 0)</f>
        <v/>
      </c>
      <c r="AO27" s="61">
        <f>AM27 + (AK27*AN27)</f>
        <v/>
      </c>
      <c r="AP27" s="62">
        <f>AK27*AN27</f>
        <v/>
      </c>
      <c r="AQ27" s="59">
        <f>E27+O27+Y27+AI27</f>
        <v/>
      </c>
      <c r="AR27" s="59">
        <f>F27+P27+Z27+AJ27</f>
        <v/>
      </c>
      <c r="AS27" s="63">
        <f>G27+Q27+AA27+AK27</f>
        <v/>
      </c>
      <c r="AT27" s="60">
        <f>H27+R27+AB27+AL27</f>
        <v/>
      </c>
      <c r="AU27" s="61">
        <f>AT27*7.45</f>
        <v/>
      </c>
      <c r="AV27" s="62">
        <f>I27+S27+AC27+AM27</f>
        <v/>
      </c>
      <c r="AW27" s="61">
        <f>K27+U27+AE27+AO27</f>
        <v/>
      </c>
      <c r="AX27" s="62">
        <f>L27+V27+AF27+AP27</f>
        <v/>
      </c>
      <c r="AY27" s="64">
        <f>IF(AW27&gt;0, AX27/AW27, 0)</f>
        <v/>
      </c>
    </row>
    <row r="28">
      <c r="A28" s="65" t="n">
        <v>46225</v>
      </c>
      <c r="B28" s="66" t="inlineStr">
        <is>
          <t>Wed</t>
        </is>
      </c>
      <c r="C28" s="73" t="n">
        <v>0.2930555555555556</v>
      </c>
      <c r="D28" s="73" t="n">
        <v>0.7506944444444444</v>
      </c>
      <c r="E28" s="67">
        <f>IF(B28="Sun", 0, IF(B28="Sat", 6, 12))</f>
        <v/>
      </c>
      <c r="F28" s="67">
        <f>IF(OR(D28="OFF", ISBLANK(D28)), 0, (D28 - C28)*24)</f>
        <v/>
      </c>
      <c r="G28" s="67">
        <f>IF(OR(B28="Sun", D28="OFF", ISBLANK(D28)), 0, MAX(0, (IF(B28="Sat", 14/24, 20/24) - D28)*24))</f>
        <v/>
      </c>
      <c r="H28" s="68" t="n">
        <v>87</v>
      </c>
      <c r="I28" s="69">
        <f>H28*7.45</f>
        <v/>
      </c>
      <c r="J28" s="69">
        <f>IF(F28&gt;0, I28/F28, 0)</f>
        <v/>
      </c>
      <c r="K28" s="69">
        <f>I28 + (G28*J28)</f>
        <v/>
      </c>
      <c r="L28" s="70">
        <f>G28*J28</f>
        <v/>
      </c>
      <c r="M28" s="73" t="n">
        <v>0.2930555555555556</v>
      </c>
      <c r="N28" s="73" t="n">
        <v>0.8298611111111112</v>
      </c>
      <c r="O28" s="67">
        <f>IF(B28="Sun", 0, IF(B28="Sat", 6, 12))</f>
        <v/>
      </c>
      <c r="P28" s="67">
        <f>IF(OR(N28="OFF", ISBLANK(N28)), 0, (N28 - M28)*24)</f>
        <v/>
      </c>
      <c r="Q28" s="67">
        <f>IF(OR(B28="Sun", N28="OFF", ISBLANK(N28)), 0, MAX(0, (IF(B28="Sat", 14/24, 20/24) - N28)*24))</f>
        <v/>
      </c>
      <c r="R28" s="68" t="n">
        <v>63</v>
      </c>
      <c r="S28" s="69">
        <f>R28*7.45</f>
        <v/>
      </c>
      <c r="T28" s="69">
        <f>IF(P28&gt;0, S28/P28, 0)</f>
        <v/>
      </c>
      <c r="U28" s="69">
        <f>S28 + (Q28*T28)</f>
        <v/>
      </c>
      <c r="V28" s="70">
        <f>Q28*T28</f>
        <v/>
      </c>
      <c r="W28" s="73" t="n">
        <v>0.2930555555555556</v>
      </c>
      <c r="X28" s="73" t="n">
        <v>0.8298611111111112</v>
      </c>
      <c r="Y28" s="67">
        <f>IF(B28="Sun", 0, IF(B28="Sat", 6, 12))</f>
        <v/>
      </c>
      <c r="Z28" s="67">
        <f>IF(OR(X28="OFF", ISBLANK(X28)), 0, (X28 - W28)*24)</f>
        <v/>
      </c>
      <c r="AA28" s="67">
        <f>IF(OR(B28="Sun", X28="OFF", ISBLANK(X28)), 0, MAX(0, (IF(B28="Sat", 14/24, 20/24) - X28)*24))</f>
        <v/>
      </c>
      <c r="AB28" s="68" t="n">
        <v>115</v>
      </c>
      <c r="AC28" s="69">
        <f>AB28*7.45</f>
        <v/>
      </c>
      <c r="AD28" s="69">
        <f>IF(Z28&gt;0, AC28/Z28, 0)</f>
        <v/>
      </c>
      <c r="AE28" s="69">
        <f>AC28 + (AA28*AD28)</f>
        <v/>
      </c>
      <c r="AF28" s="70">
        <f>AA28*AD28</f>
        <v/>
      </c>
      <c r="AG28" s="73" t="n">
        <v>0.2930555555555556</v>
      </c>
      <c r="AH28" s="73" t="n">
        <v>0.7791666666666667</v>
      </c>
      <c r="AI28" s="67">
        <f>IF(B28="Sun", 0, IF(B28="Sat", 6, 12))</f>
        <v/>
      </c>
      <c r="AJ28" s="67">
        <f>IF(OR(AH28="OFF", ISBLANK(AH28)), 0, (AH28 - AG28)*24)</f>
        <v/>
      </c>
      <c r="AK28" s="67">
        <f>IF(OR(B28="Sun", AH28="OFF", ISBLANK(AH28)), 0, MAX(0, (IF(B28="Sat", 14/24, 20/24) - AH28)*24))</f>
        <v/>
      </c>
      <c r="AL28" s="68" t="n">
        <v>80</v>
      </c>
      <c r="AM28" s="69">
        <f>AL28*7.45</f>
        <v/>
      </c>
      <c r="AN28" s="69">
        <f>IF(AJ28&gt;0, AM28/AJ28, 0)</f>
        <v/>
      </c>
      <c r="AO28" s="69">
        <f>AM28 + (AK28*AN28)</f>
        <v/>
      </c>
      <c r="AP28" s="70">
        <f>AK28*AN28</f>
        <v/>
      </c>
      <c r="AQ28" s="67">
        <f>E28+O28+Y28+AI28</f>
        <v/>
      </c>
      <c r="AR28" s="67">
        <f>F28+P28+Z28+AJ28</f>
        <v/>
      </c>
      <c r="AS28" s="71">
        <f>G28+Q28+AA28+AK28</f>
        <v/>
      </c>
      <c r="AT28" s="68">
        <f>H28+R28+AB28+AL28</f>
        <v/>
      </c>
      <c r="AU28" s="69">
        <f>AT28*7.45</f>
        <v/>
      </c>
      <c r="AV28" s="70">
        <f>I28+S28+AC28+AM28</f>
        <v/>
      </c>
      <c r="AW28" s="69">
        <f>K28+U28+AE28+AO28</f>
        <v/>
      </c>
      <c r="AX28" s="70">
        <f>L28+V28+AF28+AP28</f>
        <v/>
      </c>
      <c r="AY28" s="72">
        <f>IF(AW28&gt;0, AX28/AW28, 0)</f>
        <v/>
      </c>
    </row>
    <row r="29">
      <c r="A29" s="56" t="n">
        <v>46226</v>
      </c>
      <c r="B29" s="57" t="inlineStr">
        <is>
          <t>Thu</t>
        </is>
      </c>
      <c r="C29" s="58" t="n">
        <v>0.3173611111111111</v>
      </c>
      <c r="D29" s="58" t="n">
        <v>0.7923611111111111</v>
      </c>
      <c r="E29" s="59">
        <f>IF(B29="Sun", 0, IF(B29="Sat", 6, 12))</f>
        <v/>
      </c>
      <c r="F29" s="59">
        <f>IF(OR(D29="OFF", ISBLANK(D29)), 0, (D29 - C29)*24)</f>
        <v/>
      </c>
      <c r="G29" s="59">
        <f>IF(OR(B29="Sun", D29="OFF", ISBLANK(D29)), 0, MAX(0, (IF(B29="Sat", 14/24, 20/24) - D29)*24))</f>
        <v/>
      </c>
      <c r="H29" s="60" t="n">
        <v>89</v>
      </c>
      <c r="I29" s="61">
        <f>H29*7.45</f>
        <v/>
      </c>
      <c r="J29" s="61">
        <f>IF(F29&gt;0, I29/F29, 0)</f>
        <v/>
      </c>
      <c r="K29" s="61">
        <f>I29 + (G29*J29)</f>
        <v/>
      </c>
      <c r="L29" s="62">
        <f>G29*J29</f>
        <v/>
      </c>
      <c r="M29" s="58" t="n">
        <v>0.3173611111111111</v>
      </c>
      <c r="N29" s="58" t="n">
        <v>0.8166666666666667</v>
      </c>
      <c r="O29" s="59">
        <f>IF(B29="Sun", 0, IF(B29="Sat", 6, 12))</f>
        <v/>
      </c>
      <c r="P29" s="59">
        <f>IF(OR(N29="OFF", ISBLANK(N29)), 0, (N29 - M29)*24)</f>
        <v/>
      </c>
      <c r="Q29" s="59">
        <f>IF(OR(B29="Sun", N29="OFF", ISBLANK(N29)), 0, MAX(0, (IF(B29="Sat", 14/24, 20/24) - N29)*24))</f>
        <v/>
      </c>
      <c r="R29" s="60" t="n">
        <v>55</v>
      </c>
      <c r="S29" s="61">
        <f>R29*7.45</f>
        <v/>
      </c>
      <c r="T29" s="61">
        <f>IF(P29&gt;0, S29/P29, 0)</f>
        <v/>
      </c>
      <c r="U29" s="61">
        <f>S29 + (Q29*T29)</f>
        <v/>
      </c>
      <c r="V29" s="62">
        <f>Q29*T29</f>
        <v/>
      </c>
      <c r="W29" s="58" t="n">
        <v>0.3173611111111111</v>
      </c>
      <c r="X29" s="58" t="n">
        <v>0.7923611111111111</v>
      </c>
      <c r="Y29" s="59">
        <f>IF(B29="Sun", 0, IF(B29="Sat", 6, 12))</f>
        <v/>
      </c>
      <c r="Z29" s="59">
        <f>IF(OR(X29="OFF", ISBLANK(X29)), 0, (X29 - W29)*24)</f>
        <v/>
      </c>
      <c r="AA29" s="59">
        <f>IF(OR(B29="Sun", X29="OFF", ISBLANK(X29)), 0, MAX(0, (IF(B29="Sat", 14/24, 20/24) - X29)*24))</f>
        <v/>
      </c>
      <c r="AB29" s="60" t="n">
        <v>106</v>
      </c>
      <c r="AC29" s="61">
        <f>AB29*7.45</f>
        <v/>
      </c>
      <c r="AD29" s="61">
        <f>IF(Z29&gt;0, AC29/Z29, 0)</f>
        <v/>
      </c>
      <c r="AE29" s="61">
        <f>AC29 + (AA29*AD29)</f>
        <v/>
      </c>
      <c r="AF29" s="62">
        <f>AA29*AD29</f>
        <v/>
      </c>
      <c r="AG29" s="58" t="n">
        <v>0.3173611111111111</v>
      </c>
      <c r="AH29" s="58" t="n">
        <v>0.7923611111111111</v>
      </c>
      <c r="AI29" s="59">
        <f>IF(B29="Sun", 0, IF(B29="Sat", 6, 12))</f>
        <v/>
      </c>
      <c r="AJ29" s="59">
        <f>IF(OR(AH29="OFF", ISBLANK(AH29)), 0, (AH29 - AG29)*24)</f>
        <v/>
      </c>
      <c r="AK29" s="59">
        <f>IF(OR(B29="Sun", AH29="OFF", ISBLANK(AH29)), 0, MAX(0, (IF(B29="Sat", 14/24, 20/24) - AH29)*24))</f>
        <v/>
      </c>
      <c r="AL29" s="60" t="n">
        <v>80</v>
      </c>
      <c r="AM29" s="61">
        <f>AL29*7.45</f>
        <v/>
      </c>
      <c r="AN29" s="61">
        <f>IF(AJ29&gt;0, AM29/AJ29, 0)</f>
        <v/>
      </c>
      <c r="AO29" s="61">
        <f>AM29 + (AK29*AN29)</f>
        <v/>
      </c>
      <c r="AP29" s="62">
        <f>AK29*AN29</f>
        <v/>
      </c>
      <c r="AQ29" s="59">
        <f>E29+O29+Y29+AI29</f>
        <v/>
      </c>
      <c r="AR29" s="59">
        <f>F29+P29+Z29+AJ29</f>
        <v/>
      </c>
      <c r="AS29" s="63">
        <f>G29+Q29+AA29+AK29</f>
        <v/>
      </c>
      <c r="AT29" s="60">
        <f>H29+R29+AB29+AL29</f>
        <v/>
      </c>
      <c r="AU29" s="61">
        <f>AT29*7.45</f>
        <v/>
      </c>
      <c r="AV29" s="62">
        <f>I29+S29+AC29+AM29</f>
        <v/>
      </c>
      <c r="AW29" s="61">
        <f>K29+U29+AE29+AO29</f>
        <v/>
      </c>
      <c r="AX29" s="62">
        <f>L29+V29+AF29+AP29</f>
        <v/>
      </c>
      <c r="AY29" s="64">
        <f>IF(AW29&gt;0, AX29/AW29, 0)</f>
        <v/>
      </c>
    </row>
    <row r="30">
      <c r="A30" s="65" t="n">
        <v>46227</v>
      </c>
      <c r="B30" s="66" t="inlineStr">
        <is>
          <t>Fri</t>
        </is>
      </c>
      <c r="C30" s="73" t="n">
        <v>0.3215277777777778</v>
      </c>
      <c r="D30" s="73" t="n">
        <v>0.7756944444444445</v>
      </c>
      <c r="E30" s="67">
        <f>IF(B30="Sun", 0, IF(B30="Sat", 6, 12))</f>
        <v/>
      </c>
      <c r="F30" s="67">
        <f>IF(OR(D30="OFF", ISBLANK(D30)), 0, (D30 - C30)*24)</f>
        <v/>
      </c>
      <c r="G30" s="67">
        <f>IF(OR(B30="Sun", D30="OFF", ISBLANK(D30)), 0, MAX(0, (IF(B30="Sat", 14/24, 20/24) - D30)*24))</f>
        <v/>
      </c>
      <c r="H30" s="68" t="n">
        <v>83</v>
      </c>
      <c r="I30" s="69">
        <f>H30*7.45</f>
        <v/>
      </c>
      <c r="J30" s="69">
        <f>IF(F30&gt;0, I30/F30, 0)</f>
        <v/>
      </c>
      <c r="K30" s="69">
        <f>I30 + (G30*J30)</f>
        <v/>
      </c>
      <c r="L30" s="70">
        <f>G30*J30</f>
        <v/>
      </c>
      <c r="M30" s="73" t="n">
        <v>0.3215277777777778</v>
      </c>
      <c r="N30" s="73" t="n">
        <v>0.8319444444444445</v>
      </c>
      <c r="O30" s="67">
        <f>IF(B30="Sun", 0, IF(B30="Sat", 6, 12))</f>
        <v/>
      </c>
      <c r="P30" s="67">
        <f>IF(OR(N30="OFF", ISBLANK(N30)), 0, (N30 - M30)*24)</f>
        <v/>
      </c>
      <c r="Q30" s="67">
        <f>IF(OR(B30="Sun", N30="OFF", ISBLANK(N30)), 0, MAX(0, (IF(B30="Sat", 14/24, 20/24) - N30)*24))</f>
        <v/>
      </c>
      <c r="R30" s="68" t="n">
        <v>64</v>
      </c>
      <c r="S30" s="69">
        <f>R30*7.45</f>
        <v/>
      </c>
      <c r="T30" s="69">
        <f>IF(P30&gt;0, S30/P30, 0)</f>
        <v/>
      </c>
      <c r="U30" s="69">
        <f>S30 + (Q30*T30)</f>
        <v/>
      </c>
      <c r="V30" s="70">
        <f>Q30*T30</f>
        <v/>
      </c>
      <c r="W30" s="73" t="n">
        <v>0.3215277777777778</v>
      </c>
      <c r="X30" s="73" t="n">
        <v>0.7756944444444445</v>
      </c>
      <c r="Y30" s="67">
        <f>IF(B30="Sun", 0, IF(B30="Sat", 6, 12))</f>
        <v/>
      </c>
      <c r="Z30" s="67">
        <f>IF(OR(X30="OFF", ISBLANK(X30)), 0, (X30 - W30)*24)</f>
        <v/>
      </c>
      <c r="AA30" s="67">
        <f>IF(OR(B30="Sun", X30="OFF", ISBLANK(X30)), 0, MAX(0, (IF(B30="Sat", 14/24, 20/24) - X30)*24))</f>
        <v/>
      </c>
      <c r="AB30" s="68" t="n">
        <v>102</v>
      </c>
      <c r="AC30" s="69">
        <f>AB30*7.45</f>
        <v/>
      </c>
      <c r="AD30" s="69">
        <f>IF(Z30&gt;0, AC30/Z30, 0)</f>
        <v/>
      </c>
      <c r="AE30" s="69">
        <f>AC30 + (AA30*AD30)</f>
        <v/>
      </c>
      <c r="AF30" s="70">
        <f>AA30*AD30</f>
        <v/>
      </c>
      <c r="AG30" s="73" t="n">
        <v>0.3215277777777778</v>
      </c>
      <c r="AH30" s="73" t="n">
        <v>0.7756944444444445</v>
      </c>
      <c r="AI30" s="67">
        <f>IF(B30="Sun", 0, IF(B30="Sat", 6, 12))</f>
        <v/>
      </c>
      <c r="AJ30" s="67">
        <f>IF(OR(AH30="OFF", ISBLANK(AH30)), 0, (AH30 - AG30)*24)</f>
        <v/>
      </c>
      <c r="AK30" s="67">
        <f>IF(OR(B30="Sun", AH30="OFF", ISBLANK(AH30)), 0, MAX(0, (IF(B30="Sat", 14/24, 20/24) - AH30)*24))</f>
        <v/>
      </c>
      <c r="AL30" s="68" t="n">
        <v>71</v>
      </c>
      <c r="AM30" s="69">
        <f>AL30*7.45</f>
        <v/>
      </c>
      <c r="AN30" s="69">
        <f>IF(AJ30&gt;0, AM30/AJ30, 0)</f>
        <v/>
      </c>
      <c r="AO30" s="69">
        <f>AM30 + (AK30*AN30)</f>
        <v/>
      </c>
      <c r="AP30" s="70">
        <f>AK30*AN30</f>
        <v/>
      </c>
      <c r="AQ30" s="67">
        <f>E30+O30+Y30+AI30</f>
        <v/>
      </c>
      <c r="AR30" s="67">
        <f>F30+P30+Z30+AJ30</f>
        <v/>
      </c>
      <c r="AS30" s="71">
        <f>G30+Q30+AA30+AK30</f>
        <v/>
      </c>
      <c r="AT30" s="68">
        <f>H30+R30+AB30+AL30</f>
        <v/>
      </c>
      <c r="AU30" s="69">
        <f>AT30*7.45</f>
        <v/>
      </c>
      <c r="AV30" s="70">
        <f>I30+S30+AC30+AM30</f>
        <v/>
      </c>
      <c r="AW30" s="69">
        <f>K30+U30+AE30+AO30</f>
        <v/>
      </c>
      <c r="AX30" s="70">
        <f>L30+V30+AF30+AP30</f>
        <v/>
      </c>
      <c r="AY30" s="72">
        <f>IF(AW30&gt;0, AX30/AW30, 0)</f>
        <v/>
      </c>
    </row>
    <row r="31">
      <c r="A31" s="56" t="n">
        <v>46228</v>
      </c>
      <c r="B31" s="57" t="inlineStr">
        <is>
          <t>Sat</t>
        </is>
      </c>
      <c r="C31" s="58" t="n">
        <v>0.3263888888888889</v>
      </c>
      <c r="D31" s="58" t="n">
        <v>0.34375</v>
      </c>
      <c r="E31" s="59">
        <f>IF(B31="Sun", 0, IF(B31="Sat", 6, 12))</f>
        <v/>
      </c>
      <c r="F31" s="59">
        <f>IF(OR(D31="OFF", ISBLANK(D31)), 0, (D31 - C31)*24)</f>
        <v/>
      </c>
      <c r="G31" s="59">
        <f>IF(OR(B31="Sun", D31="OFF", ISBLANK(D31)), 0, MAX(0, (IF(B31="Sat", 14/24, 20/24) - D31)*24))</f>
        <v/>
      </c>
      <c r="H31" s="60" t="n">
        <v>5</v>
      </c>
      <c r="I31" s="61">
        <f>H31*7.45</f>
        <v/>
      </c>
      <c r="J31" s="61">
        <f>IF(F31&gt;0, I31/F31, 0)</f>
        <v/>
      </c>
      <c r="K31" s="61">
        <f>I31 + (G31*J31)</f>
        <v/>
      </c>
      <c r="L31" s="62">
        <f>G31*J31</f>
        <v/>
      </c>
      <c r="M31" s="58" t="n">
        <v>0.3263888888888889</v>
      </c>
      <c r="N31" s="58" t="n">
        <v>0.34375</v>
      </c>
      <c r="O31" s="59">
        <f>IF(B31="Sun", 0, IF(B31="Sat", 6, 12))</f>
        <v/>
      </c>
      <c r="P31" s="59">
        <f>IF(OR(N31="OFF", ISBLANK(N31)), 0, (N31 - M31)*24)</f>
        <v/>
      </c>
      <c r="Q31" s="59">
        <f>IF(OR(B31="Sun", N31="OFF", ISBLANK(N31)), 0, MAX(0, (IF(B31="Sat", 14/24, 20/24) - N31)*24))</f>
        <v/>
      </c>
      <c r="R31" s="60" t="n">
        <v>13</v>
      </c>
      <c r="S31" s="61">
        <f>R31*7.45</f>
        <v/>
      </c>
      <c r="T31" s="61">
        <f>IF(P31&gt;0, S31/P31, 0)</f>
        <v/>
      </c>
      <c r="U31" s="61">
        <f>S31 + (Q31*T31)</f>
        <v/>
      </c>
      <c r="V31" s="62">
        <f>Q31*T31</f>
        <v/>
      </c>
      <c r="W31" s="58" t="n">
        <v>0.3263888888888889</v>
      </c>
      <c r="X31" s="58" t="n">
        <v>0.5791666666666667</v>
      </c>
      <c r="Y31" s="59">
        <f>IF(B31="Sun", 0, IF(B31="Sat", 6, 12))</f>
        <v/>
      </c>
      <c r="Z31" s="59">
        <f>IF(OR(X31="OFF", ISBLANK(X31)), 0, (X31 - W31)*24)</f>
        <v/>
      </c>
      <c r="AA31" s="59">
        <f>IF(OR(B31="Sun", X31="OFF", ISBLANK(X31)), 0, MAX(0, (IF(B31="Sat", 14/24, 20/24) - X31)*24))</f>
        <v/>
      </c>
      <c r="AB31" s="60" t="n">
        <v>58</v>
      </c>
      <c r="AC31" s="61">
        <f>AB31*7.45</f>
        <v/>
      </c>
      <c r="AD31" s="61">
        <f>IF(Z31&gt;0, AC31/Z31, 0)</f>
        <v/>
      </c>
      <c r="AE31" s="61">
        <f>AC31 + (AA31*AD31)</f>
        <v/>
      </c>
      <c r="AF31" s="62">
        <f>AA31*AD31</f>
        <v/>
      </c>
      <c r="AG31" s="58" t="n">
        <v>0.3263888888888889</v>
      </c>
      <c r="AH31" s="58" t="n">
        <v>0.34375</v>
      </c>
      <c r="AI31" s="59">
        <f>IF(B31="Sun", 0, IF(B31="Sat", 6, 12))</f>
        <v/>
      </c>
      <c r="AJ31" s="59">
        <f>IF(OR(AH31="OFF", ISBLANK(AH31)), 0, (AH31 - AG31)*24)</f>
        <v/>
      </c>
      <c r="AK31" s="59">
        <f>IF(OR(B31="Sun", AH31="OFF", ISBLANK(AH31)), 0, MAX(0, (IF(B31="Sat", 14/24, 20/24) - AH31)*24))</f>
        <v/>
      </c>
      <c r="AL31" s="60" t="n">
        <v>5</v>
      </c>
      <c r="AM31" s="61">
        <f>AL31*7.45</f>
        <v/>
      </c>
      <c r="AN31" s="61">
        <f>IF(AJ31&gt;0, AM31/AJ31, 0)</f>
        <v/>
      </c>
      <c r="AO31" s="61">
        <f>AM31 + (AK31*AN31)</f>
        <v/>
      </c>
      <c r="AP31" s="62">
        <f>AK31*AN31</f>
        <v/>
      </c>
      <c r="AQ31" s="59">
        <f>E31+O31+Y31+AI31</f>
        <v/>
      </c>
      <c r="AR31" s="59">
        <f>F31+P31+Z31+AJ31</f>
        <v/>
      </c>
      <c r="AS31" s="63">
        <f>G31+Q31+AA31+AK31</f>
        <v/>
      </c>
      <c r="AT31" s="60">
        <f>H31+R31+AB31+AL31</f>
        <v/>
      </c>
      <c r="AU31" s="61">
        <f>AT31*7.45</f>
        <v/>
      </c>
      <c r="AV31" s="62">
        <f>I31+S31+AC31+AM31</f>
        <v/>
      </c>
      <c r="AW31" s="61">
        <f>K31+U31+AE31+AO31</f>
        <v/>
      </c>
      <c r="AX31" s="62">
        <f>L31+V31+AF31+AP31</f>
        <v/>
      </c>
      <c r="AY31" s="64">
        <f>IF(AW31&gt;0, AX31/AW31, 0)</f>
        <v/>
      </c>
    </row>
    <row r="32">
      <c r="A32" s="65" t="n">
        <v>46229</v>
      </c>
      <c r="B32" s="66" t="inlineStr">
        <is>
          <t>Sun</t>
        </is>
      </c>
      <c r="C32" s="66" t="inlineStr">
        <is>
          <t>OFF</t>
        </is>
      </c>
      <c r="D32" s="66" t="inlineStr">
        <is>
          <t>OFF</t>
        </is>
      </c>
      <c r="E32" s="67">
        <f>IF(B32="Sun", 0, IF(B32="Sat", 6, 12))</f>
        <v/>
      </c>
      <c r="F32" s="67">
        <f>IF(OR(D32="OFF", ISBLANK(D32)), 0, (D32 - C32)*24)</f>
        <v/>
      </c>
      <c r="G32" s="67">
        <f>IF(OR(B32="Sun", D32="OFF", ISBLANK(D32)), 0, MAX(0, (IF(B32="Sat", 14/24, 20/24) - D32)*24))</f>
        <v/>
      </c>
      <c r="H32" s="68" t="n">
        <v>0</v>
      </c>
      <c r="I32" s="69">
        <f>H32*7.45</f>
        <v/>
      </c>
      <c r="J32" s="69">
        <f>IF(F32&gt;0, I32/F32, 0)</f>
        <v/>
      </c>
      <c r="K32" s="69">
        <f>I32 + (G32*J32)</f>
        <v/>
      </c>
      <c r="L32" s="70">
        <f>G32*J32</f>
        <v/>
      </c>
      <c r="M32" s="66" t="inlineStr">
        <is>
          <t>OFF</t>
        </is>
      </c>
      <c r="N32" s="66" t="inlineStr">
        <is>
          <t>OFF</t>
        </is>
      </c>
      <c r="O32" s="67">
        <f>IF(B32="Sun", 0, IF(B32="Sat", 6, 12))</f>
        <v/>
      </c>
      <c r="P32" s="67">
        <f>IF(OR(N32="OFF", ISBLANK(N32)), 0, (N32 - M32)*24)</f>
        <v/>
      </c>
      <c r="Q32" s="67">
        <f>IF(OR(B32="Sun", N32="OFF", ISBLANK(N32)), 0, MAX(0, (IF(B32="Sat", 14/24, 20/24) - N32)*24))</f>
        <v/>
      </c>
      <c r="R32" s="68" t="n">
        <v>0</v>
      </c>
      <c r="S32" s="69">
        <f>R32*7.45</f>
        <v/>
      </c>
      <c r="T32" s="69">
        <f>IF(P32&gt;0, S32/P32, 0)</f>
        <v/>
      </c>
      <c r="U32" s="69">
        <f>S32 + (Q32*T32)</f>
        <v/>
      </c>
      <c r="V32" s="70">
        <f>Q32*T32</f>
        <v/>
      </c>
      <c r="W32" s="66" t="inlineStr">
        <is>
          <t>OFF</t>
        </is>
      </c>
      <c r="X32" s="66" t="inlineStr">
        <is>
          <t>OFF</t>
        </is>
      </c>
      <c r="Y32" s="67">
        <f>IF(B32="Sun", 0, IF(B32="Sat", 6, 12))</f>
        <v/>
      </c>
      <c r="Z32" s="67">
        <f>IF(OR(X32="OFF", ISBLANK(X32)), 0, (X32 - W32)*24)</f>
        <v/>
      </c>
      <c r="AA32" s="67">
        <f>IF(OR(B32="Sun", X32="OFF", ISBLANK(X32)), 0, MAX(0, (IF(B32="Sat", 14/24, 20/24) - X32)*24))</f>
        <v/>
      </c>
      <c r="AB32" s="68" t="n">
        <v>0</v>
      </c>
      <c r="AC32" s="69">
        <f>AB32*7.45</f>
        <v/>
      </c>
      <c r="AD32" s="69">
        <f>IF(Z32&gt;0, AC32/Z32, 0)</f>
        <v/>
      </c>
      <c r="AE32" s="69">
        <f>AC32 + (AA32*AD32)</f>
        <v/>
      </c>
      <c r="AF32" s="70">
        <f>AA32*AD32</f>
        <v/>
      </c>
      <c r="AG32" s="66" t="inlineStr">
        <is>
          <t>OFF</t>
        </is>
      </c>
      <c r="AH32" s="66" t="inlineStr">
        <is>
          <t>OFF</t>
        </is>
      </c>
      <c r="AI32" s="67">
        <f>IF(B32="Sun", 0, IF(B32="Sat", 6, 12))</f>
        <v/>
      </c>
      <c r="AJ32" s="67">
        <f>IF(OR(AH32="OFF", ISBLANK(AH32)), 0, (AH32 - AG32)*24)</f>
        <v/>
      </c>
      <c r="AK32" s="67">
        <f>IF(OR(B32="Sun", AH32="OFF", ISBLANK(AH32)), 0, MAX(0, (IF(B32="Sat", 14/24, 20/24) - AH32)*24))</f>
        <v/>
      </c>
      <c r="AL32" s="68" t="n">
        <v>0</v>
      </c>
      <c r="AM32" s="69">
        <f>AL32*7.45</f>
        <v/>
      </c>
      <c r="AN32" s="69">
        <f>IF(AJ32&gt;0, AM32/AJ32, 0)</f>
        <v/>
      </c>
      <c r="AO32" s="69">
        <f>AM32 + (AK32*AN32)</f>
        <v/>
      </c>
      <c r="AP32" s="70">
        <f>AK32*AN32</f>
        <v/>
      </c>
      <c r="AQ32" s="67">
        <f>E32+O32+Y32+AI32</f>
        <v/>
      </c>
      <c r="AR32" s="67">
        <f>F32+P32+Z32+AJ32</f>
        <v/>
      </c>
      <c r="AS32" s="71">
        <f>G32+Q32+AA32+AK32</f>
        <v/>
      </c>
      <c r="AT32" s="68">
        <f>H32+R32+AB32+AL32</f>
        <v/>
      </c>
      <c r="AU32" s="69">
        <f>AT32*7.45</f>
        <v/>
      </c>
      <c r="AV32" s="70">
        <f>I32+S32+AC32+AM32</f>
        <v/>
      </c>
      <c r="AW32" s="69">
        <f>K32+U32+AE32+AO32</f>
        <v/>
      </c>
      <c r="AX32" s="70">
        <f>L32+V32+AF32+AP32</f>
        <v/>
      </c>
      <c r="AY32" s="72">
        <f>IF(AW32&gt;0, AX32/AW32, 0)</f>
        <v/>
      </c>
    </row>
    <row r="33">
      <c r="A33" s="56" t="n">
        <v>46230</v>
      </c>
      <c r="B33" s="57" t="inlineStr">
        <is>
          <t>Mon</t>
        </is>
      </c>
      <c r="C33" s="58" t="n">
        <v>0.2986111111111111</v>
      </c>
      <c r="D33" s="58" t="n">
        <v>0.8333333333333334</v>
      </c>
      <c r="E33" s="59">
        <f>IF(B33="Sun", 0, IF(B33="Sat", 6, 12))</f>
        <v/>
      </c>
      <c r="F33" s="59">
        <f>IF(OR(D33="OFF", ISBLANK(D33)), 0, (D33 - C33)*24)</f>
        <v/>
      </c>
      <c r="G33" s="59">
        <f>IF(OR(B33="Sun", D33="OFF", ISBLANK(D33)), 0, MAX(0, (IF(B33="Sat", 14/24, 20/24) - D33)*24))</f>
        <v/>
      </c>
      <c r="H33" s="60" t="n">
        <v>98</v>
      </c>
      <c r="I33" s="61">
        <f>H33*7.45</f>
        <v/>
      </c>
      <c r="J33" s="61">
        <f>IF(F33&gt;0, I33/F33, 0)</f>
        <v/>
      </c>
      <c r="K33" s="61">
        <f>I33 + (G33*J33)</f>
        <v/>
      </c>
      <c r="L33" s="62">
        <f>G33*J33</f>
        <v/>
      </c>
      <c r="M33" s="58" t="n">
        <v>0.2986111111111111</v>
      </c>
      <c r="N33" s="58" t="n">
        <v>0.8333333333333334</v>
      </c>
      <c r="O33" s="59">
        <f>IF(B33="Sun", 0, IF(B33="Sat", 6, 12))</f>
        <v/>
      </c>
      <c r="P33" s="59">
        <f>IF(OR(N33="OFF", ISBLANK(N33)), 0, (N33 - M33)*24)</f>
        <v/>
      </c>
      <c r="Q33" s="59">
        <f>IF(OR(B33="Sun", N33="OFF", ISBLANK(N33)), 0, MAX(0, (IF(B33="Sat", 14/24, 20/24) - N33)*24))</f>
        <v/>
      </c>
      <c r="R33" s="60" t="n">
        <v>82</v>
      </c>
      <c r="S33" s="61">
        <f>R33*7.45</f>
        <v/>
      </c>
      <c r="T33" s="61">
        <f>IF(P33&gt;0, S33/P33, 0)</f>
        <v/>
      </c>
      <c r="U33" s="61">
        <f>S33 + (Q33*T33)</f>
        <v/>
      </c>
      <c r="V33" s="62">
        <f>Q33*T33</f>
        <v/>
      </c>
      <c r="W33" s="58" t="n">
        <v>0.2986111111111111</v>
      </c>
      <c r="X33" s="58" t="n">
        <v>0.7777777777777778</v>
      </c>
      <c r="Y33" s="59">
        <f>IF(B33="Sun", 0, IF(B33="Sat", 6, 12))</f>
        <v/>
      </c>
      <c r="Z33" s="59">
        <f>IF(OR(X33="OFF", ISBLANK(X33)), 0, (X33 - W33)*24)</f>
        <v/>
      </c>
      <c r="AA33" s="59">
        <f>IF(OR(B33="Sun", X33="OFF", ISBLANK(X33)), 0, MAX(0, (IF(B33="Sat", 14/24, 20/24) - X33)*24))</f>
        <v/>
      </c>
      <c r="AB33" s="60" t="n">
        <v>98</v>
      </c>
      <c r="AC33" s="61">
        <f>AB33*7.45</f>
        <v/>
      </c>
      <c r="AD33" s="61">
        <f>IF(Z33&gt;0, AC33/Z33, 0)</f>
        <v/>
      </c>
      <c r="AE33" s="61">
        <f>AC33 + (AA33*AD33)</f>
        <v/>
      </c>
      <c r="AF33" s="62">
        <f>AA33*AD33</f>
        <v/>
      </c>
      <c r="AG33" s="58" t="n">
        <v>0.2986111111111111</v>
      </c>
      <c r="AH33" s="58" t="n">
        <v>0.7777777777777778</v>
      </c>
      <c r="AI33" s="59">
        <f>IF(B33="Sun", 0, IF(B33="Sat", 6, 12))</f>
        <v/>
      </c>
      <c r="AJ33" s="59">
        <f>IF(OR(AH33="OFF", ISBLANK(AH33)), 0, (AH33 - AG33)*24)</f>
        <v/>
      </c>
      <c r="AK33" s="59">
        <f>IF(OR(B33="Sun", AH33="OFF", ISBLANK(AH33)), 0, MAX(0, (IF(B33="Sat", 14/24, 20/24) - AH33)*24))</f>
        <v/>
      </c>
      <c r="AL33" s="60" t="n">
        <v>87</v>
      </c>
      <c r="AM33" s="61">
        <f>AL33*7.45</f>
        <v/>
      </c>
      <c r="AN33" s="61">
        <f>IF(AJ33&gt;0, AM33/AJ33, 0)</f>
        <v/>
      </c>
      <c r="AO33" s="61">
        <f>AM33 + (AK33*AN33)</f>
        <v/>
      </c>
      <c r="AP33" s="62">
        <f>AK33*AN33</f>
        <v/>
      </c>
      <c r="AQ33" s="59">
        <f>E33+O33+Y33+AI33</f>
        <v/>
      </c>
      <c r="AR33" s="59">
        <f>F33+P33+Z33+AJ33</f>
        <v/>
      </c>
      <c r="AS33" s="63">
        <f>G33+Q33+AA33+AK33</f>
        <v/>
      </c>
      <c r="AT33" s="60">
        <f>H33+R33+AB33+AL33</f>
        <v/>
      </c>
      <c r="AU33" s="61">
        <f>AT33*7.45</f>
        <v/>
      </c>
      <c r="AV33" s="62">
        <f>I33+S33+AC33+AM33</f>
        <v/>
      </c>
      <c r="AW33" s="61">
        <f>K33+U33+AE33+AO33</f>
        <v/>
      </c>
      <c r="AX33" s="62">
        <f>L33+V33+AF33+AP33</f>
        <v/>
      </c>
      <c r="AY33" s="64">
        <f>IF(AW33&gt;0, AX33/AW33, 0)</f>
        <v/>
      </c>
    </row>
    <row r="34">
      <c r="A34" s="65" t="n">
        <v>46231</v>
      </c>
      <c r="B34" s="66" t="inlineStr">
        <is>
          <t>Tue</t>
        </is>
      </c>
      <c r="C34" s="73" t="n">
        <v>0.3125</v>
      </c>
      <c r="D34" s="73" t="n">
        <v>0.7611111111111111</v>
      </c>
      <c r="E34" s="67">
        <f>IF(B34="Sun", 0, IF(B34="Sat", 6, 12))</f>
        <v/>
      </c>
      <c r="F34" s="67">
        <f>IF(OR(D34="OFF", ISBLANK(D34)), 0, (D34 - C34)*24)</f>
        <v/>
      </c>
      <c r="G34" s="67">
        <f>IF(OR(B34="Sun", D34="OFF", ISBLANK(D34)), 0, MAX(0, (IF(B34="Sat", 14/24, 20/24) - D34)*24))</f>
        <v/>
      </c>
      <c r="H34" s="68" t="n">
        <v>74</v>
      </c>
      <c r="I34" s="69">
        <f>H34*7.45</f>
        <v/>
      </c>
      <c r="J34" s="69">
        <f>IF(F34&gt;0, I34/F34, 0)</f>
        <v/>
      </c>
      <c r="K34" s="69">
        <f>I34 + (G34*J34)</f>
        <v/>
      </c>
      <c r="L34" s="70">
        <f>G34*J34</f>
        <v/>
      </c>
      <c r="M34" s="73" t="n">
        <v>0.3125</v>
      </c>
      <c r="N34" s="73" t="n">
        <v>0.8354166666666667</v>
      </c>
      <c r="O34" s="67">
        <f>IF(B34="Sun", 0, IF(B34="Sat", 6, 12))</f>
        <v/>
      </c>
      <c r="P34" s="67">
        <f>IF(OR(N34="OFF", ISBLANK(N34)), 0, (N34 - M34)*24)</f>
        <v/>
      </c>
      <c r="Q34" s="67">
        <f>IF(OR(B34="Sun", N34="OFF", ISBLANK(N34)), 0, MAX(0, (IF(B34="Sat", 14/24, 20/24) - N34)*24))</f>
        <v/>
      </c>
      <c r="R34" s="68" t="n">
        <v>82</v>
      </c>
      <c r="S34" s="69">
        <f>R34*7.45</f>
        <v/>
      </c>
      <c r="T34" s="69">
        <f>IF(P34&gt;0, S34/P34, 0)</f>
        <v/>
      </c>
      <c r="U34" s="69">
        <f>S34 + (Q34*T34)</f>
        <v/>
      </c>
      <c r="V34" s="70">
        <f>Q34*T34</f>
        <v/>
      </c>
      <c r="W34" s="73" t="n">
        <v>0.3125</v>
      </c>
      <c r="X34" s="73" t="n">
        <v>0.8354166666666667</v>
      </c>
      <c r="Y34" s="67">
        <f>IF(B34="Sun", 0, IF(B34="Sat", 6, 12))</f>
        <v/>
      </c>
      <c r="Z34" s="67">
        <f>IF(OR(X34="OFF", ISBLANK(X34)), 0, (X34 - W34)*24)</f>
        <v/>
      </c>
      <c r="AA34" s="67">
        <f>IF(OR(B34="Sun", X34="OFF", ISBLANK(X34)), 0, MAX(0, (IF(B34="Sat", 14/24, 20/24) - X34)*24))</f>
        <v/>
      </c>
      <c r="AB34" s="68" t="n">
        <v>111</v>
      </c>
      <c r="AC34" s="69">
        <f>AB34*7.45</f>
        <v/>
      </c>
      <c r="AD34" s="69">
        <f>IF(Z34&gt;0, AC34/Z34, 0)</f>
        <v/>
      </c>
      <c r="AE34" s="69">
        <f>AC34 + (AA34*AD34)</f>
        <v/>
      </c>
      <c r="AF34" s="70">
        <f>AA34*AD34</f>
        <v/>
      </c>
      <c r="AG34" s="73" t="n">
        <v>0.3125</v>
      </c>
      <c r="AH34" s="73" t="n">
        <v>0.7611111111111111</v>
      </c>
      <c r="AI34" s="67">
        <f>IF(B34="Sun", 0, IF(B34="Sat", 6, 12))</f>
        <v/>
      </c>
      <c r="AJ34" s="67">
        <f>IF(OR(AH34="OFF", ISBLANK(AH34)), 0, (AH34 - AG34)*24)</f>
        <v/>
      </c>
      <c r="AK34" s="67">
        <f>IF(OR(B34="Sun", AH34="OFF", ISBLANK(AH34)), 0, MAX(0, (IF(B34="Sat", 14/24, 20/24) - AH34)*24))</f>
        <v/>
      </c>
      <c r="AL34" s="68" t="n">
        <v>94</v>
      </c>
      <c r="AM34" s="69">
        <f>AL34*7.45</f>
        <v/>
      </c>
      <c r="AN34" s="69">
        <f>IF(AJ34&gt;0, AM34/AJ34, 0)</f>
        <v/>
      </c>
      <c r="AO34" s="69">
        <f>AM34 + (AK34*AN34)</f>
        <v/>
      </c>
      <c r="AP34" s="70">
        <f>AK34*AN34</f>
        <v/>
      </c>
      <c r="AQ34" s="67">
        <f>E34+O34+Y34+AI34</f>
        <v/>
      </c>
      <c r="AR34" s="67">
        <f>F34+P34+Z34+AJ34</f>
        <v/>
      </c>
      <c r="AS34" s="71">
        <f>G34+Q34+AA34+AK34</f>
        <v/>
      </c>
      <c r="AT34" s="68">
        <f>H34+R34+AB34+AL34</f>
        <v/>
      </c>
      <c r="AU34" s="69">
        <f>AT34*7.45</f>
        <v/>
      </c>
      <c r="AV34" s="70">
        <f>I34+S34+AC34+AM34</f>
        <v/>
      </c>
      <c r="AW34" s="69">
        <f>K34+U34+AE34+AO34</f>
        <v/>
      </c>
      <c r="AX34" s="70">
        <f>L34+V34+AF34+AP34</f>
        <v/>
      </c>
      <c r="AY34" s="72">
        <f>IF(AW34&gt;0, AX34/AW34, 0)</f>
        <v/>
      </c>
    </row>
    <row r="35">
      <c r="A35" s="56" t="n">
        <v>46232</v>
      </c>
      <c r="B35" s="57" t="inlineStr">
        <is>
          <t>Wed</t>
        </is>
      </c>
      <c r="C35" s="58" t="n">
        <v>0.3131944444444444</v>
      </c>
      <c r="D35" s="58" t="n">
        <v>0.8333333333333334</v>
      </c>
      <c r="E35" s="59">
        <f>IF(B35="Sun", 0, IF(B35="Sat", 6, 12))</f>
        <v/>
      </c>
      <c r="F35" s="59">
        <f>IF(OR(D35="OFF", ISBLANK(D35)), 0, (D35 - C35)*24)</f>
        <v/>
      </c>
      <c r="G35" s="59">
        <f>IF(OR(B35="Sun", D35="OFF", ISBLANK(D35)), 0, MAX(0, (IF(B35="Sat", 14/24, 20/24) - D35)*24))</f>
        <v/>
      </c>
      <c r="H35" s="60" t="n">
        <v>79</v>
      </c>
      <c r="I35" s="61">
        <f>H35*7.45</f>
        <v/>
      </c>
      <c r="J35" s="61">
        <f>IF(F35&gt;0, I35/F35, 0)</f>
        <v/>
      </c>
      <c r="K35" s="61">
        <f>I35 + (G35*J35)</f>
        <v/>
      </c>
      <c r="L35" s="62">
        <f>G35*J35</f>
        <v/>
      </c>
      <c r="M35" s="58" t="n">
        <v>0.3131944444444444</v>
      </c>
      <c r="N35" s="58" t="n">
        <v>0.8069444444444445</v>
      </c>
      <c r="O35" s="59">
        <f>IF(B35="Sun", 0, IF(B35="Sat", 6, 12))</f>
        <v/>
      </c>
      <c r="P35" s="59">
        <f>IF(OR(N35="OFF", ISBLANK(N35)), 0, (N35 - M35)*24)</f>
        <v/>
      </c>
      <c r="Q35" s="59">
        <f>IF(OR(B35="Sun", N35="OFF", ISBLANK(N35)), 0, MAX(0, (IF(B35="Sat", 14/24, 20/24) - N35)*24))</f>
        <v/>
      </c>
      <c r="R35" s="60" t="n">
        <v>79</v>
      </c>
      <c r="S35" s="61">
        <f>R35*7.45</f>
        <v/>
      </c>
      <c r="T35" s="61">
        <f>IF(P35&gt;0, S35/P35, 0)</f>
        <v/>
      </c>
      <c r="U35" s="61">
        <f>S35 + (Q35*T35)</f>
        <v/>
      </c>
      <c r="V35" s="62">
        <f>Q35*T35</f>
        <v/>
      </c>
      <c r="W35" s="58" t="n">
        <v>0.3131944444444444</v>
      </c>
      <c r="X35" s="58" t="n">
        <v>0.8069444444444445</v>
      </c>
      <c r="Y35" s="59">
        <f>IF(B35="Sun", 0, IF(B35="Sat", 6, 12))</f>
        <v/>
      </c>
      <c r="Z35" s="59">
        <f>IF(OR(X35="OFF", ISBLANK(X35)), 0, (X35 - W35)*24)</f>
        <v/>
      </c>
      <c r="AA35" s="59">
        <f>IF(OR(B35="Sun", X35="OFF", ISBLANK(X35)), 0, MAX(0, (IF(B35="Sat", 14/24, 20/24) - X35)*24))</f>
        <v/>
      </c>
      <c r="AB35" s="60" t="n">
        <v>104</v>
      </c>
      <c r="AC35" s="61">
        <f>AB35*7.45</f>
        <v/>
      </c>
      <c r="AD35" s="61">
        <f>IF(Z35&gt;0, AC35/Z35, 0)</f>
        <v/>
      </c>
      <c r="AE35" s="61">
        <f>AC35 + (AA35*AD35)</f>
        <v/>
      </c>
      <c r="AF35" s="62">
        <f>AA35*AD35</f>
        <v/>
      </c>
      <c r="AG35" s="58" t="n">
        <v>0.3131944444444444</v>
      </c>
      <c r="AH35" s="58" t="n">
        <v>0.8333333333333334</v>
      </c>
      <c r="AI35" s="59">
        <f>IF(B35="Sun", 0, IF(B35="Sat", 6, 12))</f>
        <v/>
      </c>
      <c r="AJ35" s="59">
        <f>IF(OR(AH35="OFF", ISBLANK(AH35)), 0, (AH35 - AG35)*24)</f>
        <v/>
      </c>
      <c r="AK35" s="59">
        <f>IF(OR(B35="Sun", AH35="OFF", ISBLANK(AH35)), 0, MAX(0, (IF(B35="Sat", 14/24, 20/24) - AH35)*24))</f>
        <v/>
      </c>
      <c r="AL35" s="60" t="n">
        <v>97</v>
      </c>
      <c r="AM35" s="61">
        <f>AL35*7.45</f>
        <v/>
      </c>
      <c r="AN35" s="61">
        <f>IF(AJ35&gt;0, AM35/AJ35, 0)</f>
        <v/>
      </c>
      <c r="AO35" s="61">
        <f>AM35 + (AK35*AN35)</f>
        <v/>
      </c>
      <c r="AP35" s="62">
        <f>AK35*AN35</f>
        <v/>
      </c>
      <c r="AQ35" s="59">
        <f>E35+O35+Y35+AI35</f>
        <v/>
      </c>
      <c r="AR35" s="59">
        <f>F35+P35+Z35+AJ35</f>
        <v/>
      </c>
      <c r="AS35" s="63">
        <f>G35+Q35+AA35+AK35</f>
        <v/>
      </c>
      <c r="AT35" s="60">
        <f>H35+R35+AB35+AL35</f>
        <v/>
      </c>
      <c r="AU35" s="61">
        <f>AT35*7.45</f>
        <v/>
      </c>
      <c r="AV35" s="62">
        <f>I35+S35+AC35+AM35</f>
        <v/>
      </c>
      <c r="AW35" s="61">
        <f>K35+U35+AE35+AO35</f>
        <v/>
      </c>
      <c r="AX35" s="62">
        <f>L35+V35+AF35+AP35</f>
        <v/>
      </c>
      <c r="AY35" s="64">
        <f>IF(AW35&gt;0, AX35/AW35, 0)</f>
        <v/>
      </c>
    </row>
    <row r="36">
      <c r="A36" s="65" t="n">
        <v>46233</v>
      </c>
      <c r="B36" s="66" t="inlineStr">
        <is>
          <t>Thu</t>
        </is>
      </c>
      <c r="C36" s="73" t="n">
        <v>0.3125</v>
      </c>
      <c r="D36" s="73" t="n">
        <v>0.7659722222222223</v>
      </c>
      <c r="E36" s="67">
        <f>IF(B36="Sun", 0, IF(B36="Sat", 6, 12))</f>
        <v/>
      </c>
      <c r="F36" s="67">
        <f>IF(OR(D36="OFF", ISBLANK(D36)), 0, (D36 - C36)*24)</f>
        <v/>
      </c>
      <c r="G36" s="67">
        <f>IF(OR(B36="Sun", D36="OFF", ISBLANK(D36)), 0, MAX(0, (IF(B36="Sat", 14/24, 20/24) - D36)*24))</f>
        <v/>
      </c>
      <c r="H36" s="68" t="n">
        <v>76</v>
      </c>
      <c r="I36" s="69">
        <f>H36*7.45</f>
        <v/>
      </c>
      <c r="J36" s="69">
        <f>IF(F36&gt;0, I36/F36, 0)</f>
        <v/>
      </c>
      <c r="K36" s="69">
        <f>I36 + (G36*J36)</f>
        <v/>
      </c>
      <c r="L36" s="70">
        <f>G36*J36</f>
        <v/>
      </c>
      <c r="M36" s="73" t="n">
        <v>0.3125</v>
      </c>
      <c r="N36" s="73" t="n">
        <v>0.8333333333333334</v>
      </c>
      <c r="O36" s="67">
        <f>IF(B36="Sun", 0, IF(B36="Sat", 6, 12))</f>
        <v/>
      </c>
      <c r="P36" s="67">
        <f>IF(OR(N36="OFF", ISBLANK(N36)), 0, (N36 - M36)*24)</f>
        <v/>
      </c>
      <c r="Q36" s="67">
        <f>IF(OR(B36="Sun", N36="OFF", ISBLANK(N36)), 0, MAX(0, (IF(B36="Sat", 14/24, 20/24) - N36)*24))</f>
        <v/>
      </c>
      <c r="R36" s="68" t="n">
        <v>80</v>
      </c>
      <c r="S36" s="69">
        <f>R36*7.45</f>
        <v/>
      </c>
      <c r="T36" s="69">
        <f>IF(P36&gt;0, S36/P36, 0)</f>
        <v/>
      </c>
      <c r="U36" s="69">
        <f>S36 + (Q36*T36)</f>
        <v/>
      </c>
      <c r="V36" s="70">
        <f>Q36*T36</f>
        <v/>
      </c>
      <c r="W36" s="73" t="n">
        <v>0.3125</v>
      </c>
      <c r="X36" s="73" t="n">
        <v>0.7965277777777777</v>
      </c>
      <c r="Y36" s="67">
        <f>IF(B36="Sun", 0, IF(B36="Sat", 6, 12))</f>
        <v/>
      </c>
      <c r="Z36" s="67">
        <f>IF(OR(X36="OFF", ISBLANK(X36)), 0, (X36 - W36)*24)</f>
        <v/>
      </c>
      <c r="AA36" s="67">
        <f>IF(OR(B36="Sun", X36="OFF", ISBLANK(X36)), 0, MAX(0, (IF(B36="Sat", 14/24, 20/24) - X36)*24))</f>
        <v/>
      </c>
      <c r="AB36" s="68" t="n">
        <v>102</v>
      </c>
      <c r="AC36" s="69">
        <f>AB36*7.45</f>
        <v/>
      </c>
      <c r="AD36" s="69">
        <f>IF(Z36&gt;0, AC36/Z36, 0)</f>
        <v/>
      </c>
      <c r="AE36" s="69">
        <f>AC36 + (AA36*AD36)</f>
        <v/>
      </c>
      <c r="AF36" s="70">
        <f>AA36*AD36</f>
        <v/>
      </c>
      <c r="AG36" s="73" t="n">
        <v>0.3125</v>
      </c>
      <c r="AH36" s="73" t="n">
        <v>0.7659722222222223</v>
      </c>
      <c r="AI36" s="67">
        <f>IF(B36="Sun", 0, IF(B36="Sat", 6, 12))</f>
        <v/>
      </c>
      <c r="AJ36" s="67">
        <f>IF(OR(AH36="OFF", ISBLANK(AH36)), 0, (AH36 - AG36)*24)</f>
        <v/>
      </c>
      <c r="AK36" s="67">
        <f>IF(OR(B36="Sun", AH36="OFF", ISBLANK(AH36)), 0, MAX(0, (IF(B36="Sat", 14/24, 20/24) - AH36)*24))</f>
        <v/>
      </c>
      <c r="AL36" s="68" t="n">
        <v>91</v>
      </c>
      <c r="AM36" s="69">
        <f>AL36*7.45</f>
        <v/>
      </c>
      <c r="AN36" s="69">
        <f>IF(AJ36&gt;0, AM36/AJ36, 0)</f>
        <v/>
      </c>
      <c r="AO36" s="69">
        <f>AM36 + (AK36*AN36)</f>
        <v/>
      </c>
      <c r="AP36" s="70">
        <f>AK36*AN36</f>
        <v/>
      </c>
      <c r="AQ36" s="67">
        <f>E36+O36+Y36+AI36</f>
        <v/>
      </c>
      <c r="AR36" s="67">
        <f>F36+P36+Z36+AJ36</f>
        <v/>
      </c>
      <c r="AS36" s="71">
        <f>G36+Q36+AA36+AK36</f>
        <v/>
      </c>
      <c r="AT36" s="68">
        <f>H36+R36+AB36+AL36</f>
        <v/>
      </c>
      <c r="AU36" s="69">
        <f>AT36*7.45</f>
        <v/>
      </c>
      <c r="AV36" s="70">
        <f>I36+S36+AC36+AM36</f>
        <v/>
      </c>
      <c r="AW36" s="69">
        <f>K36+U36+AE36+AO36</f>
        <v/>
      </c>
      <c r="AX36" s="70">
        <f>L36+V36+AF36+AP36</f>
        <v/>
      </c>
      <c r="AY36" s="72">
        <f>IF(AW36&gt;0, AX36/AW36, 0)</f>
        <v/>
      </c>
    </row>
    <row r="37">
      <c r="A37" s="56" t="n">
        <v>46234</v>
      </c>
      <c r="B37" s="57" t="inlineStr">
        <is>
          <t>Fri</t>
        </is>
      </c>
      <c r="C37" s="58" t="n">
        <v>0.3159722222222222</v>
      </c>
      <c r="D37" s="58" t="n">
        <v>0.8333333333333334</v>
      </c>
      <c r="E37" s="59">
        <f>IF(B37="Sun", 0, IF(B37="Sat", 6, 12))</f>
        <v/>
      </c>
      <c r="F37" s="59">
        <f>IF(OR(D37="OFF", ISBLANK(D37)), 0, (D37 - C37)*24)</f>
        <v/>
      </c>
      <c r="G37" s="59">
        <f>IF(OR(B37="Sun", D37="OFF", ISBLANK(D37)), 0, MAX(0, (IF(B37="Sat", 14/24, 20/24) - D37)*24))</f>
        <v/>
      </c>
      <c r="H37" s="60" t="n">
        <v>30</v>
      </c>
      <c r="I37" s="61">
        <f>H37*7.45</f>
        <v/>
      </c>
      <c r="J37" s="61">
        <f>IF(F37&gt;0, I37/F37, 0)</f>
        <v/>
      </c>
      <c r="K37" s="61">
        <f>I37 + (G37*J37)</f>
        <v/>
      </c>
      <c r="L37" s="62">
        <f>G37*J37</f>
        <v/>
      </c>
      <c r="M37" s="58" t="n">
        <v>0.3159722222222222</v>
      </c>
      <c r="N37" s="58" t="n">
        <v>0.7895833333333333</v>
      </c>
      <c r="O37" s="59">
        <f>IF(B37="Sun", 0, IF(B37="Sat", 6, 12))</f>
        <v/>
      </c>
      <c r="P37" s="59">
        <f>IF(OR(N37="OFF", ISBLANK(N37)), 0, (N37 - M37)*24)</f>
        <v/>
      </c>
      <c r="Q37" s="59">
        <f>IF(OR(B37="Sun", N37="OFF", ISBLANK(N37)), 0, MAX(0, (IF(B37="Sat", 14/24, 20/24) - N37)*24))</f>
        <v/>
      </c>
      <c r="R37" s="60" t="n">
        <v>27</v>
      </c>
      <c r="S37" s="61">
        <f>R37*7.45</f>
        <v/>
      </c>
      <c r="T37" s="61">
        <f>IF(P37&gt;0, S37/P37, 0)</f>
        <v/>
      </c>
      <c r="U37" s="61">
        <f>S37 + (Q37*T37)</f>
        <v/>
      </c>
      <c r="V37" s="62">
        <f>Q37*T37</f>
        <v/>
      </c>
      <c r="W37" s="58" t="n">
        <v>0.3159722222222222</v>
      </c>
      <c r="X37" s="58" t="n">
        <v>0.7736111111111111</v>
      </c>
      <c r="Y37" s="59">
        <f>IF(B37="Sun", 0, IF(B37="Sat", 6, 12))</f>
        <v/>
      </c>
      <c r="Z37" s="59">
        <f>IF(OR(X37="OFF", ISBLANK(X37)), 0, (X37 - W37)*24)</f>
        <v/>
      </c>
      <c r="AA37" s="59">
        <f>IF(OR(B37="Sun", X37="OFF", ISBLANK(X37)), 0, MAX(0, (IF(B37="Sat", 14/24, 20/24) - X37)*24))</f>
        <v/>
      </c>
      <c r="AB37" s="60" t="n">
        <v>32</v>
      </c>
      <c r="AC37" s="61">
        <f>AB37*7.45</f>
        <v/>
      </c>
      <c r="AD37" s="61">
        <f>IF(Z37&gt;0, AC37/Z37, 0)</f>
        <v/>
      </c>
      <c r="AE37" s="61">
        <f>AC37 + (AA37*AD37)</f>
        <v/>
      </c>
      <c r="AF37" s="62">
        <f>AA37*AD37</f>
        <v/>
      </c>
      <c r="AG37" s="58" t="n">
        <v>0.3159722222222222</v>
      </c>
      <c r="AH37" s="58" t="n">
        <v>0.7736111111111111</v>
      </c>
      <c r="AI37" s="59">
        <f>IF(B37="Sun", 0, IF(B37="Sat", 6, 12))</f>
        <v/>
      </c>
      <c r="AJ37" s="59">
        <f>IF(OR(AH37="OFF", ISBLANK(AH37)), 0, (AH37 - AG37)*24)</f>
        <v/>
      </c>
      <c r="AK37" s="59">
        <f>IF(OR(B37="Sun", AH37="OFF", ISBLANK(AH37)), 0, MAX(0, (IF(B37="Sat", 14/24, 20/24) - AH37)*24))</f>
        <v/>
      </c>
      <c r="AL37" s="60" t="n">
        <v>34</v>
      </c>
      <c r="AM37" s="61">
        <f>AL37*7.45</f>
        <v/>
      </c>
      <c r="AN37" s="61">
        <f>IF(AJ37&gt;0, AM37/AJ37, 0)</f>
        <v/>
      </c>
      <c r="AO37" s="61">
        <f>AM37 + (AK37*AN37)</f>
        <v/>
      </c>
      <c r="AP37" s="62">
        <f>AK37*AN37</f>
        <v/>
      </c>
      <c r="AQ37" s="59">
        <f>E37+O37+Y37+AI37</f>
        <v/>
      </c>
      <c r="AR37" s="59">
        <f>F37+P37+Z37+AJ37</f>
        <v/>
      </c>
      <c r="AS37" s="63">
        <f>G37+Q37+AA37+AK37</f>
        <v/>
      </c>
      <c r="AT37" s="60">
        <f>H37+R37+AB37+AL37</f>
        <v/>
      </c>
      <c r="AU37" s="61">
        <f>AT37*7.45</f>
        <v/>
      </c>
      <c r="AV37" s="62">
        <f>I37+S37+AC37+AM37</f>
        <v/>
      </c>
      <c r="AW37" s="61">
        <f>K37+U37+AE37+AO37</f>
        <v/>
      </c>
      <c r="AX37" s="62">
        <f>L37+V37+AF37+AP37</f>
        <v/>
      </c>
      <c r="AY37" s="64">
        <f>IF(AW37&gt;0, AX37/AW37, 0)</f>
        <v/>
      </c>
    </row>
    <row r="38" ht="15" customHeight="1" s="38">
      <c r="A38" s="74" t="inlineStr">
        <is>
          <t>MONTH TOTAL</t>
        </is>
      </c>
      <c r="B38" s="106" t="n"/>
      <c r="C38" s="76" t="n"/>
      <c r="D38" s="76" t="n"/>
      <c r="E38" s="77">
        <f>SUM(E7:E37)</f>
        <v/>
      </c>
      <c r="F38" s="77">
        <f>SUM(F7:F37)</f>
        <v/>
      </c>
      <c r="G38" s="77">
        <f>SUM(G7:G37)</f>
        <v/>
      </c>
      <c r="H38" s="78">
        <f>SUM(H7:H37)</f>
        <v/>
      </c>
      <c r="I38" s="79">
        <f>SUM(I7:I37)</f>
        <v/>
      </c>
      <c r="J38" s="79">
        <f>AVERAGE(J7:J37)</f>
        <v/>
      </c>
      <c r="K38" s="79">
        <f>SUM(K7:K37)</f>
        <v/>
      </c>
      <c r="L38" s="79">
        <f>SUM(L7:L37)</f>
        <v/>
      </c>
      <c r="M38" s="76" t="n"/>
      <c r="N38" s="76" t="n"/>
      <c r="O38" s="77">
        <f>SUM(O7:O37)</f>
        <v/>
      </c>
      <c r="P38" s="77">
        <f>SUM(P7:P37)</f>
        <v/>
      </c>
      <c r="Q38" s="77">
        <f>SUM(Q7:Q37)</f>
        <v/>
      </c>
      <c r="R38" s="78">
        <f>SUM(R7:R37)</f>
        <v/>
      </c>
      <c r="S38" s="79">
        <f>SUM(S7:S37)</f>
        <v/>
      </c>
      <c r="T38" s="79">
        <f>AVERAGE(T7:T37)</f>
        <v/>
      </c>
      <c r="U38" s="79">
        <f>SUM(U7:U37)</f>
        <v/>
      </c>
      <c r="V38" s="79">
        <f>SUM(V7:V37)</f>
        <v/>
      </c>
      <c r="W38" s="76" t="n"/>
      <c r="X38" s="76" t="n"/>
      <c r="Y38" s="77">
        <f>SUM(Y7:Y37)</f>
        <v/>
      </c>
      <c r="Z38" s="77">
        <f>SUM(Z7:Z37)</f>
        <v/>
      </c>
      <c r="AA38" s="77">
        <f>SUM(AA7:AA37)</f>
        <v/>
      </c>
      <c r="AB38" s="78">
        <f>SUM(AB7:AB37)</f>
        <v/>
      </c>
      <c r="AC38" s="79">
        <f>SUM(AC7:AC37)</f>
        <v/>
      </c>
      <c r="AD38" s="79">
        <f>AVERAGE(AD7:AD37)</f>
        <v/>
      </c>
      <c r="AE38" s="79">
        <f>SUM(AE7:AE37)</f>
        <v/>
      </c>
      <c r="AF38" s="79">
        <f>SUM(AF7:AF37)</f>
        <v/>
      </c>
      <c r="AG38" s="76" t="n"/>
      <c r="AH38" s="76" t="n"/>
      <c r="AI38" s="77">
        <f>SUM(AI7:AI37)</f>
        <v/>
      </c>
      <c r="AJ38" s="77">
        <f>SUM(AJ7:AJ37)</f>
        <v/>
      </c>
      <c r="AK38" s="77">
        <f>SUM(AK7:AK37)</f>
        <v/>
      </c>
      <c r="AL38" s="78">
        <f>SUM(AL7:AL37)</f>
        <v/>
      </c>
      <c r="AM38" s="79">
        <f>SUM(AM7:AM37)</f>
        <v/>
      </c>
      <c r="AN38" s="79">
        <f>AVERAGE(AN7:AN37)</f>
        <v/>
      </c>
      <c r="AO38" s="79">
        <f>SUM(AO7:AO37)</f>
        <v/>
      </c>
      <c r="AP38" s="79">
        <f>SUM(AP7:AP37)</f>
        <v/>
      </c>
      <c r="AQ38" s="77">
        <f>SUM(AQ7:AQ37)</f>
        <v/>
      </c>
      <c r="AR38" s="77">
        <f>SUM(AR7:AR37)</f>
        <v/>
      </c>
      <c r="AS38" s="77">
        <f>SUM(AS7:AS37)</f>
        <v/>
      </c>
      <c r="AT38" s="78">
        <f>SUM(AT7:AT37)</f>
        <v/>
      </c>
      <c r="AU38" s="79">
        <f>SUM(AU7:AU37)</f>
        <v/>
      </c>
      <c r="AV38" s="79">
        <f>SUM(AV7:AV37)</f>
        <v/>
      </c>
      <c r="AW38" s="79">
        <f>SUM(AW7:AW37)</f>
        <v/>
      </c>
      <c r="AX38" s="79">
        <f>SUM(AX7:AX37)</f>
        <v/>
      </c>
      <c r="AY38" s="80">
        <f>AVERAGE(AY7:AY37)</f>
        <v/>
      </c>
    </row>
  </sheetData>
  <mergeCells count="7">
    <mergeCell ref="C5:L5"/>
    <mergeCell ref="AG5:AP5"/>
    <mergeCell ref="A38:B38"/>
    <mergeCell ref="W5:AF5"/>
    <mergeCell ref="M5:V5"/>
    <mergeCell ref="AQ5:AY5"/>
    <mergeCell ref="A5: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38"/>
  <sheetViews>
    <sheetView showGridLines="1" topLeftCell="A3" workbookViewId="0">
      <selection activeCell="H9" sqref="H9"/>
    </sheetView>
  </sheetViews>
  <sheetFormatPr baseColWidth="8" defaultRowHeight="14.5"/>
  <cols>
    <col width="9.36328125" bestFit="1" customWidth="1" style="38" min="1" max="1"/>
    <col width="4.1796875" bestFit="1" customWidth="1" style="38" min="2" max="2"/>
    <col width="7.26953125" bestFit="1" customWidth="1" style="38" min="3" max="3"/>
    <col width="7.7265625" bestFit="1" customWidth="1" style="38" min="4" max="4"/>
    <col width="8.08984375" bestFit="1" customWidth="1" style="38" min="5" max="5"/>
    <col width="11.6328125" bestFit="1" customWidth="1" style="38" min="6" max="6"/>
    <col width="8.08984375" bestFit="1" customWidth="1" style="38" min="7" max="7"/>
    <col width="15.90625" bestFit="1" customWidth="1" style="38" min="8" max="8"/>
    <col width="12.26953125" bestFit="1" customWidth="1" style="38" min="9" max="9"/>
    <col width="10.6328125" bestFit="1" customWidth="1" style="38" min="10" max="10"/>
    <col width="14.08984375" bestFit="1" customWidth="1" style="38" min="11" max="11"/>
    <col width="12" bestFit="1" customWidth="1" style="38" min="12" max="12"/>
    <col width="7.26953125" bestFit="1" customWidth="1" style="38" min="13" max="13"/>
    <col width="7.7265625" bestFit="1" customWidth="1" style="38" min="14" max="14"/>
    <col width="8.08984375" bestFit="1" customWidth="1" style="38" min="15" max="15"/>
    <col width="11.6328125" bestFit="1" customWidth="1" style="38" min="16" max="16"/>
    <col width="8.08984375" bestFit="1" customWidth="1" style="38" min="17" max="17"/>
    <col width="15.90625" bestFit="1" customWidth="1" style="38" min="18" max="18"/>
    <col width="12.26953125" bestFit="1" customWidth="1" style="38" min="19" max="19"/>
    <col width="10.6328125" bestFit="1" customWidth="1" style="38" min="20" max="20"/>
    <col width="14.08984375" bestFit="1" customWidth="1" style="38" min="21" max="21"/>
    <col width="12" bestFit="1" customWidth="1" style="38" min="22" max="22"/>
    <col width="7.26953125" bestFit="1" customWidth="1" style="38" min="23" max="23"/>
    <col width="7.7265625" bestFit="1" customWidth="1" style="38" min="24" max="24"/>
    <col width="8.08984375" bestFit="1" customWidth="1" style="38" min="25" max="25"/>
    <col width="11.6328125" bestFit="1" customWidth="1" style="38" min="26" max="26"/>
    <col width="8.08984375" bestFit="1" customWidth="1" style="38" min="27" max="27"/>
    <col width="15.90625" bestFit="1" customWidth="1" style="38" min="28" max="28"/>
    <col width="12.26953125" bestFit="1" customWidth="1" style="38" min="29" max="29"/>
    <col width="10.6328125" bestFit="1" customWidth="1" style="38" min="30" max="30"/>
    <col width="14.08984375" bestFit="1" customWidth="1" style="38" min="31" max="31"/>
    <col width="12" bestFit="1" customWidth="1" style="38" min="32" max="32"/>
    <col width="7.26953125" bestFit="1" customWidth="1" style="38" min="33" max="33"/>
    <col width="7.7265625" bestFit="1" customWidth="1" style="38" min="34" max="34"/>
    <col width="8.08984375" bestFit="1" customWidth="1" style="38" min="35" max="35"/>
    <col width="11.6328125" bestFit="1" customWidth="1" style="38" min="36" max="36"/>
    <col width="8.08984375" bestFit="1" customWidth="1" style="38" min="37" max="37"/>
    <col width="15.90625" bestFit="1" customWidth="1" style="38" min="38" max="38"/>
    <col width="12.26953125" bestFit="1" customWidth="1" style="38" min="39" max="39"/>
    <col width="10.6328125" bestFit="1" customWidth="1" style="38" min="40" max="40"/>
    <col width="14.08984375" bestFit="1" customWidth="1" style="38" min="41" max="41"/>
    <col width="12" bestFit="1" customWidth="1" style="38" min="42" max="42"/>
    <col width="11" bestFit="1" customWidth="1" style="38" min="43" max="43"/>
    <col width="14.6328125" bestFit="1" customWidth="1" style="38" min="44" max="44"/>
    <col width="11" bestFit="1" customWidth="1" style="38" min="45" max="45"/>
    <col width="18.90625" bestFit="1" customWidth="1" style="38" min="46" max="46"/>
    <col width="11.36328125" bestFit="1" customWidth="1" style="38" min="47" max="47"/>
    <col width="15.26953125" bestFit="1" customWidth="1" style="38" min="48" max="48"/>
    <col width="17.08984375" bestFit="1" customWidth="1" style="38" min="49" max="49"/>
    <col width="16.26953125" bestFit="1" customWidth="1" style="38" min="50" max="50"/>
    <col width="8.1796875" bestFit="1" customWidth="1" style="38" min="51" max="51"/>
  </cols>
  <sheetData>
    <row r="1" ht="22.5" customHeight="1" s="38">
      <c r="A1" s="1" t="inlineStr">
        <is>
          <t>AHU DAILY SAVINGS &amp; KWH COST REPORT - AUGUST 2026</t>
        </is>
      </c>
    </row>
    <row r="2">
      <c r="A2" s="2" t="inlineStr">
        <is>
          <t>Operating Schedule: Mon-Fri 8:00 AM to 8:00 PM (12 hrs/AHU) | Sat 8:00 AM to 2:00 PM (6 hrs/AHU) | Sun Off</t>
        </is>
      </c>
    </row>
    <row r="3">
      <c r="A3" s="2" t="inlineStr">
        <is>
          <t>Logic: KWH Rate = Rs. 7.45 | Hourly Rate = KWH Cost / Actual Run Hrs | Full Cost = KWH Cost + (Saved Hrs * Hourly Rate) | Saving = Saved Hrs * Hourly Rate</t>
        </is>
      </c>
    </row>
    <row r="5">
      <c r="A5" s="53" t="inlineStr">
        <is>
          <t>Date &amp; Day</t>
        </is>
      </c>
      <c r="B5" s="106" t="n"/>
      <c r="C5" s="53" t="inlineStr">
        <is>
          <t>AHU-1 (CFM 26500)</t>
        </is>
      </c>
      <c r="D5" s="107" t="n"/>
      <c r="E5" s="107" t="n"/>
      <c r="F5" s="107" t="n"/>
      <c r="G5" s="107" t="n"/>
      <c r="H5" s="107" t="n"/>
      <c r="I5" s="107" t="n"/>
      <c r="J5" s="107" t="n"/>
      <c r="K5" s="107" t="n"/>
      <c r="L5" s="106" t="n"/>
      <c r="M5" s="53" t="inlineStr">
        <is>
          <t>AHU-2 (CFM 26700)</t>
        </is>
      </c>
      <c r="N5" s="107" t="n"/>
      <c r="O5" s="107" t="n"/>
      <c r="P5" s="107" t="n"/>
      <c r="Q5" s="107" t="n"/>
      <c r="R5" s="107" t="n"/>
      <c r="S5" s="107" t="n"/>
      <c r="T5" s="107" t="n"/>
      <c r="U5" s="107" t="n"/>
      <c r="V5" s="106" t="n"/>
      <c r="W5" s="53" t="inlineStr">
        <is>
          <t>AHU-3 (CFM 28000)</t>
        </is>
      </c>
      <c r="X5" s="107" t="n"/>
      <c r="Y5" s="107" t="n"/>
      <c r="Z5" s="107" t="n"/>
      <c r="AA5" s="107" t="n"/>
      <c r="AB5" s="107" t="n"/>
      <c r="AC5" s="107" t="n"/>
      <c r="AD5" s="107" t="n"/>
      <c r="AE5" s="107" t="n"/>
      <c r="AF5" s="106" t="n"/>
      <c r="AG5" s="53" t="inlineStr">
        <is>
          <t>AHU-4 (CFM 28500)</t>
        </is>
      </c>
      <c r="AH5" s="107" t="n"/>
      <c r="AI5" s="107" t="n"/>
      <c r="AJ5" s="107" t="n"/>
      <c r="AK5" s="107" t="n"/>
      <c r="AL5" s="107" t="n"/>
      <c r="AM5" s="107" t="n"/>
      <c r="AN5" s="107" t="n"/>
      <c r="AO5" s="107" t="n"/>
      <c r="AP5" s="106" t="n"/>
      <c r="AQ5" s="53" t="inlineStr">
        <is>
          <t>DAILY TOTAL COMBINED SUMMARY (ALL AHUs)</t>
        </is>
      </c>
      <c r="AR5" s="107" t="n"/>
      <c r="AS5" s="107" t="n"/>
      <c r="AT5" s="107" t="n"/>
      <c r="AU5" s="107" t="n"/>
      <c r="AV5" s="107" t="n"/>
      <c r="AW5" s="107" t="n"/>
      <c r="AX5" s="107" t="n"/>
      <c r="AY5" s="106" t="n"/>
    </row>
    <row r="6">
      <c r="A6" s="55" t="inlineStr">
        <is>
          <t>Date</t>
        </is>
      </c>
      <c r="B6" s="55" t="inlineStr">
        <is>
          <t>Day</t>
        </is>
      </c>
      <c r="C6" s="55" t="inlineStr">
        <is>
          <t>ON Time</t>
        </is>
      </c>
      <c r="D6" s="55" t="inlineStr">
        <is>
          <t>OFF Time</t>
        </is>
      </c>
      <c r="E6" s="55" t="inlineStr">
        <is>
          <t>Sched Hrs</t>
        </is>
      </c>
      <c r="F6" s="55" t="inlineStr">
        <is>
          <t>Actual Run Hrs</t>
        </is>
      </c>
      <c r="G6" s="55" t="inlineStr">
        <is>
          <t>Saved Hrs</t>
        </is>
      </c>
      <c r="H6" s="55" t="inlineStr">
        <is>
          <t>Consumption (KWH)</t>
        </is>
      </c>
      <c r="I6" s="55" t="inlineStr">
        <is>
          <t>Actual Cost (Rs)</t>
        </is>
      </c>
      <c r="J6" s="55" t="inlineStr">
        <is>
          <t>Cost / Hr (Rs)</t>
        </is>
      </c>
      <c r="K6" s="55" t="inlineStr">
        <is>
          <t>Full Cost 8PM (Rs)</t>
        </is>
      </c>
      <c r="L6" s="55" t="inlineStr">
        <is>
          <t>Cost Saved (Rs)</t>
        </is>
      </c>
      <c r="M6" s="55" t="inlineStr">
        <is>
          <t>ON Time</t>
        </is>
      </c>
      <c r="N6" s="55" t="inlineStr">
        <is>
          <t>OFF Time</t>
        </is>
      </c>
      <c r="O6" s="55" t="inlineStr">
        <is>
          <t>Sched Hrs</t>
        </is>
      </c>
      <c r="P6" s="55" t="inlineStr">
        <is>
          <t>Actual Run Hrs</t>
        </is>
      </c>
      <c r="Q6" s="55" t="inlineStr">
        <is>
          <t>Saved Hrs</t>
        </is>
      </c>
      <c r="R6" s="55" t="inlineStr">
        <is>
          <t>Consumption (KWH)</t>
        </is>
      </c>
      <c r="S6" s="55" t="inlineStr">
        <is>
          <t>Actual Cost (Rs)</t>
        </is>
      </c>
      <c r="T6" s="55" t="inlineStr">
        <is>
          <t>Cost / Hr (Rs)</t>
        </is>
      </c>
      <c r="U6" s="55" t="inlineStr">
        <is>
          <t>Full Cost 8PM (Rs)</t>
        </is>
      </c>
      <c r="V6" s="55" t="inlineStr">
        <is>
          <t>Cost Saved (Rs)</t>
        </is>
      </c>
      <c r="W6" s="55" t="inlineStr">
        <is>
          <t>ON Time</t>
        </is>
      </c>
      <c r="X6" s="55" t="inlineStr">
        <is>
          <t>OFF Time</t>
        </is>
      </c>
      <c r="Y6" s="55" t="inlineStr">
        <is>
          <t>Sched Hrs</t>
        </is>
      </c>
      <c r="Z6" s="55" t="inlineStr">
        <is>
          <t>Actual Run Hrs</t>
        </is>
      </c>
      <c r="AA6" s="55" t="inlineStr">
        <is>
          <t>Saved Hrs</t>
        </is>
      </c>
      <c r="AB6" s="55" t="inlineStr">
        <is>
          <t>Consumption (KWH)</t>
        </is>
      </c>
      <c r="AC6" s="55" t="inlineStr">
        <is>
          <t>Actual Cost (Rs)</t>
        </is>
      </c>
      <c r="AD6" s="55" t="inlineStr">
        <is>
          <t>Cost / Hr (Rs)</t>
        </is>
      </c>
      <c r="AE6" s="55" t="inlineStr">
        <is>
          <t>Full Cost 8PM (Rs)</t>
        </is>
      </c>
      <c r="AF6" s="55" t="inlineStr">
        <is>
          <t>Cost Saved (Rs)</t>
        </is>
      </c>
      <c r="AG6" s="55" t="inlineStr">
        <is>
          <t>ON Time</t>
        </is>
      </c>
      <c r="AH6" s="55" t="inlineStr">
        <is>
          <t>OFF Time</t>
        </is>
      </c>
      <c r="AI6" s="55" t="inlineStr">
        <is>
          <t>Sched Hrs</t>
        </is>
      </c>
      <c r="AJ6" s="55" t="inlineStr">
        <is>
          <t>Actual Run Hrs</t>
        </is>
      </c>
      <c r="AK6" s="55" t="inlineStr">
        <is>
          <t>Saved Hrs</t>
        </is>
      </c>
      <c r="AL6" s="55" t="inlineStr">
        <is>
          <t>Consumption (KWH)</t>
        </is>
      </c>
      <c r="AM6" s="55" t="inlineStr">
        <is>
          <t>Actual Cost (Rs)</t>
        </is>
      </c>
      <c r="AN6" s="55" t="inlineStr">
        <is>
          <t>Cost / Hr (Rs)</t>
        </is>
      </c>
      <c r="AO6" s="55" t="inlineStr">
        <is>
          <t>Full Cost 8PM (Rs)</t>
        </is>
      </c>
      <c r="AP6" s="55" t="inlineStr">
        <is>
          <t>Cost Saved (Rs)</t>
        </is>
      </c>
      <c r="AQ6" s="55" t="inlineStr">
        <is>
          <t>Tot Sched Hrs</t>
        </is>
      </c>
      <c r="AR6" s="55" t="inlineStr">
        <is>
          <t>Tot Actual Run Hrs</t>
        </is>
      </c>
      <c r="AS6" s="55" t="inlineStr">
        <is>
          <t>Tot Saved Hrs</t>
        </is>
      </c>
      <c r="AT6" s="55" t="inlineStr">
        <is>
          <t>Tot Consumption (KWH)</t>
        </is>
      </c>
      <c r="AU6" s="55" t="inlineStr">
        <is>
          <t>KWH Cost (Rs)</t>
        </is>
      </c>
      <c r="AV6" s="55" t="inlineStr">
        <is>
          <t>Tot Actual Cost (Rs)</t>
        </is>
      </c>
      <c r="AW6" s="55" t="inlineStr">
        <is>
          <t>Tot Full Cost 8PM (Rs)</t>
        </is>
      </c>
      <c r="AX6" s="55" t="inlineStr">
        <is>
          <t>Total Cost Saved (Rs)</t>
        </is>
      </c>
      <c r="AY6" s="55" t="inlineStr">
        <is>
          <t>Savings %</t>
        </is>
      </c>
    </row>
    <row r="7">
      <c r="A7" s="56" t="n">
        <v>46235</v>
      </c>
      <c r="B7" s="57" t="inlineStr">
        <is>
          <t>Sat</t>
        </is>
      </c>
      <c r="C7" s="58" t="n">
        <v>0.3333333333333333</v>
      </c>
      <c r="D7" s="58" t="n">
        <v>0.59375</v>
      </c>
      <c r="E7" s="59">
        <f>IF(B7="Sun", 0, IF(B7="Sat", 6, 12))</f>
        <v/>
      </c>
      <c r="F7" s="59">
        <f>IF(OR(D7="OFF", ISBLANK(D7)), 0, (D7 - C7)*24)</f>
        <v/>
      </c>
      <c r="G7" s="59">
        <f>IF(OR(B7="Sun", D7="OFF", ISBLANK(D7)), 0, MAX(0, (IF(B7="Sat", 14/24, 20/24) - D7)*24))</f>
        <v/>
      </c>
      <c r="H7" s="60" t="n">
        <v>90</v>
      </c>
      <c r="I7" s="61">
        <f>H7*7.45</f>
        <v/>
      </c>
      <c r="J7" s="61">
        <f>IF(F7&gt;0, I7/F7, 0)</f>
        <v/>
      </c>
      <c r="K7" s="61">
        <f>I7 + (G7*J7)</f>
        <v/>
      </c>
      <c r="L7" s="62">
        <f>G7*J7</f>
        <v/>
      </c>
      <c r="M7" s="58" t="n">
        <v>0.3333333333333333</v>
      </c>
      <c r="N7" s="58" t="n">
        <v>0.59375</v>
      </c>
      <c r="O7" s="59">
        <f>IF(B7="Sun", 0, IF(B7="Sat", 6, 12))</f>
        <v/>
      </c>
      <c r="P7" s="59">
        <f>IF(OR(N7="OFF", ISBLANK(N7)), 0, (N7 - M7)*24)</f>
        <v/>
      </c>
      <c r="Q7" s="59">
        <f>IF(OR(B7="Sun", N7="OFF", ISBLANK(N7)), 0, MAX(0, (IF(B7="Sat", 14/24, 20/24) - N7)*24))</f>
        <v/>
      </c>
      <c r="R7" s="60" t="n">
        <v>71</v>
      </c>
      <c r="S7" s="61">
        <f>R7*7.45</f>
        <v/>
      </c>
      <c r="T7" s="61">
        <f>IF(P7&gt;0, S7/P7, 0)</f>
        <v/>
      </c>
      <c r="U7" s="61">
        <f>S7 + (Q7*T7)</f>
        <v/>
      </c>
      <c r="V7" s="62">
        <f>Q7*T7</f>
        <v/>
      </c>
      <c r="W7" s="58" t="n">
        <v>0.3333333333333333</v>
      </c>
      <c r="X7" s="58" t="n">
        <v>0.59375</v>
      </c>
      <c r="Y7" s="59">
        <f>IF(B7="Sun", 0, IF(B7="Sat", 6, 12))</f>
        <v/>
      </c>
      <c r="Z7" s="59">
        <f>IF(OR(X7="OFF", ISBLANK(X7)), 0, (X7 - W7)*24)</f>
        <v/>
      </c>
      <c r="AA7" s="59">
        <f>IF(OR(B7="Sun", X7="OFF", ISBLANK(X7)), 0, MAX(0, (IF(B7="Sat", 14/24, 20/24) - X7)*24))</f>
        <v/>
      </c>
      <c r="AB7" s="60" t="n">
        <v>84</v>
      </c>
      <c r="AC7" s="61">
        <f>AB7*7.45</f>
        <v/>
      </c>
      <c r="AD7" s="61">
        <f>IF(Z7&gt;0, AC7/Z7, 0)</f>
        <v/>
      </c>
      <c r="AE7" s="61">
        <f>AC7 + (AA7*AD7)</f>
        <v/>
      </c>
      <c r="AF7" s="62">
        <f>AA7*AD7</f>
        <v/>
      </c>
      <c r="AG7" s="58" t="n">
        <v>0.3333333333333333</v>
      </c>
      <c r="AH7" s="58" t="n">
        <v>0.59375</v>
      </c>
      <c r="AI7" s="59">
        <f>IF(B7="Sun", 0, IF(B7="Sat", 6, 12))</f>
        <v/>
      </c>
      <c r="AJ7" s="59">
        <f>IF(OR(AH7="OFF", ISBLANK(AH7)), 0, (AH7 - AG7)*24)</f>
        <v/>
      </c>
      <c r="AK7" s="59">
        <f>IF(OR(B7="Sun", AH7="OFF", ISBLANK(AH7)), 0, MAX(0, (IF(B7="Sat", 14/24, 20/24) - AH7)*24))</f>
        <v/>
      </c>
      <c r="AL7" s="60" t="n">
        <v>78</v>
      </c>
      <c r="AM7" s="61">
        <f>AL7*7.45</f>
        <v/>
      </c>
      <c r="AN7" s="61">
        <f>IF(AJ7&gt;0, AM7/AJ7, 0)</f>
        <v/>
      </c>
      <c r="AO7" s="61">
        <f>AM7 + (AK7*AN7)</f>
        <v/>
      </c>
      <c r="AP7" s="62">
        <f>AK7*AN7</f>
        <v/>
      </c>
      <c r="AQ7" s="59">
        <f>E7+O7+Y7+AI7</f>
        <v/>
      </c>
      <c r="AR7" s="59">
        <f>F7+P7+Z7+AJ7</f>
        <v/>
      </c>
      <c r="AS7" s="63">
        <f>G7+Q7+AA7+AK7</f>
        <v/>
      </c>
      <c r="AT7" s="60">
        <f>H7+R7+AB7+AL7</f>
        <v/>
      </c>
      <c r="AU7" s="61">
        <f>AT7*7.45</f>
        <v/>
      </c>
      <c r="AV7" s="62">
        <f>I7+S7+AC7+AM7</f>
        <v/>
      </c>
      <c r="AW7" s="61">
        <f>K7+U7+AE7+AO7</f>
        <v/>
      </c>
      <c r="AX7" s="62">
        <f>L7+V7+AF7+AP7</f>
        <v/>
      </c>
      <c r="AY7" s="64">
        <f>IF(AW7&gt;0, AX7/AW7, 0)</f>
        <v/>
      </c>
    </row>
    <row r="8">
      <c r="A8" s="65" t="n">
        <v>46236</v>
      </c>
      <c r="B8" s="66" t="inlineStr">
        <is>
          <t>Sun</t>
        </is>
      </c>
      <c r="C8" s="66" t="inlineStr">
        <is>
          <t>OFF</t>
        </is>
      </c>
      <c r="D8" s="66" t="inlineStr">
        <is>
          <t>OFF</t>
        </is>
      </c>
      <c r="E8" s="67">
        <f>IF(B8="Sun", 0, IF(B8="Sat", 6, 12))</f>
        <v/>
      </c>
      <c r="F8" s="67">
        <f>IF(OR(D8="OFF", ISBLANK(D8)), 0, (D8 - C8)*24)</f>
        <v/>
      </c>
      <c r="G8" s="67">
        <f>IF(OR(B8="Sun", D8="OFF", ISBLANK(D8)), 0, MAX(0, (IF(B8="Sat", 14/24, 20/24) - D8)*24))</f>
        <v/>
      </c>
      <c r="H8" s="68" t="n">
        <v>0</v>
      </c>
      <c r="I8" s="69">
        <f>H8*7.45</f>
        <v/>
      </c>
      <c r="J8" s="69">
        <f>IF(F8&gt;0, I8/F8, 0)</f>
        <v/>
      </c>
      <c r="K8" s="69">
        <f>I8 + (G8*J8)</f>
        <v/>
      </c>
      <c r="L8" s="70">
        <f>G8*J8</f>
        <v/>
      </c>
      <c r="M8" s="66" t="inlineStr">
        <is>
          <t>OFF</t>
        </is>
      </c>
      <c r="N8" s="66" t="inlineStr">
        <is>
          <t>OFF</t>
        </is>
      </c>
      <c r="O8" s="67">
        <f>IF(B8="Sun", 0, IF(B8="Sat", 6, 12))</f>
        <v/>
      </c>
      <c r="P8" s="67">
        <f>IF(OR(N8="OFF", ISBLANK(N8)), 0, (N8 - M8)*24)</f>
        <v/>
      </c>
      <c r="Q8" s="67">
        <f>IF(OR(B8="Sun", N8="OFF", ISBLANK(N8)), 0, MAX(0, (IF(B8="Sat", 14/24, 20/24) - N8)*24))</f>
        <v/>
      </c>
      <c r="R8" s="68" t="n">
        <v>0</v>
      </c>
      <c r="S8" s="69">
        <f>R8*7.45</f>
        <v/>
      </c>
      <c r="T8" s="69">
        <f>IF(P8&gt;0, S8/P8, 0)</f>
        <v/>
      </c>
      <c r="U8" s="69">
        <f>S8 + (Q8*T8)</f>
        <v/>
      </c>
      <c r="V8" s="70">
        <f>Q8*T8</f>
        <v/>
      </c>
      <c r="W8" s="66" t="inlineStr">
        <is>
          <t>OFF</t>
        </is>
      </c>
      <c r="X8" s="66" t="inlineStr">
        <is>
          <t>OFF</t>
        </is>
      </c>
      <c r="Y8" s="67">
        <f>IF(B8="Sun", 0, IF(B8="Sat", 6, 12))</f>
        <v/>
      </c>
      <c r="Z8" s="67">
        <f>IF(OR(X8="OFF", ISBLANK(X8)), 0, (X8 - W8)*24)</f>
        <v/>
      </c>
      <c r="AA8" s="67">
        <f>IF(OR(B8="Sun", X8="OFF", ISBLANK(X8)), 0, MAX(0, (IF(B8="Sat", 14/24, 20/24) - X8)*24))</f>
        <v/>
      </c>
      <c r="AB8" s="68" t="n">
        <v>0</v>
      </c>
      <c r="AC8" s="69">
        <f>AB8*7.45</f>
        <v/>
      </c>
      <c r="AD8" s="69">
        <f>IF(Z8&gt;0, AC8/Z8, 0)</f>
        <v/>
      </c>
      <c r="AE8" s="69">
        <f>AC8 + (AA8*AD8)</f>
        <v/>
      </c>
      <c r="AF8" s="70">
        <f>AA8*AD8</f>
        <v/>
      </c>
      <c r="AG8" s="66" t="inlineStr">
        <is>
          <t>OFF</t>
        </is>
      </c>
      <c r="AH8" s="66" t="inlineStr">
        <is>
          <t>OFF</t>
        </is>
      </c>
      <c r="AI8" s="67">
        <f>IF(B8="Sun", 0, IF(B8="Sat", 6, 12))</f>
        <v/>
      </c>
      <c r="AJ8" s="67">
        <f>IF(OR(AH8="OFF", ISBLANK(AH8)), 0, (AH8 - AG8)*24)</f>
        <v/>
      </c>
      <c r="AK8" s="67">
        <f>IF(OR(B8="Sun", AH8="OFF", ISBLANK(AH8)), 0, MAX(0, (IF(B8="Sat", 14/24, 20/24) - AH8)*24))</f>
        <v/>
      </c>
      <c r="AL8" s="68" t="n">
        <v>0</v>
      </c>
      <c r="AM8" s="69">
        <f>AL8*7.45</f>
        <v/>
      </c>
      <c r="AN8" s="69">
        <f>IF(AJ8&gt;0, AM8/AJ8, 0)</f>
        <v/>
      </c>
      <c r="AO8" s="69">
        <f>AM8 + (AK8*AN8)</f>
        <v/>
      </c>
      <c r="AP8" s="70">
        <f>AK8*AN8</f>
        <v/>
      </c>
      <c r="AQ8" s="67">
        <f>E8+O8+Y8+AI8</f>
        <v/>
      </c>
      <c r="AR8" s="67">
        <f>F8+P8+Z8+AJ8</f>
        <v/>
      </c>
      <c r="AS8" s="71">
        <f>G8+Q8+AA8+AK8</f>
        <v/>
      </c>
      <c r="AT8" s="68">
        <f>H8+R8+AB8+AL8</f>
        <v/>
      </c>
      <c r="AU8" s="69">
        <f>AT8*7.45</f>
        <v/>
      </c>
      <c r="AV8" s="70">
        <f>I8+S8+AC8+AM8</f>
        <v/>
      </c>
      <c r="AW8" s="69">
        <f>K8+U8+AE8+AO8</f>
        <v/>
      </c>
      <c r="AX8" s="70">
        <f>L8+V8+AF8+AP8</f>
        <v/>
      </c>
      <c r="AY8" s="72">
        <f>IF(AW8&gt;0, AX8/AW8, 0)</f>
        <v/>
      </c>
    </row>
    <row r="9">
      <c r="A9" s="56" t="n">
        <v>46237</v>
      </c>
      <c r="B9" s="57" t="inlineStr">
        <is>
          <t>Mon</t>
        </is>
      </c>
      <c r="C9" s="58" t="n">
        <v>0.3</v>
      </c>
      <c r="D9" s="58" t="n">
        <v>0.8333333333333334</v>
      </c>
      <c r="E9" s="59">
        <f>IF(B9="Sun", 0, IF(B9="Sat", 6, 12))</f>
        <v/>
      </c>
      <c r="F9" s="59">
        <f>IF(OR(D9="OFF", ISBLANK(D9)), 0, (D9 - C9)*24)</f>
        <v/>
      </c>
      <c r="G9" s="59">
        <f>IF(OR(B9="Sun", D9="OFF", ISBLANK(D9)), 0, MAX(0, (IF(B9="Sat", 14/24, 20/24) - D9)*24))</f>
        <v/>
      </c>
      <c r="H9" s="60" t="n">
        <v>98</v>
      </c>
      <c r="I9" s="61">
        <f>H9*7.45</f>
        <v/>
      </c>
      <c r="J9" s="61">
        <f>IF(F9&gt;0, I9/F9, 0)</f>
        <v/>
      </c>
      <c r="K9" s="61">
        <f>I9 + (G9*J9)</f>
        <v/>
      </c>
      <c r="L9" s="62">
        <f>G9*J9</f>
        <v/>
      </c>
      <c r="M9" s="58" t="n">
        <v>0.3</v>
      </c>
      <c r="N9" s="58" t="n">
        <v>0.8333333333333334</v>
      </c>
      <c r="O9" s="59">
        <f>IF(B9="Sun", 0, IF(B9="Sat", 6, 12))</f>
        <v/>
      </c>
      <c r="P9" s="59">
        <f>IF(OR(N9="OFF", ISBLANK(N9)), 0, (N9 - M9)*24)</f>
        <v/>
      </c>
      <c r="Q9" s="59">
        <f>IF(OR(B9="Sun", N9="OFF", ISBLANK(N9)), 0, MAX(0, (IF(B9="Sat", 14/24, 20/24) - N9)*24))</f>
        <v/>
      </c>
      <c r="R9" s="60" t="n">
        <v>81</v>
      </c>
      <c r="S9" s="61">
        <f>R9*7.45</f>
        <v/>
      </c>
      <c r="T9" s="61">
        <f>IF(P9&gt;0, S9/P9, 0)</f>
        <v/>
      </c>
      <c r="U9" s="61">
        <f>S9 + (Q9*T9)</f>
        <v/>
      </c>
      <c r="V9" s="62">
        <f>Q9*T9</f>
        <v/>
      </c>
      <c r="W9" s="58" t="n">
        <v>0.3</v>
      </c>
      <c r="X9" s="58" t="n">
        <v>0.7729166666666667</v>
      </c>
      <c r="Y9" s="59">
        <f>IF(B9="Sun", 0, IF(B9="Sat", 6, 12))</f>
        <v/>
      </c>
      <c r="Z9" s="59">
        <f>IF(OR(X9="OFF", ISBLANK(X9)), 0, (X9 - W9)*24)</f>
        <v/>
      </c>
      <c r="AA9" s="59">
        <f>IF(OR(B9="Sun", X9="OFF", ISBLANK(X9)), 0, MAX(0, (IF(B9="Sat", 14/24, 20/24) - X9)*24))</f>
        <v/>
      </c>
      <c r="AB9" s="60" t="n">
        <v>87</v>
      </c>
      <c r="AC9" s="61">
        <f>AB9*7.45</f>
        <v/>
      </c>
      <c r="AD9" s="61">
        <f>IF(Z9&gt;0, AC9/Z9, 0)</f>
        <v/>
      </c>
      <c r="AE9" s="61">
        <f>AC9 + (AA9*AD9)</f>
        <v/>
      </c>
      <c r="AF9" s="62">
        <f>AA9*AD9</f>
        <v/>
      </c>
      <c r="AG9" s="58" t="n">
        <v>0.3</v>
      </c>
      <c r="AH9" s="58" t="n">
        <v>0.7520833333333333</v>
      </c>
      <c r="AI9" s="59">
        <f>IF(B9="Sun", 0, IF(B9="Sat", 6, 12))</f>
        <v/>
      </c>
      <c r="AJ9" s="59">
        <f>IF(OR(AH9="OFF", ISBLANK(AH9)), 0, (AH9 - AG9)*24)</f>
        <v/>
      </c>
      <c r="AK9" s="59">
        <f>IF(OR(B9="Sun", AH9="OFF", ISBLANK(AH9)), 0, MAX(0, (IF(B9="Sat", 14/24, 20/24) - AH9)*24))</f>
        <v/>
      </c>
      <c r="AL9" s="60" t="n">
        <v>90</v>
      </c>
      <c r="AM9" s="61">
        <f>AL9*7.45</f>
        <v/>
      </c>
      <c r="AN9" s="61">
        <f>IF(AJ9&gt;0, AM9/AJ9, 0)</f>
        <v/>
      </c>
      <c r="AO9" s="61">
        <f>AM9 + (AK9*AN9)</f>
        <v/>
      </c>
      <c r="AP9" s="62">
        <f>AK9*AN9</f>
        <v/>
      </c>
      <c r="AQ9" s="59">
        <f>E9+O9+Y9+AI9</f>
        <v/>
      </c>
      <c r="AR9" s="59">
        <f>F9+P9+Z9+AJ9</f>
        <v/>
      </c>
      <c r="AS9" s="63">
        <f>G9+Q9+AA9+AK9</f>
        <v/>
      </c>
      <c r="AT9" s="60">
        <f>H9+R9+AB9+AL9</f>
        <v/>
      </c>
      <c r="AU9" s="61">
        <f>AT9*7.45</f>
        <v/>
      </c>
      <c r="AV9" s="62">
        <f>I9+S9+AC9+AM9</f>
        <v/>
      </c>
      <c r="AW9" s="61">
        <f>K9+U9+AE9+AO9</f>
        <v/>
      </c>
      <c r="AX9" s="62">
        <f>L9+V9+AF9+AP9</f>
        <v/>
      </c>
      <c r="AY9" s="64">
        <f>IF(AW9&gt;0, AX9/AW9, 0)</f>
        <v/>
      </c>
    </row>
    <row r="10">
      <c r="A10" s="65" t="n">
        <v>46238</v>
      </c>
      <c r="B10" s="66" t="inlineStr">
        <is>
          <t>Tue</t>
        </is>
      </c>
      <c r="C10" s="73" t="n">
        <v>0.3006944444444444</v>
      </c>
      <c r="D10" s="66" t="inlineStr">
        <is>
          <t>OFF</t>
        </is>
      </c>
      <c r="E10" s="67">
        <f>IF(B10="Sun", 0, IF(B10="Sat", 6, 12))</f>
        <v/>
      </c>
      <c r="F10" s="67">
        <f>IF(OR(D10="OFF", ISBLANK(D10)), 0, (D10 - C10)*24)</f>
        <v/>
      </c>
      <c r="G10" s="67">
        <f>IF(OR(B10="Sun", D10="OFF", ISBLANK(D10)), 0, MAX(0, (IF(B10="Sat", 14/24, 20/24) - D10)*24))</f>
        <v/>
      </c>
      <c r="H10" s="68" t="n">
        <v>0</v>
      </c>
      <c r="I10" s="69">
        <f>H10*7.45</f>
        <v/>
      </c>
      <c r="J10" s="69">
        <f>IF(F10&gt;0, I10/F10, 0)</f>
        <v/>
      </c>
      <c r="K10" s="69">
        <f>I10 + (G10*J10)</f>
        <v/>
      </c>
      <c r="L10" s="70">
        <f>G10*J10</f>
        <v/>
      </c>
      <c r="M10" s="73" t="n">
        <v>0.3006944444444444</v>
      </c>
      <c r="N10" s="66" t="inlineStr">
        <is>
          <t>OFF</t>
        </is>
      </c>
      <c r="O10" s="67">
        <f>IF(B10="Sun", 0, IF(B10="Sat", 6, 12))</f>
        <v/>
      </c>
      <c r="P10" s="67">
        <f>IF(OR(N10="OFF", ISBLANK(N10)), 0, (N10 - M10)*24)</f>
        <v/>
      </c>
      <c r="Q10" s="67">
        <f>IF(OR(B10="Sun", N10="OFF", ISBLANK(N10)), 0, MAX(0, (IF(B10="Sat", 14/24, 20/24) - N10)*24))</f>
        <v/>
      </c>
      <c r="R10" s="68" t="n">
        <v>0</v>
      </c>
      <c r="S10" s="69">
        <f>R10*7.45</f>
        <v/>
      </c>
      <c r="T10" s="69">
        <f>IF(P10&gt;0, S10/P10, 0)</f>
        <v/>
      </c>
      <c r="U10" s="69">
        <f>S10 + (Q10*T10)</f>
        <v/>
      </c>
      <c r="V10" s="70">
        <f>Q10*T10</f>
        <v/>
      </c>
      <c r="W10" s="73" t="n">
        <v>0.3006944444444444</v>
      </c>
      <c r="X10" s="66" t="inlineStr">
        <is>
          <t>OFF</t>
        </is>
      </c>
      <c r="Y10" s="67">
        <f>IF(B10="Sun", 0, IF(B10="Sat", 6, 12))</f>
        <v/>
      </c>
      <c r="Z10" s="67">
        <f>IF(OR(X10="OFF", ISBLANK(X10)), 0, (X10 - W10)*24)</f>
        <v/>
      </c>
      <c r="AA10" s="67">
        <f>IF(OR(B10="Sun", X10="OFF", ISBLANK(X10)), 0, MAX(0, (IF(B10="Sat", 14/24, 20/24) - X10)*24))</f>
        <v/>
      </c>
      <c r="AB10" s="68" t="n">
        <v>0</v>
      </c>
      <c r="AC10" s="69">
        <f>AB10*7.45</f>
        <v/>
      </c>
      <c r="AD10" s="69">
        <f>IF(Z10&gt;0, AC10/Z10, 0)</f>
        <v/>
      </c>
      <c r="AE10" s="69">
        <f>AC10 + (AA10*AD10)</f>
        <v/>
      </c>
      <c r="AF10" s="70">
        <f>AA10*AD10</f>
        <v/>
      </c>
      <c r="AG10" s="73" t="n">
        <v>0.3006944444444444</v>
      </c>
      <c r="AH10" s="66" t="inlineStr">
        <is>
          <t>OFF</t>
        </is>
      </c>
      <c r="AI10" s="67">
        <f>IF(B10="Sun", 0, IF(B10="Sat", 6, 12))</f>
        <v/>
      </c>
      <c r="AJ10" s="67">
        <f>IF(OR(AH10="OFF", ISBLANK(AH10)), 0, (AH10 - AG10)*24)</f>
        <v/>
      </c>
      <c r="AK10" s="67">
        <f>IF(OR(B10="Sun", AH10="OFF", ISBLANK(AH10)), 0, MAX(0, (IF(B10="Sat", 14/24, 20/24) - AH10)*24))</f>
        <v/>
      </c>
      <c r="AL10" s="68" t="n">
        <v>0</v>
      </c>
      <c r="AM10" s="69">
        <f>AL10*7.45</f>
        <v/>
      </c>
      <c r="AN10" s="69">
        <f>IF(AJ10&gt;0, AM10/AJ10, 0)</f>
        <v/>
      </c>
      <c r="AO10" s="69">
        <f>AM10 + (AK10*AN10)</f>
        <v/>
      </c>
      <c r="AP10" s="70">
        <f>AK10*AN10</f>
        <v/>
      </c>
      <c r="AQ10" s="67">
        <f>E10+O10+Y10+AI10</f>
        <v/>
      </c>
      <c r="AR10" s="67">
        <f>F10+P10+Z10+AJ10</f>
        <v/>
      </c>
      <c r="AS10" s="71">
        <f>G10+Q10+AA10+AK10</f>
        <v/>
      </c>
      <c r="AT10" s="68">
        <f>H10+R10+AB10+AL10</f>
        <v/>
      </c>
      <c r="AU10" s="69">
        <f>AT10*7.45</f>
        <v/>
      </c>
      <c r="AV10" s="70">
        <f>I10+S10+AC10+AM10</f>
        <v/>
      </c>
      <c r="AW10" s="69">
        <f>K10+U10+AE10+AO10</f>
        <v/>
      </c>
      <c r="AX10" s="70">
        <f>L10+V10+AF10+AP10</f>
        <v/>
      </c>
      <c r="AY10" s="72">
        <f>IF(AW10&gt;0, AX10/AW10, 0)</f>
        <v/>
      </c>
    </row>
    <row r="11">
      <c r="A11" s="56" t="n">
        <v>46239</v>
      </c>
      <c r="B11" s="57" t="inlineStr">
        <is>
          <t>Wed</t>
        </is>
      </c>
      <c r="C11" s="57" t="inlineStr">
        <is>
          <t>OFF</t>
        </is>
      </c>
      <c r="D11" s="57" t="inlineStr">
        <is>
          <t>OFF</t>
        </is>
      </c>
      <c r="E11" s="59">
        <f>IF(B11="Sun", 0, IF(B11="Sat", 6, 12))</f>
        <v/>
      </c>
      <c r="F11" s="59">
        <f>IF(OR(D11="OFF", ISBLANK(D11)), 0, (D11 - C11)*24)</f>
        <v/>
      </c>
      <c r="G11" s="59">
        <f>IF(OR(B11="Sun", D11="OFF", ISBLANK(D11)), 0, MAX(0, (IF(B11="Sat", 14/24, 20/24) - D11)*24))</f>
        <v/>
      </c>
      <c r="H11" s="60" t="n">
        <v>0</v>
      </c>
      <c r="I11" s="61">
        <f>H11*7.45</f>
        <v/>
      </c>
      <c r="J11" s="61">
        <f>IF(F11&gt;0, I11/F11, 0)</f>
        <v/>
      </c>
      <c r="K11" s="61">
        <f>I11 + (G11*J11)</f>
        <v/>
      </c>
      <c r="L11" s="62">
        <f>G11*J11</f>
        <v/>
      </c>
      <c r="M11" s="57" t="inlineStr">
        <is>
          <t>OFF</t>
        </is>
      </c>
      <c r="N11" s="57" t="inlineStr">
        <is>
          <t>OFF</t>
        </is>
      </c>
      <c r="O11" s="59">
        <f>IF(B11="Sun", 0, IF(B11="Sat", 6, 12))</f>
        <v/>
      </c>
      <c r="P11" s="59">
        <f>IF(OR(N11="OFF", ISBLANK(N11)), 0, (N11 - M11)*24)</f>
        <v/>
      </c>
      <c r="Q11" s="59">
        <f>IF(OR(B11="Sun", N11="OFF", ISBLANK(N11)), 0, MAX(0, (IF(B11="Sat", 14/24, 20/24) - N11)*24))</f>
        <v/>
      </c>
      <c r="R11" s="60" t="n">
        <v>0</v>
      </c>
      <c r="S11" s="61">
        <f>R11*7.45</f>
        <v/>
      </c>
      <c r="T11" s="61">
        <f>IF(P11&gt;0, S11/P11, 0)</f>
        <v/>
      </c>
      <c r="U11" s="61">
        <f>S11 + (Q11*T11)</f>
        <v/>
      </c>
      <c r="V11" s="62">
        <f>Q11*T11</f>
        <v/>
      </c>
      <c r="W11" s="57" t="inlineStr">
        <is>
          <t>OFF</t>
        </is>
      </c>
      <c r="X11" s="57" t="inlineStr">
        <is>
          <t>OFF</t>
        </is>
      </c>
      <c r="Y11" s="59">
        <f>IF(B11="Sun", 0, IF(B11="Sat", 6, 12))</f>
        <v/>
      </c>
      <c r="Z11" s="59">
        <f>IF(OR(X11="OFF", ISBLANK(X11)), 0, (X11 - W11)*24)</f>
        <v/>
      </c>
      <c r="AA11" s="59">
        <f>IF(OR(B11="Sun", X11="OFF", ISBLANK(X11)), 0, MAX(0, (IF(B11="Sat", 14/24, 20/24) - X11)*24))</f>
        <v/>
      </c>
      <c r="AB11" s="60" t="n">
        <v>0</v>
      </c>
      <c r="AC11" s="61">
        <f>AB11*7.45</f>
        <v/>
      </c>
      <c r="AD11" s="61">
        <f>IF(Z11&gt;0, AC11/Z11, 0)</f>
        <v/>
      </c>
      <c r="AE11" s="61">
        <f>AC11 + (AA11*AD11)</f>
        <v/>
      </c>
      <c r="AF11" s="62">
        <f>AA11*AD11</f>
        <v/>
      </c>
      <c r="AG11" s="57" t="inlineStr">
        <is>
          <t>OFF</t>
        </is>
      </c>
      <c r="AH11" s="57" t="inlineStr">
        <is>
          <t>OFF</t>
        </is>
      </c>
      <c r="AI11" s="59">
        <f>IF(B11="Sun", 0, IF(B11="Sat", 6, 12))</f>
        <v/>
      </c>
      <c r="AJ11" s="59">
        <f>IF(OR(AH11="OFF", ISBLANK(AH11)), 0, (AH11 - AG11)*24)</f>
        <v/>
      </c>
      <c r="AK11" s="59">
        <f>IF(OR(B11="Sun", AH11="OFF", ISBLANK(AH11)), 0, MAX(0, (IF(B11="Sat", 14/24, 20/24) - AH11)*24))</f>
        <v/>
      </c>
      <c r="AL11" s="60" t="n">
        <v>0</v>
      </c>
      <c r="AM11" s="61">
        <f>AL11*7.45</f>
        <v/>
      </c>
      <c r="AN11" s="61">
        <f>IF(AJ11&gt;0, AM11/AJ11, 0)</f>
        <v/>
      </c>
      <c r="AO11" s="61">
        <f>AM11 + (AK11*AN11)</f>
        <v/>
      </c>
      <c r="AP11" s="62">
        <f>AK11*AN11</f>
        <v/>
      </c>
      <c r="AQ11" s="59">
        <f>E11+O11+Y11+AI11</f>
        <v/>
      </c>
      <c r="AR11" s="59">
        <f>F11+P11+Z11+AJ11</f>
        <v/>
      </c>
      <c r="AS11" s="63">
        <f>G11+Q11+AA11+AK11</f>
        <v/>
      </c>
      <c r="AT11" s="60">
        <f>H11+R11+AB11+AL11</f>
        <v/>
      </c>
      <c r="AU11" s="61">
        <f>AT11*7.45</f>
        <v/>
      </c>
      <c r="AV11" s="62">
        <f>I11+S11+AC11+AM11</f>
        <v/>
      </c>
      <c r="AW11" s="61">
        <f>K11+U11+AE11+AO11</f>
        <v/>
      </c>
      <c r="AX11" s="62">
        <f>L11+V11+AF11+AP11</f>
        <v/>
      </c>
      <c r="AY11" s="64">
        <f>IF(AW11&gt;0, AX11/AW11, 0)</f>
        <v/>
      </c>
    </row>
    <row r="12">
      <c r="A12" s="65" t="n">
        <v>46240</v>
      </c>
      <c r="B12" s="66" t="inlineStr">
        <is>
          <t>Thu</t>
        </is>
      </c>
      <c r="C12" s="66" t="inlineStr">
        <is>
          <t>OFF</t>
        </is>
      </c>
      <c r="D12" s="66" t="inlineStr">
        <is>
          <t>OFF</t>
        </is>
      </c>
      <c r="E12" s="67">
        <f>IF(B12="Sun", 0, IF(B12="Sat", 6, 12))</f>
        <v/>
      </c>
      <c r="F12" s="67">
        <f>IF(OR(D12="OFF", ISBLANK(D12)), 0, (D12 - C12)*24)</f>
        <v/>
      </c>
      <c r="G12" s="67">
        <f>IF(OR(B12="Sun", D12="OFF", ISBLANK(D12)), 0, MAX(0, (IF(B12="Sat", 14/24, 20/24) - D12)*24))</f>
        <v/>
      </c>
      <c r="H12" s="68" t="n">
        <v>0</v>
      </c>
      <c r="I12" s="69">
        <f>H12*7.45</f>
        <v/>
      </c>
      <c r="J12" s="69">
        <f>IF(F12&gt;0, I12/F12, 0)</f>
        <v/>
      </c>
      <c r="K12" s="69">
        <f>I12 + (G12*J12)</f>
        <v/>
      </c>
      <c r="L12" s="70">
        <f>G12*J12</f>
        <v/>
      </c>
      <c r="M12" s="66" t="inlineStr">
        <is>
          <t>OFF</t>
        </is>
      </c>
      <c r="N12" s="66" t="inlineStr">
        <is>
          <t>OFF</t>
        </is>
      </c>
      <c r="O12" s="67">
        <f>IF(B12="Sun", 0, IF(B12="Sat", 6, 12))</f>
        <v/>
      </c>
      <c r="P12" s="67">
        <f>IF(OR(N12="OFF", ISBLANK(N12)), 0, (N12 - M12)*24)</f>
        <v/>
      </c>
      <c r="Q12" s="67">
        <f>IF(OR(B12="Sun", N12="OFF", ISBLANK(N12)), 0, MAX(0, (IF(B12="Sat", 14/24, 20/24) - N12)*24))</f>
        <v/>
      </c>
      <c r="R12" s="68" t="n">
        <v>0</v>
      </c>
      <c r="S12" s="69">
        <f>R12*7.45</f>
        <v/>
      </c>
      <c r="T12" s="69">
        <f>IF(P12&gt;0, S12/P12, 0)</f>
        <v/>
      </c>
      <c r="U12" s="69">
        <f>S12 + (Q12*T12)</f>
        <v/>
      </c>
      <c r="V12" s="70">
        <f>Q12*T12</f>
        <v/>
      </c>
      <c r="W12" s="66" t="inlineStr">
        <is>
          <t>OFF</t>
        </is>
      </c>
      <c r="X12" s="66" t="inlineStr">
        <is>
          <t>OFF</t>
        </is>
      </c>
      <c r="Y12" s="67">
        <f>IF(B12="Sun", 0, IF(B12="Sat", 6, 12))</f>
        <v/>
      </c>
      <c r="Z12" s="67">
        <f>IF(OR(X12="OFF", ISBLANK(X12)), 0, (X12 - W12)*24)</f>
        <v/>
      </c>
      <c r="AA12" s="67">
        <f>IF(OR(B12="Sun", X12="OFF", ISBLANK(X12)), 0, MAX(0, (IF(B12="Sat", 14/24, 20/24) - X12)*24))</f>
        <v/>
      </c>
      <c r="AB12" s="68" t="n">
        <v>0</v>
      </c>
      <c r="AC12" s="69">
        <f>AB12*7.45</f>
        <v/>
      </c>
      <c r="AD12" s="69">
        <f>IF(Z12&gt;0, AC12/Z12, 0)</f>
        <v/>
      </c>
      <c r="AE12" s="69">
        <f>AC12 + (AA12*AD12)</f>
        <v/>
      </c>
      <c r="AF12" s="70">
        <f>AA12*AD12</f>
        <v/>
      </c>
      <c r="AG12" s="66" t="inlineStr">
        <is>
          <t>OFF</t>
        </is>
      </c>
      <c r="AH12" s="66" t="inlineStr">
        <is>
          <t>OFF</t>
        </is>
      </c>
      <c r="AI12" s="67">
        <f>IF(B12="Sun", 0, IF(B12="Sat", 6, 12))</f>
        <v/>
      </c>
      <c r="AJ12" s="67">
        <f>IF(OR(AH12="OFF", ISBLANK(AH12)), 0, (AH12 - AG12)*24)</f>
        <v/>
      </c>
      <c r="AK12" s="67">
        <f>IF(OR(B12="Sun", AH12="OFF", ISBLANK(AH12)), 0, MAX(0, (IF(B12="Sat", 14/24, 20/24) - AH12)*24))</f>
        <v/>
      </c>
      <c r="AL12" s="68" t="n">
        <v>0</v>
      </c>
      <c r="AM12" s="69">
        <f>AL12*7.45</f>
        <v/>
      </c>
      <c r="AN12" s="69">
        <f>IF(AJ12&gt;0, AM12/AJ12, 0)</f>
        <v/>
      </c>
      <c r="AO12" s="69">
        <f>AM12 + (AK12*AN12)</f>
        <v/>
      </c>
      <c r="AP12" s="70">
        <f>AK12*AN12</f>
        <v/>
      </c>
      <c r="AQ12" s="67">
        <f>E12+O12+Y12+AI12</f>
        <v/>
      </c>
      <c r="AR12" s="67">
        <f>F12+P12+Z12+AJ12</f>
        <v/>
      </c>
      <c r="AS12" s="71">
        <f>G12+Q12+AA12+AK12</f>
        <v/>
      </c>
      <c r="AT12" s="68">
        <f>H12+R12+AB12+AL12</f>
        <v/>
      </c>
      <c r="AU12" s="69">
        <f>AT12*7.45</f>
        <v/>
      </c>
      <c r="AV12" s="70">
        <f>I12+S12+AC12+AM12</f>
        <v/>
      </c>
      <c r="AW12" s="69">
        <f>K12+U12+AE12+AO12</f>
        <v/>
      </c>
      <c r="AX12" s="70">
        <f>L12+V12+AF12+AP12</f>
        <v/>
      </c>
      <c r="AY12" s="72">
        <f>IF(AW12&gt;0, AX12/AW12, 0)</f>
        <v/>
      </c>
    </row>
    <row r="13">
      <c r="A13" s="56" t="n">
        <v>46241</v>
      </c>
      <c r="B13" s="57" t="inlineStr">
        <is>
          <t>Fri</t>
        </is>
      </c>
      <c r="C13" s="57" t="inlineStr">
        <is>
          <t>OFF</t>
        </is>
      </c>
      <c r="D13" s="57" t="inlineStr">
        <is>
          <t>OFF</t>
        </is>
      </c>
      <c r="E13" s="59">
        <f>IF(B13="Sun", 0, IF(B13="Sat", 6, 12))</f>
        <v/>
      </c>
      <c r="F13" s="59">
        <f>IF(OR(D13="OFF", ISBLANK(D13)), 0, (D13 - C13)*24)</f>
        <v/>
      </c>
      <c r="G13" s="59">
        <f>IF(OR(B13="Sun", D13="OFF", ISBLANK(D13)), 0, MAX(0, (IF(B13="Sat", 14/24, 20/24) - D13)*24))</f>
        <v/>
      </c>
      <c r="H13" s="60" t="n">
        <v>0</v>
      </c>
      <c r="I13" s="61">
        <f>H13*7.45</f>
        <v/>
      </c>
      <c r="J13" s="61">
        <f>IF(F13&gt;0, I13/F13, 0)</f>
        <v/>
      </c>
      <c r="K13" s="61">
        <f>I13 + (G13*J13)</f>
        <v/>
      </c>
      <c r="L13" s="62">
        <f>G13*J13</f>
        <v/>
      </c>
      <c r="M13" s="57" t="inlineStr">
        <is>
          <t>OFF</t>
        </is>
      </c>
      <c r="N13" s="57" t="inlineStr">
        <is>
          <t>OFF</t>
        </is>
      </c>
      <c r="O13" s="59">
        <f>IF(B13="Sun", 0, IF(B13="Sat", 6, 12))</f>
        <v/>
      </c>
      <c r="P13" s="59">
        <f>IF(OR(N13="OFF", ISBLANK(N13)), 0, (N13 - M13)*24)</f>
        <v/>
      </c>
      <c r="Q13" s="59">
        <f>IF(OR(B13="Sun", N13="OFF", ISBLANK(N13)), 0, MAX(0, (IF(B13="Sat", 14/24, 20/24) - N13)*24))</f>
        <v/>
      </c>
      <c r="R13" s="60" t="n">
        <v>0</v>
      </c>
      <c r="S13" s="61">
        <f>R13*7.45</f>
        <v/>
      </c>
      <c r="T13" s="61">
        <f>IF(P13&gt;0, S13/P13, 0)</f>
        <v/>
      </c>
      <c r="U13" s="61">
        <f>S13 + (Q13*T13)</f>
        <v/>
      </c>
      <c r="V13" s="62">
        <f>Q13*T13</f>
        <v/>
      </c>
      <c r="W13" s="57" t="inlineStr">
        <is>
          <t>OFF</t>
        </is>
      </c>
      <c r="X13" s="57" t="inlineStr">
        <is>
          <t>OFF</t>
        </is>
      </c>
      <c r="Y13" s="59">
        <f>IF(B13="Sun", 0, IF(B13="Sat", 6, 12))</f>
        <v/>
      </c>
      <c r="Z13" s="59">
        <f>IF(OR(X13="OFF", ISBLANK(X13)), 0, (X13 - W13)*24)</f>
        <v/>
      </c>
      <c r="AA13" s="59">
        <f>IF(OR(B13="Sun", X13="OFF", ISBLANK(X13)), 0, MAX(0, (IF(B13="Sat", 14/24, 20/24) - X13)*24))</f>
        <v/>
      </c>
      <c r="AB13" s="60" t="n">
        <v>0</v>
      </c>
      <c r="AC13" s="61">
        <f>AB13*7.45</f>
        <v/>
      </c>
      <c r="AD13" s="61">
        <f>IF(Z13&gt;0, AC13/Z13, 0)</f>
        <v/>
      </c>
      <c r="AE13" s="61">
        <f>AC13 + (AA13*AD13)</f>
        <v/>
      </c>
      <c r="AF13" s="62">
        <f>AA13*AD13</f>
        <v/>
      </c>
      <c r="AG13" s="57" t="inlineStr">
        <is>
          <t>OFF</t>
        </is>
      </c>
      <c r="AH13" s="57" t="inlineStr">
        <is>
          <t>OFF</t>
        </is>
      </c>
      <c r="AI13" s="59">
        <f>IF(B13="Sun", 0, IF(B13="Sat", 6, 12))</f>
        <v/>
      </c>
      <c r="AJ13" s="59">
        <f>IF(OR(AH13="OFF", ISBLANK(AH13)), 0, (AH13 - AG13)*24)</f>
        <v/>
      </c>
      <c r="AK13" s="59">
        <f>IF(OR(B13="Sun", AH13="OFF", ISBLANK(AH13)), 0, MAX(0, (IF(B13="Sat", 14/24, 20/24) - AH13)*24))</f>
        <v/>
      </c>
      <c r="AL13" s="60" t="n">
        <v>0</v>
      </c>
      <c r="AM13" s="61">
        <f>AL13*7.45</f>
        <v/>
      </c>
      <c r="AN13" s="61">
        <f>IF(AJ13&gt;0, AM13/AJ13, 0)</f>
        <v/>
      </c>
      <c r="AO13" s="61">
        <f>AM13 + (AK13*AN13)</f>
        <v/>
      </c>
      <c r="AP13" s="62">
        <f>AK13*AN13</f>
        <v/>
      </c>
      <c r="AQ13" s="59">
        <f>E13+O13+Y13+AI13</f>
        <v/>
      </c>
      <c r="AR13" s="59">
        <f>F13+P13+Z13+AJ13</f>
        <v/>
      </c>
      <c r="AS13" s="63">
        <f>G13+Q13+AA13+AK13</f>
        <v/>
      </c>
      <c r="AT13" s="60">
        <f>H13+R13+AB13+AL13</f>
        <v/>
      </c>
      <c r="AU13" s="61">
        <f>AT13*7.45</f>
        <v/>
      </c>
      <c r="AV13" s="62">
        <f>I13+S13+AC13+AM13</f>
        <v/>
      </c>
      <c r="AW13" s="61">
        <f>K13+U13+AE13+AO13</f>
        <v/>
      </c>
      <c r="AX13" s="62">
        <f>L13+V13+AF13+AP13</f>
        <v/>
      </c>
      <c r="AY13" s="64">
        <f>IF(AW13&gt;0, AX13/AW13, 0)</f>
        <v/>
      </c>
    </row>
    <row r="14">
      <c r="A14" s="65" t="n">
        <v>46242</v>
      </c>
      <c r="B14" s="66" t="inlineStr">
        <is>
          <t>Sat</t>
        </is>
      </c>
      <c r="C14" s="66" t="inlineStr">
        <is>
          <t>OFF</t>
        </is>
      </c>
      <c r="D14" s="66" t="inlineStr">
        <is>
          <t>OFF</t>
        </is>
      </c>
      <c r="E14" s="67">
        <f>IF(B14="Sun", 0, IF(B14="Sat", 6, 12))</f>
        <v/>
      </c>
      <c r="F14" s="67">
        <f>IF(OR(D14="OFF", ISBLANK(D14)), 0, (D14 - C14)*24)</f>
        <v/>
      </c>
      <c r="G14" s="67">
        <f>IF(OR(B14="Sun", D14="OFF", ISBLANK(D14)), 0, MAX(0, (IF(B14="Sat", 14/24, 20/24) - D14)*24))</f>
        <v/>
      </c>
      <c r="H14" s="68" t="n">
        <v>0</v>
      </c>
      <c r="I14" s="69">
        <f>H14*7.45</f>
        <v/>
      </c>
      <c r="J14" s="69">
        <f>IF(F14&gt;0, I14/F14, 0)</f>
        <v/>
      </c>
      <c r="K14" s="69">
        <f>I14 + (G14*J14)</f>
        <v/>
      </c>
      <c r="L14" s="70">
        <f>G14*J14</f>
        <v/>
      </c>
      <c r="M14" s="66" t="inlineStr">
        <is>
          <t>OFF</t>
        </is>
      </c>
      <c r="N14" s="66" t="inlineStr">
        <is>
          <t>OFF</t>
        </is>
      </c>
      <c r="O14" s="67">
        <f>IF(B14="Sun", 0, IF(B14="Sat", 6, 12))</f>
        <v/>
      </c>
      <c r="P14" s="67">
        <f>IF(OR(N14="OFF", ISBLANK(N14)), 0, (N14 - M14)*24)</f>
        <v/>
      </c>
      <c r="Q14" s="67">
        <f>IF(OR(B14="Sun", N14="OFF", ISBLANK(N14)), 0, MAX(0, (IF(B14="Sat", 14/24, 20/24) - N14)*24))</f>
        <v/>
      </c>
      <c r="R14" s="68" t="n">
        <v>0</v>
      </c>
      <c r="S14" s="69">
        <f>R14*7.45</f>
        <v/>
      </c>
      <c r="T14" s="69">
        <f>IF(P14&gt;0, S14/P14, 0)</f>
        <v/>
      </c>
      <c r="U14" s="69">
        <f>S14 + (Q14*T14)</f>
        <v/>
      </c>
      <c r="V14" s="70">
        <f>Q14*T14</f>
        <v/>
      </c>
      <c r="W14" s="66" t="inlineStr">
        <is>
          <t>OFF</t>
        </is>
      </c>
      <c r="X14" s="66" t="inlineStr">
        <is>
          <t>OFF</t>
        </is>
      </c>
      <c r="Y14" s="67">
        <f>IF(B14="Sun", 0, IF(B14="Sat", 6, 12))</f>
        <v/>
      </c>
      <c r="Z14" s="67">
        <f>IF(OR(X14="OFF", ISBLANK(X14)), 0, (X14 - W14)*24)</f>
        <v/>
      </c>
      <c r="AA14" s="67">
        <f>IF(OR(B14="Sun", X14="OFF", ISBLANK(X14)), 0, MAX(0, (IF(B14="Sat", 14/24, 20/24) - X14)*24))</f>
        <v/>
      </c>
      <c r="AB14" s="68" t="n">
        <v>0</v>
      </c>
      <c r="AC14" s="69">
        <f>AB14*7.45</f>
        <v/>
      </c>
      <c r="AD14" s="69">
        <f>IF(Z14&gt;0, AC14/Z14, 0)</f>
        <v/>
      </c>
      <c r="AE14" s="69">
        <f>AC14 + (AA14*AD14)</f>
        <v/>
      </c>
      <c r="AF14" s="70">
        <f>AA14*AD14</f>
        <v/>
      </c>
      <c r="AG14" s="66" t="inlineStr">
        <is>
          <t>OFF</t>
        </is>
      </c>
      <c r="AH14" s="66" t="inlineStr">
        <is>
          <t>OFF</t>
        </is>
      </c>
      <c r="AI14" s="67">
        <f>IF(B14="Sun", 0, IF(B14="Sat", 6, 12))</f>
        <v/>
      </c>
      <c r="AJ14" s="67">
        <f>IF(OR(AH14="OFF", ISBLANK(AH14)), 0, (AH14 - AG14)*24)</f>
        <v/>
      </c>
      <c r="AK14" s="67">
        <f>IF(OR(B14="Sun", AH14="OFF", ISBLANK(AH14)), 0, MAX(0, (IF(B14="Sat", 14/24, 20/24) - AH14)*24))</f>
        <v/>
      </c>
      <c r="AL14" s="68" t="n">
        <v>0</v>
      </c>
      <c r="AM14" s="69">
        <f>AL14*7.45</f>
        <v/>
      </c>
      <c r="AN14" s="69">
        <f>IF(AJ14&gt;0, AM14/AJ14, 0)</f>
        <v/>
      </c>
      <c r="AO14" s="69">
        <f>AM14 + (AK14*AN14)</f>
        <v/>
      </c>
      <c r="AP14" s="70">
        <f>AK14*AN14</f>
        <v/>
      </c>
      <c r="AQ14" s="67">
        <f>E14+O14+Y14+AI14</f>
        <v/>
      </c>
      <c r="AR14" s="67">
        <f>F14+P14+Z14+AJ14</f>
        <v/>
      </c>
      <c r="AS14" s="71">
        <f>G14+Q14+AA14+AK14</f>
        <v/>
      </c>
      <c r="AT14" s="68">
        <f>H14+R14+AB14+AL14</f>
        <v/>
      </c>
      <c r="AU14" s="69">
        <f>AT14*7.45</f>
        <v/>
      </c>
      <c r="AV14" s="70">
        <f>I14+S14+AC14+AM14</f>
        <v/>
      </c>
      <c r="AW14" s="69">
        <f>K14+U14+AE14+AO14</f>
        <v/>
      </c>
      <c r="AX14" s="70">
        <f>L14+V14+AF14+AP14</f>
        <v/>
      </c>
      <c r="AY14" s="72">
        <f>IF(AW14&gt;0, AX14/AW14, 0)</f>
        <v/>
      </c>
    </row>
    <row r="15">
      <c r="A15" s="56" t="n">
        <v>46243</v>
      </c>
      <c r="B15" s="57" t="inlineStr">
        <is>
          <t>Sun</t>
        </is>
      </c>
      <c r="C15" s="57" t="inlineStr">
        <is>
          <t>OFF</t>
        </is>
      </c>
      <c r="D15" s="57" t="inlineStr">
        <is>
          <t>OFF</t>
        </is>
      </c>
      <c r="E15" s="59">
        <f>IF(B15="Sun", 0, IF(B15="Sat", 6, 12))</f>
        <v/>
      </c>
      <c r="F15" s="59">
        <f>IF(OR(D15="OFF", ISBLANK(D15)), 0, (D15 - C15)*24)</f>
        <v/>
      </c>
      <c r="G15" s="59">
        <f>IF(OR(B15="Sun", D15="OFF", ISBLANK(D15)), 0, MAX(0, (IF(B15="Sat", 14/24, 20/24) - D15)*24))</f>
        <v/>
      </c>
      <c r="H15" s="60" t="n">
        <v>0</v>
      </c>
      <c r="I15" s="61">
        <f>H15*7.45</f>
        <v/>
      </c>
      <c r="J15" s="61">
        <f>IF(F15&gt;0, I15/F15, 0)</f>
        <v/>
      </c>
      <c r="K15" s="61">
        <f>I15 + (G15*J15)</f>
        <v/>
      </c>
      <c r="L15" s="62">
        <f>G15*J15</f>
        <v/>
      </c>
      <c r="M15" s="57" t="inlineStr">
        <is>
          <t>OFF</t>
        </is>
      </c>
      <c r="N15" s="57" t="inlineStr">
        <is>
          <t>OFF</t>
        </is>
      </c>
      <c r="O15" s="59">
        <f>IF(B15="Sun", 0, IF(B15="Sat", 6, 12))</f>
        <v/>
      </c>
      <c r="P15" s="59">
        <f>IF(OR(N15="OFF", ISBLANK(N15)), 0, (N15 - M15)*24)</f>
        <v/>
      </c>
      <c r="Q15" s="59">
        <f>IF(OR(B15="Sun", N15="OFF", ISBLANK(N15)), 0, MAX(0, (IF(B15="Sat", 14/24, 20/24) - N15)*24))</f>
        <v/>
      </c>
      <c r="R15" s="60" t="n">
        <v>0</v>
      </c>
      <c r="S15" s="61">
        <f>R15*7.45</f>
        <v/>
      </c>
      <c r="T15" s="61">
        <f>IF(P15&gt;0, S15/P15, 0)</f>
        <v/>
      </c>
      <c r="U15" s="61">
        <f>S15 + (Q15*T15)</f>
        <v/>
      </c>
      <c r="V15" s="62">
        <f>Q15*T15</f>
        <v/>
      </c>
      <c r="W15" s="57" t="inlineStr">
        <is>
          <t>OFF</t>
        </is>
      </c>
      <c r="X15" s="57" t="inlineStr">
        <is>
          <t>OFF</t>
        </is>
      </c>
      <c r="Y15" s="59">
        <f>IF(B15="Sun", 0, IF(B15="Sat", 6, 12))</f>
        <v/>
      </c>
      <c r="Z15" s="59">
        <f>IF(OR(X15="OFF", ISBLANK(X15)), 0, (X15 - W15)*24)</f>
        <v/>
      </c>
      <c r="AA15" s="59">
        <f>IF(OR(B15="Sun", X15="OFF", ISBLANK(X15)), 0, MAX(0, (IF(B15="Sat", 14/24, 20/24) - X15)*24))</f>
        <v/>
      </c>
      <c r="AB15" s="60" t="n">
        <v>0</v>
      </c>
      <c r="AC15" s="61">
        <f>AB15*7.45</f>
        <v/>
      </c>
      <c r="AD15" s="61">
        <f>IF(Z15&gt;0, AC15/Z15, 0)</f>
        <v/>
      </c>
      <c r="AE15" s="61">
        <f>AC15 + (AA15*AD15)</f>
        <v/>
      </c>
      <c r="AF15" s="62">
        <f>AA15*AD15</f>
        <v/>
      </c>
      <c r="AG15" s="57" t="inlineStr">
        <is>
          <t>OFF</t>
        </is>
      </c>
      <c r="AH15" s="57" t="inlineStr">
        <is>
          <t>OFF</t>
        </is>
      </c>
      <c r="AI15" s="59">
        <f>IF(B15="Sun", 0, IF(B15="Sat", 6, 12))</f>
        <v/>
      </c>
      <c r="AJ15" s="59">
        <f>IF(OR(AH15="OFF", ISBLANK(AH15)), 0, (AH15 - AG15)*24)</f>
        <v/>
      </c>
      <c r="AK15" s="59">
        <f>IF(OR(B15="Sun", AH15="OFF", ISBLANK(AH15)), 0, MAX(0, (IF(B15="Sat", 14/24, 20/24) - AH15)*24))</f>
        <v/>
      </c>
      <c r="AL15" s="60" t="n">
        <v>0</v>
      </c>
      <c r="AM15" s="61">
        <f>AL15*7.45</f>
        <v/>
      </c>
      <c r="AN15" s="61">
        <f>IF(AJ15&gt;0, AM15/AJ15, 0)</f>
        <v/>
      </c>
      <c r="AO15" s="61">
        <f>AM15 + (AK15*AN15)</f>
        <v/>
      </c>
      <c r="AP15" s="62">
        <f>AK15*AN15</f>
        <v/>
      </c>
      <c r="AQ15" s="59">
        <f>E15+O15+Y15+AI15</f>
        <v/>
      </c>
      <c r="AR15" s="59">
        <f>F15+P15+Z15+AJ15</f>
        <v/>
      </c>
      <c r="AS15" s="63">
        <f>G15+Q15+AA15+AK15</f>
        <v/>
      </c>
      <c r="AT15" s="60">
        <f>H15+R15+AB15+AL15</f>
        <v/>
      </c>
      <c r="AU15" s="61">
        <f>AT15*7.45</f>
        <v/>
      </c>
      <c r="AV15" s="62">
        <f>I15+S15+AC15+AM15</f>
        <v/>
      </c>
      <c r="AW15" s="61">
        <f>K15+U15+AE15+AO15</f>
        <v/>
      </c>
      <c r="AX15" s="62">
        <f>L15+V15+AF15+AP15</f>
        <v/>
      </c>
      <c r="AY15" s="64">
        <f>IF(AW15&gt;0, AX15/AW15, 0)</f>
        <v/>
      </c>
    </row>
    <row r="16">
      <c r="A16" s="65" t="n">
        <v>46244</v>
      </c>
      <c r="B16" s="66" t="inlineStr">
        <is>
          <t>Mon</t>
        </is>
      </c>
      <c r="C16" s="66" t="inlineStr">
        <is>
          <t>OFF</t>
        </is>
      </c>
      <c r="D16" s="66" t="inlineStr">
        <is>
          <t>OFF</t>
        </is>
      </c>
      <c r="E16" s="67">
        <f>IF(B16="Sun", 0, IF(B16="Sat", 6, 12))</f>
        <v/>
      </c>
      <c r="F16" s="67">
        <f>IF(OR(D16="OFF", ISBLANK(D16)), 0, (D16 - C16)*24)</f>
        <v/>
      </c>
      <c r="G16" s="67">
        <f>IF(OR(B16="Sun", D16="OFF", ISBLANK(D16)), 0, MAX(0, (IF(B16="Sat", 14/24, 20/24) - D16)*24))</f>
        <v/>
      </c>
      <c r="H16" s="68" t="n">
        <v>0</v>
      </c>
      <c r="I16" s="69">
        <f>H16*7.45</f>
        <v/>
      </c>
      <c r="J16" s="69">
        <f>IF(F16&gt;0, I16/F16, 0)</f>
        <v/>
      </c>
      <c r="K16" s="69">
        <f>I16 + (G16*J16)</f>
        <v/>
      </c>
      <c r="L16" s="70">
        <f>G16*J16</f>
        <v/>
      </c>
      <c r="M16" s="66" t="inlineStr">
        <is>
          <t>OFF</t>
        </is>
      </c>
      <c r="N16" s="66" t="inlineStr">
        <is>
          <t>OFF</t>
        </is>
      </c>
      <c r="O16" s="67">
        <f>IF(B16="Sun", 0, IF(B16="Sat", 6, 12))</f>
        <v/>
      </c>
      <c r="P16" s="67">
        <f>IF(OR(N16="OFF", ISBLANK(N16)), 0, (N16 - M16)*24)</f>
        <v/>
      </c>
      <c r="Q16" s="67">
        <f>IF(OR(B16="Sun", N16="OFF", ISBLANK(N16)), 0, MAX(0, (IF(B16="Sat", 14/24, 20/24) - N16)*24))</f>
        <v/>
      </c>
      <c r="R16" s="68" t="n">
        <v>0</v>
      </c>
      <c r="S16" s="69">
        <f>R16*7.45</f>
        <v/>
      </c>
      <c r="T16" s="69">
        <f>IF(P16&gt;0, S16/P16, 0)</f>
        <v/>
      </c>
      <c r="U16" s="69">
        <f>S16 + (Q16*T16)</f>
        <v/>
      </c>
      <c r="V16" s="70">
        <f>Q16*T16</f>
        <v/>
      </c>
      <c r="W16" s="66" t="inlineStr">
        <is>
          <t>OFF</t>
        </is>
      </c>
      <c r="X16" s="66" t="inlineStr">
        <is>
          <t>OFF</t>
        </is>
      </c>
      <c r="Y16" s="67">
        <f>IF(B16="Sun", 0, IF(B16="Sat", 6, 12))</f>
        <v/>
      </c>
      <c r="Z16" s="67">
        <f>IF(OR(X16="OFF", ISBLANK(X16)), 0, (X16 - W16)*24)</f>
        <v/>
      </c>
      <c r="AA16" s="67">
        <f>IF(OR(B16="Sun", X16="OFF", ISBLANK(X16)), 0, MAX(0, (IF(B16="Sat", 14/24, 20/24) - X16)*24))</f>
        <v/>
      </c>
      <c r="AB16" s="68" t="n">
        <v>0</v>
      </c>
      <c r="AC16" s="69">
        <f>AB16*7.45</f>
        <v/>
      </c>
      <c r="AD16" s="69">
        <f>IF(Z16&gt;0, AC16/Z16, 0)</f>
        <v/>
      </c>
      <c r="AE16" s="69">
        <f>AC16 + (AA16*AD16)</f>
        <v/>
      </c>
      <c r="AF16" s="70">
        <f>AA16*AD16</f>
        <v/>
      </c>
      <c r="AG16" s="66" t="inlineStr">
        <is>
          <t>OFF</t>
        </is>
      </c>
      <c r="AH16" s="66" t="inlineStr">
        <is>
          <t>OFF</t>
        </is>
      </c>
      <c r="AI16" s="67">
        <f>IF(B16="Sun", 0, IF(B16="Sat", 6, 12))</f>
        <v/>
      </c>
      <c r="AJ16" s="67">
        <f>IF(OR(AH16="OFF", ISBLANK(AH16)), 0, (AH16 - AG16)*24)</f>
        <v/>
      </c>
      <c r="AK16" s="67">
        <f>IF(OR(B16="Sun", AH16="OFF", ISBLANK(AH16)), 0, MAX(0, (IF(B16="Sat", 14/24, 20/24) - AH16)*24))</f>
        <v/>
      </c>
      <c r="AL16" s="68" t="n">
        <v>0</v>
      </c>
      <c r="AM16" s="69">
        <f>AL16*7.45</f>
        <v/>
      </c>
      <c r="AN16" s="69">
        <f>IF(AJ16&gt;0, AM16/AJ16, 0)</f>
        <v/>
      </c>
      <c r="AO16" s="69">
        <f>AM16 + (AK16*AN16)</f>
        <v/>
      </c>
      <c r="AP16" s="70">
        <f>AK16*AN16</f>
        <v/>
      </c>
      <c r="AQ16" s="67">
        <f>E16+O16+Y16+AI16</f>
        <v/>
      </c>
      <c r="AR16" s="67">
        <f>F16+P16+Z16+AJ16</f>
        <v/>
      </c>
      <c r="AS16" s="71">
        <f>G16+Q16+AA16+AK16</f>
        <v/>
      </c>
      <c r="AT16" s="68">
        <f>H16+R16+AB16+AL16</f>
        <v/>
      </c>
      <c r="AU16" s="69">
        <f>AT16*7.45</f>
        <v/>
      </c>
      <c r="AV16" s="70">
        <f>I16+S16+AC16+AM16</f>
        <v/>
      </c>
      <c r="AW16" s="69">
        <f>K16+U16+AE16+AO16</f>
        <v/>
      </c>
      <c r="AX16" s="70">
        <f>L16+V16+AF16+AP16</f>
        <v/>
      </c>
      <c r="AY16" s="72">
        <f>IF(AW16&gt;0, AX16/AW16, 0)</f>
        <v/>
      </c>
    </row>
    <row r="17">
      <c r="A17" s="56" t="n">
        <v>46245</v>
      </c>
      <c r="B17" s="57" t="inlineStr">
        <is>
          <t>Tue</t>
        </is>
      </c>
      <c r="C17" s="57" t="inlineStr">
        <is>
          <t>OFF</t>
        </is>
      </c>
      <c r="D17" s="57" t="inlineStr">
        <is>
          <t>OFF</t>
        </is>
      </c>
      <c r="E17" s="59">
        <f>IF(B17="Sun", 0, IF(B17="Sat", 6, 12))</f>
        <v/>
      </c>
      <c r="F17" s="59">
        <f>IF(OR(D17="OFF", ISBLANK(D17)), 0, (D17 - C17)*24)</f>
        <v/>
      </c>
      <c r="G17" s="59">
        <f>IF(OR(B17="Sun", D17="OFF", ISBLANK(D17)), 0, MAX(0, (IF(B17="Sat", 14/24, 20/24) - D17)*24))</f>
        <v/>
      </c>
      <c r="H17" s="60" t="n">
        <v>0</v>
      </c>
      <c r="I17" s="61">
        <f>H17*7.45</f>
        <v/>
      </c>
      <c r="J17" s="61">
        <f>IF(F17&gt;0, I17/F17, 0)</f>
        <v/>
      </c>
      <c r="K17" s="61">
        <f>I17 + (G17*J17)</f>
        <v/>
      </c>
      <c r="L17" s="62">
        <f>G17*J17</f>
        <v/>
      </c>
      <c r="M17" s="57" t="inlineStr">
        <is>
          <t>OFF</t>
        </is>
      </c>
      <c r="N17" s="57" t="inlineStr">
        <is>
          <t>OFF</t>
        </is>
      </c>
      <c r="O17" s="59">
        <f>IF(B17="Sun", 0, IF(B17="Sat", 6, 12))</f>
        <v/>
      </c>
      <c r="P17" s="59">
        <f>IF(OR(N17="OFF", ISBLANK(N17)), 0, (N17 - M17)*24)</f>
        <v/>
      </c>
      <c r="Q17" s="59">
        <f>IF(OR(B17="Sun", N17="OFF", ISBLANK(N17)), 0, MAX(0, (IF(B17="Sat", 14/24, 20/24) - N17)*24))</f>
        <v/>
      </c>
      <c r="R17" s="60" t="n">
        <v>0</v>
      </c>
      <c r="S17" s="61">
        <f>R17*7.45</f>
        <v/>
      </c>
      <c r="T17" s="61">
        <f>IF(P17&gt;0, S17/P17, 0)</f>
        <v/>
      </c>
      <c r="U17" s="61">
        <f>S17 + (Q17*T17)</f>
        <v/>
      </c>
      <c r="V17" s="62">
        <f>Q17*T17</f>
        <v/>
      </c>
      <c r="W17" s="57" t="inlineStr">
        <is>
          <t>OFF</t>
        </is>
      </c>
      <c r="X17" s="57" t="inlineStr">
        <is>
          <t>OFF</t>
        </is>
      </c>
      <c r="Y17" s="59">
        <f>IF(B17="Sun", 0, IF(B17="Sat", 6, 12))</f>
        <v/>
      </c>
      <c r="Z17" s="59">
        <f>IF(OR(X17="OFF", ISBLANK(X17)), 0, (X17 - W17)*24)</f>
        <v/>
      </c>
      <c r="AA17" s="59">
        <f>IF(OR(B17="Sun", X17="OFF", ISBLANK(X17)), 0, MAX(0, (IF(B17="Sat", 14/24, 20/24) - X17)*24))</f>
        <v/>
      </c>
      <c r="AB17" s="60" t="n">
        <v>0</v>
      </c>
      <c r="AC17" s="61">
        <f>AB17*7.45</f>
        <v/>
      </c>
      <c r="AD17" s="61">
        <f>IF(Z17&gt;0, AC17/Z17, 0)</f>
        <v/>
      </c>
      <c r="AE17" s="61">
        <f>AC17 + (AA17*AD17)</f>
        <v/>
      </c>
      <c r="AF17" s="62">
        <f>AA17*AD17</f>
        <v/>
      </c>
      <c r="AG17" s="57" t="inlineStr">
        <is>
          <t>OFF</t>
        </is>
      </c>
      <c r="AH17" s="57" t="inlineStr">
        <is>
          <t>OFF</t>
        </is>
      </c>
      <c r="AI17" s="59">
        <f>IF(B17="Sun", 0, IF(B17="Sat", 6, 12))</f>
        <v/>
      </c>
      <c r="AJ17" s="59">
        <f>IF(OR(AH17="OFF", ISBLANK(AH17)), 0, (AH17 - AG17)*24)</f>
        <v/>
      </c>
      <c r="AK17" s="59">
        <f>IF(OR(B17="Sun", AH17="OFF", ISBLANK(AH17)), 0, MAX(0, (IF(B17="Sat", 14/24, 20/24) - AH17)*24))</f>
        <v/>
      </c>
      <c r="AL17" s="60" t="n">
        <v>0</v>
      </c>
      <c r="AM17" s="61">
        <f>AL17*7.45</f>
        <v/>
      </c>
      <c r="AN17" s="61">
        <f>IF(AJ17&gt;0, AM17/AJ17, 0)</f>
        <v/>
      </c>
      <c r="AO17" s="61">
        <f>AM17 + (AK17*AN17)</f>
        <v/>
      </c>
      <c r="AP17" s="62">
        <f>AK17*AN17</f>
        <v/>
      </c>
      <c r="AQ17" s="59">
        <f>E17+O17+Y17+AI17</f>
        <v/>
      </c>
      <c r="AR17" s="59">
        <f>F17+P17+Z17+AJ17</f>
        <v/>
      </c>
      <c r="AS17" s="63">
        <f>G17+Q17+AA17+AK17</f>
        <v/>
      </c>
      <c r="AT17" s="60">
        <f>H17+R17+AB17+AL17</f>
        <v/>
      </c>
      <c r="AU17" s="61">
        <f>AT17*7.45</f>
        <v/>
      </c>
      <c r="AV17" s="62">
        <f>I17+S17+AC17+AM17</f>
        <v/>
      </c>
      <c r="AW17" s="61">
        <f>K17+U17+AE17+AO17</f>
        <v/>
      </c>
      <c r="AX17" s="62">
        <f>L17+V17+AF17+AP17</f>
        <v/>
      </c>
      <c r="AY17" s="64">
        <f>IF(AW17&gt;0, AX17/AW17, 0)</f>
        <v/>
      </c>
    </row>
    <row r="18">
      <c r="A18" s="65" t="n">
        <v>46246</v>
      </c>
      <c r="B18" s="66" t="inlineStr">
        <is>
          <t>Wed</t>
        </is>
      </c>
      <c r="C18" s="66" t="inlineStr">
        <is>
          <t>OFF</t>
        </is>
      </c>
      <c r="D18" s="66" t="inlineStr">
        <is>
          <t>OFF</t>
        </is>
      </c>
      <c r="E18" s="67">
        <f>IF(B18="Sun", 0, IF(B18="Sat", 6, 12))</f>
        <v/>
      </c>
      <c r="F18" s="67">
        <f>IF(OR(D18="OFF", ISBLANK(D18)), 0, (D18 - C18)*24)</f>
        <v/>
      </c>
      <c r="G18" s="67">
        <f>IF(OR(B18="Sun", D18="OFF", ISBLANK(D18)), 0, MAX(0, (IF(B18="Sat", 14/24, 20/24) - D18)*24))</f>
        <v/>
      </c>
      <c r="H18" s="68" t="n">
        <v>0</v>
      </c>
      <c r="I18" s="69">
        <f>H18*7.45</f>
        <v/>
      </c>
      <c r="J18" s="69">
        <f>IF(F18&gt;0, I18/F18, 0)</f>
        <v/>
      </c>
      <c r="K18" s="69">
        <f>I18 + (G18*J18)</f>
        <v/>
      </c>
      <c r="L18" s="70">
        <f>G18*J18</f>
        <v/>
      </c>
      <c r="M18" s="66" t="inlineStr">
        <is>
          <t>OFF</t>
        </is>
      </c>
      <c r="N18" s="66" t="inlineStr">
        <is>
          <t>OFF</t>
        </is>
      </c>
      <c r="O18" s="67">
        <f>IF(B18="Sun", 0, IF(B18="Sat", 6, 12))</f>
        <v/>
      </c>
      <c r="P18" s="67">
        <f>IF(OR(N18="OFF", ISBLANK(N18)), 0, (N18 - M18)*24)</f>
        <v/>
      </c>
      <c r="Q18" s="67">
        <f>IF(OR(B18="Sun", N18="OFF", ISBLANK(N18)), 0, MAX(0, (IF(B18="Sat", 14/24, 20/24) - N18)*24))</f>
        <v/>
      </c>
      <c r="R18" s="68" t="n">
        <v>0</v>
      </c>
      <c r="S18" s="69">
        <f>R18*7.45</f>
        <v/>
      </c>
      <c r="T18" s="69">
        <f>IF(P18&gt;0, S18/P18, 0)</f>
        <v/>
      </c>
      <c r="U18" s="69">
        <f>S18 + (Q18*T18)</f>
        <v/>
      </c>
      <c r="V18" s="70">
        <f>Q18*T18</f>
        <v/>
      </c>
      <c r="W18" s="66" t="inlineStr">
        <is>
          <t>OFF</t>
        </is>
      </c>
      <c r="X18" s="66" t="inlineStr">
        <is>
          <t>OFF</t>
        </is>
      </c>
      <c r="Y18" s="67">
        <f>IF(B18="Sun", 0, IF(B18="Sat", 6, 12))</f>
        <v/>
      </c>
      <c r="Z18" s="67">
        <f>IF(OR(X18="OFF", ISBLANK(X18)), 0, (X18 - W18)*24)</f>
        <v/>
      </c>
      <c r="AA18" s="67">
        <f>IF(OR(B18="Sun", X18="OFF", ISBLANK(X18)), 0, MAX(0, (IF(B18="Sat", 14/24, 20/24) - X18)*24))</f>
        <v/>
      </c>
      <c r="AB18" s="68" t="n">
        <v>0</v>
      </c>
      <c r="AC18" s="69">
        <f>AB18*7.45</f>
        <v/>
      </c>
      <c r="AD18" s="69">
        <f>IF(Z18&gt;0, AC18/Z18, 0)</f>
        <v/>
      </c>
      <c r="AE18" s="69">
        <f>AC18 + (AA18*AD18)</f>
        <v/>
      </c>
      <c r="AF18" s="70">
        <f>AA18*AD18</f>
        <v/>
      </c>
      <c r="AG18" s="66" t="inlineStr">
        <is>
          <t>OFF</t>
        </is>
      </c>
      <c r="AH18" s="66" t="inlineStr">
        <is>
          <t>OFF</t>
        </is>
      </c>
      <c r="AI18" s="67">
        <f>IF(B18="Sun", 0, IF(B18="Sat", 6, 12))</f>
        <v/>
      </c>
      <c r="AJ18" s="67">
        <f>IF(OR(AH18="OFF", ISBLANK(AH18)), 0, (AH18 - AG18)*24)</f>
        <v/>
      </c>
      <c r="AK18" s="67">
        <f>IF(OR(B18="Sun", AH18="OFF", ISBLANK(AH18)), 0, MAX(0, (IF(B18="Sat", 14/24, 20/24) - AH18)*24))</f>
        <v/>
      </c>
      <c r="AL18" s="68" t="n">
        <v>0</v>
      </c>
      <c r="AM18" s="69">
        <f>AL18*7.45</f>
        <v/>
      </c>
      <c r="AN18" s="69">
        <f>IF(AJ18&gt;0, AM18/AJ18, 0)</f>
        <v/>
      </c>
      <c r="AO18" s="69">
        <f>AM18 + (AK18*AN18)</f>
        <v/>
      </c>
      <c r="AP18" s="70">
        <f>AK18*AN18</f>
        <v/>
      </c>
      <c r="AQ18" s="67">
        <f>E18+O18+Y18+AI18</f>
        <v/>
      </c>
      <c r="AR18" s="67">
        <f>F18+P18+Z18+AJ18</f>
        <v/>
      </c>
      <c r="AS18" s="71">
        <f>G18+Q18+AA18+AK18</f>
        <v/>
      </c>
      <c r="AT18" s="68">
        <f>H18+R18+AB18+AL18</f>
        <v/>
      </c>
      <c r="AU18" s="69">
        <f>AT18*7.45</f>
        <v/>
      </c>
      <c r="AV18" s="70">
        <f>I18+S18+AC18+AM18</f>
        <v/>
      </c>
      <c r="AW18" s="69">
        <f>K18+U18+AE18+AO18</f>
        <v/>
      </c>
      <c r="AX18" s="70">
        <f>L18+V18+AF18+AP18</f>
        <v/>
      </c>
      <c r="AY18" s="72">
        <f>IF(AW18&gt;0, AX18/AW18, 0)</f>
        <v/>
      </c>
    </row>
    <row r="19">
      <c r="A19" s="56" t="n">
        <v>46247</v>
      </c>
      <c r="B19" s="57" t="inlineStr">
        <is>
          <t>Thu</t>
        </is>
      </c>
      <c r="C19" s="57" t="inlineStr">
        <is>
          <t>OFF</t>
        </is>
      </c>
      <c r="D19" s="57" t="inlineStr">
        <is>
          <t>OFF</t>
        </is>
      </c>
      <c r="E19" s="59">
        <f>IF(B19="Sun", 0, IF(B19="Sat", 6, 12))</f>
        <v/>
      </c>
      <c r="F19" s="59">
        <f>IF(OR(D19="OFF", ISBLANK(D19)), 0, (D19 - C19)*24)</f>
        <v/>
      </c>
      <c r="G19" s="59">
        <f>IF(OR(B19="Sun", D19="OFF", ISBLANK(D19)), 0, MAX(0, (IF(B19="Sat", 14/24, 20/24) - D19)*24))</f>
        <v/>
      </c>
      <c r="H19" s="60" t="n">
        <v>0</v>
      </c>
      <c r="I19" s="61">
        <f>H19*7.45</f>
        <v/>
      </c>
      <c r="J19" s="61">
        <f>IF(F19&gt;0, I19/F19, 0)</f>
        <v/>
      </c>
      <c r="K19" s="61">
        <f>I19 + (G19*J19)</f>
        <v/>
      </c>
      <c r="L19" s="62">
        <f>G19*J19</f>
        <v/>
      </c>
      <c r="M19" s="57" t="inlineStr">
        <is>
          <t>OFF</t>
        </is>
      </c>
      <c r="N19" s="57" t="inlineStr">
        <is>
          <t>OFF</t>
        </is>
      </c>
      <c r="O19" s="59">
        <f>IF(B19="Sun", 0, IF(B19="Sat", 6, 12))</f>
        <v/>
      </c>
      <c r="P19" s="59">
        <f>IF(OR(N19="OFF", ISBLANK(N19)), 0, (N19 - M19)*24)</f>
        <v/>
      </c>
      <c r="Q19" s="59">
        <f>IF(OR(B19="Sun", N19="OFF", ISBLANK(N19)), 0, MAX(0, (IF(B19="Sat", 14/24, 20/24) - N19)*24))</f>
        <v/>
      </c>
      <c r="R19" s="60" t="n">
        <v>0</v>
      </c>
      <c r="S19" s="61">
        <f>R19*7.45</f>
        <v/>
      </c>
      <c r="T19" s="61">
        <f>IF(P19&gt;0, S19/P19, 0)</f>
        <v/>
      </c>
      <c r="U19" s="61">
        <f>S19 + (Q19*T19)</f>
        <v/>
      </c>
      <c r="V19" s="62">
        <f>Q19*T19</f>
        <v/>
      </c>
      <c r="W19" s="57" t="inlineStr">
        <is>
          <t>OFF</t>
        </is>
      </c>
      <c r="X19" s="57" t="inlineStr">
        <is>
          <t>OFF</t>
        </is>
      </c>
      <c r="Y19" s="59">
        <f>IF(B19="Sun", 0, IF(B19="Sat", 6, 12))</f>
        <v/>
      </c>
      <c r="Z19" s="59">
        <f>IF(OR(X19="OFF", ISBLANK(X19)), 0, (X19 - W19)*24)</f>
        <v/>
      </c>
      <c r="AA19" s="59">
        <f>IF(OR(B19="Sun", X19="OFF", ISBLANK(X19)), 0, MAX(0, (IF(B19="Sat", 14/24, 20/24) - X19)*24))</f>
        <v/>
      </c>
      <c r="AB19" s="60" t="n">
        <v>0</v>
      </c>
      <c r="AC19" s="61">
        <f>AB19*7.45</f>
        <v/>
      </c>
      <c r="AD19" s="61">
        <f>IF(Z19&gt;0, AC19/Z19, 0)</f>
        <v/>
      </c>
      <c r="AE19" s="61">
        <f>AC19 + (AA19*AD19)</f>
        <v/>
      </c>
      <c r="AF19" s="62">
        <f>AA19*AD19</f>
        <v/>
      </c>
      <c r="AG19" s="57" t="inlineStr">
        <is>
          <t>OFF</t>
        </is>
      </c>
      <c r="AH19" s="57" t="inlineStr">
        <is>
          <t>OFF</t>
        </is>
      </c>
      <c r="AI19" s="59">
        <f>IF(B19="Sun", 0, IF(B19="Sat", 6, 12))</f>
        <v/>
      </c>
      <c r="AJ19" s="59">
        <f>IF(OR(AH19="OFF", ISBLANK(AH19)), 0, (AH19 - AG19)*24)</f>
        <v/>
      </c>
      <c r="AK19" s="59">
        <f>IF(OR(B19="Sun", AH19="OFF", ISBLANK(AH19)), 0, MAX(0, (IF(B19="Sat", 14/24, 20/24) - AH19)*24))</f>
        <v/>
      </c>
      <c r="AL19" s="60" t="n">
        <v>0</v>
      </c>
      <c r="AM19" s="61">
        <f>AL19*7.45</f>
        <v/>
      </c>
      <c r="AN19" s="61">
        <f>IF(AJ19&gt;0, AM19/AJ19, 0)</f>
        <v/>
      </c>
      <c r="AO19" s="61">
        <f>AM19 + (AK19*AN19)</f>
        <v/>
      </c>
      <c r="AP19" s="62">
        <f>AK19*AN19</f>
        <v/>
      </c>
      <c r="AQ19" s="59">
        <f>E19+O19+Y19+AI19</f>
        <v/>
      </c>
      <c r="AR19" s="59">
        <f>F19+P19+Z19+AJ19</f>
        <v/>
      </c>
      <c r="AS19" s="63">
        <f>G19+Q19+AA19+AK19</f>
        <v/>
      </c>
      <c r="AT19" s="60">
        <f>H19+R19+AB19+AL19</f>
        <v/>
      </c>
      <c r="AU19" s="61">
        <f>AT19*7.45</f>
        <v/>
      </c>
      <c r="AV19" s="62">
        <f>I19+S19+AC19+AM19</f>
        <v/>
      </c>
      <c r="AW19" s="61">
        <f>K19+U19+AE19+AO19</f>
        <v/>
      </c>
      <c r="AX19" s="62">
        <f>L19+V19+AF19+AP19</f>
        <v/>
      </c>
      <c r="AY19" s="64">
        <f>IF(AW19&gt;0, AX19/AW19, 0)</f>
        <v/>
      </c>
    </row>
    <row r="20">
      <c r="A20" s="65" t="n">
        <v>46248</v>
      </c>
      <c r="B20" s="66" t="inlineStr">
        <is>
          <t>Fri</t>
        </is>
      </c>
      <c r="C20" s="66" t="inlineStr">
        <is>
          <t>OFF</t>
        </is>
      </c>
      <c r="D20" s="66" t="inlineStr">
        <is>
          <t>OFF</t>
        </is>
      </c>
      <c r="E20" s="67">
        <f>IF(B20="Sun", 0, IF(B20="Sat", 6, 12))</f>
        <v/>
      </c>
      <c r="F20" s="67">
        <f>IF(OR(D20="OFF", ISBLANK(D20)), 0, (D20 - C20)*24)</f>
        <v/>
      </c>
      <c r="G20" s="67">
        <f>IF(OR(B20="Sun", D20="OFF", ISBLANK(D20)), 0, MAX(0, (IF(B20="Sat", 14/24, 20/24) - D20)*24))</f>
        <v/>
      </c>
      <c r="H20" s="68" t="n">
        <v>0</v>
      </c>
      <c r="I20" s="69">
        <f>H20*7.45</f>
        <v/>
      </c>
      <c r="J20" s="69">
        <f>IF(F20&gt;0, I20/F20, 0)</f>
        <v/>
      </c>
      <c r="K20" s="69">
        <f>I20 + (G20*J20)</f>
        <v/>
      </c>
      <c r="L20" s="70">
        <f>G20*J20</f>
        <v/>
      </c>
      <c r="M20" s="66" t="inlineStr">
        <is>
          <t>OFF</t>
        </is>
      </c>
      <c r="N20" s="66" t="inlineStr">
        <is>
          <t>OFF</t>
        </is>
      </c>
      <c r="O20" s="67">
        <f>IF(B20="Sun", 0, IF(B20="Sat", 6, 12))</f>
        <v/>
      </c>
      <c r="P20" s="67">
        <f>IF(OR(N20="OFF", ISBLANK(N20)), 0, (N20 - M20)*24)</f>
        <v/>
      </c>
      <c r="Q20" s="67">
        <f>IF(OR(B20="Sun", N20="OFF", ISBLANK(N20)), 0, MAX(0, (IF(B20="Sat", 14/24, 20/24) - N20)*24))</f>
        <v/>
      </c>
      <c r="R20" s="68" t="n">
        <v>63</v>
      </c>
      <c r="S20" s="69">
        <f>R20*7.45</f>
        <v/>
      </c>
      <c r="T20" s="69">
        <f>IF(P20&gt;0, S20/P20, 0)</f>
        <v/>
      </c>
      <c r="U20" s="69">
        <f>S20 + (Q20*T20)</f>
        <v/>
      </c>
      <c r="V20" s="70">
        <f>Q20*T20</f>
        <v/>
      </c>
      <c r="W20" s="66" t="inlineStr">
        <is>
          <t>OFF</t>
        </is>
      </c>
      <c r="X20" s="66" t="inlineStr">
        <is>
          <t>OFF</t>
        </is>
      </c>
      <c r="Y20" s="67">
        <f>IF(B20="Sun", 0, IF(B20="Sat", 6, 12))</f>
        <v/>
      </c>
      <c r="Z20" s="67">
        <f>IF(OR(X20="OFF", ISBLANK(X20)), 0, (X20 - W20)*24)</f>
        <v/>
      </c>
      <c r="AA20" s="67">
        <f>IF(OR(B20="Sun", X20="OFF", ISBLANK(X20)), 0, MAX(0, (IF(B20="Sat", 14/24, 20/24) - X20)*24))</f>
        <v/>
      </c>
      <c r="AB20" s="68" t="n">
        <v>0</v>
      </c>
      <c r="AC20" s="69">
        <f>AB20*7.45</f>
        <v/>
      </c>
      <c r="AD20" s="69">
        <f>IF(Z20&gt;0, AC20/Z20, 0)</f>
        <v/>
      </c>
      <c r="AE20" s="69">
        <f>AC20 + (AA20*AD20)</f>
        <v/>
      </c>
      <c r="AF20" s="70">
        <f>AA20*AD20</f>
        <v/>
      </c>
      <c r="AG20" s="66" t="inlineStr">
        <is>
          <t>OFF</t>
        </is>
      </c>
      <c r="AH20" s="66" t="inlineStr">
        <is>
          <t>OFF</t>
        </is>
      </c>
      <c r="AI20" s="67">
        <f>IF(B20="Sun", 0, IF(B20="Sat", 6, 12))</f>
        <v/>
      </c>
      <c r="AJ20" s="67">
        <f>IF(OR(AH20="OFF", ISBLANK(AH20)), 0, (AH20 - AG20)*24)</f>
        <v/>
      </c>
      <c r="AK20" s="67">
        <f>IF(OR(B20="Sun", AH20="OFF", ISBLANK(AH20)), 0, MAX(0, (IF(B20="Sat", 14/24, 20/24) - AH20)*24))</f>
        <v/>
      </c>
      <c r="AL20" s="68" t="n">
        <v>0</v>
      </c>
      <c r="AM20" s="69">
        <f>AL20*7.45</f>
        <v/>
      </c>
      <c r="AN20" s="69">
        <f>IF(AJ20&gt;0, AM20/AJ20, 0)</f>
        <v/>
      </c>
      <c r="AO20" s="69">
        <f>AM20 + (AK20*AN20)</f>
        <v/>
      </c>
      <c r="AP20" s="70">
        <f>AK20*AN20</f>
        <v/>
      </c>
      <c r="AQ20" s="67">
        <f>E20+O20+Y20+AI20</f>
        <v/>
      </c>
      <c r="AR20" s="67">
        <f>F20+P20+Z20+AJ20</f>
        <v/>
      </c>
      <c r="AS20" s="71">
        <f>G20+Q20+AA20+AK20</f>
        <v/>
      </c>
      <c r="AT20" s="68">
        <f>H20+R20+AB20+AL20</f>
        <v/>
      </c>
      <c r="AU20" s="69">
        <f>AT20*7.45</f>
        <v/>
      </c>
      <c r="AV20" s="70">
        <f>I20+S20+AC20+AM20</f>
        <v/>
      </c>
      <c r="AW20" s="69">
        <f>K20+U20+AE20+AO20</f>
        <v/>
      </c>
      <c r="AX20" s="70">
        <f>L20+V20+AF20+AP20</f>
        <v/>
      </c>
      <c r="AY20" s="72">
        <f>IF(AW20&gt;0, AX20/AW20, 0)</f>
        <v/>
      </c>
    </row>
    <row r="21">
      <c r="A21" s="56" t="n">
        <v>46249</v>
      </c>
      <c r="B21" s="57" t="inlineStr">
        <is>
          <t>Sat</t>
        </is>
      </c>
      <c r="C21" s="57" t="inlineStr">
        <is>
          <t>OFF</t>
        </is>
      </c>
      <c r="D21" s="57" t="inlineStr">
        <is>
          <t>OFF</t>
        </is>
      </c>
      <c r="E21" s="59">
        <f>IF(B21="Sun", 0, IF(B21="Sat", 6, 12))</f>
        <v/>
      </c>
      <c r="F21" s="59">
        <f>IF(OR(D21="OFF", ISBLANK(D21)), 0, (D21 - C21)*24)</f>
        <v/>
      </c>
      <c r="G21" s="59">
        <f>IF(OR(B21="Sun", D21="OFF", ISBLANK(D21)), 0, MAX(0, (IF(B21="Sat", 14/24, 20/24) - D21)*24))</f>
        <v/>
      </c>
      <c r="H21" s="60" t="n">
        <v>0</v>
      </c>
      <c r="I21" s="61">
        <f>H21*7.45</f>
        <v/>
      </c>
      <c r="J21" s="61">
        <f>IF(F21&gt;0, I21/F21, 0)</f>
        <v/>
      </c>
      <c r="K21" s="61">
        <f>I21 + (G21*J21)</f>
        <v/>
      </c>
      <c r="L21" s="62">
        <f>G21*J21</f>
        <v/>
      </c>
      <c r="M21" s="57" t="inlineStr">
        <is>
          <t>OFF</t>
        </is>
      </c>
      <c r="N21" s="57" t="inlineStr">
        <is>
          <t>OFF</t>
        </is>
      </c>
      <c r="O21" s="59">
        <f>IF(B21="Sun", 0, IF(B21="Sat", 6, 12))</f>
        <v/>
      </c>
      <c r="P21" s="59">
        <f>IF(OR(N21="OFF", ISBLANK(N21)), 0, (N21 - M21)*24)</f>
        <v/>
      </c>
      <c r="Q21" s="59">
        <f>IF(OR(B21="Sun", N21="OFF", ISBLANK(N21)), 0, MAX(0, (IF(B21="Sat", 14/24, 20/24) - N21)*24))</f>
        <v/>
      </c>
      <c r="R21" s="60" t="n">
        <v>0</v>
      </c>
      <c r="S21" s="61">
        <f>R21*7.45</f>
        <v/>
      </c>
      <c r="T21" s="61">
        <f>IF(P21&gt;0, S21/P21, 0)</f>
        <v/>
      </c>
      <c r="U21" s="61">
        <f>S21 + (Q21*T21)</f>
        <v/>
      </c>
      <c r="V21" s="62">
        <f>Q21*T21</f>
        <v/>
      </c>
      <c r="W21" s="57" t="inlineStr">
        <is>
          <t>OFF</t>
        </is>
      </c>
      <c r="X21" s="57" t="inlineStr">
        <is>
          <t>OFF</t>
        </is>
      </c>
      <c r="Y21" s="59">
        <f>IF(B21="Sun", 0, IF(B21="Sat", 6, 12))</f>
        <v/>
      </c>
      <c r="Z21" s="59">
        <f>IF(OR(X21="OFF", ISBLANK(X21)), 0, (X21 - W21)*24)</f>
        <v/>
      </c>
      <c r="AA21" s="59">
        <f>IF(OR(B21="Sun", X21="OFF", ISBLANK(X21)), 0, MAX(0, (IF(B21="Sat", 14/24, 20/24) - X21)*24))</f>
        <v/>
      </c>
      <c r="AB21" s="60" t="n">
        <v>0</v>
      </c>
      <c r="AC21" s="61">
        <f>AB21*7.45</f>
        <v/>
      </c>
      <c r="AD21" s="61">
        <f>IF(Z21&gt;0, AC21/Z21, 0)</f>
        <v/>
      </c>
      <c r="AE21" s="61">
        <f>AC21 + (AA21*AD21)</f>
        <v/>
      </c>
      <c r="AF21" s="62">
        <f>AA21*AD21</f>
        <v/>
      </c>
      <c r="AG21" s="57" t="inlineStr">
        <is>
          <t>OFF</t>
        </is>
      </c>
      <c r="AH21" s="57" t="inlineStr">
        <is>
          <t>OFF</t>
        </is>
      </c>
      <c r="AI21" s="59">
        <f>IF(B21="Sun", 0, IF(B21="Sat", 6, 12))</f>
        <v/>
      </c>
      <c r="AJ21" s="59">
        <f>IF(OR(AH21="OFF", ISBLANK(AH21)), 0, (AH21 - AG21)*24)</f>
        <v/>
      </c>
      <c r="AK21" s="59">
        <f>IF(OR(B21="Sun", AH21="OFF", ISBLANK(AH21)), 0, MAX(0, (IF(B21="Sat", 14/24, 20/24) - AH21)*24))</f>
        <v/>
      </c>
      <c r="AL21" s="60" t="n">
        <v>0</v>
      </c>
      <c r="AM21" s="61">
        <f>AL21*7.45</f>
        <v/>
      </c>
      <c r="AN21" s="61">
        <f>IF(AJ21&gt;0, AM21/AJ21, 0)</f>
        <v/>
      </c>
      <c r="AO21" s="61">
        <f>AM21 + (AK21*AN21)</f>
        <v/>
      </c>
      <c r="AP21" s="62">
        <f>AK21*AN21</f>
        <v/>
      </c>
      <c r="AQ21" s="59">
        <f>E21+O21+Y21+AI21</f>
        <v/>
      </c>
      <c r="AR21" s="59">
        <f>F21+P21+Z21+AJ21</f>
        <v/>
      </c>
      <c r="AS21" s="63">
        <f>G21+Q21+AA21+AK21</f>
        <v/>
      </c>
      <c r="AT21" s="60">
        <f>H21+R21+AB21+AL21</f>
        <v/>
      </c>
      <c r="AU21" s="61">
        <f>AT21*7.45</f>
        <v/>
      </c>
      <c r="AV21" s="62">
        <f>I21+S21+AC21+AM21</f>
        <v/>
      </c>
      <c r="AW21" s="61">
        <f>K21+U21+AE21+AO21</f>
        <v/>
      </c>
      <c r="AX21" s="62">
        <f>L21+V21+AF21+AP21</f>
        <v/>
      </c>
      <c r="AY21" s="64">
        <f>IF(AW21&gt;0, AX21/AW21, 0)</f>
        <v/>
      </c>
    </row>
    <row r="22">
      <c r="A22" s="65" t="n">
        <v>46250</v>
      </c>
      <c r="B22" s="66" t="inlineStr">
        <is>
          <t>Sun</t>
        </is>
      </c>
      <c r="C22" s="66" t="inlineStr">
        <is>
          <t>OFF</t>
        </is>
      </c>
      <c r="D22" s="66" t="inlineStr">
        <is>
          <t>OFF</t>
        </is>
      </c>
      <c r="E22" s="67">
        <f>IF(B22="Sun", 0, IF(B22="Sat", 6, 12))</f>
        <v/>
      </c>
      <c r="F22" s="67">
        <f>IF(OR(D22="OFF", ISBLANK(D22)), 0, (D22 - C22)*24)</f>
        <v/>
      </c>
      <c r="G22" s="67">
        <f>IF(OR(B22="Sun", D22="OFF", ISBLANK(D22)), 0, MAX(0, (IF(B22="Sat", 14/24, 20/24) - D22)*24))</f>
        <v/>
      </c>
      <c r="H22" s="68" t="n">
        <v>0</v>
      </c>
      <c r="I22" s="69">
        <f>H22*7.45</f>
        <v/>
      </c>
      <c r="J22" s="69">
        <f>IF(F22&gt;0, I22/F22, 0)</f>
        <v/>
      </c>
      <c r="K22" s="69">
        <f>I22 + (G22*J22)</f>
        <v/>
      </c>
      <c r="L22" s="70">
        <f>G22*J22</f>
        <v/>
      </c>
      <c r="M22" s="66" t="inlineStr">
        <is>
          <t>OFF</t>
        </is>
      </c>
      <c r="N22" s="66" t="inlineStr">
        <is>
          <t>OFF</t>
        </is>
      </c>
      <c r="O22" s="67">
        <f>IF(B22="Sun", 0, IF(B22="Sat", 6, 12))</f>
        <v/>
      </c>
      <c r="P22" s="67">
        <f>IF(OR(N22="OFF", ISBLANK(N22)), 0, (N22 - M22)*24)</f>
        <v/>
      </c>
      <c r="Q22" s="67">
        <f>IF(OR(B22="Sun", N22="OFF", ISBLANK(N22)), 0, MAX(0, (IF(B22="Sat", 14/24, 20/24) - N22)*24))</f>
        <v/>
      </c>
      <c r="R22" s="68" t="n">
        <v>0</v>
      </c>
      <c r="S22" s="69">
        <f>R22*7.45</f>
        <v/>
      </c>
      <c r="T22" s="69">
        <f>IF(P22&gt;0, S22/P22, 0)</f>
        <v/>
      </c>
      <c r="U22" s="69">
        <f>S22 + (Q22*T22)</f>
        <v/>
      </c>
      <c r="V22" s="70">
        <f>Q22*T22</f>
        <v/>
      </c>
      <c r="W22" s="66" t="inlineStr">
        <is>
          <t>OFF</t>
        </is>
      </c>
      <c r="X22" s="66" t="inlineStr">
        <is>
          <t>OFF</t>
        </is>
      </c>
      <c r="Y22" s="67">
        <f>IF(B22="Sun", 0, IF(B22="Sat", 6, 12))</f>
        <v/>
      </c>
      <c r="Z22" s="67">
        <f>IF(OR(X22="OFF", ISBLANK(X22)), 0, (X22 - W22)*24)</f>
        <v/>
      </c>
      <c r="AA22" s="67">
        <f>IF(OR(B22="Sun", X22="OFF", ISBLANK(X22)), 0, MAX(0, (IF(B22="Sat", 14/24, 20/24) - X22)*24))</f>
        <v/>
      </c>
      <c r="AB22" s="68" t="n">
        <v>0</v>
      </c>
      <c r="AC22" s="69">
        <f>AB22*7.45</f>
        <v/>
      </c>
      <c r="AD22" s="69">
        <f>IF(Z22&gt;0, AC22/Z22, 0)</f>
        <v/>
      </c>
      <c r="AE22" s="69">
        <f>AC22 + (AA22*AD22)</f>
        <v/>
      </c>
      <c r="AF22" s="70">
        <f>AA22*AD22</f>
        <v/>
      </c>
      <c r="AG22" s="66" t="inlineStr">
        <is>
          <t>OFF</t>
        </is>
      </c>
      <c r="AH22" s="66" t="inlineStr">
        <is>
          <t>OFF</t>
        </is>
      </c>
      <c r="AI22" s="67">
        <f>IF(B22="Sun", 0, IF(B22="Sat", 6, 12))</f>
        <v/>
      </c>
      <c r="AJ22" s="67">
        <f>IF(OR(AH22="OFF", ISBLANK(AH22)), 0, (AH22 - AG22)*24)</f>
        <v/>
      </c>
      <c r="AK22" s="67">
        <f>IF(OR(B22="Sun", AH22="OFF", ISBLANK(AH22)), 0, MAX(0, (IF(B22="Sat", 14/24, 20/24) - AH22)*24))</f>
        <v/>
      </c>
      <c r="AL22" s="68" t="n">
        <v>0</v>
      </c>
      <c r="AM22" s="69">
        <f>AL22*7.45</f>
        <v/>
      </c>
      <c r="AN22" s="69">
        <f>IF(AJ22&gt;0, AM22/AJ22, 0)</f>
        <v/>
      </c>
      <c r="AO22" s="69">
        <f>AM22 + (AK22*AN22)</f>
        <v/>
      </c>
      <c r="AP22" s="70">
        <f>AK22*AN22</f>
        <v/>
      </c>
      <c r="AQ22" s="67">
        <f>E22+O22+Y22+AI22</f>
        <v/>
      </c>
      <c r="AR22" s="67">
        <f>F22+P22+Z22+AJ22</f>
        <v/>
      </c>
      <c r="AS22" s="71">
        <f>G22+Q22+AA22+AK22</f>
        <v/>
      </c>
      <c r="AT22" s="68">
        <f>H22+R22+AB22+AL22</f>
        <v/>
      </c>
      <c r="AU22" s="69">
        <f>AT22*7.45</f>
        <v/>
      </c>
      <c r="AV22" s="70">
        <f>I22+S22+AC22+AM22</f>
        <v/>
      </c>
      <c r="AW22" s="69">
        <f>K22+U22+AE22+AO22</f>
        <v/>
      </c>
      <c r="AX22" s="70">
        <f>L22+V22+AF22+AP22</f>
        <v/>
      </c>
      <c r="AY22" s="72">
        <f>IF(AW22&gt;0, AX22/AW22, 0)</f>
        <v/>
      </c>
    </row>
    <row r="23">
      <c r="A23" s="56" t="n">
        <v>46251</v>
      </c>
      <c r="B23" s="57" t="inlineStr">
        <is>
          <t>Mon</t>
        </is>
      </c>
      <c r="C23" s="57" t="inlineStr">
        <is>
          <t>OFF</t>
        </is>
      </c>
      <c r="D23" s="57" t="inlineStr">
        <is>
          <t>OFF</t>
        </is>
      </c>
      <c r="E23" s="59">
        <f>IF(B23="Sun", 0, IF(B23="Sat", 6, 12))</f>
        <v/>
      </c>
      <c r="F23" s="59">
        <f>IF(OR(D23="OFF", ISBLANK(D23)), 0, (D23 - C23)*24)</f>
        <v/>
      </c>
      <c r="G23" s="59">
        <f>IF(OR(B23="Sun", D23="OFF", ISBLANK(D23)), 0, MAX(0, (IF(B23="Sat", 14/24, 20/24) - D23)*24))</f>
        <v/>
      </c>
      <c r="H23" s="60" t="n">
        <v>0</v>
      </c>
      <c r="I23" s="61">
        <f>H23*7.45</f>
        <v/>
      </c>
      <c r="J23" s="61">
        <f>IF(F23&gt;0, I23/F23, 0)</f>
        <v/>
      </c>
      <c r="K23" s="61">
        <f>I23 + (G23*J23)</f>
        <v/>
      </c>
      <c r="L23" s="62">
        <f>G23*J23</f>
        <v/>
      </c>
      <c r="M23" s="57" t="inlineStr">
        <is>
          <t>OFF</t>
        </is>
      </c>
      <c r="N23" s="57" t="inlineStr">
        <is>
          <t>OFF</t>
        </is>
      </c>
      <c r="O23" s="59">
        <f>IF(B23="Sun", 0, IF(B23="Sat", 6, 12))</f>
        <v/>
      </c>
      <c r="P23" s="59">
        <f>IF(OR(N23="OFF", ISBLANK(N23)), 0, (N23 - M23)*24)</f>
        <v/>
      </c>
      <c r="Q23" s="59">
        <f>IF(OR(B23="Sun", N23="OFF", ISBLANK(N23)), 0, MAX(0, (IF(B23="Sat", 14/24, 20/24) - N23)*24))</f>
        <v/>
      </c>
      <c r="R23" s="60" t="n">
        <v>0</v>
      </c>
      <c r="S23" s="61">
        <f>R23*7.45</f>
        <v/>
      </c>
      <c r="T23" s="61">
        <f>IF(P23&gt;0, S23/P23, 0)</f>
        <v/>
      </c>
      <c r="U23" s="61">
        <f>S23 + (Q23*T23)</f>
        <v/>
      </c>
      <c r="V23" s="62">
        <f>Q23*T23</f>
        <v/>
      </c>
      <c r="W23" s="57" t="inlineStr">
        <is>
          <t>OFF</t>
        </is>
      </c>
      <c r="X23" s="57" t="inlineStr">
        <is>
          <t>OFF</t>
        </is>
      </c>
      <c r="Y23" s="59">
        <f>IF(B23="Sun", 0, IF(B23="Sat", 6, 12))</f>
        <v/>
      </c>
      <c r="Z23" s="59">
        <f>IF(OR(X23="OFF", ISBLANK(X23)), 0, (X23 - W23)*24)</f>
        <v/>
      </c>
      <c r="AA23" s="59">
        <f>IF(OR(B23="Sun", X23="OFF", ISBLANK(X23)), 0, MAX(0, (IF(B23="Sat", 14/24, 20/24) - X23)*24))</f>
        <v/>
      </c>
      <c r="AB23" s="60" t="n">
        <v>0</v>
      </c>
      <c r="AC23" s="61">
        <f>AB23*7.45</f>
        <v/>
      </c>
      <c r="AD23" s="61">
        <f>IF(Z23&gt;0, AC23/Z23, 0)</f>
        <v/>
      </c>
      <c r="AE23" s="61">
        <f>AC23 + (AA23*AD23)</f>
        <v/>
      </c>
      <c r="AF23" s="62">
        <f>AA23*AD23</f>
        <v/>
      </c>
      <c r="AG23" s="57" t="inlineStr">
        <is>
          <t>OFF</t>
        </is>
      </c>
      <c r="AH23" s="57" t="inlineStr">
        <is>
          <t>OFF</t>
        </is>
      </c>
      <c r="AI23" s="59">
        <f>IF(B23="Sun", 0, IF(B23="Sat", 6, 12))</f>
        <v/>
      </c>
      <c r="AJ23" s="59">
        <f>IF(OR(AH23="OFF", ISBLANK(AH23)), 0, (AH23 - AG23)*24)</f>
        <v/>
      </c>
      <c r="AK23" s="59">
        <f>IF(OR(B23="Sun", AH23="OFF", ISBLANK(AH23)), 0, MAX(0, (IF(B23="Sat", 14/24, 20/24) - AH23)*24))</f>
        <v/>
      </c>
      <c r="AL23" s="60" t="n">
        <v>0</v>
      </c>
      <c r="AM23" s="61">
        <f>AL23*7.45</f>
        <v/>
      </c>
      <c r="AN23" s="61">
        <f>IF(AJ23&gt;0, AM23/AJ23, 0)</f>
        <v/>
      </c>
      <c r="AO23" s="61">
        <f>AM23 + (AK23*AN23)</f>
        <v/>
      </c>
      <c r="AP23" s="62">
        <f>AK23*AN23</f>
        <v/>
      </c>
      <c r="AQ23" s="59">
        <f>E23+O23+Y23+AI23</f>
        <v/>
      </c>
      <c r="AR23" s="59">
        <f>F23+P23+Z23+AJ23</f>
        <v/>
      </c>
      <c r="AS23" s="63">
        <f>G23+Q23+AA23+AK23</f>
        <v/>
      </c>
      <c r="AT23" s="60">
        <f>H23+R23+AB23+AL23</f>
        <v/>
      </c>
      <c r="AU23" s="61">
        <f>AT23*7.45</f>
        <v/>
      </c>
      <c r="AV23" s="62">
        <f>I23+S23+AC23+AM23</f>
        <v/>
      </c>
      <c r="AW23" s="61">
        <f>K23+U23+AE23+AO23</f>
        <v/>
      </c>
      <c r="AX23" s="62">
        <f>L23+V23+AF23+AP23</f>
        <v/>
      </c>
      <c r="AY23" s="64">
        <f>IF(AW23&gt;0, AX23/AW23, 0)</f>
        <v/>
      </c>
    </row>
    <row r="24">
      <c r="A24" s="65" t="n">
        <v>46252</v>
      </c>
      <c r="B24" s="66" t="inlineStr">
        <is>
          <t>Tue</t>
        </is>
      </c>
      <c r="C24" s="66" t="inlineStr">
        <is>
          <t>OFF</t>
        </is>
      </c>
      <c r="D24" s="66" t="inlineStr">
        <is>
          <t>OFF</t>
        </is>
      </c>
      <c r="E24" s="67">
        <f>IF(B24="Sun", 0, IF(B24="Sat", 6, 12))</f>
        <v/>
      </c>
      <c r="F24" s="67">
        <f>IF(OR(D24="OFF", ISBLANK(D24)), 0, (D24 - C24)*24)</f>
        <v/>
      </c>
      <c r="G24" s="67">
        <f>IF(OR(B24="Sun", D24="OFF", ISBLANK(D24)), 0, MAX(0, (IF(B24="Sat", 14/24, 20/24) - D24)*24))</f>
        <v/>
      </c>
      <c r="H24" s="68" t="n">
        <v>0</v>
      </c>
      <c r="I24" s="69">
        <f>H24*7.45</f>
        <v/>
      </c>
      <c r="J24" s="69">
        <f>IF(F24&gt;0, I24/F24, 0)</f>
        <v/>
      </c>
      <c r="K24" s="69">
        <f>I24 + (G24*J24)</f>
        <v/>
      </c>
      <c r="L24" s="70">
        <f>G24*J24</f>
        <v/>
      </c>
      <c r="M24" s="66" t="inlineStr">
        <is>
          <t>OFF</t>
        </is>
      </c>
      <c r="N24" s="66" t="inlineStr">
        <is>
          <t>OFF</t>
        </is>
      </c>
      <c r="O24" s="67">
        <f>IF(B24="Sun", 0, IF(B24="Sat", 6, 12))</f>
        <v/>
      </c>
      <c r="P24" s="67">
        <f>IF(OR(N24="OFF", ISBLANK(N24)), 0, (N24 - M24)*24)</f>
        <v/>
      </c>
      <c r="Q24" s="67">
        <f>IF(OR(B24="Sun", N24="OFF", ISBLANK(N24)), 0, MAX(0, (IF(B24="Sat", 14/24, 20/24) - N24)*24))</f>
        <v/>
      </c>
      <c r="R24" s="68" t="n">
        <v>0</v>
      </c>
      <c r="S24" s="69">
        <f>R24*7.45</f>
        <v/>
      </c>
      <c r="T24" s="69">
        <f>IF(P24&gt;0, S24/P24, 0)</f>
        <v/>
      </c>
      <c r="U24" s="69">
        <f>S24 + (Q24*T24)</f>
        <v/>
      </c>
      <c r="V24" s="70">
        <f>Q24*T24</f>
        <v/>
      </c>
      <c r="W24" s="66" t="inlineStr">
        <is>
          <t>OFF</t>
        </is>
      </c>
      <c r="X24" s="66" t="inlineStr">
        <is>
          <t>OFF</t>
        </is>
      </c>
      <c r="Y24" s="67">
        <f>IF(B24="Sun", 0, IF(B24="Sat", 6, 12))</f>
        <v/>
      </c>
      <c r="Z24" s="67">
        <f>IF(OR(X24="OFF", ISBLANK(X24)), 0, (X24 - W24)*24)</f>
        <v/>
      </c>
      <c r="AA24" s="67">
        <f>IF(OR(B24="Sun", X24="OFF", ISBLANK(X24)), 0, MAX(0, (IF(B24="Sat", 14/24, 20/24) - X24)*24))</f>
        <v/>
      </c>
      <c r="AB24" s="68" t="n">
        <v>0</v>
      </c>
      <c r="AC24" s="69">
        <f>AB24*7.45</f>
        <v/>
      </c>
      <c r="AD24" s="69">
        <f>IF(Z24&gt;0, AC24/Z24, 0)</f>
        <v/>
      </c>
      <c r="AE24" s="69">
        <f>AC24 + (AA24*AD24)</f>
        <v/>
      </c>
      <c r="AF24" s="70">
        <f>AA24*AD24</f>
        <v/>
      </c>
      <c r="AG24" s="66" t="inlineStr">
        <is>
          <t>OFF</t>
        </is>
      </c>
      <c r="AH24" s="66" t="inlineStr">
        <is>
          <t>OFF</t>
        </is>
      </c>
      <c r="AI24" s="67">
        <f>IF(B24="Sun", 0, IF(B24="Sat", 6, 12))</f>
        <v/>
      </c>
      <c r="AJ24" s="67">
        <f>IF(OR(AH24="OFF", ISBLANK(AH24)), 0, (AH24 - AG24)*24)</f>
        <v/>
      </c>
      <c r="AK24" s="67">
        <f>IF(OR(B24="Sun", AH24="OFF", ISBLANK(AH24)), 0, MAX(0, (IF(B24="Sat", 14/24, 20/24) - AH24)*24))</f>
        <v/>
      </c>
      <c r="AL24" s="68" t="n">
        <v>0</v>
      </c>
      <c r="AM24" s="69">
        <f>AL24*7.45</f>
        <v/>
      </c>
      <c r="AN24" s="69">
        <f>IF(AJ24&gt;0, AM24/AJ24, 0)</f>
        <v/>
      </c>
      <c r="AO24" s="69">
        <f>AM24 + (AK24*AN24)</f>
        <v/>
      </c>
      <c r="AP24" s="70">
        <f>AK24*AN24</f>
        <v/>
      </c>
      <c r="AQ24" s="67">
        <f>E24+O24+Y24+AI24</f>
        <v/>
      </c>
      <c r="AR24" s="67">
        <f>F24+P24+Z24+AJ24</f>
        <v/>
      </c>
      <c r="AS24" s="71">
        <f>G24+Q24+AA24+AK24</f>
        <v/>
      </c>
      <c r="AT24" s="68">
        <f>H24+R24+AB24+AL24</f>
        <v/>
      </c>
      <c r="AU24" s="69">
        <f>AT24*7.45</f>
        <v/>
      </c>
      <c r="AV24" s="70">
        <f>I24+S24+AC24+AM24</f>
        <v/>
      </c>
      <c r="AW24" s="69">
        <f>K24+U24+AE24+AO24</f>
        <v/>
      </c>
      <c r="AX24" s="70">
        <f>L24+V24+AF24+AP24</f>
        <v/>
      </c>
      <c r="AY24" s="72">
        <f>IF(AW24&gt;0, AX24/AW24, 0)</f>
        <v/>
      </c>
    </row>
    <row r="25">
      <c r="A25" s="56" t="n">
        <v>46253</v>
      </c>
      <c r="B25" s="57" t="inlineStr">
        <is>
          <t>Wed</t>
        </is>
      </c>
      <c r="C25" s="57" t="inlineStr">
        <is>
          <t>OFF</t>
        </is>
      </c>
      <c r="D25" s="57" t="inlineStr">
        <is>
          <t>OFF</t>
        </is>
      </c>
      <c r="E25" s="59">
        <f>IF(B25="Sun", 0, IF(B25="Sat", 6, 12))</f>
        <v/>
      </c>
      <c r="F25" s="59">
        <f>IF(OR(D25="OFF", ISBLANK(D25)), 0, (D25 - C25)*24)</f>
        <v/>
      </c>
      <c r="G25" s="59">
        <f>IF(OR(B25="Sun", D25="OFF", ISBLANK(D25)), 0, MAX(0, (IF(B25="Sat", 14/24, 20/24) - D25)*24))</f>
        <v/>
      </c>
      <c r="H25" s="60" t="n">
        <v>0</v>
      </c>
      <c r="I25" s="61">
        <f>H25*7.45</f>
        <v/>
      </c>
      <c r="J25" s="61">
        <f>IF(F25&gt;0, I25/F25, 0)</f>
        <v/>
      </c>
      <c r="K25" s="61">
        <f>I25 + (G25*J25)</f>
        <v/>
      </c>
      <c r="L25" s="62">
        <f>G25*J25</f>
        <v/>
      </c>
      <c r="M25" s="57" t="inlineStr">
        <is>
          <t>OFF</t>
        </is>
      </c>
      <c r="N25" s="57" t="inlineStr">
        <is>
          <t>OFF</t>
        </is>
      </c>
      <c r="O25" s="59">
        <f>IF(B25="Sun", 0, IF(B25="Sat", 6, 12))</f>
        <v/>
      </c>
      <c r="P25" s="59">
        <f>IF(OR(N25="OFF", ISBLANK(N25)), 0, (N25 - M25)*24)</f>
        <v/>
      </c>
      <c r="Q25" s="59">
        <f>IF(OR(B25="Sun", N25="OFF", ISBLANK(N25)), 0, MAX(0, (IF(B25="Sat", 14/24, 20/24) - N25)*24))</f>
        <v/>
      </c>
      <c r="R25" s="60" t="n">
        <v>0</v>
      </c>
      <c r="S25" s="61">
        <f>R25*7.45</f>
        <v/>
      </c>
      <c r="T25" s="61">
        <f>IF(P25&gt;0, S25/P25, 0)</f>
        <v/>
      </c>
      <c r="U25" s="61">
        <f>S25 + (Q25*T25)</f>
        <v/>
      </c>
      <c r="V25" s="62">
        <f>Q25*T25</f>
        <v/>
      </c>
      <c r="W25" s="57" t="inlineStr">
        <is>
          <t>OFF</t>
        </is>
      </c>
      <c r="X25" s="57" t="inlineStr">
        <is>
          <t>OFF</t>
        </is>
      </c>
      <c r="Y25" s="59">
        <f>IF(B25="Sun", 0, IF(B25="Sat", 6, 12))</f>
        <v/>
      </c>
      <c r="Z25" s="59">
        <f>IF(OR(X25="OFF", ISBLANK(X25)), 0, (X25 - W25)*24)</f>
        <v/>
      </c>
      <c r="AA25" s="59">
        <f>IF(OR(B25="Sun", X25="OFF", ISBLANK(X25)), 0, MAX(0, (IF(B25="Sat", 14/24, 20/24) - X25)*24))</f>
        <v/>
      </c>
      <c r="AB25" s="60" t="n">
        <v>0</v>
      </c>
      <c r="AC25" s="61">
        <f>AB25*7.45</f>
        <v/>
      </c>
      <c r="AD25" s="61">
        <f>IF(Z25&gt;0, AC25/Z25, 0)</f>
        <v/>
      </c>
      <c r="AE25" s="61">
        <f>AC25 + (AA25*AD25)</f>
        <v/>
      </c>
      <c r="AF25" s="62">
        <f>AA25*AD25</f>
        <v/>
      </c>
      <c r="AG25" s="57" t="inlineStr">
        <is>
          <t>OFF</t>
        </is>
      </c>
      <c r="AH25" s="57" t="inlineStr">
        <is>
          <t>OFF</t>
        </is>
      </c>
      <c r="AI25" s="59">
        <f>IF(B25="Sun", 0, IF(B25="Sat", 6, 12))</f>
        <v/>
      </c>
      <c r="AJ25" s="59">
        <f>IF(OR(AH25="OFF", ISBLANK(AH25)), 0, (AH25 - AG25)*24)</f>
        <v/>
      </c>
      <c r="AK25" s="59">
        <f>IF(OR(B25="Sun", AH25="OFF", ISBLANK(AH25)), 0, MAX(0, (IF(B25="Sat", 14/24, 20/24) - AH25)*24))</f>
        <v/>
      </c>
      <c r="AL25" s="60" t="n">
        <v>0</v>
      </c>
      <c r="AM25" s="61">
        <f>AL25*7.45</f>
        <v/>
      </c>
      <c r="AN25" s="61">
        <f>IF(AJ25&gt;0, AM25/AJ25, 0)</f>
        <v/>
      </c>
      <c r="AO25" s="61">
        <f>AM25 + (AK25*AN25)</f>
        <v/>
      </c>
      <c r="AP25" s="62">
        <f>AK25*AN25</f>
        <v/>
      </c>
      <c r="AQ25" s="59">
        <f>E25+O25+Y25+AI25</f>
        <v/>
      </c>
      <c r="AR25" s="59">
        <f>F25+P25+Z25+AJ25</f>
        <v/>
      </c>
      <c r="AS25" s="63">
        <f>G25+Q25+AA25+AK25</f>
        <v/>
      </c>
      <c r="AT25" s="60">
        <f>H25+R25+AB25+AL25</f>
        <v/>
      </c>
      <c r="AU25" s="61">
        <f>AT25*7.45</f>
        <v/>
      </c>
      <c r="AV25" s="62">
        <f>I25+S25+AC25+AM25</f>
        <v/>
      </c>
      <c r="AW25" s="61">
        <f>K25+U25+AE25+AO25</f>
        <v/>
      </c>
      <c r="AX25" s="62">
        <f>L25+V25+AF25+AP25</f>
        <v/>
      </c>
      <c r="AY25" s="64">
        <f>IF(AW25&gt;0, AX25/AW25, 0)</f>
        <v/>
      </c>
    </row>
    <row r="26">
      <c r="A26" s="65" t="n">
        <v>46254</v>
      </c>
      <c r="B26" s="66" t="inlineStr">
        <is>
          <t>Thu</t>
        </is>
      </c>
      <c r="C26" s="66" t="inlineStr">
        <is>
          <t>OFF</t>
        </is>
      </c>
      <c r="D26" s="66" t="inlineStr">
        <is>
          <t>OFF</t>
        </is>
      </c>
      <c r="E26" s="67">
        <f>IF(B26="Sun", 0, IF(B26="Sat", 6, 12))</f>
        <v/>
      </c>
      <c r="F26" s="67">
        <f>IF(OR(D26="OFF", ISBLANK(D26)), 0, (D26 - C26)*24)</f>
        <v/>
      </c>
      <c r="G26" s="67">
        <f>IF(OR(B26="Sun", D26="OFF", ISBLANK(D26)), 0, MAX(0, (IF(B26="Sat", 14/24, 20/24) - D26)*24))</f>
        <v/>
      </c>
      <c r="H26" s="68" t="n">
        <v>0</v>
      </c>
      <c r="I26" s="69">
        <f>H26*7.45</f>
        <v/>
      </c>
      <c r="J26" s="69">
        <f>IF(F26&gt;0, I26/F26, 0)</f>
        <v/>
      </c>
      <c r="K26" s="69">
        <f>I26 + (G26*J26)</f>
        <v/>
      </c>
      <c r="L26" s="70">
        <f>G26*J26</f>
        <v/>
      </c>
      <c r="M26" s="66" t="inlineStr">
        <is>
          <t>OFF</t>
        </is>
      </c>
      <c r="N26" s="66" t="inlineStr">
        <is>
          <t>OFF</t>
        </is>
      </c>
      <c r="O26" s="67">
        <f>IF(B26="Sun", 0, IF(B26="Sat", 6, 12))</f>
        <v/>
      </c>
      <c r="P26" s="67">
        <f>IF(OR(N26="OFF", ISBLANK(N26)), 0, (N26 - M26)*24)</f>
        <v/>
      </c>
      <c r="Q26" s="67">
        <f>IF(OR(B26="Sun", N26="OFF", ISBLANK(N26)), 0, MAX(0, (IF(B26="Sat", 14/24, 20/24) - N26)*24))</f>
        <v/>
      </c>
      <c r="R26" s="68" t="n">
        <v>0</v>
      </c>
      <c r="S26" s="69">
        <f>R26*7.45</f>
        <v/>
      </c>
      <c r="T26" s="69">
        <f>IF(P26&gt;0, S26/P26, 0)</f>
        <v/>
      </c>
      <c r="U26" s="69">
        <f>S26 + (Q26*T26)</f>
        <v/>
      </c>
      <c r="V26" s="70">
        <f>Q26*T26</f>
        <v/>
      </c>
      <c r="W26" s="66" t="inlineStr">
        <is>
          <t>OFF</t>
        </is>
      </c>
      <c r="X26" s="66" t="inlineStr">
        <is>
          <t>OFF</t>
        </is>
      </c>
      <c r="Y26" s="67">
        <f>IF(B26="Sun", 0, IF(B26="Sat", 6, 12))</f>
        <v/>
      </c>
      <c r="Z26" s="67">
        <f>IF(OR(X26="OFF", ISBLANK(X26)), 0, (X26 - W26)*24)</f>
        <v/>
      </c>
      <c r="AA26" s="67">
        <f>IF(OR(B26="Sun", X26="OFF", ISBLANK(X26)), 0, MAX(0, (IF(B26="Sat", 14/24, 20/24) - X26)*24))</f>
        <v/>
      </c>
      <c r="AB26" s="68" t="n">
        <v>0</v>
      </c>
      <c r="AC26" s="69">
        <f>AB26*7.45</f>
        <v/>
      </c>
      <c r="AD26" s="69">
        <f>IF(Z26&gt;0, AC26/Z26, 0)</f>
        <v/>
      </c>
      <c r="AE26" s="69">
        <f>AC26 + (AA26*AD26)</f>
        <v/>
      </c>
      <c r="AF26" s="70">
        <f>AA26*AD26</f>
        <v/>
      </c>
      <c r="AG26" s="66" t="inlineStr">
        <is>
          <t>OFF</t>
        </is>
      </c>
      <c r="AH26" s="66" t="inlineStr">
        <is>
          <t>OFF</t>
        </is>
      </c>
      <c r="AI26" s="67">
        <f>IF(B26="Sun", 0, IF(B26="Sat", 6, 12))</f>
        <v/>
      </c>
      <c r="AJ26" s="67">
        <f>IF(OR(AH26="OFF", ISBLANK(AH26)), 0, (AH26 - AG26)*24)</f>
        <v/>
      </c>
      <c r="AK26" s="67">
        <f>IF(OR(B26="Sun", AH26="OFF", ISBLANK(AH26)), 0, MAX(0, (IF(B26="Sat", 14/24, 20/24) - AH26)*24))</f>
        <v/>
      </c>
      <c r="AL26" s="68" t="n">
        <v>0</v>
      </c>
      <c r="AM26" s="69">
        <f>AL26*7.45</f>
        <v/>
      </c>
      <c r="AN26" s="69">
        <f>IF(AJ26&gt;0, AM26/AJ26, 0)</f>
        <v/>
      </c>
      <c r="AO26" s="69">
        <f>AM26 + (AK26*AN26)</f>
        <v/>
      </c>
      <c r="AP26" s="70">
        <f>AK26*AN26</f>
        <v/>
      </c>
      <c r="AQ26" s="67">
        <f>E26+O26+Y26+AI26</f>
        <v/>
      </c>
      <c r="AR26" s="67">
        <f>F26+P26+Z26+AJ26</f>
        <v/>
      </c>
      <c r="AS26" s="71">
        <f>G26+Q26+AA26+AK26</f>
        <v/>
      </c>
      <c r="AT26" s="68">
        <f>H26+R26+AB26+AL26</f>
        <v/>
      </c>
      <c r="AU26" s="69">
        <f>AT26*7.45</f>
        <v/>
      </c>
      <c r="AV26" s="70">
        <f>I26+S26+AC26+AM26</f>
        <v/>
      </c>
      <c r="AW26" s="69">
        <f>K26+U26+AE26+AO26</f>
        <v/>
      </c>
      <c r="AX26" s="70">
        <f>L26+V26+AF26+AP26</f>
        <v/>
      </c>
      <c r="AY26" s="72">
        <f>IF(AW26&gt;0, AX26/AW26, 0)</f>
        <v/>
      </c>
    </row>
    <row r="27">
      <c r="A27" s="56" t="n">
        <v>46255</v>
      </c>
      <c r="B27" s="57" t="inlineStr">
        <is>
          <t>Fri</t>
        </is>
      </c>
      <c r="C27" s="57" t="inlineStr">
        <is>
          <t>OFF</t>
        </is>
      </c>
      <c r="D27" s="57" t="inlineStr">
        <is>
          <t>OFF</t>
        </is>
      </c>
      <c r="E27" s="59">
        <f>IF(B27="Sun", 0, IF(B27="Sat", 6, 12))</f>
        <v/>
      </c>
      <c r="F27" s="59">
        <f>IF(OR(D27="OFF", ISBLANK(D27)), 0, (D27 - C27)*24)</f>
        <v/>
      </c>
      <c r="G27" s="59">
        <f>IF(OR(B27="Sun", D27="OFF", ISBLANK(D27)), 0, MAX(0, (IF(B27="Sat", 14/24, 20/24) - D27)*24))</f>
        <v/>
      </c>
      <c r="H27" s="60" t="n">
        <v>0</v>
      </c>
      <c r="I27" s="61">
        <f>H27*7.45</f>
        <v/>
      </c>
      <c r="J27" s="61">
        <f>IF(F27&gt;0, I27/F27, 0)</f>
        <v/>
      </c>
      <c r="K27" s="61">
        <f>I27 + (G27*J27)</f>
        <v/>
      </c>
      <c r="L27" s="62">
        <f>G27*J27</f>
        <v/>
      </c>
      <c r="M27" s="57" t="inlineStr">
        <is>
          <t>OFF</t>
        </is>
      </c>
      <c r="N27" s="57" t="inlineStr">
        <is>
          <t>OFF</t>
        </is>
      </c>
      <c r="O27" s="59">
        <f>IF(B27="Sun", 0, IF(B27="Sat", 6, 12))</f>
        <v/>
      </c>
      <c r="P27" s="59">
        <f>IF(OR(N27="OFF", ISBLANK(N27)), 0, (N27 - M27)*24)</f>
        <v/>
      </c>
      <c r="Q27" s="59">
        <f>IF(OR(B27="Sun", N27="OFF", ISBLANK(N27)), 0, MAX(0, (IF(B27="Sat", 14/24, 20/24) - N27)*24))</f>
        <v/>
      </c>
      <c r="R27" s="60" t="n">
        <v>0</v>
      </c>
      <c r="S27" s="61">
        <f>R27*7.45</f>
        <v/>
      </c>
      <c r="T27" s="61">
        <f>IF(P27&gt;0, S27/P27, 0)</f>
        <v/>
      </c>
      <c r="U27" s="61">
        <f>S27 + (Q27*T27)</f>
        <v/>
      </c>
      <c r="V27" s="62">
        <f>Q27*T27</f>
        <v/>
      </c>
      <c r="W27" s="57" t="inlineStr">
        <is>
          <t>OFF</t>
        </is>
      </c>
      <c r="X27" s="57" t="inlineStr">
        <is>
          <t>OFF</t>
        </is>
      </c>
      <c r="Y27" s="59">
        <f>IF(B27="Sun", 0, IF(B27="Sat", 6, 12))</f>
        <v/>
      </c>
      <c r="Z27" s="59">
        <f>IF(OR(X27="OFF", ISBLANK(X27)), 0, (X27 - W27)*24)</f>
        <v/>
      </c>
      <c r="AA27" s="59">
        <f>IF(OR(B27="Sun", X27="OFF", ISBLANK(X27)), 0, MAX(0, (IF(B27="Sat", 14/24, 20/24) - X27)*24))</f>
        <v/>
      </c>
      <c r="AB27" s="60" t="n">
        <v>0</v>
      </c>
      <c r="AC27" s="61">
        <f>AB27*7.45</f>
        <v/>
      </c>
      <c r="AD27" s="61">
        <f>IF(Z27&gt;0, AC27/Z27, 0)</f>
        <v/>
      </c>
      <c r="AE27" s="61">
        <f>AC27 + (AA27*AD27)</f>
        <v/>
      </c>
      <c r="AF27" s="62">
        <f>AA27*AD27</f>
        <v/>
      </c>
      <c r="AG27" s="57" t="inlineStr">
        <is>
          <t>OFF</t>
        </is>
      </c>
      <c r="AH27" s="57" t="inlineStr">
        <is>
          <t>OFF</t>
        </is>
      </c>
      <c r="AI27" s="59">
        <f>IF(B27="Sun", 0, IF(B27="Sat", 6, 12))</f>
        <v/>
      </c>
      <c r="AJ27" s="59">
        <f>IF(OR(AH27="OFF", ISBLANK(AH27)), 0, (AH27 - AG27)*24)</f>
        <v/>
      </c>
      <c r="AK27" s="59">
        <f>IF(OR(B27="Sun", AH27="OFF", ISBLANK(AH27)), 0, MAX(0, (IF(B27="Sat", 14/24, 20/24) - AH27)*24))</f>
        <v/>
      </c>
      <c r="AL27" s="60" t="n">
        <v>0</v>
      </c>
      <c r="AM27" s="61">
        <f>AL27*7.45</f>
        <v/>
      </c>
      <c r="AN27" s="61">
        <f>IF(AJ27&gt;0, AM27/AJ27, 0)</f>
        <v/>
      </c>
      <c r="AO27" s="61">
        <f>AM27 + (AK27*AN27)</f>
        <v/>
      </c>
      <c r="AP27" s="62">
        <f>AK27*AN27</f>
        <v/>
      </c>
      <c r="AQ27" s="59">
        <f>E27+O27+Y27+AI27</f>
        <v/>
      </c>
      <c r="AR27" s="59">
        <f>F27+P27+Z27+AJ27</f>
        <v/>
      </c>
      <c r="AS27" s="63">
        <f>G27+Q27+AA27+AK27</f>
        <v/>
      </c>
      <c r="AT27" s="60">
        <f>H27+R27+AB27+AL27</f>
        <v/>
      </c>
      <c r="AU27" s="61">
        <f>AT27*7.45</f>
        <v/>
      </c>
      <c r="AV27" s="62">
        <f>I27+S27+AC27+AM27</f>
        <v/>
      </c>
      <c r="AW27" s="61">
        <f>K27+U27+AE27+AO27</f>
        <v/>
      </c>
      <c r="AX27" s="62">
        <f>L27+V27+AF27+AP27</f>
        <v/>
      </c>
      <c r="AY27" s="64">
        <f>IF(AW27&gt;0, AX27/AW27, 0)</f>
        <v/>
      </c>
    </row>
    <row r="28">
      <c r="A28" s="65" t="n">
        <v>46256</v>
      </c>
      <c r="B28" s="66" t="inlineStr">
        <is>
          <t>Sat</t>
        </is>
      </c>
      <c r="C28" s="66" t="inlineStr">
        <is>
          <t>OFF</t>
        </is>
      </c>
      <c r="D28" s="66" t="inlineStr">
        <is>
          <t>OFF</t>
        </is>
      </c>
      <c r="E28" s="67">
        <f>IF(B28="Sun", 0, IF(B28="Sat", 6, 12))</f>
        <v/>
      </c>
      <c r="F28" s="67">
        <f>IF(OR(D28="OFF", ISBLANK(D28)), 0, (D28 - C28)*24)</f>
        <v/>
      </c>
      <c r="G28" s="67">
        <f>IF(OR(B28="Sun", D28="OFF", ISBLANK(D28)), 0, MAX(0, (IF(B28="Sat", 14/24, 20/24) - D28)*24))</f>
        <v/>
      </c>
      <c r="H28" s="68" t="n">
        <v>0</v>
      </c>
      <c r="I28" s="69">
        <f>H28*7.45</f>
        <v/>
      </c>
      <c r="J28" s="69">
        <f>IF(F28&gt;0, I28/F28, 0)</f>
        <v/>
      </c>
      <c r="K28" s="69">
        <f>I28 + (G28*J28)</f>
        <v/>
      </c>
      <c r="L28" s="70">
        <f>G28*J28</f>
        <v/>
      </c>
      <c r="M28" s="66" t="inlineStr">
        <is>
          <t>OFF</t>
        </is>
      </c>
      <c r="N28" s="66" t="inlineStr">
        <is>
          <t>OFF</t>
        </is>
      </c>
      <c r="O28" s="67">
        <f>IF(B28="Sun", 0, IF(B28="Sat", 6, 12))</f>
        <v/>
      </c>
      <c r="P28" s="67">
        <f>IF(OR(N28="OFF", ISBLANK(N28)), 0, (N28 - M28)*24)</f>
        <v/>
      </c>
      <c r="Q28" s="67">
        <f>IF(OR(B28="Sun", N28="OFF", ISBLANK(N28)), 0, MAX(0, (IF(B28="Sat", 14/24, 20/24) - N28)*24))</f>
        <v/>
      </c>
      <c r="R28" s="68" t="n">
        <v>0</v>
      </c>
      <c r="S28" s="69">
        <f>R28*7.45</f>
        <v/>
      </c>
      <c r="T28" s="69">
        <f>IF(P28&gt;0, S28/P28, 0)</f>
        <v/>
      </c>
      <c r="U28" s="69">
        <f>S28 + (Q28*T28)</f>
        <v/>
      </c>
      <c r="V28" s="70">
        <f>Q28*T28</f>
        <v/>
      </c>
      <c r="W28" s="66" t="inlineStr">
        <is>
          <t>OFF</t>
        </is>
      </c>
      <c r="X28" s="66" t="inlineStr">
        <is>
          <t>OFF</t>
        </is>
      </c>
      <c r="Y28" s="67">
        <f>IF(B28="Sun", 0, IF(B28="Sat", 6, 12))</f>
        <v/>
      </c>
      <c r="Z28" s="67">
        <f>IF(OR(X28="OFF", ISBLANK(X28)), 0, (X28 - W28)*24)</f>
        <v/>
      </c>
      <c r="AA28" s="67">
        <f>IF(OR(B28="Sun", X28="OFF", ISBLANK(X28)), 0, MAX(0, (IF(B28="Sat", 14/24, 20/24) - X28)*24))</f>
        <v/>
      </c>
      <c r="AB28" s="68" t="n">
        <v>0</v>
      </c>
      <c r="AC28" s="69">
        <f>AB28*7.45</f>
        <v/>
      </c>
      <c r="AD28" s="69">
        <f>IF(Z28&gt;0, AC28/Z28, 0)</f>
        <v/>
      </c>
      <c r="AE28" s="69">
        <f>AC28 + (AA28*AD28)</f>
        <v/>
      </c>
      <c r="AF28" s="70">
        <f>AA28*AD28</f>
        <v/>
      </c>
      <c r="AG28" s="66" t="inlineStr">
        <is>
          <t>OFF</t>
        </is>
      </c>
      <c r="AH28" s="66" t="inlineStr">
        <is>
          <t>OFF</t>
        </is>
      </c>
      <c r="AI28" s="67">
        <f>IF(B28="Sun", 0, IF(B28="Sat", 6, 12))</f>
        <v/>
      </c>
      <c r="AJ28" s="67">
        <f>IF(OR(AH28="OFF", ISBLANK(AH28)), 0, (AH28 - AG28)*24)</f>
        <v/>
      </c>
      <c r="AK28" s="67">
        <f>IF(OR(B28="Sun", AH28="OFF", ISBLANK(AH28)), 0, MAX(0, (IF(B28="Sat", 14/24, 20/24) - AH28)*24))</f>
        <v/>
      </c>
      <c r="AL28" s="68" t="n">
        <v>0</v>
      </c>
      <c r="AM28" s="69">
        <f>AL28*7.45</f>
        <v/>
      </c>
      <c r="AN28" s="69">
        <f>IF(AJ28&gt;0, AM28/AJ28, 0)</f>
        <v/>
      </c>
      <c r="AO28" s="69">
        <f>AM28 + (AK28*AN28)</f>
        <v/>
      </c>
      <c r="AP28" s="70">
        <f>AK28*AN28</f>
        <v/>
      </c>
      <c r="AQ28" s="67">
        <f>E28+O28+Y28+AI28</f>
        <v/>
      </c>
      <c r="AR28" s="67">
        <f>F28+P28+Z28+AJ28</f>
        <v/>
      </c>
      <c r="AS28" s="71">
        <f>G28+Q28+AA28+AK28</f>
        <v/>
      </c>
      <c r="AT28" s="68">
        <f>H28+R28+AB28+AL28</f>
        <v/>
      </c>
      <c r="AU28" s="69">
        <f>AT28*7.45</f>
        <v/>
      </c>
      <c r="AV28" s="70">
        <f>I28+S28+AC28+AM28</f>
        <v/>
      </c>
      <c r="AW28" s="69">
        <f>K28+U28+AE28+AO28</f>
        <v/>
      </c>
      <c r="AX28" s="70">
        <f>L28+V28+AF28+AP28</f>
        <v/>
      </c>
      <c r="AY28" s="72">
        <f>IF(AW28&gt;0, AX28/AW28, 0)</f>
        <v/>
      </c>
    </row>
    <row r="29">
      <c r="A29" s="56" t="n">
        <v>46257</v>
      </c>
      <c r="B29" s="57" t="inlineStr">
        <is>
          <t>Sun</t>
        </is>
      </c>
      <c r="C29" s="57" t="inlineStr">
        <is>
          <t>OFF</t>
        </is>
      </c>
      <c r="D29" s="57" t="inlineStr">
        <is>
          <t>OFF</t>
        </is>
      </c>
      <c r="E29" s="59">
        <f>IF(B29="Sun", 0, IF(B29="Sat", 6, 12))</f>
        <v/>
      </c>
      <c r="F29" s="59">
        <f>IF(OR(D29="OFF", ISBLANK(D29)), 0, (D29 - C29)*24)</f>
        <v/>
      </c>
      <c r="G29" s="59">
        <f>IF(OR(B29="Sun", D29="OFF", ISBLANK(D29)), 0, MAX(0, (IF(B29="Sat", 14/24, 20/24) - D29)*24))</f>
        <v/>
      </c>
      <c r="H29" s="60" t="n">
        <v>0</v>
      </c>
      <c r="I29" s="61">
        <f>H29*7.45</f>
        <v/>
      </c>
      <c r="J29" s="61">
        <f>IF(F29&gt;0, I29/F29, 0)</f>
        <v/>
      </c>
      <c r="K29" s="61">
        <f>I29 + (G29*J29)</f>
        <v/>
      </c>
      <c r="L29" s="62">
        <f>G29*J29</f>
        <v/>
      </c>
      <c r="M29" s="57" t="inlineStr">
        <is>
          <t>OFF</t>
        </is>
      </c>
      <c r="N29" s="57" t="inlineStr">
        <is>
          <t>OFF</t>
        </is>
      </c>
      <c r="O29" s="59">
        <f>IF(B29="Sun", 0, IF(B29="Sat", 6, 12))</f>
        <v/>
      </c>
      <c r="P29" s="59">
        <f>IF(OR(N29="OFF", ISBLANK(N29)), 0, (N29 - M29)*24)</f>
        <v/>
      </c>
      <c r="Q29" s="59">
        <f>IF(OR(B29="Sun", N29="OFF", ISBLANK(N29)), 0, MAX(0, (IF(B29="Sat", 14/24, 20/24) - N29)*24))</f>
        <v/>
      </c>
      <c r="R29" s="60" t="n">
        <v>0</v>
      </c>
      <c r="S29" s="61">
        <f>R29*7.45</f>
        <v/>
      </c>
      <c r="T29" s="61">
        <f>IF(P29&gt;0, S29/P29, 0)</f>
        <v/>
      </c>
      <c r="U29" s="61">
        <f>S29 + (Q29*T29)</f>
        <v/>
      </c>
      <c r="V29" s="62">
        <f>Q29*T29</f>
        <v/>
      </c>
      <c r="W29" s="57" t="inlineStr">
        <is>
          <t>OFF</t>
        </is>
      </c>
      <c r="X29" s="57" t="inlineStr">
        <is>
          <t>OFF</t>
        </is>
      </c>
      <c r="Y29" s="59">
        <f>IF(B29="Sun", 0, IF(B29="Sat", 6, 12))</f>
        <v/>
      </c>
      <c r="Z29" s="59">
        <f>IF(OR(X29="OFF", ISBLANK(X29)), 0, (X29 - W29)*24)</f>
        <v/>
      </c>
      <c r="AA29" s="59">
        <f>IF(OR(B29="Sun", X29="OFF", ISBLANK(X29)), 0, MAX(0, (IF(B29="Sat", 14/24, 20/24) - X29)*24))</f>
        <v/>
      </c>
      <c r="AB29" s="60" t="n">
        <v>0</v>
      </c>
      <c r="AC29" s="61">
        <f>AB29*7.45</f>
        <v/>
      </c>
      <c r="AD29" s="61">
        <f>IF(Z29&gt;0, AC29/Z29, 0)</f>
        <v/>
      </c>
      <c r="AE29" s="61">
        <f>AC29 + (AA29*AD29)</f>
        <v/>
      </c>
      <c r="AF29" s="62">
        <f>AA29*AD29</f>
        <v/>
      </c>
      <c r="AG29" s="57" t="inlineStr">
        <is>
          <t>OFF</t>
        </is>
      </c>
      <c r="AH29" s="57" t="inlineStr">
        <is>
          <t>OFF</t>
        </is>
      </c>
      <c r="AI29" s="59">
        <f>IF(B29="Sun", 0, IF(B29="Sat", 6, 12))</f>
        <v/>
      </c>
      <c r="AJ29" s="59">
        <f>IF(OR(AH29="OFF", ISBLANK(AH29)), 0, (AH29 - AG29)*24)</f>
        <v/>
      </c>
      <c r="AK29" s="59">
        <f>IF(OR(B29="Sun", AH29="OFF", ISBLANK(AH29)), 0, MAX(0, (IF(B29="Sat", 14/24, 20/24) - AH29)*24))</f>
        <v/>
      </c>
      <c r="AL29" s="60" t="n">
        <v>0</v>
      </c>
      <c r="AM29" s="61">
        <f>AL29*7.45</f>
        <v/>
      </c>
      <c r="AN29" s="61">
        <f>IF(AJ29&gt;0, AM29/AJ29, 0)</f>
        <v/>
      </c>
      <c r="AO29" s="61">
        <f>AM29 + (AK29*AN29)</f>
        <v/>
      </c>
      <c r="AP29" s="62">
        <f>AK29*AN29</f>
        <v/>
      </c>
      <c r="AQ29" s="59">
        <f>E29+O29+Y29+AI29</f>
        <v/>
      </c>
      <c r="AR29" s="59">
        <f>F29+P29+Z29+AJ29</f>
        <v/>
      </c>
      <c r="AS29" s="63">
        <f>G29+Q29+AA29+AK29</f>
        <v/>
      </c>
      <c r="AT29" s="60">
        <f>H29+R29+AB29+AL29</f>
        <v/>
      </c>
      <c r="AU29" s="61">
        <f>AT29*7.45</f>
        <v/>
      </c>
      <c r="AV29" s="62">
        <f>I29+S29+AC29+AM29</f>
        <v/>
      </c>
      <c r="AW29" s="61">
        <f>K29+U29+AE29+AO29</f>
        <v/>
      </c>
      <c r="AX29" s="62">
        <f>L29+V29+AF29+AP29</f>
        <v/>
      </c>
      <c r="AY29" s="64">
        <f>IF(AW29&gt;0, AX29/AW29, 0)</f>
        <v/>
      </c>
    </row>
    <row r="30">
      <c r="A30" s="65" t="n">
        <v>46258</v>
      </c>
      <c r="B30" s="66" t="inlineStr">
        <is>
          <t>Mon</t>
        </is>
      </c>
      <c r="C30" s="66" t="inlineStr">
        <is>
          <t>OFF</t>
        </is>
      </c>
      <c r="D30" s="66" t="inlineStr">
        <is>
          <t>OFF</t>
        </is>
      </c>
      <c r="E30" s="67">
        <f>IF(B30="Sun", 0, IF(B30="Sat", 6, 12))</f>
        <v/>
      </c>
      <c r="F30" s="67">
        <f>IF(OR(D30="OFF", ISBLANK(D30)), 0, (D30 - C30)*24)</f>
        <v/>
      </c>
      <c r="G30" s="67">
        <f>IF(OR(B30="Sun", D30="OFF", ISBLANK(D30)), 0, MAX(0, (IF(B30="Sat", 14/24, 20/24) - D30)*24))</f>
        <v/>
      </c>
      <c r="H30" s="68" t="n">
        <v>0</v>
      </c>
      <c r="I30" s="69">
        <f>H30*7.45</f>
        <v/>
      </c>
      <c r="J30" s="69">
        <f>IF(F30&gt;0, I30/F30, 0)</f>
        <v/>
      </c>
      <c r="K30" s="69">
        <f>I30 + (G30*J30)</f>
        <v/>
      </c>
      <c r="L30" s="70">
        <f>G30*J30</f>
        <v/>
      </c>
      <c r="M30" s="66" t="inlineStr">
        <is>
          <t>OFF</t>
        </is>
      </c>
      <c r="N30" s="66" t="inlineStr">
        <is>
          <t>OFF</t>
        </is>
      </c>
      <c r="O30" s="67">
        <f>IF(B30="Sun", 0, IF(B30="Sat", 6, 12))</f>
        <v/>
      </c>
      <c r="P30" s="67">
        <f>IF(OR(N30="OFF", ISBLANK(N30)), 0, (N30 - M30)*24)</f>
        <v/>
      </c>
      <c r="Q30" s="67">
        <f>IF(OR(B30="Sun", N30="OFF", ISBLANK(N30)), 0, MAX(0, (IF(B30="Sat", 14/24, 20/24) - N30)*24))</f>
        <v/>
      </c>
      <c r="R30" s="68" t="n">
        <v>0</v>
      </c>
      <c r="S30" s="69">
        <f>R30*7.45</f>
        <v/>
      </c>
      <c r="T30" s="69">
        <f>IF(P30&gt;0, S30/P30, 0)</f>
        <v/>
      </c>
      <c r="U30" s="69">
        <f>S30 + (Q30*T30)</f>
        <v/>
      </c>
      <c r="V30" s="70">
        <f>Q30*T30</f>
        <v/>
      </c>
      <c r="W30" s="66" t="inlineStr">
        <is>
          <t>OFF</t>
        </is>
      </c>
      <c r="X30" s="66" t="inlineStr">
        <is>
          <t>OFF</t>
        </is>
      </c>
      <c r="Y30" s="67">
        <f>IF(B30="Sun", 0, IF(B30="Sat", 6, 12))</f>
        <v/>
      </c>
      <c r="Z30" s="67">
        <f>IF(OR(X30="OFF", ISBLANK(X30)), 0, (X30 - W30)*24)</f>
        <v/>
      </c>
      <c r="AA30" s="67">
        <f>IF(OR(B30="Sun", X30="OFF", ISBLANK(X30)), 0, MAX(0, (IF(B30="Sat", 14/24, 20/24) - X30)*24))</f>
        <v/>
      </c>
      <c r="AB30" s="68" t="n">
        <v>0</v>
      </c>
      <c r="AC30" s="69">
        <f>AB30*7.45</f>
        <v/>
      </c>
      <c r="AD30" s="69">
        <f>IF(Z30&gt;0, AC30/Z30, 0)</f>
        <v/>
      </c>
      <c r="AE30" s="69">
        <f>AC30 + (AA30*AD30)</f>
        <v/>
      </c>
      <c r="AF30" s="70">
        <f>AA30*AD30</f>
        <v/>
      </c>
      <c r="AG30" s="66" t="inlineStr">
        <is>
          <t>OFF</t>
        </is>
      </c>
      <c r="AH30" s="66" t="inlineStr">
        <is>
          <t>OFF</t>
        </is>
      </c>
      <c r="AI30" s="67">
        <f>IF(B30="Sun", 0, IF(B30="Sat", 6, 12))</f>
        <v/>
      </c>
      <c r="AJ30" s="67">
        <f>IF(OR(AH30="OFF", ISBLANK(AH30)), 0, (AH30 - AG30)*24)</f>
        <v/>
      </c>
      <c r="AK30" s="67">
        <f>IF(OR(B30="Sun", AH30="OFF", ISBLANK(AH30)), 0, MAX(0, (IF(B30="Sat", 14/24, 20/24) - AH30)*24))</f>
        <v/>
      </c>
      <c r="AL30" s="68" t="n">
        <v>0</v>
      </c>
      <c r="AM30" s="69">
        <f>AL30*7.45</f>
        <v/>
      </c>
      <c r="AN30" s="69">
        <f>IF(AJ30&gt;0, AM30/AJ30, 0)</f>
        <v/>
      </c>
      <c r="AO30" s="69">
        <f>AM30 + (AK30*AN30)</f>
        <v/>
      </c>
      <c r="AP30" s="70">
        <f>AK30*AN30</f>
        <v/>
      </c>
      <c r="AQ30" s="67">
        <f>E30+O30+Y30+AI30</f>
        <v/>
      </c>
      <c r="AR30" s="67">
        <f>F30+P30+Z30+AJ30</f>
        <v/>
      </c>
      <c r="AS30" s="71">
        <f>G30+Q30+AA30+AK30</f>
        <v/>
      </c>
      <c r="AT30" s="68">
        <f>H30+R30+AB30+AL30</f>
        <v/>
      </c>
      <c r="AU30" s="69">
        <f>AT30*7.45</f>
        <v/>
      </c>
      <c r="AV30" s="70">
        <f>I30+S30+AC30+AM30</f>
        <v/>
      </c>
      <c r="AW30" s="69">
        <f>K30+U30+AE30+AO30</f>
        <v/>
      </c>
      <c r="AX30" s="70">
        <f>L30+V30+AF30+AP30</f>
        <v/>
      </c>
      <c r="AY30" s="72">
        <f>IF(AW30&gt;0, AX30/AW30, 0)</f>
        <v/>
      </c>
    </row>
    <row r="31">
      <c r="A31" s="56" t="n">
        <v>46259</v>
      </c>
      <c r="B31" s="57" t="inlineStr">
        <is>
          <t>Tue</t>
        </is>
      </c>
      <c r="C31" s="57" t="inlineStr">
        <is>
          <t>OFF</t>
        </is>
      </c>
      <c r="D31" s="57" t="inlineStr">
        <is>
          <t>OFF</t>
        </is>
      </c>
      <c r="E31" s="59">
        <f>IF(B31="Sun", 0, IF(B31="Sat", 6, 12))</f>
        <v/>
      </c>
      <c r="F31" s="59">
        <f>IF(OR(D31="OFF", ISBLANK(D31)), 0, (D31 - C31)*24)</f>
        <v/>
      </c>
      <c r="G31" s="59">
        <f>IF(OR(B31="Sun", D31="OFF", ISBLANK(D31)), 0, MAX(0, (IF(B31="Sat", 14/24, 20/24) - D31)*24))</f>
        <v/>
      </c>
      <c r="H31" s="60" t="n">
        <v>0</v>
      </c>
      <c r="I31" s="61">
        <f>H31*7.45</f>
        <v/>
      </c>
      <c r="J31" s="61">
        <f>IF(F31&gt;0, I31/F31, 0)</f>
        <v/>
      </c>
      <c r="K31" s="61">
        <f>I31 + (G31*J31)</f>
        <v/>
      </c>
      <c r="L31" s="62">
        <f>G31*J31</f>
        <v/>
      </c>
      <c r="M31" s="57" t="inlineStr">
        <is>
          <t>OFF</t>
        </is>
      </c>
      <c r="N31" s="57" t="inlineStr">
        <is>
          <t>OFF</t>
        </is>
      </c>
      <c r="O31" s="59">
        <f>IF(B31="Sun", 0, IF(B31="Sat", 6, 12))</f>
        <v/>
      </c>
      <c r="P31" s="59">
        <f>IF(OR(N31="OFF", ISBLANK(N31)), 0, (N31 - M31)*24)</f>
        <v/>
      </c>
      <c r="Q31" s="59">
        <f>IF(OR(B31="Sun", N31="OFF", ISBLANK(N31)), 0, MAX(0, (IF(B31="Sat", 14/24, 20/24) - N31)*24))</f>
        <v/>
      </c>
      <c r="R31" s="60" t="n">
        <v>0</v>
      </c>
      <c r="S31" s="61">
        <f>R31*7.45</f>
        <v/>
      </c>
      <c r="T31" s="61">
        <f>IF(P31&gt;0, S31/P31, 0)</f>
        <v/>
      </c>
      <c r="U31" s="61">
        <f>S31 + (Q31*T31)</f>
        <v/>
      </c>
      <c r="V31" s="62">
        <f>Q31*T31</f>
        <v/>
      </c>
      <c r="W31" s="57" t="inlineStr">
        <is>
          <t>OFF</t>
        </is>
      </c>
      <c r="X31" s="57" t="inlineStr">
        <is>
          <t>OFF</t>
        </is>
      </c>
      <c r="Y31" s="59">
        <f>IF(B31="Sun", 0, IF(B31="Sat", 6, 12))</f>
        <v/>
      </c>
      <c r="Z31" s="59">
        <f>IF(OR(X31="OFF", ISBLANK(X31)), 0, (X31 - W31)*24)</f>
        <v/>
      </c>
      <c r="AA31" s="59">
        <f>IF(OR(B31="Sun", X31="OFF", ISBLANK(X31)), 0, MAX(0, (IF(B31="Sat", 14/24, 20/24) - X31)*24))</f>
        <v/>
      </c>
      <c r="AB31" s="60" t="n">
        <v>0</v>
      </c>
      <c r="AC31" s="61">
        <f>AB31*7.45</f>
        <v/>
      </c>
      <c r="AD31" s="61">
        <f>IF(Z31&gt;0, AC31/Z31, 0)</f>
        <v/>
      </c>
      <c r="AE31" s="61">
        <f>AC31 + (AA31*AD31)</f>
        <v/>
      </c>
      <c r="AF31" s="62">
        <f>AA31*AD31</f>
        <v/>
      </c>
      <c r="AG31" s="57" t="inlineStr">
        <is>
          <t>OFF</t>
        </is>
      </c>
      <c r="AH31" s="57" t="inlineStr">
        <is>
          <t>OFF</t>
        </is>
      </c>
      <c r="AI31" s="59">
        <f>IF(B31="Sun", 0, IF(B31="Sat", 6, 12))</f>
        <v/>
      </c>
      <c r="AJ31" s="59">
        <f>IF(OR(AH31="OFF", ISBLANK(AH31)), 0, (AH31 - AG31)*24)</f>
        <v/>
      </c>
      <c r="AK31" s="59">
        <f>IF(OR(B31="Sun", AH31="OFF", ISBLANK(AH31)), 0, MAX(0, (IF(B31="Sat", 14/24, 20/24) - AH31)*24))</f>
        <v/>
      </c>
      <c r="AL31" s="60" t="n">
        <v>0</v>
      </c>
      <c r="AM31" s="61">
        <f>AL31*7.45</f>
        <v/>
      </c>
      <c r="AN31" s="61">
        <f>IF(AJ31&gt;0, AM31/AJ31, 0)</f>
        <v/>
      </c>
      <c r="AO31" s="61">
        <f>AM31 + (AK31*AN31)</f>
        <v/>
      </c>
      <c r="AP31" s="62">
        <f>AK31*AN31</f>
        <v/>
      </c>
      <c r="AQ31" s="59">
        <f>E31+O31+Y31+AI31</f>
        <v/>
      </c>
      <c r="AR31" s="59">
        <f>F31+P31+Z31+AJ31</f>
        <v/>
      </c>
      <c r="AS31" s="63">
        <f>G31+Q31+AA31+AK31</f>
        <v/>
      </c>
      <c r="AT31" s="60">
        <f>H31+R31+AB31+AL31</f>
        <v/>
      </c>
      <c r="AU31" s="61">
        <f>AT31*7.45</f>
        <v/>
      </c>
      <c r="AV31" s="62">
        <f>I31+S31+AC31+AM31</f>
        <v/>
      </c>
      <c r="AW31" s="61">
        <f>K31+U31+AE31+AO31</f>
        <v/>
      </c>
      <c r="AX31" s="62">
        <f>L31+V31+AF31+AP31</f>
        <v/>
      </c>
      <c r="AY31" s="64">
        <f>IF(AW31&gt;0, AX31/AW31, 0)</f>
        <v/>
      </c>
    </row>
    <row r="32">
      <c r="A32" s="65" t="n">
        <v>46260</v>
      </c>
      <c r="B32" s="66" t="inlineStr">
        <is>
          <t>Wed</t>
        </is>
      </c>
      <c r="C32" s="66" t="inlineStr">
        <is>
          <t>OFF</t>
        </is>
      </c>
      <c r="D32" s="66" t="inlineStr">
        <is>
          <t>OFF</t>
        </is>
      </c>
      <c r="E32" s="67">
        <f>IF(B32="Sun", 0, IF(B32="Sat", 6, 12))</f>
        <v/>
      </c>
      <c r="F32" s="67">
        <f>IF(OR(D32="OFF", ISBLANK(D32)), 0, (D32 - C32)*24)</f>
        <v/>
      </c>
      <c r="G32" s="67">
        <f>IF(OR(B32="Sun", D32="OFF", ISBLANK(D32)), 0, MAX(0, (IF(B32="Sat", 14/24, 20/24) - D32)*24))</f>
        <v/>
      </c>
      <c r="H32" s="68" t="n">
        <v>0</v>
      </c>
      <c r="I32" s="69">
        <f>H32*7.45</f>
        <v/>
      </c>
      <c r="J32" s="69">
        <f>IF(F32&gt;0, I32/F32, 0)</f>
        <v/>
      </c>
      <c r="K32" s="69">
        <f>I32 + (G32*J32)</f>
        <v/>
      </c>
      <c r="L32" s="70">
        <f>G32*J32</f>
        <v/>
      </c>
      <c r="M32" s="66" t="inlineStr">
        <is>
          <t>OFF</t>
        </is>
      </c>
      <c r="N32" s="66" t="inlineStr">
        <is>
          <t>OFF</t>
        </is>
      </c>
      <c r="O32" s="67">
        <f>IF(B32="Sun", 0, IF(B32="Sat", 6, 12))</f>
        <v/>
      </c>
      <c r="P32" s="67">
        <f>IF(OR(N32="OFF", ISBLANK(N32)), 0, (N32 - M32)*24)</f>
        <v/>
      </c>
      <c r="Q32" s="67">
        <f>IF(OR(B32="Sun", N32="OFF", ISBLANK(N32)), 0, MAX(0, (IF(B32="Sat", 14/24, 20/24) - N32)*24))</f>
        <v/>
      </c>
      <c r="R32" s="68" t="n">
        <v>0</v>
      </c>
      <c r="S32" s="69">
        <f>R32*7.45</f>
        <v/>
      </c>
      <c r="T32" s="69">
        <f>IF(P32&gt;0, S32/P32, 0)</f>
        <v/>
      </c>
      <c r="U32" s="69">
        <f>S32 + (Q32*T32)</f>
        <v/>
      </c>
      <c r="V32" s="70">
        <f>Q32*T32</f>
        <v/>
      </c>
      <c r="W32" s="66" t="inlineStr">
        <is>
          <t>OFF</t>
        </is>
      </c>
      <c r="X32" s="66" t="inlineStr">
        <is>
          <t>OFF</t>
        </is>
      </c>
      <c r="Y32" s="67">
        <f>IF(B32="Sun", 0, IF(B32="Sat", 6, 12))</f>
        <v/>
      </c>
      <c r="Z32" s="67">
        <f>IF(OR(X32="OFF", ISBLANK(X32)), 0, (X32 - W32)*24)</f>
        <v/>
      </c>
      <c r="AA32" s="67">
        <f>IF(OR(B32="Sun", X32="OFF", ISBLANK(X32)), 0, MAX(0, (IF(B32="Sat", 14/24, 20/24) - X32)*24))</f>
        <v/>
      </c>
      <c r="AB32" s="68" t="n">
        <v>0</v>
      </c>
      <c r="AC32" s="69">
        <f>AB32*7.45</f>
        <v/>
      </c>
      <c r="AD32" s="69">
        <f>IF(Z32&gt;0, AC32/Z32, 0)</f>
        <v/>
      </c>
      <c r="AE32" s="69">
        <f>AC32 + (AA32*AD32)</f>
        <v/>
      </c>
      <c r="AF32" s="70">
        <f>AA32*AD32</f>
        <v/>
      </c>
      <c r="AG32" s="66" t="inlineStr">
        <is>
          <t>OFF</t>
        </is>
      </c>
      <c r="AH32" s="66" t="inlineStr">
        <is>
          <t>OFF</t>
        </is>
      </c>
      <c r="AI32" s="67">
        <f>IF(B32="Sun", 0, IF(B32="Sat", 6, 12))</f>
        <v/>
      </c>
      <c r="AJ32" s="67">
        <f>IF(OR(AH32="OFF", ISBLANK(AH32)), 0, (AH32 - AG32)*24)</f>
        <v/>
      </c>
      <c r="AK32" s="67">
        <f>IF(OR(B32="Sun", AH32="OFF", ISBLANK(AH32)), 0, MAX(0, (IF(B32="Sat", 14/24, 20/24) - AH32)*24))</f>
        <v/>
      </c>
      <c r="AL32" s="68" t="n">
        <v>0</v>
      </c>
      <c r="AM32" s="69">
        <f>AL32*7.45</f>
        <v/>
      </c>
      <c r="AN32" s="69">
        <f>IF(AJ32&gt;0, AM32/AJ32, 0)</f>
        <v/>
      </c>
      <c r="AO32" s="69">
        <f>AM32 + (AK32*AN32)</f>
        <v/>
      </c>
      <c r="AP32" s="70">
        <f>AK32*AN32</f>
        <v/>
      </c>
      <c r="AQ32" s="67">
        <f>E32+O32+Y32+AI32</f>
        <v/>
      </c>
      <c r="AR32" s="67">
        <f>F32+P32+Z32+AJ32</f>
        <v/>
      </c>
      <c r="AS32" s="71">
        <f>G32+Q32+AA32+AK32</f>
        <v/>
      </c>
      <c r="AT32" s="68">
        <f>H32+R32+AB32+AL32</f>
        <v/>
      </c>
      <c r="AU32" s="69">
        <f>AT32*7.45</f>
        <v/>
      </c>
      <c r="AV32" s="70">
        <f>I32+S32+AC32+AM32</f>
        <v/>
      </c>
      <c r="AW32" s="69">
        <f>K32+U32+AE32+AO32</f>
        <v/>
      </c>
      <c r="AX32" s="70">
        <f>L32+V32+AF32+AP32</f>
        <v/>
      </c>
      <c r="AY32" s="72">
        <f>IF(AW32&gt;0, AX32/AW32, 0)</f>
        <v/>
      </c>
    </row>
    <row r="33">
      <c r="A33" s="56" t="n">
        <v>46261</v>
      </c>
      <c r="B33" s="57" t="inlineStr">
        <is>
          <t>Thu</t>
        </is>
      </c>
      <c r="C33" s="57" t="inlineStr">
        <is>
          <t>OFF</t>
        </is>
      </c>
      <c r="D33" s="57" t="inlineStr">
        <is>
          <t>OFF</t>
        </is>
      </c>
      <c r="E33" s="59">
        <f>IF(B33="Sun", 0, IF(B33="Sat", 6, 12))</f>
        <v/>
      </c>
      <c r="F33" s="59">
        <f>IF(OR(D33="OFF", ISBLANK(D33)), 0, (D33 - C33)*24)</f>
        <v/>
      </c>
      <c r="G33" s="59">
        <f>IF(OR(B33="Sun", D33="OFF", ISBLANK(D33)), 0, MAX(0, (IF(B33="Sat", 14/24, 20/24) - D33)*24))</f>
        <v/>
      </c>
      <c r="H33" s="60" t="n">
        <v>0</v>
      </c>
      <c r="I33" s="61">
        <f>H33*7.45</f>
        <v/>
      </c>
      <c r="J33" s="61">
        <f>IF(F33&gt;0, I33/F33, 0)</f>
        <v/>
      </c>
      <c r="K33" s="61">
        <f>I33 + (G33*J33)</f>
        <v/>
      </c>
      <c r="L33" s="62">
        <f>G33*J33</f>
        <v/>
      </c>
      <c r="M33" s="57" t="inlineStr">
        <is>
          <t>OFF</t>
        </is>
      </c>
      <c r="N33" s="57" t="inlineStr">
        <is>
          <t>OFF</t>
        </is>
      </c>
      <c r="O33" s="59">
        <f>IF(B33="Sun", 0, IF(B33="Sat", 6, 12))</f>
        <v/>
      </c>
      <c r="P33" s="59">
        <f>IF(OR(N33="OFF", ISBLANK(N33)), 0, (N33 - M33)*24)</f>
        <v/>
      </c>
      <c r="Q33" s="59">
        <f>IF(OR(B33="Sun", N33="OFF", ISBLANK(N33)), 0, MAX(0, (IF(B33="Sat", 14/24, 20/24) - N33)*24))</f>
        <v/>
      </c>
      <c r="R33" s="60" t="n">
        <v>0</v>
      </c>
      <c r="S33" s="61">
        <f>R33*7.45</f>
        <v/>
      </c>
      <c r="T33" s="61">
        <f>IF(P33&gt;0, S33/P33, 0)</f>
        <v/>
      </c>
      <c r="U33" s="61">
        <f>S33 + (Q33*T33)</f>
        <v/>
      </c>
      <c r="V33" s="62">
        <f>Q33*T33</f>
        <v/>
      </c>
      <c r="W33" s="57" t="inlineStr">
        <is>
          <t>OFF</t>
        </is>
      </c>
      <c r="X33" s="57" t="inlineStr">
        <is>
          <t>OFF</t>
        </is>
      </c>
      <c r="Y33" s="59">
        <f>IF(B33="Sun", 0, IF(B33="Sat", 6, 12))</f>
        <v/>
      </c>
      <c r="Z33" s="59">
        <f>IF(OR(X33="OFF", ISBLANK(X33)), 0, (X33 - W33)*24)</f>
        <v/>
      </c>
      <c r="AA33" s="59">
        <f>IF(OR(B33="Sun", X33="OFF", ISBLANK(X33)), 0, MAX(0, (IF(B33="Sat", 14/24, 20/24) - X33)*24))</f>
        <v/>
      </c>
      <c r="AB33" s="60" t="n">
        <v>0</v>
      </c>
      <c r="AC33" s="61">
        <f>AB33*7.45</f>
        <v/>
      </c>
      <c r="AD33" s="61">
        <f>IF(Z33&gt;0, AC33/Z33, 0)</f>
        <v/>
      </c>
      <c r="AE33" s="61">
        <f>AC33 + (AA33*AD33)</f>
        <v/>
      </c>
      <c r="AF33" s="62">
        <f>AA33*AD33</f>
        <v/>
      </c>
      <c r="AG33" s="57" t="inlineStr">
        <is>
          <t>OFF</t>
        </is>
      </c>
      <c r="AH33" s="57" t="inlineStr">
        <is>
          <t>OFF</t>
        </is>
      </c>
      <c r="AI33" s="59">
        <f>IF(B33="Sun", 0, IF(B33="Sat", 6, 12))</f>
        <v/>
      </c>
      <c r="AJ33" s="59">
        <f>IF(OR(AH33="OFF", ISBLANK(AH33)), 0, (AH33 - AG33)*24)</f>
        <v/>
      </c>
      <c r="AK33" s="59">
        <f>IF(OR(B33="Sun", AH33="OFF", ISBLANK(AH33)), 0, MAX(0, (IF(B33="Sat", 14/24, 20/24) - AH33)*24))</f>
        <v/>
      </c>
      <c r="AL33" s="60" t="n">
        <v>0</v>
      </c>
      <c r="AM33" s="61">
        <f>AL33*7.45</f>
        <v/>
      </c>
      <c r="AN33" s="61">
        <f>IF(AJ33&gt;0, AM33/AJ33, 0)</f>
        <v/>
      </c>
      <c r="AO33" s="61">
        <f>AM33 + (AK33*AN33)</f>
        <v/>
      </c>
      <c r="AP33" s="62">
        <f>AK33*AN33</f>
        <v/>
      </c>
      <c r="AQ33" s="59">
        <f>E33+O33+Y33+AI33</f>
        <v/>
      </c>
      <c r="AR33" s="59">
        <f>F33+P33+Z33+AJ33</f>
        <v/>
      </c>
      <c r="AS33" s="63">
        <f>G33+Q33+AA33+AK33</f>
        <v/>
      </c>
      <c r="AT33" s="60">
        <f>H33+R33+AB33+AL33</f>
        <v/>
      </c>
      <c r="AU33" s="61">
        <f>AT33*7.45</f>
        <v/>
      </c>
      <c r="AV33" s="62">
        <f>I33+S33+AC33+AM33</f>
        <v/>
      </c>
      <c r="AW33" s="61">
        <f>K33+U33+AE33+AO33</f>
        <v/>
      </c>
      <c r="AX33" s="62">
        <f>L33+V33+AF33+AP33</f>
        <v/>
      </c>
      <c r="AY33" s="64">
        <f>IF(AW33&gt;0, AX33/AW33, 0)</f>
        <v/>
      </c>
    </row>
    <row r="34">
      <c r="A34" s="65" t="n">
        <v>46262</v>
      </c>
      <c r="B34" s="66" t="inlineStr">
        <is>
          <t>Fri</t>
        </is>
      </c>
      <c r="C34" s="66" t="inlineStr">
        <is>
          <t>OFF</t>
        </is>
      </c>
      <c r="D34" s="66" t="inlineStr">
        <is>
          <t>OFF</t>
        </is>
      </c>
      <c r="E34" s="67">
        <f>IF(B34="Sun", 0, IF(B34="Sat", 6, 12))</f>
        <v/>
      </c>
      <c r="F34" s="67">
        <f>IF(OR(D34="OFF", ISBLANK(D34)), 0, (D34 - C34)*24)</f>
        <v/>
      </c>
      <c r="G34" s="67">
        <f>IF(OR(B34="Sun", D34="OFF", ISBLANK(D34)), 0, MAX(0, (IF(B34="Sat", 14/24, 20/24) - D34)*24))</f>
        <v/>
      </c>
      <c r="H34" s="68" t="n">
        <v>0</v>
      </c>
      <c r="I34" s="69">
        <f>H34*7.45</f>
        <v/>
      </c>
      <c r="J34" s="69">
        <f>IF(F34&gt;0, I34/F34, 0)</f>
        <v/>
      </c>
      <c r="K34" s="69">
        <f>I34 + (G34*J34)</f>
        <v/>
      </c>
      <c r="L34" s="70">
        <f>G34*J34</f>
        <v/>
      </c>
      <c r="M34" s="66" t="inlineStr">
        <is>
          <t>OFF</t>
        </is>
      </c>
      <c r="N34" s="66" t="inlineStr">
        <is>
          <t>OFF</t>
        </is>
      </c>
      <c r="O34" s="67">
        <f>IF(B34="Sun", 0, IF(B34="Sat", 6, 12))</f>
        <v/>
      </c>
      <c r="P34" s="67">
        <f>IF(OR(N34="OFF", ISBLANK(N34)), 0, (N34 - M34)*24)</f>
        <v/>
      </c>
      <c r="Q34" s="67">
        <f>IF(OR(B34="Sun", N34="OFF", ISBLANK(N34)), 0, MAX(0, (IF(B34="Sat", 14/24, 20/24) - N34)*24))</f>
        <v/>
      </c>
      <c r="R34" s="68" t="n">
        <v>0</v>
      </c>
      <c r="S34" s="69">
        <f>R34*7.45</f>
        <v/>
      </c>
      <c r="T34" s="69">
        <f>IF(P34&gt;0, S34/P34, 0)</f>
        <v/>
      </c>
      <c r="U34" s="69">
        <f>S34 + (Q34*T34)</f>
        <v/>
      </c>
      <c r="V34" s="70">
        <f>Q34*T34</f>
        <v/>
      </c>
      <c r="W34" s="66" t="inlineStr">
        <is>
          <t>OFF</t>
        </is>
      </c>
      <c r="X34" s="66" t="inlineStr">
        <is>
          <t>OFF</t>
        </is>
      </c>
      <c r="Y34" s="67">
        <f>IF(B34="Sun", 0, IF(B34="Sat", 6, 12))</f>
        <v/>
      </c>
      <c r="Z34" s="67">
        <f>IF(OR(X34="OFF", ISBLANK(X34)), 0, (X34 - W34)*24)</f>
        <v/>
      </c>
      <c r="AA34" s="67">
        <f>IF(OR(B34="Sun", X34="OFF", ISBLANK(X34)), 0, MAX(0, (IF(B34="Sat", 14/24, 20/24) - X34)*24))</f>
        <v/>
      </c>
      <c r="AB34" s="68" t="n">
        <v>0</v>
      </c>
      <c r="AC34" s="69">
        <f>AB34*7.45</f>
        <v/>
      </c>
      <c r="AD34" s="69">
        <f>IF(Z34&gt;0, AC34/Z34, 0)</f>
        <v/>
      </c>
      <c r="AE34" s="69">
        <f>AC34 + (AA34*AD34)</f>
        <v/>
      </c>
      <c r="AF34" s="70">
        <f>AA34*AD34</f>
        <v/>
      </c>
      <c r="AG34" s="66" t="inlineStr">
        <is>
          <t>OFF</t>
        </is>
      </c>
      <c r="AH34" s="66" t="inlineStr">
        <is>
          <t>OFF</t>
        </is>
      </c>
      <c r="AI34" s="67">
        <f>IF(B34="Sun", 0, IF(B34="Sat", 6, 12))</f>
        <v/>
      </c>
      <c r="AJ34" s="67">
        <f>IF(OR(AH34="OFF", ISBLANK(AH34)), 0, (AH34 - AG34)*24)</f>
        <v/>
      </c>
      <c r="AK34" s="67">
        <f>IF(OR(B34="Sun", AH34="OFF", ISBLANK(AH34)), 0, MAX(0, (IF(B34="Sat", 14/24, 20/24) - AH34)*24))</f>
        <v/>
      </c>
      <c r="AL34" s="68" t="n">
        <v>0</v>
      </c>
      <c r="AM34" s="69">
        <f>AL34*7.45</f>
        <v/>
      </c>
      <c r="AN34" s="69">
        <f>IF(AJ34&gt;0, AM34/AJ34, 0)</f>
        <v/>
      </c>
      <c r="AO34" s="69">
        <f>AM34 + (AK34*AN34)</f>
        <v/>
      </c>
      <c r="AP34" s="70">
        <f>AK34*AN34</f>
        <v/>
      </c>
      <c r="AQ34" s="67">
        <f>E34+O34+Y34+AI34</f>
        <v/>
      </c>
      <c r="AR34" s="67">
        <f>F34+P34+Z34+AJ34</f>
        <v/>
      </c>
      <c r="AS34" s="71">
        <f>G34+Q34+AA34+AK34</f>
        <v/>
      </c>
      <c r="AT34" s="68">
        <f>H34+R34+AB34+AL34</f>
        <v/>
      </c>
      <c r="AU34" s="69">
        <f>AT34*7.45</f>
        <v/>
      </c>
      <c r="AV34" s="70">
        <f>I34+S34+AC34+AM34</f>
        <v/>
      </c>
      <c r="AW34" s="69">
        <f>K34+U34+AE34+AO34</f>
        <v/>
      </c>
      <c r="AX34" s="70">
        <f>L34+V34+AF34+AP34</f>
        <v/>
      </c>
      <c r="AY34" s="72">
        <f>IF(AW34&gt;0, AX34/AW34, 0)</f>
        <v/>
      </c>
    </row>
    <row r="35">
      <c r="A35" s="56" t="n">
        <v>46263</v>
      </c>
      <c r="B35" s="57" t="inlineStr">
        <is>
          <t>Sat</t>
        </is>
      </c>
      <c r="C35" s="57" t="inlineStr">
        <is>
          <t>OFF</t>
        </is>
      </c>
      <c r="D35" s="57" t="inlineStr">
        <is>
          <t>OFF</t>
        </is>
      </c>
      <c r="E35" s="59">
        <f>IF(B35="Sun", 0, IF(B35="Sat", 6, 12))</f>
        <v/>
      </c>
      <c r="F35" s="59">
        <f>IF(OR(D35="OFF", ISBLANK(D35)), 0, (D35 - C35)*24)</f>
        <v/>
      </c>
      <c r="G35" s="59">
        <f>IF(OR(B35="Sun", D35="OFF", ISBLANK(D35)), 0, MAX(0, (IF(B35="Sat", 14/24, 20/24) - D35)*24))</f>
        <v/>
      </c>
      <c r="H35" s="60" t="n">
        <v>0</v>
      </c>
      <c r="I35" s="61">
        <f>H35*7.45</f>
        <v/>
      </c>
      <c r="J35" s="61">
        <f>IF(F35&gt;0, I35/F35, 0)</f>
        <v/>
      </c>
      <c r="K35" s="61">
        <f>I35 + (G35*J35)</f>
        <v/>
      </c>
      <c r="L35" s="62">
        <f>G35*J35</f>
        <v/>
      </c>
      <c r="M35" s="57" t="inlineStr">
        <is>
          <t>OFF</t>
        </is>
      </c>
      <c r="N35" s="57" t="inlineStr">
        <is>
          <t>OFF</t>
        </is>
      </c>
      <c r="O35" s="59">
        <f>IF(B35="Sun", 0, IF(B35="Sat", 6, 12))</f>
        <v/>
      </c>
      <c r="P35" s="59">
        <f>IF(OR(N35="OFF", ISBLANK(N35)), 0, (N35 - M35)*24)</f>
        <v/>
      </c>
      <c r="Q35" s="59">
        <f>IF(OR(B35="Sun", N35="OFF", ISBLANK(N35)), 0, MAX(0, (IF(B35="Sat", 14/24, 20/24) - N35)*24))</f>
        <v/>
      </c>
      <c r="R35" s="60" t="n">
        <v>0</v>
      </c>
      <c r="S35" s="61">
        <f>R35*7.45</f>
        <v/>
      </c>
      <c r="T35" s="61">
        <f>IF(P35&gt;0, S35/P35, 0)</f>
        <v/>
      </c>
      <c r="U35" s="61">
        <f>S35 + (Q35*T35)</f>
        <v/>
      </c>
      <c r="V35" s="62">
        <f>Q35*T35</f>
        <v/>
      </c>
      <c r="W35" s="57" t="inlineStr">
        <is>
          <t>OFF</t>
        </is>
      </c>
      <c r="X35" s="57" t="inlineStr">
        <is>
          <t>OFF</t>
        </is>
      </c>
      <c r="Y35" s="59">
        <f>IF(B35="Sun", 0, IF(B35="Sat", 6, 12))</f>
        <v/>
      </c>
      <c r="Z35" s="59">
        <f>IF(OR(X35="OFF", ISBLANK(X35)), 0, (X35 - W35)*24)</f>
        <v/>
      </c>
      <c r="AA35" s="59">
        <f>IF(OR(B35="Sun", X35="OFF", ISBLANK(X35)), 0, MAX(0, (IF(B35="Sat", 14/24, 20/24) - X35)*24))</f>
        <v/>
      </c>
      <c r="AB35" s="60" t="n">
        <v>0</v>
      </c>
      <c r="AC35" s="61">
        <f>AB35*7.45</f>
        <v/>
      </c>
      <c r="AD35" s="61">
        <f>IF(Z35&gt;0, AC35/Z35, 0)</f>
        <v/>
      </c>
      <c r="AE35" s="61">
        <f>AC35 + (AA35*AD35)</f>
        <v/>
      </c>
      <c r="AF35" s="62">
        <f>AA35*AD35</f>
        <v/>
      </c>
      <c r="AG35" s="57" t="inlineStr">
        <is>
          <t>OFF</t>
        </is>
      </c>
      <c r="AH35" s="57" t="inlineStr">
        <is>
          <t>OFF</t>
        </is>
      </c>
      <c r="AI35" s="59">
        <f>IF(B35="Sun", 0, IF(B35="Sat", 6, 12))</f>
        <v/>
      </c>
      <c r="AJ35" s="59">
        <f>IF(OR(AH35="OFF", ISBLANK(AH35)), 0, (AH35 - AG35)*24)</f>
        <v/>
      </c>
      <c r="AK35" s="59">
        <f>IF(OR(B35="Sun", AH35="OFF", ISBLANK(AH35)), 0, MAX(0, (IF(B35="Sat", 14/24, 20/24) - AH35)*24))</f>
        <v/>
      </c>
      <c r="AL35" s="60" t="n">
        <v>0</v>
      </c>
      <c r="AM35" s="61">
        <f>AL35*7.45</f>
        <v/>
      </c>
      <c r="AN35" s="61">
        <f>IF(AJ35&gt;0, AM35/AJ35, 0)</f>
        <v/>
      </c>
      <c r="AO35" s="61">
        <f>AM35 + (AK35*AN35)</f>
        <v/>
      </c>
      <c r="AP35" s="62">
        <f>AK35*AN35</f>
        <v/>
      </c>
      <c r="AQ35" s="59">
        <f>E35+O35+Y35+AI35</f>
        <v/>
      </c>
      <c r="AR35" s="59">
        <f>F35+P35+Z35+AJ35</f>
        <v/>
      </c>
      <c r="AS35" s="63">
        <f>G35+Q35+AA35+AK35</f>
        <v/>
      </c>
      <c r="AT35" s="60">
        <f>H35+R35+AB35+AL35</f>
        <v/>
      </c>
      <c r="AU35" s="61">
        <f>AT35*7.45</f>
        <v/>
      </c>
      <c r="AV35" s="62">
        <f>I35+S35+AC35+AM35</f>
        <v/>
      </c>
      <c r="AW35" s="61">
        <f>K35+U35+AE35+AO35</f>
        <v/>
      </c>
      <c r="AX35" s="62">
        <f>L35+V35+AF35+AP35</f>
        <v/>
      </c>
      <c r="AY35" s="64">
        <f>IF(AW35&gt;0, AX35/AW35, 0)</f>
        <v/>
      </c>
    </row>
    <row r="36">
      <c r="A36" s="65" t="n">
        <v>46264</v>
      </c>
      <c r="B36" s="66" t="inlineStr">
        <is>
          <t>Sun</t>
        </is>
      </c>
      <c r="C36" s="66" t="inlineStr">
        <is>
          <t>OFF</t>
        </is>
      </c>
      <c r="D36" s="66" t="inlineStr">
        <is>
          <t>OFF</t>
        </is>
      </c>
      <c r="E36" s="67">
        <f>IF(B36="Sun", 0, IF(B36="Sat", 6, 12))</f>
        <v/>
      </c>
      <c r="F36" s="67">
        <f>IF(OR(D36="OFF", ISBLANK(D36)), 0, (D36 - C36)*24)</f>
        <v/>
      </c>
      <c r="G36" s="67">
        <f>IF(OR(B36="Sun", D36="OFF", ISBLANK(D36)), 0, MAX(0, (IF(B36="Sat", 14/24, 20/24) - D36)*24))</f>
        <v/>
      </c>
      <c r="H36" s="68" t="n">
        <v>0</v>
      </c>
      <c r="I36" s="69">
        <f>H36*7.45</f>
        <v/>
      </c>
      <c r="J36" s="69">
        <f>IF(F36&gt;0, I36/F36, 0)</f>
        <v/>
      </c>
      <c r="K36" s="69">
        <f>I36 + (G36*J36)</f>
        <v/>
      </c>
      <c r="L36" s="70">
        <f>G36*J36</f>
        <v/>
      </c>
      <c r="M36" s="66" t="inlineStr">
        <is>
          <t>OFF</t>
        </is>
      </c>
      <c r="N36" s="66" t="inlineStr">
        <is>
          <t>OFF</t>
        </is>
      </c>
      <c r="O36" s="67">
        <f>IF(B36="Sun", 0, IF(B36="Sat", 6, 12))</f>
        <v/>
      </c>
      <c r="P36" s="67">
        <f>IF(OR(N36="OFF", ISBLANK(N36)), 0, (N36 - M36)*24)</f>
        <v/>
      </c>
      <c r="Q36" s="67">
        <f>IF(OR(B36="Sun", N36="OFF", ISBLANK(N36)), 0, MAX(0, (IF(B36="Sat", 14/24, 20/24) - N36)*24))</f>
        <v/>
      </c>
      <c r="R36" s="68" t="n">
        <v>0</v>
      </c>
      <c r="S36" s="69">
        <f>R36*7.45</f>
        <v/>
      </c>
      <c r="T36" s="69">
        <f>IF(P36&gt;0, S36/P36, 0)</f>
        <v/>
      </c>
      <c r="U36" s="69">
        <f>S36 + (Q36*T36)</f>
        <v/>
      </c>
      <c r="V36" s="70">
        <f>Q36*T36</f>
        <v/>
      </c>
      <c r="W36" s="66" t="inlineStr">
        <is>
          <t>OFF</t>
        </is>
      </c>
      <c r="X36" s="66" t="inlineStr">
        <is>
          <t>OFF</t>
        </is>
      </c>
      <c r="Y36" s="67">
        <f>IF(B36="Sun", 0, IF(B36="Sat", 6, 12))</f>
        <v/>
      </c>
      <c r="Z36" s="67">
        <f>IF(OR(X36="OFF", ISBLANK(X36)), 0, (X36 - W36)*24)</f>
        <v/>
      </c>
      <c r="AA36" s="67">
        <f>IF(OR(B36="Sun", X36="OFF", ISBLANK(X36)), 0, MAX(0, (IF(B36="Sat", 14/24, 20/24) - X36)*24))</f>
        <v/>
      </c>
      <c r="AB36" s="68" t="n">
        <v>0</v>
      </c>
      <c r="AC36" s="69">
        <f>AB36*7.45</f>
        <v/>
      </c>
      <c r="AD36" s="69">
        <f>IF(Z36&gt;0, AC36/Z36, 0)</f>
        <v/>
      </c>
      <c r="AE36" s="69">
        <f>AC36 + (AA36*AD36)</f>
        <v/>
      </c>
      <c r="AF36" s="70">
        <f>AA36*AD36</f>
        <v/>
      </c>
      <c r="AG36" s="66" t="inlineStr">
        <is>
          <t>OFF</t>
        </is>
      </c>
      <c r="AH36" s="66" t="inlineStr">
        <is>
          <t>OFF</t>
        </is>
      </c>
      <c r="AI36" s="67">
        <f>IF(B36="Sun", 0, IF(B36="Sat", 6, 12))</f>
        <v/>
      </c>
      <c r="AJ36" s="67">
        <f>IF(OR(AH36="OFF", ISBLANK(AH36)), 0, (AH36 - AG36)*24)</f>
        <v/>
      </c>
      <c r="AK36" s="67">
        <f>IF(OR(B36="Sun", AH36="OFF", ISBLANK(AH36)), 0, MAX(0, (IF(B36="Sat", 14/24, 20/24) - AH36)*24))</f>
        <v/>
      </c>
      <c r="AL36" s="68" t="n">
        <v>0</v>
      </c>
      <c r="AM36" s="69">
        <f>AL36*7.45</f>
        <v/>
      </c>
      <c r="AN36" s="69">
        <f>IF(AJ36&gt;0, AM36/AJ36, 0)</f>
        <v/>
      </c>
      <c r="AO36" s="69">
        <f>AM36 + (AK36*AN36)</f>
        <v/>
      </c>
      <c r="AP36" s="70">
        <f>AK36*AN36</f>
        <v/>
      </c>
      <c r="AQ36" s="67">
        <f>E36+O36+Y36+AI36</f>
        <v/>
      </c>
      <c r="AR36" s="67">
        <f>F36+P36+Z36+AJ36</f>
        <v/>
      </c>
      <c r="AS36" s="71">
        <f>G36+Q36+AA36+AK36</f>
        <v/>
      </c>
      <c r="AT36" s="68">
        <f>H36+R36+AB36+AL36</f>
        <v/>
      </c>
      <c r="AU36" s="69">
        <f>AT36*7.45</f>
        <v/>
      </c>
      <c r="AV36" s="70">
        <f>I36+S36+AC36+AM36</f>
        <v/>
      </c>
      <c r="AW36" s="69">
        <f>K36+U36+AE36+AO36</f>
        <v/>
      </c>
      <c r="AX36" s="70">
        <f>L36+V36+AF36+AP36</f>
        <v/>
      </c>
      <c r="AY36" s="72">
        <f>IF(AW36&gt;0, AX36/AW36, 0)</f>
        <v/>
      </c>
    </row>
    <row r="37">
      <c r="A37" s="56" t="n">
        <v>46265</v>
      </c>
      <c r="B37" s="57" t="inlineStr">
        <is>
          <t>Mon</t>
        </is>
      </c>
      <c r="C37" s="57" t="inlineStr">
        <is>
          <t>OFF</t>
        </is>
      </c>
      <c r="D37" s="57" t="inlineStr">
        <is>
          <t>OFF</t>
        </is>
      </c>
      <c r="E37" s="59">
        <f>IF(B37="Sun", 0, IF(B37="Sat", 6, 12))</f>
        <v/>
      </c>
      <c r="F37" s="59">
        <f>IF(OR(D37="OFF", ISBLANK(D37)), 0, (D37 - C37)*24)</f>
        <v/>
      </c>
      <c r="G37" s="59">
        <f>IF(OR(B37="Sun", D37="OFF", ISBLANK(D37)), 0, MAX(0, (IF(B37="Sat", 14/24, 20/24) - D37)*24))</f>
        <v/>
      </c>
      <c r="H37" s="60" t="n">
        <v>0</v>
      </c>
      <c r="I37" s="61">
        <f>H37*7.45</f>
        <v/>
      </c>
      <c r="J37" s="61">
        <f>IF(F37&gt;0, I37/F37, 0)</f>
        <v/>
      </c>
      <c r="K37" s="61">
        <f>I37 + (G37*J37)</f>
        <v/>
      </c>
      <c r="L37" s="62">
        <f>G37*J37</f>
        <v/>
      </c>
      <c r="M37" s="57" t="inlineStr">
        <is>
          <t>OFF</t>
        </is>
      </c>
      <c r="N37" s="57" t="inlineStr">
        <is>
          <t>OFF</t>
        </is>
      </c>
      <c r="O37" s="59">
        <f>IF(B37="Sun", 0, IF(B37="Sat", 6, 12))</f>
        <v/>
      </c>
      <c r="P37" s="59">
        <f>IF(OR(N37="OFF", ISBLANK(N37)), 0, (N37 - M37)*24)</f>
        <v/>
      </c>
      <c r="Q37" s="59">
        <f>IF(OR(B37="Sun", N37="OFF", ISBLANK(N37)), 0, MAX(0, (IF(B37="Sat", 14/24, 20/24) - N37)*24))</f>
        <v/>
      </c>
      <c r="R37" s="60" t="n">
        <v>0</v>
      </c>
      <c r="S37" s="61">
        <f>R37*7.45</f>
        <v/>
      </c>
      <c r="T37" s="61">
        <f>IF(P37&gt;0, S37/P37, 0)</f>
        <v/>
      </c>
      <c r="U37" s="61">
        <f>S37 + (Q37*T37)</f>
        <v/>
      </c>
      <c r="V37" s="62">
        <f>Q37*T37</f>
        <v/>
      </c>
      <c r="W37" s="57" t="inlineStr">
        <is>
          <t>OFF</t>
        </is>
      </c>
      <c r="X37" s="57" t="inlineStr">
        <is>
          <t>OFF</t>
        </is>
      </c>
      <c r="Y37" s="59">
        <f>IF(B37="Sun", 0, IF(B37="Sat", 6, 12))</f>
        <v/>
      </c>
      <c r="Z37" s="59">
        <f>IF(OR(X37="OFF", ISBLANK(X37)), 0, (X37 - W37)*24)</f>
        <v/>
      </c>
      <c r="AA37" s="59">
        <f>IF(OR(B37="Sun", X37="OFF", ISBLANK(X37)), 0, MAX(0, (IF(B37="Sat", 14/24, 20/24) - X37)*24))</f>
        <v/>
      </c>
      <c r="AB37" s="60" t="n">
        <v>0</v>
      </c>
      <c r="AC37" s="61">
        <f>AB37*7.45</f>
        <v/>
      </c>
      <c r="AD37" s="61">
        <f>IF(Z37&gt;0, AC37/Z37, 0)</f>
        <v/>
      </c>
      <c r="AE37" s="61">
        <f>AC37 + (AA37*AD37)</f>
        <v/>
      </c>
      <c r="AF37" s="62">
        <f>AA37*AD37</f>
        <v/>
      </c>
      <c r="AG37" s="57" t="inlineStr">
        <is>
          <t>OFF</t>
        </is>
      </c>
      <c r="AH37" s="57" t="inlineStr">
        <is>
          <t>OFF</t>
        </is>
      </c>
      <c r="AI37" s="59">
        <f>IF(B37="Sun", 0, IF(B37="Sat", 6, 12))</f>
        <v/>
      </c>
      <c r="AJ37" s="59">
        <f>IF(OR(AH37="OFF", ISBLANK(AH37)), 0, (AH37 - AG37)*24)</f>
        <v/>
      </c>
      <c r="AK37" s="59">
        <f>IF(OR(B37="Sun", AH37="OFF", ISBLANK(AH37)), 0, MAX(0, (IF(B37="Sat", 14/24, 20/24) - AH37)*24))</f>
        <v/>
      </c>
      <c r="AL37" s="60" t="n">
        <v>0</v>
      </c>
      <c r="AM37" s="61">
        <f>AL37*7.45</f>
        <v/>
      </c>
      <c r="AN37" s="61">
        <f>IF(AJ37&gt;0, AM37/AJ37, 0)</f>
        <v/>
      </c>
      <c r="AO37" s="61">
        <f>AM37 + (AK37*AN37)</f>
        <v/>
      </c>
      <c r="AP37" s="62">
        <f>AK37*AN37</f>
        <v/>
      </c>
      <c r="AQ37" s="59">
        <f>E37+O37+Y37+AI37</f>
        <v/>
      </c>
      <c r="AR37" s="59">
        <f>F37+P37+Z37+AJ37</f>
        <v/>
      </c>
      <c r="AS37" s="63">
        <f>G37+Q37+AA37+AK37</f>
        <v/>
      </c>
      <c r="AT37" s="60">
        <f>H37+R37+AB37+AL37</f>
        <v/>
      </c>
      <c r="AU37" s="61">
        <f>AT37*7.45</f>
        <v/>
      </c>
      <c r="AV37" s="62">
        <f>I37+S37+AC37+AM37</f>
        <v/>
      </c>
      <c r="AW37" s="61">
        <f>K37+U37+AE37+AO37</f>
        <v/>
      </c>
      <c r="AX37" s="62">
        <f>L37+V37+AF37+AP37</f>
        <v/>
      </c>
      <c r="AY37" s="64">
        <f>IF(AW37&gt;0, AX37/AW37, 0)</f>
        <v/>
      </c>
    </row>
    <row r="38" ht="15" customHeight="1" s="38">
      <c r="A38" s="74" t="inlineStr">
        <is>
          <t>MONTH TOTAL</t>
        </is>
      </c>
      <c r="B38" s="106" t="n"/>
      <c r="C38" s="76" t="n"/>
      <c r="D38" s="76" t="n"/>
      <c r="E38" s="77">
        <f>SUM(E7:E37)</f>
        <v/>
      </c>
      <c r="F38" s="77">
        <f>SUM(F7:F37)</f>
        <v/>
      </c>
      <c r="G38" s="77">
        <f>SUM(G7:G37)</f>
        <v/>
      </c>
      <c r="H38" s="78">
        <f>SUM(H7:H37)</f>
        <v/>
      </c>
      <c r="I38" s="79">
        <f>SUM(I7:I37)</f>
        <v/>
      </c>
      <c r="J38" s="79">
        <f>AVERAGE(J7:J37)</f>
        <v/>
      </c>
      <c r="K38" s="79">
        <f>SUM(K7:K37)</f>
        <v/>
      </c>
      <c r="L38" s="79">
        <f>SUM(L7:L37)</f>
        <v/>
      </c>
      <c r="M38" s="76" t="n"/>
      <c r="N38" s="76" t="n"/>
      <c r="O38" s="77">
        <f>SUM(O7:O37)</f>
        <v/>
      </c>
      <c r="P38" s="77">
        <f>SUM(P7:P37)</f>
        <v/>
      </c>
      <c r="Q38" s="77">
        <f>SUM(Q7:Q37)</f>
        <v/>
      </c>
      <c r="R38" s="78">
        <f>SUM(R7:R37)</f>
        <v/>
      </c>
      <c r="S38" s="79">
        <f>SUM(S7:S37)</f>
        <v/>
      </c>
      <c r="T38" s="79">
        <f>AVERAGE(T7:T37)</f>
        <v/>
      </c>
      <c r="U38" s="79">
        <f>SUM(U7:U37)</f>
        <v/>
      </c>
      <c r="V38" s="79">
        <f>SUM(V7:V37)</f>
        <v/>
      </c>
      <c r="W38" s="76" t="n"/>
      <c r="X38" s="76" t="n"/>
      <c r="Y38" s="77">
        <f>SUM(Y7:Y37)</f>
        <v/>
      </c>
      <c r="Z38" s="77">
        <f>SUM(Z7:Z37)</f>
        <v/>
      </c>
      <c r="AA38" s="77">
        <f>SUM(AA7:AA37)</f>
        <v/>
      </c>
      <c r="AB38" s="78">
        <f>SUM(AB7:AB37)</f>
        <v/>
      </c>
      <c r="AC38" s="79">
        <f>SUM(AC7:AC37)</f>
        <v/>
      </c>
      <c r="AD38" s="79">
        <f>AVERAGE(AD7:AD37)</f>
        <v/>
      </c>
      <c r="AE38" s="79">
        <f>SUM(AE7:AE37)</f>
        <v/>
      </c>
      <c r="AF38" s="79">
        <f>SUM(AF7:AF37)</f>
        <v/>
      </c>
      <c r="AG38" s="76" t="n"/>
      <c r="AH38" s="76" t="n"/>
      <c r="AI38" s="77">
        <f>SUM(AI7:AI37)</f>
        <v/>
      </c>
      <c r="AJ38" s="77">
        <f>SUM(AJ7:AJ37)</f>
        <v/>
      </c>
      <c r="AK38" s="77">
        <f>SUM(AK7:AK37)</f>
        <v/>
      </c>
      <c r="AL38" s="78">
        <f>SUM(AL7:AL37)</f>
        <v/>
      </c>
      <c r="AM38" s="79">
        <f>SUM(AM7:AM37)</f>
        <v/>
      </c>
      <c r="AN38" s="79">
        <f>AVERAGE(AN7:AN37)</f>
        <v/>
      </c>
      <c r="AO38" s="79">
        <f>SUM(AO7:AO37)</f>
        <v/>
      </c>
      <c r="AP38" s="79">
        <f>SUM(AP7:AP37)</f>
        <v/>
      </c>
      <c r="AQ38" s="77">
        <f>SUM(AQ7:AQ37)</f>
        <v/>
      </c>
      <c r="AR38" s="77">
        <f>SUM(AR7:AR37)</f>
        <v/>
      </c>
      <c r="AS38" s="77">
        <f>SUM(AS7:AS37)</f>
        <v/>
      </c>
      <c r="AT38" s="78">
        <f>SUM(AT7:AT37)</f>
        <v/>
      </c>
      <c r="AU38" s="79">
        <f>SUM(AU7:AU37)</f>
        <v/>
      </c>
      <c r="AV38" s="79">
        <f>SUM(AV7:AV37)</f>
        <v/>
      </c>
      <c r="AW38" s="79">
        <f>SUM(AW7:AW37)</f>
        <v/>
      </c>
      <c r="AX38" s="79">
        <f>SUM(AX7:AX37)</f>
        <v/>
      </c>
      <c r="AY38" s="80">
        <f>AVERAGE(AY7:AY37)</f>
        <v/>
      </c>
    </row>
  </sheetData>
  <mergeCells count="7">
    <mergeCell ref="C5:L5"/>
    <mergeCell ref="AG5:AP5"/>
    <mergeCell ref="A38:B38"/>
    <mergeCell ref="W5:AF5"/>
    <mergeCell ref="M5:V5"/>
    <mergeCell ref="AQ5:AY5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2026-08-04T15:01:36Z</dcterms:created>
  <dcterms:modified xmlns:dcterms="http://purl.org/dc/terms/" xmlns:xsi="http://www.w3.org/2001/XMLSchema-instance" xsi:type="dcterms:W3CDTF">2026-08-18T07:52:23Z</dcterms:modified>
  <cp:lastModifiedBy>Mohanty, Satyabrata @ Gurgaon</cp:lastModifiedBy>
</cp:coreProperties>
</file>